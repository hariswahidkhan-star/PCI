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3.xml.rels" ContentType="application/vnd.openxmlformats-package.relationships+xml"/>
  <Override PartName="/xl/worksheets/_rels/sheet5.xml.rels" ContentType="application/vnd.openxmlformats-package.relationships+xml"/>
  <Override PartName="/xl/worksheets/_rels/sheet19.xml.rels" ContentType="application/vnd.openxmlformats-package.relationships+xml"/>
  <Override PartName="/xl/worksheets/_rels/sheet18.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AILY ENTRY" sheetId="2" state="visible" r:id="rId4"/>
    <sheet name="LinkedIn Outreach" sheetId="3" state="visible" r:id="rId5"/>
    <sheet name="Partnership Pipeline" sheetId="4" state="visible" r:id="rId6"/>
    <sheet name="Dashboard" sheetId="5" state="visible" r:id="rId7"/>
    <sheet name="Employee Score" sheetId="6" state="visible" r:id="rId8"/>
    <sheet name="Team Scorecard" sheetId="7" state="visible" r:id="rId9"/>
    <sheet name="Platform Progress" sheetId="8" state="visible" r:id="rId10"/>
    <sheet name="Who Did What" sheetId="9" state="visible" r:id="rId11"/>
    <sheet name="Summary" sheetId="10" state="visible" r:id="rId12"/>
    <sheet name="Weekly Review" sheetId="11" state="visible" r:id="rId13"/>
    <sheet name="Master Tasks" sheetId="12" state="visible" r:id="rId14"/>
    <sheet name="Platform Setup" sheetId="13" state="visible" r:id="rId15"/>
    <sheet name="Publishing Plan" sheetId="14" state="visible" r:id="rId16"/>
    <sheet name="SEO Clusters" sheetId="15" state="visible" r:id="rId17"/>
    <sheet name="Message Bank" sheetId="16" state="visible" r:id="rId18"/>
    <sheet name="LinkedIn Playbook" sheetId="17" state="visible" r:id="rId19"/>
    <sheet name="Content Calendar" sheetId="18" state="visible" r:id="rId20"/>
    <sheet name="Community &amp; PR" sheetId="19" state="visible" r:id="rId21"/>
    <sheet name="Experiments" sheetId="20" state="visible" r:id="rId22"/>
    <sheet name="UTM Builder" sheetId="21" state="visible" r:id="rId23"/>
    <sheet name="QA &amp; Compliance" sheetId="22" state="visible" r:id="rId24"/>
    <sheet name="Daily Log" sheetId="23" state="visible" r:id="rId25"/>
    <sheet name="How-To Guides" sheetId="24" state="visible" r:id="rId26"/>
    <sheet name="Benchmarks" sheetId="25" state="visible" r:id="rId27"/>
    <sheet name="Lists" sheetId="26" state="visible" r:id="rId28"/>
  </sheets>
  <definedNames>
    <definedName function="false" hidden="true" localSheetId="18" name="_xlnm._FilterDatabase" vbProcedure="false">'Community &amp; PR'!$A$3:$S$403</definedName>
    <definedName function="false" hidden="true" localSheetId="17" name="_xlnm._FilterDatabase" vbProcedure="false">'Content Calendar'!$A$3:$S$403</definedName>
    <definedName function="false" hidden="true" localSheetId="1" name="_xlnm._FilterDatabase" vbProcedure="false">'DAILY ENTRY'!$A$3:$J$1203</definedName>
    <definedName function="false" hidden="true" localSheetId="22" name="_xlnm._FilterDatabase" vbProcedure="false">'Daily Log'!$A$3:$P$403</definedName>
    <definedName function="false" hidden="true" localSheetId="2" name="_xlnm._FilterDatabase" vbProcedure="false">'LinkedIn Outreach'!$A$3:$AC$1203</definedName>
    <definedName function="false" hidden="true" localSheetId="11" name="_xlnm._FilterDatabase" vbProcedure="false">'Master Tasks'!$A$3:$O$66</definedName>
    <definedName function="false" hidden="true" localSheetId="3" name="_xlnm._FilterDatabase" vbProcedure="false">'Partnership Pipeline'!$A$3:$U$403</definedName>
    <definedName function="false" hidden="true" localSheetId="7" name="_xlnm._FilterDatabase" vbProcedure="false">'Platform Progress'!$A$3:$K$49</definedName>
    <definedName function="false" hidden="true" localSheetId="12" name="_xlnm._FilterDatabase" vbProcedure="false">'Platform Setup'!$A$3:$N$49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<sst xmlns="http://schemas.openxmlformats.org/spreadsheetml/2006/main" count="2330" uniqueCount="1417">
  <si>
    <t xml:space="preserve">PCI AI  —  PROJECT CONTROLS INSTITUTE  |  EMPLOYEE EXECUTION TRACKER</t>
  </si>
  <si>
    <t xml:space="preserve">Read this page first. It takes 5 minutes and explains exactly how to use every tab.</t>
  </si>
  <si>
    <t xml:space="preserve">1.  HOW THIS WORKS  —  employees fill in ONE sheet</t>
  </si>
  <si>
    <t xml:space="preserve">EVERY DAY  -&gt;  DAILY ENTRY tab</t>
  </si>
  <si>
    <t xml:space="preserve">This is the only sheet you must fill in. One row for each thing you did: the date, your name, which platform, what kind of work, how many, how long it took and a link that proves it. Six of the ten columns are dropdowns, so most of a row is clicking, not typing.</t>
  </si>
  <si>
    <t xml:space="preserve">Log as you go, not at 5pm</t>
  </si>
  <si>
    <t xml:space="preserve">Add the row when you finish the task. Ten rows a day is normal. If you did nothing on a platform, there is simply no row for it.</t>
  </si>
  <si>
    <t xml:space="preserve">ALSO, if you do LinkedIn outreach</t>
  </si>
  <si>
    <t xml:space="preserve">The LinkedIn Outreach tab holds one row per PERSON you contact - name, company, the message you sent, and what they replied. This cannot be collapsed into daily totals, because acceptance and reply rates need to be tracked per person.</t>
  </si>
  <si>
    <t xml:space="preserve">Everything else fills itself in</t>
  </si>
  <si>
    <t xml:space="preserve">Platform Progress, Who Did What, Team Scorecard, Weekly Review, Dashboard and Summary all calculate from what you enter. You never type a number twice. The Daily Summary tab is optional.</t>
  </si>
  <si>
    <t xml:space="preserve">BEFORE YOU START  -&gt;  Platform Setup tab</t>
  </si>
  <si>
    <t xml:space="preserve">Work through the account list and follow the setup steps written in each row. Mark Status = Complete only when the profile is fully filled in with logo, bio, link and 2FA.</t>
  </si>
  <si>
    <t xml:space="preserve">BEFORE YOU WRITE  -&gt;  Publishing Plan tab</t>
  </si>
  <si>
    <t xml:space="preserve">The ten publishing platforms, ranked, with the rule for each one. Read the rule before you publish anywhere.</t>
  </si>
  <si>
    <t xml:space="preserve">BEFORE YOU MESSAGE  -&gt;  Message Bank tab</t>
  </si>
  <si>
    <t xml:space="preserve">Never write outreach from scratch. Copy the approved message and replace every [bracket] with real details from the person's profile.</t>
  </si>
  <si>
    <t xml:space="preserve">EVERY FRIDAY  -&gt;  Weekly Review tab</t>
  </si>
  <si>
    <t xml:space="preserve">Write your wins, misses and next week's focus. The numbers are already there. Use the dropdown in cell B2 to see just your own week.</t>
  </si>
  <si>
    <t xml:space="preserve">REFERENCE  -&gt;  How-To Guides, LinkedIn Playbook, Benchmarks</t>
  </si>
  <si>
    <t xml:space="preserve">Read these when you start a platform for the first time or when you want to know what good looks like.</t>
  </si>
  <si>
    <t xml:space="preserve">FOR THE MANAGER  -&gt;  Dashboard, Team Scorecard, Platform Progress, Who Did What</t>
  </si>
  <si>
    <t xml:space="preserve">Four read-only pages. Nobody types in them.</t>
  </si>
  <si>
    <t xml:space="preserve">Master Tasks tab</t>
  </si>
  <si>
    <t xml:space="preserve">The full workstream list with an Owner column. Update Status and Progress when a task moves.</t>
  </si>
  <si>
    <t xml:space="preserve">2.  YOUR SETTINGS  —  fill in the yellow cells once</t>
  </si>
  <si>
    <t xml:space="preserve">Employee name</t>
  </si>
  <si>
    <t xml:space="preserve">Manager / reviewer</t>
  </si>
  <si>
    <t xml:space="preserve">Programme start date (a Monday)</t>
  </si>
  <si>
    <t xml:space="preserve">2026-08-17</t>
  </si>
  <si>
    <t xml:space="preserve">Working days per week</t>
  </si>
  <si>
    <t xml:space="preserve">3.  DAILY TARGETS  —  agreed with your manager (blue = you may change with approval)</t>
  </si>
  <si>
    <t xml:space="preserve">Activity</t>
  </si>
  <si>
    <t xml:space="preserve">Target per day</t>
  </si>
  <si>
    <t xml:space="preserve">Target per week (auto)</t>
  </si>
  <si>
    <t xml:space="preserve">Sales Navigator leads researched</t>
  </si>
  <si>
    <t xml:space="preserve">Connection requests sent</t>
  </si>
  <si>
    <t xml:space="preserve">First messages sent (accepted connections)</t>
  </si>
  <si>
    <t xml:space="preserve">Follow-up messages sent</t>
  </si>
  <si>
    <t xml:space="preserve">Posts published (all platforms)</t>
  </si>
  <si>
    <t xml:space="preserve">Community answers / comments (Quora, Reddit, Groups)</t>
  </si>
  <si>
    <t xml:space="preserve">Partnership / PR contacts approached</t>
  </si>
  <si>
    <t xml:space="preserve">Meaningful engagements (likes + comments on others)</t>
  </si>
  <si>
    <t xml:space="preserve">4.  GOLDEN RULES  —  these protect PCI's reputation. Breaking them is a serious issue.</t>
  </si>
  <si>
    <t xml:space="preserve">1.  Be honest. Never tell anyone they have been awarded, approved or guaranteed an honorary certification. You are inviting them to be considered and sharing the criteria — nothing more.</t>
  </si>
  <si>
    <t xml:space="preserve">2.  Never invent facts about PCI — numbers of members, accreditations, recognition or partnerships. If you are unsure, ask your manager before you send.</t>
  </si>
  <si>
    <t xml:space="preserve">3.  Personalise every message. Read the profile first and reference something real (their role, employer, project type or years of experience).</t>
  </si>
  <si>
    <t xml:space="preserve">4.  Keep outreach messages under 300 characters and connection notes under 200 characters.</t>
  </si>
  <si>
    <t xml:space="preserve">5.  No bulk sending, no automation tools, no bots, no scraping. LinkedIn restricts accounts for this and it destroys reply rates.</t>
  </si>
  <si>
    <t xml:space="preserve">6.  Respect limits: stop at the daily target. If LinkedIn shows a warning, stop for the day and tell your manager.</t>
  </si>
  <si>
    <t xml:space="preserve">7.  If someone says no or asks you to stop, thank them politely and never contact them again. Mark Outcome = Declined.</t>
  </si>
  <si>
    <t xml:space="preserve">8.  Answer the question first, promote PCI second. On Quora, Reddit and groups a useful answer with no link beats a link with no value.</t>
  </si>
  <si>
    <t xml:space="preserve">9.  Never post PCI passwords in this file — only the reference name from the password manager. Turn on 2FA everywhere.</t>
  </si>
  <si>
    <t xml:space="preserve">10. Log everything the same day. Evidence (a URL or screenshot link) is what makes the work count.</t>
  </si>
  <si>
    <t xml:space="preserve">5.  COLOUR LEGEND</t>
  </si>
  <si>
    <t xml:space="preserve">Yellow cell</t>
  </si>
  <si>
    <t xml:space="preserve">You type here.</t>
  </si>
  <si>
    <t xml:space="preserve">White cell</t>
  </si>
  <si>
    <t xml:space="preserve">Calculated or reference — do not type over it.</t>
  </si>
  <si>
    <t xml:space="preserve">Grey / blue header</t>
  </si>
  <si>
    <t xml:space="preserve">Structure — do not rename, the Dashboard depends on these names.</t>
  </si>
  <si>
    <t xml:space="preserve">Green</t>
  </si>
  <si>
    <t xml:space="preserve">Good / on target.</t>
  </si>
  <si>
    <t xml:space="preserve">Red</t>
  </si>
  <si>
    <t xml:space="preserve">Attention needed / over limit.</t>
  </si>
  <si>
    <t xml:space="preserve">6.  TEAM ROSTER  —  type each marketing team member's name here, exactly as they will type it in the log tabs</t>
  </si>
  <si>
    <t xml:space="preserve">Slot</t>
  </si>
  <si>
    <t xml:space="preserve">Employee name (this becomes the dropdown in every log tab)</t>
  </si>
  <si>
    <t xml:space="preserve">Employee 1</t>
  </si>
  <si>
    <t xml:space="preserve">Names must match exactly between this list and the log tabs, otherwise the Team Scorecard will show zero for that person. Use the dropdown in the log tabs rather than typing names by hand.</t>
  </si>
  <si>
    <t xml:space="preserve">7.  BRAND / PRODUCT THIS PLAN COVERS</t>
  </si>
  <si>
    <t xml:space="preserve">Brand / product</t>
  </si>
  <si>
    <t xml:space="preserve">PCI - Project Controls Institute</t>
  </si>
  <si>
    <t xml:space="preserve">If the team runs both brands, add a Brand column to the log tabs or keep a separate copy of this file per brand - mixing two audiences in one outreach log makes the acceptance and reply rates meaningless, because they will be measuring two different markets.</t>
  </si>
  <si>
    <t xml:space="preserve">8.  WHERE EACH PART OF THE GROWTH PLAN LIVES</t>
  </si>
  <si>
    <t xml:space="preserve">Executive dashboard / management summary</t>
  </si>
  <si>
    <t xml:space="preserve">Dashboard, Summary</t>
  </si>
  <si>
    <t xml:space="preserve">Employee scorecard and grading</t>
  </si>
  <si>
    <t xml:space="preserve">Employee Score, Team Scorecard</t>
  </si>
  <si>
    <t xml:space="preserve">Master growth plan</t>
  </si>
  <si>
    <t xml:space="preserve">Master Tasks</t>
  </si>
  <si>
    <t xml:space="preserve">Daily execution</t>
  </si>
  <si>
    <t xml:space="preserve">DAILY ENTRY</t>
  </si>
  <si>
    <t xml:space="preserve">LinkedIn Sales Navigator + honorary certification pipeline</t>
  </si>
  <si>
    <t xml:space="preserve">LinkedIn Outreach, LinkedIn Playbook, Message Bank</t>
  </si>
  <si>
    <t xml:space="preserve">Enterprise / employer, university, association and influencer pipelines</t>
  </si>
  <si>
    <t xml:space="preserve">Partnership Pipeline</t>
  </si>
  <si>
    <t xml:space="preserve">Funnel and lead scoring</t>
  </si>
  <si>
    <t xml:space="preserve">LinkedIn Outreach (columns Y-AC), Partnership Pipeline, Dashboard section 7</t>
  </si>
  <si>
    <t xml:space="preserve">Social media, content factory, Medium / Quora / Reddit, YouTube</t>
  </si>
  <si>
    <t xml:space="preserve">Content Calendar, Publishing Plan, Platform Setup, Platform Progress</t>
  </si>
  <si>
    <t xml:space="preserve">SEO and content clusters</t>
  </si>
  <si>
    <t xml:space="preserve">SEO Clusters</t>
  </si>
  <si>
    <t xml:space="preserve">PR, media, podcasts, webinars and events</t>
  </si>
  <si>
    <t xml:space="preserve">Partnership Pipeline, Community &amp; PR, Platform Setup</t>
  </si>
  <si>
    <t xml:space="preserve">Reviews and reputation</t>
  </si>
  <si>
    <t xml:space="preserve">Platform Setup (directory rows), QA &amp; Compliance</t>
  </si>
  <si>
    <t xml:space="preserve">Platform accounts</t>
  </si>
  <si>
    <t xml:space="preserve">Platform Setup, Platform Progress</t>
  </si>
  <si>
    <t xml:space="preserve">Campaign experiments and A/B tests</t>
  </si>
  <si>
    <t xml:space="preserve">Experiments</t>
  </si>
  <si>
    <t xml:space="preserve">Analytics and UTMs</t>
  </si>
  <si>
    <t xml:space="preserve">UTM Builder, Platform Setup (analytics rows)</t>
  </si>
  <si>
    <t xml:space="preserve">Message bank</t>
  </si>
  <si>
    <t xml:space="preserve">Message Bank</t>
  </si>
  <si>
    <t xml:space="preserve">SOPs and how-to guides</t>
  </si>
  <si>
    <t xml:space="preserve">How-To Guides, LinkedIn Playbook, Publishing Plan</t>
  </si>
  <si>
    <t xml:space="preserve">QA and compliance</t>
  </si>
  <si>
    <t xml:space="preserve">QA &amp; Compliance</t>
  </si>
  <si>
    <t xml:space="preserve">Lists and controls</t>
  </si>
  <si>
    <t xml:space="preserve">Lists, Benchmarks</t>
  </si>
  <si>
    <t xml:space="preserve">DAILY ENTRY  —  this is the only sheet you need to fill in</t>
  </si>
  <si>
    <t xml:space="preserve">One row for each thing you did, on each platform, each day. Six of the ten columns are dropdowns. Everything else in this workbook fills itself in from here.</t>
  </si>
  <si>
    <t xml:space="preserve">Date</t>
  </si>
  <si>
    <t xml:space="preserve">Your name</t>
  </si>
  <si>
    <t xml:space="preserve">Platform</t>
  </si>
  <si>
    <t xml:space="preserve">What kind of work</t>
  </si>
  <si>
    <t xml:space="preserve">What exactly did you do?</t>
  </si>
  <si>
    <t xml:space="preserve">How many</t>
  </si>
  <si>
    <t xml:space="preserve">Minutes spent</t>
  </si>
  <si>
    <t xml:space="preserve">Link / proof</t>
  </si>
  <si>
    <t xml:space="preserve">Result</t>
  </si>
  <si>
    <t xml:space="preserve">Notes or blocker</t>
  </si>
  <si>
    <t xml:space="preserve">LinkedIn Sales Navigator</t>
  </si>
  <si>
    <t xml:space="preserve">Lead researched (Sales Navigator)</t>
  </si>
  <si>
    <t xml:space="preserve">Built a list of project controls managers in the UK rail sector</t>
  </si>
  <si>
    <t xml:space="preserve">[Sales Nav list link]</t>
  </si>
  <si>
    <t xml:space="preserve">Done</t>
  </si>
  <si>
    <t xml:space="preserve">EXAMPLE ROW - delete these three before you start</t>
  </si>
  <si>
    <t xml:space="preserve">LinkedIn</t>
  </si>
  <si>
    <t xml:space="preserve">Connection request sent</t>
  </si>
  <si>
    <t xml:space="preserve">Sent connection requests with a personal line from each profile</t>
  </si>
  <si>
    <t xml:space="preserve">logged in LinkedIn Outreach tab</t>
  </si>
  <si>
    <t xml:space="preserve">EXAMPLE ROW</t>
  </si>
  <si>
    <t xml:space="preserve">Medium</t>
  </si>
  <si>
    <t xml:space="preserve">Post / content published</t>
  </si>
  <si>
    <t xml:space="preserve">Published the article on cost control mistakes, canonical set to our site</t>
  </si>
  <si>
    <t xml:space="preserve">[article URL]</t>
  </si>
  <si>
    <t xml:space="preserve">LINKEDIN + SALES NAVIGATOR OUTREACH LOG  —  one row per person</t>
  </si>
  <si>
    <t xml:space="preserve">Log every lead the same day. Row 4 is a worked example - your data starts on row 5. Column Q counts your message characters and turns red above 300.</t>
  </si>
  <si>
    <t xml:space="preserve">Employee</t>
  </si>
  <si>
    <t xml:space="preserve">Lead name</t>
  </si>
  <si>
    <t xml:space="preserve">LinkedIn / Sales Nav URL</t>
  </si>
  <si>
    <t xml:space="preserve">Company</t>
  </si>
  <si>
    <t xml:space="preserve">Job title</t>
  </si>
  <si>
    <t xml:space="preserve">Country</t>
  </si>
  <si>
    <t xml:space="preserve">Lead segment</t>
  </si>
  <si>
    <t xml:space="preserve">Sales Nav list</t>
  </si>
  <si>
    <t xml:space="preserve">Years exp.</t>
  </si>
  <si>
    <t xml:space="preserve">Qualified?</t>
  </si>
  <si>
    <t xml:space="preserve">Personal line used (from their profile)</t>
  </si>
  <si>
    <t xml:space="preserve">Connection sent?</t>
  </si>
  <si>
    <t xml:space="preserve">Accepted?</t>
  </si>
  <si>
    <t xml:space="preserve">Template used</t>
  </si>
  <si>
    <t xml:space="preserve">Message sent (paste the final text)</t>
  </si>
  <si>
    <t xml:space="preserve">Chars</t>
  </si>
  <si>
    <t xml:space="preserve">Message sent?</t>
  </si>
  <si>
    <t xml:space="preserve">Outcome</t>
  </si>
  <si>
    <t xml:space="preserve">Reply summary</t>
  </si>
  <si>
    <t xml:space="preserve">Follow-up due</t>
  </si>
  <si>
    <t xml:space="preserve">Follow-ups sent</t>
  </si>
  <si>
    <t xml:space="preserve">Next action</t>
  </si>
  <si>
    <t xml:space="preserve">Notes</t>
  </si>
  <si>
    <t xml:space="preserve">ICP fit (1-5)</t>
  </si>
  <si>
    <t xml:space="preserve">Intent signals (1-5)</t>
  </si>
  <si>
    <t xml:space="preserve">Lead score (auto)</t>
  </si>
  <si>
    <t xml:space="preserve">Priority band</t>
  </si>
  <si>
    <t xml:space="preserve">Funnel stage (auto)</t>
  </si>
  <si>
    <t xml:space="preserve">[Your name]</t>
  </si>
  <si>
    <t xml:space="preserve">A. Sample (example row - delete)</t>
  </si>
  <si>
    <t xml:space="preserve">https://www.linkedin.com/in/example</t>
  </si>
  <si>
    <t xml:space="preserve">Example Engineering Ltd</t>
  </si>
  <si>
    <t xml:space="preserve">Project Controls Manager</t>
  </si>
  <si>
    <t xml:space="preserve">United Kingdom</t>
  </si>
  <si>
    <t xml:space="preserve">Project Controls Lead</t>
  </si>
  <si>
    <t xml:space="preserve">PC Managers - UK</t>
  </si>
  <si>
    <t xml:space="preserve">Led cost control on the [X] rail upgrade - mentioned it in her post last week</t>
  </si>
  <si>
    <t xml:space="preserve">Yes</t>
  </si>
  <si>
    <t xml:space="preserve">M2 First Message</t>
  </si>
  <si>
    <t xml:space="preserve">Thanks for connecting, Anna. PCI recognises senior project controls practitioners through an honorary certification, assessed on experience and contribution rather than an exam. With 14 years at Example Engineering you may qualify. May I send you the criteria? No cost to review. - Sam</t>
  </si>
  <si>
    <t xml:space="preserve">Info Requested</t>
  </si>
  <si>
    <t xml:space="preserve">Asked for the criteria document and fee position</t>
  </si>
  <si>
    <t xml:space="preserve">Send criteria pack, then diarise day 4 follow-up</t>
  </si>
  <si>
    <t xml:space="preserve">EXAMPLE ROW - shows the level of detail expected. Delete before use.</t>
  </si>
  <si>
    <t xml:space="preserve">PARTNERSHIP PIPELINE  —  employers, universities, associations, influencers, media</t>
  </si>
  <si>
    <t xml:space="preserve">One row per organisation. A single association or employer partnership is worth hundreds of individual messages, so these get scored and staged like deals.</t>
  </si>
  <si>
    <t xml:space="preserve">Date opened</t>
  </si>
  <si>
    <t xml:space="preserve">Owner</t>
  </si>
  <si>
    <t xml:space="preserve">Organisation</t>
  </si>
  <si>
    <t xml:space="preserve">Type</t>
  </si>
  <si>
    <t xml:space="preserve">Contact name</t>
  </si>
  <si>
    <t xml:space="preserve">Contact role</t>
  </si>
  <si>
    <t xml:space="preserve">LinkedIn / URL</t>
  </si>
  <si>
    <t xml:space="preserve">Why them (the fit)</t>
  </si>
  <si>
    <t xml:space="preserve">Score (auto)</t>
  </si>
  <si>
    <t xml:space="preserve">Band (auto)</t>
  </si>
  <si>
    <t xml:space="preserve">Stage</t>
  </si>
  <si>
    <t xml:space="preserve">Potential value</t>
  </si>
  <si>
    <t xml:space="preserve">What they get</t>
  </si>
  <si>
    <t xml:space="preserve">Last contact</t>
  </si>
  <si>
    <t xml:space="preserve">Next step</t>
  </si>
  <si>
    <t xml:space="preserve">Next step due</t>
  </si>
  <si>
    <t xml:space="preserve">Status</t>
  </si>
  <si>
    <t xml:space="preserve">Example Rail Group</t>
  </si>
  <si>
    <t xml:space="preserve">Enterprise / Employer</t>
  </si>
  <si>
    <t xml:space="preserve">A. Sample</t>
  </si>
  <si>
    <t xml:space="preserve">Head of PMO</t>
  </si>
  <si>
    <t xml:space="preserve">[LinkedIn URL]</t>
  </si>
  <si>
    <t xml:space="preserve">300+ project controls staff, no internal credentialing route, actively hiring planners</t>
  </si>
  <si>
    <t xml:space="preserve">5 - excellent</t>
  </si>
  <si>
    <t xml:space="preserve">3 - average</t>
  </si>
  <si>
    <t xml:space="preserve">4 Contacted</t>
  </si>
  <si>
    <t xml:space="preserve">High</t>
  </si>
  <si>
    <t xml:space="preserve">A benchmarked capability picture of their project controls team</t>
  </si>
  <si>
    <t xml:space="preserve">Send the one-page overview and propose a 20-minute call</t>
  </si>
  <si>
    <t xml:space="preserve">In Progress</t>
  </si>
  <si>
    <t xml:space="preserve">EXAMPLE ROW - delete before use</t>
  </si>
  <si>
    <t xml:space="preserve">PCI AI  —  EXECUTION DASHBOARD</t>
  </si>
  <si>
    <t xml:space="preserve">Nothing is typed on this page. Every figure updates from the other tabs. Press Ctrl+Shift+F9 if a figure looks stale.</t>
  </si>
  <si>
    <t xml:space="preserve">Chart data (do not delete)</t>
  </si>
  <si>
    <t xml:space="preserve">1.  TASK EXECUTION  (from Master Tasks)</t>
  </si>
  <si>
    <t xml:space="preserve">Not Started</t>
  </si>
  <si>
    <t xml:space="preserve">Metric</t>
  </si>
  <si>
    <t xml:space="preserve">Value</t>
  </si>
  <si>
    <t xml:space="preserve">Target / benchmark</t>
  </si>
  <si>
    <t xml:space="preserve">What it tells management</t>
  </si>
  <si>
    <t xml:space="preserve">Total tasks in the plan</t>
  </si>
  <si>
    <t xml:space="preserve">63</t>
  </si>
  <si>
    <t xml:space="preserve">Size of the agreed workload.</t>
  </si>
  <si>
    <t xml:space="preserve">Waiting</t>
  </si>
  <si>
    <t xml:space="preserve">Complete</t>
  </si>
  <si>
    <t xml:space="preserve">Finished and evidenced.</t>
  </si>
  <si>
    <t xml:space="preserve">Blocked</t>
  </si>
  <si>
    <t xml:space="preserve">In progress</t>
  </si>
  <si>
    <t xml:space="preserve">Being actively worked on.</t>
  </si>
  <si>
    <t xml:space="preserve">Waiting / paused</t>
  </si>
  <si>
    <t xml:space="preserve">Held up but not blocked.</t>
  </si>
  <si>
    <t xml:space="preserve">Paused</t>
  </si>
  <si>
    <t xml:space="preserve">Blocked  -  needs management help</t>
  </si>
  <si>
    <t xml:space="preserve">0</t>
  </si>
  <si>
    <t xml:space="preserve">Anything above zero needs a decision from the manager this week.</t>
  </si>
  <si>
    <t xml:space="preserve">Not started</t>
  </si>
  <si>
    <t xml:space="preserve">Not yet begun.</t>
  </si>
  <si>
    <t xml:space="preserve">Task completion rate</t>
  </si>
  <si>
    <t xml:space="preserve">100%</t>
  </si>
  <si>
    <t xml:space="preserve">Share of the plan finished.</t>
  </si>
  <si>
    <t xml:space="preserve">Average progress across all tasks</t>
  </si>
  <si>
    <t xml:space="preserve">Weighted sense of momentum, including part-finished work.</t>
  </si>
  <si>
    <t xml:space="preserve">2.  PLATFORM PRESENCE  (from Platform Setup)</t>
  </si>
  <si>
    <t xml:space="preserve">Platforms in scope</t>
  </si>
  <si>
    <t xml:space="preserve">46</t>
  </si>
  <si>
    <t xml:space="preserve">Every channel PCI should exist on.</t>
  </si>
  <si>
    <t xml:space="preserve">Accounts live and complete</t>
  </si>
  <si>
    <t xml:space="preserve">Fully branded, filled in and 2FA enabled.</t>
  </si>
  <si>
    <t xml:space="preserve">Created but not finished.</t>
  </si>
  <si>
    <t xml:space="preserve">Still no PCI presence.</t>
  </si>
  <si>
    <t xml:space="preserve">Platform coverage</t>
  </si>
  <si>
    <t xml:space="preserve">The headline 'are we everywhere yet' number.</t>
  </si>
  <si>
    <t xml:space="preserve">Live accounts without 2FA</t>
  </si>
  <si>
    <t xml:space="preserve">Security risk - every live account must have 2FA.</t>
  </si>
  <si>
    <t xml:space="preserve">3.  LINKEDIN OUTREACH FUNNEL  (from LinkedIn Outreach)</t>
  </si>
  <si>
    <t xml:space="preserve">Leads researched and logged</t>
  </si>
  <si>
    <t xml:space="preserve">Top of the funnel.</t>
  </si>
  <si>
    <t xml:space="preserve">Invitations sent with a personalised note.</t>
  </si>
  <si>
    <t xml:space="preserve">Connections accepted</t>
  </si>
  <si>
    <t xml:space="preserve">Accepted invitations.</t>
  </si>
  <si>
    <t xml:space="preserve">Acceptance rate</t>
  </si>
  <si>
    <t xml:space="preserve">30-45%</t>
  </si>
  <si>
    <t xml:space="preserve">2026 industry average is 27-30%. Below 20% means fix the targeting, profile or note before sending more.</t>
  </si>
  <si>
    <t xml:space="preserve">Honorary certification messages sent</t>
  </si>
  <si>
    <t xml:space="preserve">The 300-character message actually delivered.</t>
  </si>
  <si>
    <t xml:space="preserve">Positive replies (interested / info requested)</t>
  </si>
  <si>
    <t xml:space="preserve">Real interest created.</t>
  </si>
  <si>
    <t xml:space="preserve">Reply rate on messages sent</t>
  </si>
  <si>
    <t xml:space="preserve">15%+</t>
  </si>
  <si>
    <t xml:space="preserve">2026 average for post-connection messages is about 10%. 15%+ is strong.</t>
  </si>
  <si>
    <t xml:space="preserve">Meetings / calls booked</t>
  </si>
  <si>
    <t xml:space="preserve">Conversations that management can join.</t>
  </si>
  <si>
    <t xml:space="preserve">Applications started / converted</t>
  </si>
  <si>
    <t xml:space="preserve">The outcome that matters commercially.</t>
  </si>
  <si>
    <t xml:space="preserve">Declined  -  do not contact again</t>
  </si>
  <si>
    <t xml:space="preserve">Must never be messaged again.</t>
  </si>
  <si>
    <t xml:space="preserve">Messages over the 300-character limit</t>
  </si>
  <si>
    <t xml:space="preserve">Anything above zero means the limit was broken - check the message text.</t>
  </si>
  <si>
    <t xml:space="preserve">Follow-ups due today or earlier</t>
  </si>
  <si>
    <t xml:space="preserve">Work waiting to be done today.</t>
  </si>
  <si>
    <t xml:space="preserve">4.  ACTIVITY VERSUS DAILY TARGET  (from Daily Log)</t>
  </si>
  <si>
    <t xml:space="preserve">Actual to date</t>
  </si>
  <si>
    <t xml:space="preserve">Expected to date</t>
  </si>
  <si>
    <t xml:space="preserve">Attainment</t>
  </si>
  <si>
    <t xml:space="preserve">Days with activity logged</t>
  </si>
  <si>
    <t xml:space="preserve">Counted from the DAILY ENTRY tab. The expected figures below are this number multiplied by the daily target on START HERE.</t>
  </si>
  <si>
    <t xml:space="preserve">First messages sent</t>
  </si>
  <si>
    <t xml:space="preserve">Posts published</t>
  </si>
  <si>
    <t xml:space="preserve">Community answers / comments</t>
  </si>
  <si>
    <t xml:space="preserve">Partnership / PR contacts</t>
  </si>
  <si>
    <t xml:space="preserve">Engagements on other people's posts</t>
  </si>
  <si>
    <t xml:space="preserve">5.  CONTENT AND COMMUNITY OUTPUT  (from Content Calendar and Community &amp; PR)</t>
  </si>
  <si>
    <t xml:space="preserve">Content items planned</t>
  </si>
  <si>
    <t xml:space="preserve">Everything in the calendar.</t>
  </si>
  <si>
    <t xml:space="preserve">Content published</t>
  </si>
  <si>
    <t xml:space="preserve">Actually live.</t>
  </si>
  <si>
    <t xml:space="preserve">Total impressions</t>
  </si>
  <si>
    <t xml:space="preserve">Reach across all platforms.</t>
  </si>
  <si>
    <t xml:space="preserve">Total engagements</t>
  </si>
  <si>
    <t xml:space="preserve">Comments, likes and shares earned.</t>
  </si>
  <si>
    <t xml:space="preserve">Engagement rate</t>
  </si>
  <si>
    <t xml:space="preserve">2%+</t>
  </si>
  <si>
    <t xml:space="preserve">Whether the content is landing with the right people.</t>
  </si>
  <si>
    <t xml:space="preserve">Clicks to PCI</t>
  </si>
  <si>
    <t xml:space="preserve">Traffic the content sent to PCI.</t>
  </si>
  <si>
    <t xml:space="preserve">Leads from content</t>
  </si>
  <si>
    <t xml:space="preserve">Enquiries attributable to content.</t>
  </si>
  <si>
    <t xml:space="preserve">Community and PR actions logged</t>
  </si>
  <si>
    <t xml:space="preserve">Quora, Reddit, groups, associations, universities, employers and media.</t>
  </si>
  <si>
    <t xml:space="preserve">Partnership meetings booked</t>
  </si>
  <si>
    <t xml:space="preserve">Partnership pipeline.</t>
  </si>
  <si>
    <t xml:space="preserve">6.  BY AREA  —  where the work stands</t>
  </si>
  <si>
    <t xml:space="preserve">Area</t>
  </si>
  <si>
    <t xml:space="preserve">Tasks</t>
  </si>
  <si>
    <t xml:space="preserve">Completion</t>
  </si>
  <si>
    <t xml:space="preserve">Platforms live in this area</t>
  </si>
  <si>
    <t xml:space="preserve">Social Media</t>
  </si>
  <si>
    <t xml:space="preserve">Publishing</t>
  </si>
  <si>
    <t xml:space="preserve">Community</t>
  </si>
  <si>
    <t xml:space="preserve">Directory/Review</t>
  </si>
  <si>
    <t xml:space="preserve">Partnership/PR</t>
  </si>
  <si>
    <t xml:space="preserve">Events</t>
  </si>
  <si>
    <t xml:space="preserve">Analytics</t>
  </si>
  <si>
    <t xml:space="preserve">MANAGER RULE: activity only counts when it is logged with evidence. If a lead has no URL, a post has no published link or an account has no profile URL, treat it as not done. Read the Weekly Review tab alongside this page - a good week is a rising acceptance and reply rate, not a bigger number of messages.</t>
  </si>
  <si>
    <t xml:space="preserve">7.  FUNNEL  —  where every contact currently sits</t>
  </si>
  <si>
    <t xml:space="preserve">LinkedIn leads</t>
  </si>
  <si>
    <t xml:space="preserve">Partnerships</t>
  </si>
  <si>
    <t xml:space="preserve">Total</t>
  </si>
  <si>
    <t xml:space="preserve">What it tells you</t>
  </si>
  <si>
    <t xml:space="preserve">1 Awareness</t>
  </si>
  <si>
    <t xml:space="preserve">Contacted but no response yet.</t>
  </si>
  <si>
    <t xml:space="preserve">2 Engaged</t>
  </si>
  <si>
    <t xml:space="preserve">They accepted - the relationship exists.</t>
  </si>
  <si>
    <t xml:space="preserve">3 Qualified</t>
  </si>
  <si>
    <t xml:space="preserve">Scored as a genuine fit but not yet approached.</t>
  </si>
  <si>
    <t xml:space="preserve">The substantive message has been sent.</t>
  </si>
  <si>
    <t xml:space="preserve">5 Interested</t>
  </si>
  <si>
    <t xml:space="preserve">They replied positively or asked for the criteria.</t>
  </si>
  <si>
    <t xml:space="preserve">6 Meeting / Application</t>
  </si>
  <si>
    <t xml:space="preserve">A real conversation is booked.</t>
  </si>
  <si>
    <t xml:space="preserve">7 Certification / Enterprise opportunity</t>
  </si>
  <si>
    <t xml:space="preserve">0 Closed - no</t>
  </si>
  <si>
    <t xml:space="preserve">Declined or not relevant. Never contact again.</t>
  </si>
  <si>
    <t xml:space="preserve">Stages are derived automatically from what has been logged - nobody moves a card by hand, so the funnel cannot be inflated. A healthy funnel narrows steadily. A funnel that is wide at Awareness and empty at Interested means the message is wrong, not that more volume is needed.</t>
  </si>
  <si>
    <t xml:space="preserve">EMPLOYEE SCORE  —  scored on outcomes, not on how many messages were sent</t>
  </si>
  <si>
    <t xml:space="preserve">Every component rewards qualified prospects, acceptance, replies, meetings and conversions. Volume is only a gate: it can cap the score, it can never raise it.</t>
  </si>
  <si>
    <t xml:space="preserve">Lead quality
(15)</t>
  </si>
  <si>
    <t xml:space="preserve">Acceptance rate
(20)</t>
  </si>
  <si>
    <t xml:space="preserve">Reply rate
(20)</t>
  </si>
  <si>
    <t xml:space="preserve">Positive replies
(10)</t>
  </si>
  <si>
    <t xml:space="preserve">Meetings &amp; applications
(20)</t>
  </si>
  <si>
    <t xml:space="preserve">Downstream results
(10)</t>
  </si>
  <si>
    <t xml:space="preserve">Compliance
(5)</t>
  </si>
  <si>
    <t xml:space="preserve">TOTAL / 100</t>
  </si>
  <si>
    <t xml:space="preserve">Grade</t>
  </si>
  <si>
    <t xml:space="preserve">Activity gate</t>
  </si>
  <si>
    <t xml:space="preserve">What to fix first</t>
  </si>
  <si>
    <t xml:space="preserve">HOW THE SCORE IS BUILT - and why there is no 'messages sent' component. Lead quality 15, acceptance rate 20, reply rate 20, positive replies 10, meetings and applications 20, downstream conversions 10, compliance 5. Acceptance is scored against the 30% benchmark and reply rate against 15%, both from the Benchmarks tab. Sending more messages cannot raise any of these; sending worse messages to worse-fitting people lowers almost all of them. The Activity gate column exists so that nobody is graded on twenty data points - below 20 connection requests it says so instead of pretending the score is meaningful.</t>
  </si>
  <si>
    <t xml:space="preserve">TEAM SCORECARD  —  one row per employee, updates itself</t>
  </si>
  <si>
    <t xml:space="preserve">This is the page to use for one-to-ones and appraisals. Names come from the roster on START HERE; figures come from the log tabs.</t>
  </si>
  <si>
    <t xml:space="preserve">Days logged</t>
  </si>
  <si>
    <t xml:space="preserve">Leads researched</t>
  </si>
  <si>
    <t xml:space="preserve">Connections sent</t>
  </si>
  <si>
    <t xml:space="preserve">Accepted</t>
  </si>
  <si>
    <t xml:space="preserve">Acceptance %</t>
  </si>
  <si>
    <t xml:space="preserve">Messages sent</t>
  </si>
  <si>
    <t xml:space="preserve">Positive replies</t>
  </si>
  <si>
    <t xml:space="preserve">Reply %</t>
  </si>
  <si>
    <t xml:space="preserve">Meetings booked</t>
  </si>
  <si>
    <t xml:space="preserve">Community actions</t>
  </si>
  <si>
    <t xml:space="preserve">Partner / PR contacts</t>
  </si>
  <si>
    <t xml:space="preserve">Engagements</t>
  </si>
  <si>
    <t xml:space="preserve">Msgs over 300 chars</t>
  </si>
  <si>
    <t xml:space="preserve">Blocked items</t>
  </si>
  <si>
    <t xml:space="preserve">Verdict</t>
  </si>
  <si>
    <t xml:space="preserve">Tasks owned</t>
  </si>
  <si>
    <t xml:space="preserve">Tasks complete</t>
  </si>
  <si>
    <t xml:space="preserve">Task completion</t>
  </si>
  <si>
    <t xml:space="preserve">Platforms owned live</t>
  </si>
  <si>
    <t xml:space="preserve">TEAM TOTAL</t>
  </si>
  <si>
    <t xml:space="preserve">Compare individuals against the team total, not against each other's raw volume.</t>
  </si>
  <si>
    <t xml:space="preserve">HOW TO USE THIS FOR AN APPRAISAL: read the rates before the volumes. A person sending 500 requests at 12% acceptance is doing more damage than a person sending 150 at 38% - the first is burning the audience and risking the account. Rank the team on acceptance %, reply % and meetings booked; use volume only to check the daily targets were met.</t>
  </si>
  <si>
    <t xml:space="preserve">PLATFORM PROGRESS  —  every platform, updated automatically</t>
  </si>
  <si>
    <t xml:space="preserve">Nothing is typed here. It reads the DAILY ENTRY tab and the Platform Setup tab. This is the fastest way to see which platforms are being neglected.</t>
  </si>
  <si>
    <t xml:space="preserve">Setup status</t>
  </si>
  <si>
    <t xml:space="preserve">Entries logged</t>
  </si>
  <si>
    <t xml:space="preserve">Total activity</t>
  </si>
  <si>
    <t xml:space="preserve">Last worked on</t>
  </si>
  <si>
    <t xml:space="preserve">Days since</t>
  </si>
  <si>
    <t xml:space="preserve">Who worked on it last</t>
  </si>
  <si>
    <t xml:space="preserve">Attention</t>
  </si>
  <si>
    <t xml:space="preserve">WHO DID WHAT  —  every platform against every team member</t>
  </si>
  <si>
    <t xml:space="preserve">Counts of logged activity from the DAILY ENTRY tab. Empty cells mean nobody has touched that platform.</t>
  </si>
  <si>
    <t xml:space="preserve">TOTAL ENTRIES</t>
  </si>
  <si>
    <t xml:space="preserve">MANAGEMENT SUMMARY  —  one page, read in 60 seconds</t>
  </si>
  <si>
    <t xml:space="preserve">All figures are calculated. For detail, open the Dashboard.</t>
  </si>
  <si>
    <t xml:space="preserve">THE FIVE NUMBERS THAT MATTER</t>
  </si>
  <si>
    <t xml:space="preserve">1.  Platform coverage  (accounts live and complete)</t>
  </si>
  <si>
    <t xml:space="preserve">Is PCI present everywhere it should be? Target 100% within the first 6 weeks.</t>
  </si>
  <si>
    <t xml:space="preserve">2.  Task completion rate</t>
  </si>
  <si>
    <t xml:space="preserve">How much of the agreed plan is finished and evidenced.</t>
  </si>
  <si>
    <t xml:space="preserve">3.  LinkedIn acceptance rate</t>
  </si>
  <si>
    <t xml:space="preserve">Quality of targeting and of the connection note. 2026 average 27-30%; good 30-45%; below 20% needs fixing.</t>
  </si>
  <si>
    <t xml:space="preserve">4.  Reply rate on the honorary certification message</t>
  </si>
  <si>
    <t xml:space="preserve">Quality of the 300-character message. 2026 average about 10%; 15%+ is strong.</t>
  </si>
  <si>
    <t xml:space="preserve">5.  Meetings and conversions produced</t>
  </si>
  <si>
    <t xml:space="preserve">The only output that turns into members and partnerships.</t>
  </si>
  <si>
    <t xml:space="preserve">VOLUME DELIVERED TO DATE</t>
  </si>
  <si>
    <t xml:space="preserve">Days the employee recorded activity.</t>
  </si>
  <si>
    <t xml:space="preserve">Sales Navigator research volume.</t>
  </si>
  <si>
    <t xml:space="preserve">Personalised invitations.</t>
  </si>
  <si>
    <t xml:space="preserve">300-character honorary certification messages.</t>
  </si>
  <si>
    <t xml:space="preserve">Day 4 and day 10 follow-ups.</t>
  </si>
  <si>
    <t xml:space="preserve">All platforms combined.</t>
  </si>
  <si>
    <t xml:space="preserve">Community answers</t>
  </si>
  <si>
    <t xml:space="preserve">Quora, Reddit and groups.</t>
  </si>
  <si>
    <t xml:space="preserve">Associations, universities, employers, podcasts, media.</t>
  </si>
  <si>
    <t xml:space="preserve">Accounts set up</t>
  </si>
  <si>
    <t xml:space="preserve">New PCI platform accounts created.</t>
  </si>
  <si>
    <t xml:space="preserve">RISKS AND THINGS NEEDING A DECISION</t>
  </si>
  <si>
    <t xml:space="preserve">Tasks blocked</t>
  </si>
  <si>
    <t xml:space="preserve">Each one needs a decision from the manager. Filter Master Tasks by Status = Blocked to see them.</t>
  </si>
  <si>
    <t xml:space="preserve">Platforms still not started</t>
  </si>
  <si>
    <t xml:space="preserve">No PCI presence yet on these channels.</t>
  </si>
  <si>
    <t xml:space="preserve">Security exposure - fix immediately.</t>
  </si>
  <si>
    <t xml:space="preserve">Messages sent over 300 characters</t>
  </si>
  <si>
    <t xml:space="preserve">Breach of the agreed message standard.</t>
  </si>
  <si>
    <t xml:space="preserve">Blocked items raised by the team</t>
  </si>
  <si>
    <t xml:space="preserve">Read the Daily Log Blocker column for detail.</t>
  </si>
  <si>
    <t xml:space="preserve">THE DAILY RHYTHM WE EXPECT</t>
  </si>
  <si>
    <t xml:space="preserve">09:00  Research</t>
  </si>
  <si>
    <t xml:space="preserve">30 qualified leads in Sales Navigator, each with a personal line written.</t>
  </si>
  <si>
    <t xml:space="preserve">10:00  Connect</t>
  </si>
  <si>
    <t xml:space="preserve">20 personalised connection requests (template M1, under 200 characters).</t>
  </si>
  <si>
    <t xml:space="preserve">11:00  Message</t>
  </si>
  <si>
    <t xml:space="preserve">15 honorary certification messages to new acceptances (template M2, under 300 characters).</t>
  </si>
  <si>
    <t xml:space="preserve">11:30  Reply</t>
  </si>
  <si>
    <t xml:space="preserve">Answer every response the same day. Escalate anything uncertain.</t>
  </si>
  <si>
    <t xml:space="preserve">12:00  Follow up</t>
  </si>
  <si>
    <t xml:space="preserve">Day 4 and day 10 follow-ups only. Two maximum, then close politely.</t>
  </si>
  <si>
    <t xml:space="preserve">14:00  Engage</t>
  </si>
  <si>
    <t xml:space="preserve">15 genuine comments on target-audience posts.</t>
  </si>
  <si>
    <t xml:space="preserve">15:00  Publish</t>
  </si>
  <si>
    <t xml:space="preserve">Content per the Content Calendar; community answers on Quora, Reddit and groups.</t>
  </si>
  <si>
    <t xml:space="preserve">16:00  Partnerships</t>
  </si>
  <si>
    <t xml:space="preserve">5 association, university, employer, podcast or media approaches.</t>
  </si>
  <si>
    <t xml:space="preserve">17:00  Log</t>
  </si>
  <si>
    <t xml:space="preserve">Fill in the Daily Log. Unlogged work does not count.</t>
  </si>
  <si>
    <t xml:space="preserve">WEEKLY REVIEW  —  fill in the four text columns every Friday; the numbers fill themselves in</t>
  </si>
  <si>
    <t xml:space="preserve">Employee criteria (do not delete)</t>
  </si>
  <si>
    <t xml:space="preserve">Show results for:</t>
  </si>
  <si>
    <t xml:space="preserve">All team</t>
  </si>
  <si>
    <t xml:space="preserve">Pick one person to review just their week, or leave it on 'All team'. Rows where nobody was named in the log tabs are excluded, so always choose your name when logging.</t>
  </si>
  <si>
    <t xml:space="preserve">Week</t>
  </si>
  <si>
    <t xml:space="preserve">Week starting</t>
  </si>
  <si>
    <t xml:space="preserve">Week ending</t>
  </si>
  <si>
    <t xml:space="preserve">Leads researched (daily log)</t>
  </si>
  <si>
    <t xml:space="preserve">Connections sent (outreach log)</t>
  </si>
  <si>
    <t xml:space="preserve">Accepted (outreach log)</t>
  </si>
  <si>
    <t xml:space="preserve">Messages sent (outreach log)</t>
  </si>
  <si>
    <t xml:space="preserve">Biggest win this week</t>
  </si>
  <si>
    <t xml:space="preserve">What did not work</t>
  </si>
  <si>
    <t xml:space="preserve">Focus for next week</t>
  </si>
  <si>
    <t xml:space="preserve">Manager comments</t>
  </si>
  <si>
    <t xml:space="preserve">BENCHMARKS (2026 industry data - see the Benchmarks tab for sources): connection acceptance averages 27-30% and a good rate is 30-45%; below 20% means fix targeting or the profile before sending more. Post-connection message reply rate averages about 10%, and 15%+ is strong.</t>
  </si>
  <si>
    <t xml:space="preserve">MASTER TASK LIST  —  every workstream, one row each</t>
  </si>
  <si>
    <t xml:space="preserve">Update the yellow columns only. Status and Progress % feed the Dashboard automatically.</t>
  </si>
  <si>
    <t xml:space="preserve">Task ID</t>
  </si>
  <si>
    <t xml:space="preserve">Task</t>
  </si>
  <si>
    <t xml:space="preserve">What "Done" looks like</t>
  </si>
  <si>
    <t xml:space="preserve">Priority</t>
  </si>
  <si>
    <t xml:space="preserve">Frequency</t>
  </si>
  <si>
    <t xml:space="preserve">Weekly Target</t>
  </si>
  <si>
    <t xml:space="preserve">Progress %</t>
  </si>
  <si>
    <t xml:space="preserve">Due Date</t>
  </si>
  <si>
    <t xml:space="preserve">Last Update</t>
  </si>
  <si>
    <t xml:space="preserve">Evidence / URL</t>
  </si>
  <si>
    <t xml:space="preserve">T-001</t>
  </si>
  <si>
    <t xml:space="preserve">LinkedIn Company Page</t>
  </si>
  <si>
    <t xml:space="preserve">Optimise the PCI company page</t>
  </si>
  <si>
    <t xml:space="preserve">Logo, banner, tagline, full About, website, specialties, location and custom CTA button all complete.</t>
  </si>
  <si>
    <t xml:space="preserve">Critical</t>
  </si>
  <si>
    <t xml:space="preserve">One-off</t>
  </si>
  <si>
    <t xml:space="preserve">1</t>
  </si>
  <si>
    <t xml:space="preserve">T-002</t>
  </si>
  <si>
    <t xml:space="preserve">LinkedIn Personal Profile</t>
  </si>
  <si>
    <t xml:space="preserve">Optimise your own profile</t>
  </si>
  <si>
    <t xml:space="preserve">Professional photo, headline naming PCI, credible About, Featured section linking to PCI pages, Creator mode on.</t>
  </si>
  <si>
    <t xml:space="preserve">T-003</t>
  </si>
  <si>
    <t xml:space="preserve">Set up Sales Navigator + 5 saved searches</t>
  </si>
  <si>
    <t xml:space="preserve">Account active, persona set, 5 saved searches by role/seniority/industry/geography, 3 saved lead lists created.</t>
  </si>
  <si>
    <t xml:space="preserve">T-004</t>
  </si>
  <si>
    <t xml:space="preserve">Research and qualify new leads</t>
  </si>
  <si>
    <t xml:space="preserve">30 qualified leads per day added to a saved list and logged in LinkedIn Outreach.</t>
  </si>
  <si>
    <t xml:space="preserve">Daily</t>
  </si>
  <si>
    <t xml:space="preserve">150</t>
  </si>
  <si>
    <t xml:space="preserve">T-005</t>
  </si>
  <si>
    <t xml:space="preserve">Send personalised connection requests</t>
  </si>
  <si>
    <t xml:space="preserve">20 per day using template M1, each note personalised and under 200 characters.</t>
  </si>
  <si>
    <t xml:space="preserve">100</t>
  </si>
  <si>
    <t xml:space="preserve">T-006</t>
  </si>
  <si>
    <t xml:space="preserve">Send honorary certification message (300 char)</t>
  </si>
  <si>
    <t xml:space="preserve">Template M2/M3 sent to accepted connections within 24h of acceptance; under 300 characters; logged.</t>
  </si>
  <si>
    <t xml:space="preserve">75</t>
  </si>
  <si>
    <t xml:space="preserve">T-007</t>
  </si>
  <si>
    <t xml:space="preserve">Run the follow-up sequence</t>
  </si>
  <si>
    <t xml:space="preserve">M4 on day 4 and M5 on day 10 for anyone who has not replied; maximum two follow-ups, then close politely.</t>
  </si>
  <si>
    <t xml:space="preserve">50</t>
  </si>
  <si>
    <t xml:space="preserve">T-008</t>
  </si>
  <si>
    <t xml:space="preserve">Answer questions and hand over warm leads</t>
  </si>
  <si>
    <t xml:space="preserve">Every interested reply answered same day with accurate criteria; escalate anything uncertain to your manager.</t>
  </si>
  <si>
    <t xml:space="preserve">-</t>
  </si>
  <si>
    <t xml:space="preserve">T-009</t>
  </si>
  <si>
    <t xml:space="preserve">Publish thought leadership posts</t>
  </si>
  <si>
    <t xml:space="preserve">3 posts per week: insight, credential story, event or case study. Native format, no bare links.</t>
  </si>
  <si>
    <t xml:space="preserve">3x Weekly</t>
  </si>
  <si>
    <t xml:space="preserve">3</t>
  </si>
  <si>
    <t xml:space="preserve">T-010</t>
  </si>
  <si>
    <t xml:space="preserve">Engage on other people's content</t>
  </si>
  <si>
    <t xml:space="preserve">15 thoughtful comments per day on target-audience posts before you send any outreach.</t>
  </si>
  <si>
    <t xml:space="preserve">T-011</t>
  </si>
  <si>
    <t xml:space="preserve">LinkedIn Newsletter</t>
  </si>
  <si>
    <t xml:space="preserve">Launch and publish the PCI newsletter</t>
  </si>
  <si>
    <t xml:space="preserve">Newsletter created, described and published on a fixed fortnightly schedule.</t>
  </si>
  <si>
    <t xml:space="preserve">Biweekly</t>
  </si>
  <si>
    <t xml:space="preserve">T-012</t>
  </si>
  <si>
    <t xml:space="preserve">LinkedIn Groups</t>
  </si>
  <si>
    <t xml:space="preserve">Join and contribute in relevant groups</t>
  </si>
  <si>
    <t xml:space="preserve">Member of 10+ project controls / PMO groups; 3 useful contributions per week.</t>
  </si>
  <si>
    <t xml:space="preserve">T-013</t>
  </si>
  <si>
    <t xml:space="preserve">Facebook Page</t>
  </si>
  <si>
    <t xml:space="preserve">Create and run the PCI page</t>
  </si>
  <si>
    <t xml:space="preserve">Page created, fully branded, CTA set, 3 posts per week.</t>
  </si>
  <si>
    <t xml:space="preserve">T-014</t>
  </si>
  <si>
    <t xml:space="preserve">Facebook Groups</t>
  </si>
  <si>
    <t xml:space="preserve">Join and engage in industry groups</t>
  </si>
  <si>
    <t xml:space="preserve">Member of 10 relevant groups; 3 helpful contributions per week; no link dumping.</t>
  </si>
  <si>
    <t xml:space="preserve">T-015</t>
  </si>
  <si>
    <t xml:space="preserve">Instagram</t>
  </si>
  <si>
    <t xml:space="preserve">Create professional account</t>
  </si>
  <si>
    <t xml:space="preserve">Business account, branded bio and link, 3 posts/reels per week plus stories.</t>
  </si>
  <si>
    <t xml:space="preserve">T-016</t>
  </si>
  <si>
    <t xml:space="preserve">X (Twitter)</t>
  </si>
  <si>
    <t xml:space="preserve">Create official account</t>
  </si>
  <si>
    <t xml:space="preserve">Profile complete, pinned post, 1 post per day plus replies in industry conversations.</t>
  </si>
  <si>
    <t xml:space="preserve">5</t>
  </si>
  <si>
    <t xml:space="preserve">T-017</t>
  </si>
  <si>
    <t xml:space="preserve">Threads</t>
  </si>
  <si>
    <t xml:space="preserve">Account linked to Instagram, 3 conversational posts per week.</t>
  </si>
  <si>
    <t xml:space="preserve">T-018</t>
  </si>
  <si>
    <t xml:space="preserve">TikTok</t>
  </si>
  <si>
    <t xml:space="preserve">Create brand account</t>
  </si>
  <si>
    <t xml:space="preserve">Business account, branded profile, 3 short educational videos per week.</t>
  </si>
  <si>
    <t xml:space="preserve">T-019</t>
  </si>
  <si>
    <t xml:space="preserve">YouTube</t>
  </si>
  <si>
    <t xml:space="preserve">Create and optimise the channel</t>
  </si>
  <si>
    <t xml:space="preserve">Channel branded, About and links complete, playlists created, 1 long-form upload per week.</t>
  </si>
  <si>
    <t xml:space="preserve">Weekly</t>
  </si>
  <si>
    <t xml:space="preserve">T-020</t>
  </si>
  <si>
    <t xml:space="preserve">YouTube Shorts</t>
  </si>
  <si>
    <t xml:space="preserve">Publish short clips</t>
  </si>
  <si>
    <t xml:space="preserve">3 Shorts per week repurposed from webinars and long videos.</t>
  </si>
  <si>
    <t xml:space="preserve">T-021</t>
  </si>
  <si>
    <t xml:space="preserve">Pinterest</t>
  </si>
  <si>
    <t xml:space="preserve">Create business profile</t>
  </si>
  <si>
    <t xml:space="preserve">Business account, 5 boards, weekly infographic pins linking to PCI pages.</t>
  </si>
  <si>
    <t xml:space="preserve">Low</t>
  </si>
  <si>
    <t xml:space="preserve">T-022</t>
  </si>
  <si>
    <t xml:space="preserve">WhatsApp Channel</t>
  </si>
  <si>
    <t xml:space="preserve">Create the PCI channel</t>
  </si>
  <si>
    <t xml:space="preserve">Channel live, branded, weekly update posted, link promoted on other platforms.</t>
  </si>
  <si>
    <t xml:space="preserve">T-023</t>
  </si>
  <si>
    <t xml:space="preserve">Telegram Channel</t>
  </si>
  <si>
    <t xml:space="preserve">Channel live, branded, weekly update posted.</t>
  </si>
  <si>
    <t xml:space="preserve">T-024</t>
  </si>
  <si>
    <t xml:space="preserve">Tumblr</t>
  </si>
  <si>
    <t xml:space="preserve">Create profile (optional / SEO)</t>
  </si>
  <si>
    <t xml:space="preserve">Branded blog created and syndicating PCI articles.</t>
  </si>
  <si>
    <t xml:space="preserve">Monthly</t>
  </si>
  <si>
    <t xml:space="preserve">T-025</t>
  </si>
  <si>
    <t xml:space="preserve">Create the PCI brand profile</t>
  </si>
  <si>
    <t xml:space="preserve">Account and PCI publication created, bio and links complete, 1 original article per week.</t>
  </si>
  <si>
    <t xml:space="preserve">T-026</t>
  </si>
  <si>
    <t xml:space="preserve">Substack</t>
  </si>
  <si>
    <t xml:space="preserve">Create the PCI newsletter</t>
  </si>
  <si>
    <t xml:space="preserve">Publication live, About page, welcome email and fortnightly issue.</t>
  </si>
  <si>
    <t xml:space="preserve">T-027</t>
  </si>
  <si>
    <t xml:space="preserve">SlideShare</t>
  </si>
  <si>
    <t xml:space="preserve">Publish decks</t>
  </si>
  <si>
    <t xml:space="preserve">Branded profile; 1 educational deck or webinar slide set uploaded per month.</t>
  </si>
  <si>
    <t xml:space="preserve">T-028</t>
  </si>
  <si>
    <t xml:space="preserve">Website / Blog</t>
  </si>
  <si>
    <t xml:space="preserve">Publish and repurpose articles</t>
  </si>
  <si>
    <t xml:space="preserve">1 original blog article per week, then repurposed to LinkedIn, Medium and Substack.</t>
  </si>
  <si>
    <t xml:space="preserve">T-029</t>
  </si>
  <si>
    <t xml:space="preserve">LinkedIn Articles</t>
  </si>
  <si>
    <t xml:space="preserve">Publish LinkedIn-native articles</t>
  </si>
  <si>
    <t xml:space="preserve">1 article per fortnight written FOR LinkedIn (never a copy of a site article, since LinkedIn supports no canonical tag).</t>
  </si>
  <si>
    <t xml:space="preserve">T-030</t>
  </si>
  <si>
    <t xml:space="preserve">Quora Spaces</t>
  </si>
  <si>
    <t xml:space="preserve">Create and run a branded Space</t>
  </si>
  <si>
    <t xml:space="preserve">Space live with a subject-led name, description and rules; 1 post per week; contributors invited.</t>
  </si>
  <si>
    <t xml:space="preserve">T-031</t>
  </si>
  <si>
    <t xml:space="preserve">WordPress.com</t>
  </si>
  <si>
    <t xml:space="preserve">Create the educational blog</t>
  </si>
  <si>
    <t xml:space="preserve">Blog live and branded; ads removed via a paid tier or the ad limitation formally accepted in writing; 1 article per week.</t>
  </si>
  <si>
    <t xml:space="preserve">T-032</t>
  </si>
  <si>
    <t xml:space="preserve">Blogger</t>
  </si>
  <si>
    <t xml:space="preserve">Create the supplementary blog</t>
  </si>
  <si>
    <t xml:space="preserve">Blog live, branded, used for repurposed content with links back to the original article.</t>
  </si>
  <si>
    <t xml:space="preserve">T-033</t>
  </si>
  <si>
    <t xml:space="preserve">Vocal Media</t>
  </si>
  <si>
    <t xml:space="preserve">Publish contributed articles</t>
  </si>
  <si>
    <t xml:space="preserve">Author profile complete; 1 article per month submitted and passing moderation.</t>
  </si>
  <si>
    <t xml:space="preserve">T-034</t>
  </si>
  <si>
    <t xml:space="preserve">DEV Community</t>
  </si>
  <si>
    <t xml:space="preserve">Publish technical articles</t>
  </si>
  <si>
    <t xml:space="preserve">Organisation created; only genuine engineering/AI-learning write-ups, full text on DEV, canonical set to the original.</t>
  </si>
  <si>
    <t xml:space="preserve">T-035</t>
  </si>
  <si>
    <t xml:space="preserve">Hashnode</t>
  </si>
  <si>
    <t xml:space="preserve">Blog live; 1 technical article per month with the republishing canonical set.</t>
  </si>
  <si>
    <t xml:space="preserve">T-036</t>
  </si>
  <si>
    <t xml:space="preserve">Publish original first, then syndicate</t>
  </si>
  <si>
    <t xml:space="preserve">Every article goes live on the owned site first, is indexed (allow 2-10 days), and only then republished elsewhere with a canonical pointing home.</t>
  </si>
  <si>
    <t xml:space="preserve">T-037</t>
  </si>
  <si>
    <t xml:space="preserve">Quora</t>
  </si>
  <si>
    <t xml:space="preserve">Create Business Profile and answer</t>
  </si>
  <si>
    <t xml:space="preserve">Profile complete; 3 genuinely useful answers per week on project controls, planning, cost, risk and AI questions.</t>
  </si>
  <si>
    <t xml:space="preserve">T-038</t>
  </si>
  <si>
    <t xml:space="preserve">Reddit</t>
  </si>
  <si>
    <t xml:space="preserve">Create official profile and contribute</t>
  </si>
  <si>
    <t xml:space="preserve">Profile with karma built honestly; helpful contributions in 5 relevant subreddits; obey each rule set.</t>
  </si>
  <si>
    <t xml:space="preserve">T-039</t>
  </si>
  <si>
    <t xml:space="preserve">Discord</t>
  </si>
  <si>
    <t xml:space="preserve">Join and participate in communities</t>
  </si>
  <si>
    <t xml:space="preserve">Member of 5 relevant PM/AI servers; weekly participation; relationships before promotion.</t>
  </si>
  <si>
    <t xml:space="preserve">2</t>
  </si>
  <si>
    <t xml:space="preserve">T-040</t>
  </si>
  <si>
    <t xml:space="preserve">Slack Communities</t>
  </si>
  <si>
    <t xml:space="preserve">Join and participate</t>
  </si>
  <si>
    <t xml:space="preserve">Member of 5 relevant communities; weekly answers and connections made.</t>
  </si>
  <si>
    <t xml:space="preserve">T-041</t>
  </si>
  <si>
    <t xml:space="preserve">Google Business Profile</t>
  </si>
  <si>
    <t xml:space="preserve">Create / verify the listing</t>
  </si>
  <si>
    <t xml:space="preserve">Listing verified, categories, hours, description, photos and links complete.</t>
  </si>
  <si>
    <t xml:space="preserve">T-042</t>
  </si>
  <si>
    <t xml:space="preserve">Bing Places</t>
  </si>
  <si>
    <t xml:space="preserve">Create the listing</t>
  </si>
  <si>
    <t xml:space="preserve">Listing live and consistent with Google Business Profile.</t>
  </si>
  <si>
    <t xml:space="preserve">T-043</t>
  </si>
  <si>
    <t xml:space="preserve">Trustpilot</t>
  </si>
  <si>
    <t xml:space="preserve">Claim and monitor the profile</t>
  </si>
  <si>
    <t xml:space="preserve">Profile claimed and branded; genuine reviews invited; every review answered within 7 days.</t>
  </si>
  <si>
    <t xml:space="preserve">T-044</t>
  </si>
  <si>
    <t xml:space="preserve">Crunchbase</t>
  </si>
  <si>
    <t xml:space="preserve">Create / claim the profile</t>
  </si>
  <si>
    <t xml:space="preserve">Organisation, leadership, description and links accurate.</t>
  </si>
  <si>
    <t xml:space="preserve">Quarterly</t>
  </si>
  <si>
    <t xml:space="preserve">T-045</t>
  </si>
  <si>
    <t xml:space="preserve">G2</t>
  </si>
  <si>
    <t xml:space="preserve">Check eligibility, list if eligible</t>
  </si>
  <si>
    <t xml:space="preserve">Listed only if PCI fits a real category, otherwise documented as not applicable.</t>
  </si>
  <si>
    <t xml:space="preserve">T-046</t>
  </si>
  <si>
    <t xml:space="preserve">Capterra</t>
  </si>
  <si>
    <t xml:space="preserve">T-047</t>
  </si>
  <si>
    <t xml:space="preserve">Clutch</t>
  </si>
  <si>
    <t xml:space="preserve">Profile created if eligible with accurate services and clients.</t>
  </si>
  <si>
    <t xml:space="preserve">T-048</t>
  </si>
  <si>
    <t xml:space="preserve">Eventbrite</t>
  </si>
  <si>
    <t xml:space="preserve">Create organiser profile</t>
  </si>
  <si>
    <t xml:space="preserve">Profile live and every PCI webinar published as an event.</t>
  </si>
  <si>
    <t xml:space="preserve">T-049</t>
  </si>
  <si>
    <t xml:space="preserve">Meetup</t>
  </si>
  <si>
    <t xml:space="preserve">Create / join groups</t>
  </si>
  <si>
    <t xml:space="preserve">PCI group or membership of 5 relevant groups; events promoted.</t>
  </si>
  <si>
    <t xml:space="preserve">T-050</t>
  </si>
  <si>
    <t xml:space="preserve">Luma</t>
  </si>
  <si>
    <t xml:space="preserve">Create event page</t>
  </si>
  <si>
    <t xml:space="preserve">PCI events published and promoted to the mailing list.</t>
  </si>
  <si>
    <t xml:space="preserve">T-051</t>
  </si>
  <si>
    <t xml:space="preserve">Spotify for Creators</t>
  </si>
  <si>
    <t xml:space="preserve">Set up the PCI podcast feed</t>
  </si>
  <si>
    <t xml:space="preserve">Show created, artwork and description complete, first episodes published.</t>
  </si>
  <si>
    <t xml:space="preserve">T-052</t>
  </si>
  <si>
    <t xml:space="preserve">Apple Podcasts</t>
  </si>
  <si>
    <t xml:space="preserve">Submit the podcast</t>
  </si>
  <si>
    <t xml:space="preserve">Show submitted, approved and live.</t>
  </si>
  <si>
    <t xml:space="preserve">T-053</t>
  </si>
  <si>
    <t xml:space="preserve">Professional Association</t>
  </si>
  <si>
    <t xml:space="preserve">Build and work the association list</t>
  </si>
  <si>
    <t xml:space="preserve">50 associations researched with named contacts; 5 approached per week; responses logged.</t>
  </si>
  <si>
    <t xml:space="preserve">T-054</t>
  </si>
  <si>
    <t xml:space="preserve">University</t>
  </si>
  <si>
    <t xml:space="preserve">Build the academic partner list</t>
  </si>
  <si>
    <t xml:space="preserve">30 universities and named faculty contacts; 3 approached per week.</t>
  </si>
  <si>
    <t xml:space="preserve">T-055</t>
  </si>
  <si>
    <t xml:space="preserve">Employer / Enterprise</t>
  </si>
  <si>
    <t xml:space="preserve">Build the employer / L&amp;D list</t>
  </si>
  <si>
    <t xml:space="preserve">50 employers with PMO, project controls and L&amp;D contacts; 5 approached per week.</t>
  </si>
  <si>
    <t xml:space="preserve">T-056</t>
  </si>
  <si>
    <t xml:space="preserve">Podcast</t>
  </si>
  <si>
    <t xml:space="preserve">Pitch PCI experts as guests</t>
  </si>
  <si>
    <t xml:space="preserve">20 relevant podcasts listed; 3 pitched per week using template M12.</t>
  </si>
  <si>
    <t xml:space="preserve">T-057</t>
  </si>
  <si>
    <t xml:space="preserve">Industry Media</t>
  </si>
  <si>
    <t xml:space="preserve">Pitch articles and interviews</t>
  </si>
  <si>
    <t xml:space="preserve">Editor list built; 2 data-led pitches per week using template M14.</t>
  </si>
  <si>
    <t xml:space="preserve">T-058</t>
  </si>
  <si>
    <t xml:space="preserve">Conference</t>
  </si>
  <si>
    <t xml:space="preserve">Find speaking and sponsor slots</t>
  </si>
  <si>
    <t xml:space="preserve">Rolling list of deadlines, contacts and costs; 2 submissions per month.</t>
  </si>
  <si>
    <t xml:space="preserve">T-059</t>
  </si>
  <si>
    <t xml:space="preserve">Community / Group</t>
  </si>
  <si>
    <t xml:space="preserve">Recruit webinar speakers</t>
  </si>
  <si>
    <t xml:space="preserve">3 credible practitioners invited per week using template M13.</t>
  </si>
  <si>
    <t xml:space="preserve">T-060</t>
  </si>
  <si>
    <t xml:space="preserve">Google Search Console</t>
  </si>
  <si>
    <t xml:space="preserve">Track search performance</t>
  </si>
  <si>
    <t xml:space="preserve">Weekly review of queries, pages, CTR and indexing; actions written into Weekly Review.</t>
  </si>
  <si>
    <t xml:space="preserve">T-061</t>
  </si>
  <si>
    <t xml:space="preserve">Google Analytics</t>
  </si>
  <si>
    <t xml:space="preserve">Track traffic and conversions</t>
  </si>
  <si>
    <t xml:space="preserve">Weekly review of sources, landing pages and conversions; UTM links used on every campaign.</t>
  </si>
  <si>
    <t xml:space="preserve">T-062</t>
  </si>
  <si>
    <t xml:space="preserve">Microsoft Clarity</t>
  </si>
  <si>
    <t xml:space="preserve">Review user behaviour</t>
  </si>
  <si>
    <t xml:space="preserve">Weekly review of recordings and heatmaps; at least one UX improvement logged per month.</t>
  </si>
  <si>
    <t xml:space="preserve">T-063</t>
  </si>
  <si>
    <t xml:space="preserve">Produce the weekly numbers report</t>
  </si>
  <si>
    <t xml:space="preserve">Weekly Review tab completed every Friday with numbers, wins, blockers and next week's focus.</t>
  </si>
  <si>
    <t xml:space="preserve">PLATFORM ACCOUNT SETUP  —  create a PCI presence everywhere</t>
  </si>
  <si>
    <t xml:space="preserve">NEVER type a password in this file. Store it in the password manager and put only the reference name in column H.</t>
  </si>
  <si>
    <t xml:space="preserve">#</t>
  </si>
  <si>
    <t xml:space="preserve">Setup steps  —  do these in order</t>
  </si>
  <si>
    <t xml:space="preserve">Profile / Page URL</t>
  </si>
  <si>
    <t xml:space="preserve">Login email or username</t>
  </si>
  <si>
    <t xml:space="preserve">Password manager reference</t>
  </si>
  <si>
    <t xml:space="preserve">2FA on?</t>
  </si>
  <si>
    <t xml:space="preserve">Profile complete %</t>
  </si>
  <si>
    <t xml:space="preserve">Setup date</t>
  </si>
  <si>
    <t xml:space="preserve">1) Log in to the PCI admin account. 2) Create/claim the page under Company. 3) Add logo (300x300) and banner (1128x191). 4) Write a 2,000-character About with keywords: project controls, planning, scheduling, cost, risk, AI. 5) Add website, industry, size, location and specialties. 6) Set the custom button to 'Learn more' pointing at the credential page. 7) Invite PCI staff to follow.</t>
  </si>
  <si>
    <t xml:space="preserve">No</t>
  </si>
  <si>
    <t xml:space="preserve">1) Professional headshot and a banner mentioning PCI. 2) Headline: your role at Project Controls Institute + who you help. 3) About: 3 short paragraphs — what PCI does, who it serves, how to start. 4) Add PCI as your current employer so the logo appears. 5) Featured: pin the credential page and one strong post. 6) Turn on Creator mode. 7) Set a custom public URL.</t>
  </si>
  <si>
    <t xml:space="preserve">1) Activate the seat and complete the persona setup. 2) Save 5 searches: Project Controls Manager, Planning/Scheduling Manager, Cost Manager/Estimator, PMO Director, Head of Risk. 3) Filter by seniority (Manager+), geography, industry (Construction, Engineering, Energy, Infrastructure, Defence) and years of experience. 4) Create lead lists per segment. 5) Turn on alerts for job changes and posts.</t>
  </si>
  <si>
    <t xml:space="preserve">1) From the company page or personal profile choose Write article &gt; Newsletter. 2) Name it clearly, e.g. 'Project Controls &amp; AI Brief'. 3) Add logo artwork and a 2-line description. 4) Set a fortnightly cadence and keep it. 5) Invite connections and page followers on issue 1.</t>
  </si>
  <si>
    <t xml:space="preserve">1) Search 'project controls', 'PMO', 'planning scheduling', 'cost engineering', 'primavera P6'. 2) Join 10+ active groups. 3) Read each group's rules. 4) Introduce yourself once, then answer questions weekly. 5) Never post the same promo across groups.</t>
  </si>
  <si>
    <t xml:space="preserve">1) Create a Page under the PCI business account (not a personal profile). 2) Category: Education / Professional Organisation. 3) Add logo, cover image, About, website, email and CTA button. 4) Create a username (@ handle). 5) Add page roles for the team. 6) Turn on 2FA for all admins.</t>
  </si>
  <si>
    <t xml:space="preserve">1) Search project management, construction planning and PMO groups. 2) Join 10 active ones and read the rules. 3) Answer questions for two weeks before you mention PCI. 4) Log every useful contribution in Community &amp; PR.</t>
  </si>
  <si>
    <t xml:space="preserve">1) Create the account and switch to a Professional (Business) account. 2) Link it to the Facebook Page. 3) Add logo, name 'Project Controls Institute', a clear 150-character bio and link. 4) Create Story highlights: About, Credentials, Webinars, Members. 5) Turn on 2FA.</t>
  </si>
  <si>
    <t xml:space="preserve">1) Register with the PCI email and claim the @handle. 2) Add logo, header, bio with link and location. 3) Pin an introduction post about PCI. 4) Follow 100 industry accounts and reply daily. 5) Turn on 2FA.</t>
  </si>
  <si>
    <t xml:space="preserve">1) Create from the Instagram account. 2) Copy the bio and link across. 3) Post conversational versions of LinkedIn content 3x per week.</t>
  </si>
  <si>
    <t xml:space="preserve">1) Create the account and switch to a Business account. 2) Add logo, bio and website link. 3) Set up the profile categories. 4) Publish 3 short educational videos per week with captions and a hook in the first 2 seconds. 5) Turn on 2FA.</t>
  </si>
  <si>
    <t xml:space="preserve">1) Create a Brand Account channel (not personal). 2) Add profile picture, banner and channel trailer. 3) Complete the About section with keywords and links. 4) Create playlists: Webinars, Credentials, Tutorials, Interviews. 5) Verify the channel to unlock custom thumbnails and long uploads. 6) Add PCI staff as managers.</t>
  </si>
  <si>
    <t xml:space="preserve">1) Same channel — no separate account. 2) Cut 3 vertical clips per week from webinars, under 60 seconds. 3) Add captions and a clear title. 4) Link each Short to the full video.</t>
  </si>
  <si>
    <t xml:space="preserve">1) Create a Business account. 2) Claim the PCI website. 3) Create 5 boards: Project Controls, Planning, Cost, Risk, AI in Projects. 4) Pin infographics weekly linking back to PCI articles.</t>
  </si>
  <si>
    <t xml:space="preserve">1) Sign up with the PCI email. 2) Complete name, photo, bio and website. 3) Create a PCI publication so multiple authors can post. 4) Publish one original 800-1,200 word article per week. 5) Add 5 relevant tags per article. 6) Submit strong pieces to larger publications.</t>
  </si>
  <si>
    <t xml:space="preserve">1) Create the publication with the PCI email. 2) Set name, logo, description and custom URL. 3) Write the About page and welcome email. 4) Import existing subscribers if permitted. 5) Publish fortnightly on a fixed day.</t>
  </si>
  <si>
    <t xml:space="preserve">1) Sign in with the PCI account (Scribd-linked). 2) Complete the profile and links. 3) Upload one branded educational deck per month. 4) Add a description, tags and a closing slide with the PCI URL.</t>
  </si>
  <si>
    <t xml:space="preserve">1) Create a branded blog. 2) Add avatar, header and description. 3) Syndicate PCI articles monthly for extra indexing.</t>
  </si>
  <si>
    <t xml:space="preserve">1) Create a personal account with your real name and PCI role. 2) Create the PCI Business Profile (Quora for Business). 3) Follow topics: Project Management, Construction Management, Primavera P6, Cost Engineering, Risk Management, AI. 4) Answer 3 questions per week — full answer first, PCI mention only if genuinely relevant. 5) Add a credible bio line.</t>
  </si>
  <si>
    <t xml:space="preserve">1) Create an account that identifies you honestly as working with PCI. 2) Join r/projectmanagement, r/construction, r/civilengineering, r/PMP, r/artificial. 3) Read each subreddit's self-promotion rules — several ban links entirely. 4) Build genuine karma with helpful comments for 2-3 weeks before any PCI mention. 5) Consider Reddit Pro for the brand.</t>
  </si>
  <si>
    <t xml:space="preserve">1) Create the PCI account. 2) Join 5 project management, engineering and AI servers. 3) Read the rules channel first. 4) Contribute weekly in help channels. 5) Never DM members with promotion.</t>
  </si>
  <si>
    <t xml:space="preserve">1) Apply to relevant professional Slack communities. 2) Complete your profile with a photo and PCI role. 3) Introduce yourself in #intros. 4) Answer questions weekly and build relationships.</t>
  </si>
  <si>
    <t xml:space="preserve">1) In WhatsApp Business, open Updates &gt; Create channel. 2) Name it 'Project Controls Institute' with the logo and description. 3) Post one weekly update. 4) Share the channel link on every other platform.</t>
  </si>
  <si>
    <t xml:space="preserve">1) Create a public channel with the PCI name and handle. 2) Add logo and description. 3) Post weekly updates and event links.</t>
  </si>
  <si>
    <t xml:space="preserve">1) Check eligibility (a real address or service area is required). 2) Create the profile with exact name, category (Educational Institution), hours and description. 3) Complete verification. 4) Add photos and the website link. 5) Invite genuine reviews and reply to all of them.</t>
  </si>
  <si>
    <t xml:space="preserve">1) Import the Google Business Profile or create it manually. 2) Keep name, address and phone identical to Google. 3) Verify and add photos.</t>
  </si>
  <si>
    <t xml:space="preserve">1) Claim or create the PCI business profile. 2) Add logo, description and website. 3) Invite genuine reviews from real members only — never fake or incentivise. 4) Reply to every review within 7 days.</t>
  </si>
  <si>
    <t xml:space="preserve">1) Create or claim the organisation profile. 2) Add description, founding details, leadership, categories and links. 3) Keep it consistent with LinkedIn.</t>
  </si>
  <si>
    <t xml:space="preserve">1) Check whether PCI fits a real listed category. 2) If yes, create the profile and complete it. 3) If no, write 'Not applicable' in Notes and mark Complete so nobody repeats the work.</t>
  </si>
  <si>
    <t xml:space="preserve">1) Same eligibility check as G2. 2) List only if there is a genuine category fit. 3) Otherwise record why not.</t>
  </si>
  <si>
    <t xml:space="preserve">1) Check eligibility as a services/training provider. 2) Create the profile with services, focus areas and locations. 3) Request verified reviews from real clients only.</t>
  </si>
  <si>
    <t xml:space="preserve">1) Create the organiser profile with logo and description. 2) Publish every PCI webinar as a free event. 3) Add tracking links so registrations appear in Google Analytics.</t>
  </si>
  <si>
    <t xml:space="preserve">1) Join 5 relevant local and online groups. 2) Consider a PCI group if there is enough demand. 3) Share event links where the rules allow.</t>
  </si>
  <si>
    <t xml:space="preserve">1) Create the PCI calendar. 2) Publish each webinar with a clear title, description and speaker. 3) Turn on reminders and export registrants.</t>
  </si>
  <si>
    <t xml:space="preserve">1) Create the show with the PCI email. 2) Add 3000x3000 artwork, description and category. 3) Publish the first 3 episodes. 4) Copy the RSS feed for other directories.</t>
  </si>
  <si>
    <t xml:space="preserve">1) Submit the RSS feed from Spotify for Creators. 2) Complete the show details. 3) Wait for approval and then share the link.</t>
  </si>
  <si>
    <t xml:space="preserve">1) Publish from the company page (Write article) or your personal profile - decide one and keep it consistent. 2) Add a 1200x644 cover image and a keyword-led title. 3) IMPORTANT: LinkedIn articles do NOT support canonical tags, so never republish an article that already exists on the website - LinkedIn will be treated as the original. Write LinkedIn-first articles, or post a short summary with a link to the site version instead. 4) Add 3-5 hashtags and reshare the article as a normal post after 48 hours.</t>
  </si>
  <si>
    <t xml:space="preserve">1) Check the current plan terms first: the free tier gives only a name.wordpress.com subdomain, 1GB storage, no plugins (so no SEO plugin), and displays adverts that the brand does not control and earns nothing from. 2) If this blog is meant to look professional, budget for the entry paid plan to remove the ads and connect a real subdomain such as learn.yourdomain.com. 3) Complete site title, tagline, logo, About and contact. 4) Publish educational articles with contextual links to the main site.</t>
  </si>
  <si>
    <t xml:space="preserve">1) Create the blog on the brand Google account. 2) Set title, description, custom theme colours and a profile linking to the main site. 3) Use it for supplementary and repurposed content only - it is Google-owned and free but carries little editorial weight. 4) Always link back to the original article on the main site.</t>
  </si>
  <si>
    <t xml:space="preserve">1) From the Quora account, create a Space named for the subject area, not the brand (people follow topics, not vendors). 2) Add a description, cover image and submission rules. 3) Post one useful piece per week and invite contributors. 4) Remember all Quora links are nofollow - the value is that Quora answers themselves rank in Google and send high-intent readers.</t>
  </si>
  <si>
    <t xml:space="preserve">1) Create the account and choose the communities that genuinely fit (Education, Journal, Motivation). 2) Complete the author bio with a link to the main site. 3) Submit long-form educational articles; each goes through moderation before publishing. 4) Treat it as reach and citation, not as an SEO channel.</t>
  </si>
  <si>
    <t xml:space="preserve">1) Create a DEV account and then a DEV Organization for the brand. 2) READ THE TERMS FIRST: DEV explicitly prohibits content posted primarily for promotion or backlinks, and prohibits stub posts that only link out to the full article elsewhere. 3) Post only genuine technical write-ups about the AI coach, learning technology or platform engineering, with the full text on DEV. 4) Set canonical_url to the original article on the main site. 5) Use the organisation CTA link rather than in-body promotion.</t>
  </si>
  <si>
    <t xml:space="preserve">1) Create the blog and connect a subdomain if you have one. 2) Publish technical articles about the learning platform and AI features. 3) In Draft Settings use the 'Are you republishing?' field to set the canonical URL back to the original article. 4) Engage in comments - tag feeds drive most of the reach.</t>
  </si>
  <si>
    <t xml:space="preserve">1) Verify the PCI domain (DNS record is best). 2) Submit the sitemap. 3) Check Coverage and Page Indexing. 4) Review Performance weekly and log actions.</t>
  </si>
  <si>
    <t xml:space="preserve">1) Create/confirm the GA4 property. 2) Install the tag or confirm it fires. 3) Mark key events as conversions (form submit, application start, webinar signup). 4) Agree a UTM naming convention and use it on every link you post.</t>
  </si>
  <si>
    <t xml:space="preserve">1) Create the project and install the tag. 2) Link it to Google Analytics. 3) Review recordings and heatmaps weekly. 4) Log one improvement per month.</t>
  </si>
  <si>
    <t xml:space="preserve">PUBLISHING PLAN  —  ranked, with the platform rules that actually matter</t>
  </si>
  <si>
    <t xml:space="preserve">Ranked in your stated priority order. Column K counts published items for that platform straight from the Content Calendar.</t>
  </si>
  <si>
    <t xml:space="preserve">Rank</t>
  </si>
  <si>
    <t xml:space="preserve">What it is actually for</t>
  </si>
  <si>
    <t xml:space="preserve">Outbound link behaviour</t>
  </si>
  <si>
    <t xml:space="preserve">Canonical support  —  can it point back to your site?</t>
  </si>
  <si>
    <t xml:space="preserve">Publishing rule you must follow</t>
  </si>
  <si>
    <t xml:space="preserve">Cadence</t>
  </si>
  <si>
    <t xml:space="preserve">Profile / blog URL</t>
  </si>
  <si>
    <t xml:space="preserve">Articles published (auto)</t>
  </si>
  <si>
    <t xml:space="preserve">Credibility with a professional audience and branded search. The strongest of the ten for reaching decision-makers directly.</t>
  </si>
  <si>
    <t xml:space="preserve">Links are usable and the audience is the right one, but treat reach, not SEO, as the return.</t>
  </si>
  <si>
    <t xml:space="preserve">NO. LinkedIn articles support no canonical tag, so LinkedIn is treated as the original source.</t>
  </si>
  <si>
    <t xml:space="preserve">Never republish an article that already exists on your own site - you would be handing LinkedIn the credit for your own page. Write LinkedIn-first pieces, or post a short summary with a link to the site version.</t>
  </si>
  <si>
    <t xml:space="preserve">Fortnightly</t>
  </si>
  <si>
    <t xml:space="preserve">Domain authority and distribution for educational articles. Good for being found by people already reading in your subject area.</t>
  </si>
  <si>
    <t xml:space="preserve">Outbound links are nofollow, so they pass no direct link equity. The value is referral traffic and brand exposure.</t>
  </si>
  <si>
    <t xml:space="preserve">YES. Use the story settings or the import tool to set the canonical to your original article.</t>
  </si>
  <si>
    <t xml:space="preserve">Publish on your own site first, wait for it to be indexed (allow roughly 2-10 days), then republish here with the canonical set back to your site.</t>
  </si>
  <si>
    <t xml:space="preserve">Building an owned mailing list and earning referral traffic from other newsletters. This is an audience channel, not a search channel.</t>
  </si>
  <si>
    <t xml:space="preserve">Links work normally, and the recommendation network between newsletters is the real growth mechanism.</t>
  </si>
  <si>
    <t xml:space="preserve">NO. Substack does not let publishers set a canonical, so its version is treated as canonical to Substack.</t>
  </si>
  <si>
    <t xml:space="preserve">Because there is no canonical, either write newsletter-first content or link prominently to the full article on your site. Expect the traffic to come from subscribers, not from Google.</t>
  </si>
  <si>
    <t xml:space="preserve">Quora / Quora Spaces</t>
  </si>
  <si>
    <t xml:space="preserve">Intercepting people who are already searching your subject. Quora answers themselves rank in Google, which is the point.</t>
  </si>
  <si>
    <t xml:space="preserve">All Quora links are nofollow. Judge this channel on qualified traffic and on the answers ranking, never on backlinks.</t>
  </si>
  <si>
    <t xml:space="preserve">Not applicable - answers are original content, not republished articles.</t>
  </si>
  <si>
    <t xml:space="preserve">Answer the question fully before any link, and never put a link in the opening paragraphs. Name a Space for the subject rather than the brand; people follow topics, not vendors.</t>
  </si>
  <si>
    <t xml:space="preserve">A branded educational blog with contextual links back to the main site.</t>
  </si>
  <si>
    <t xml:space="preserve">Links behave normally, which makes this one of the few genuinely dofollow options on the list.</t>
  </si>
  <si>
    <t xml:space="preserve">You control the content, so this can host originals rather than republished copies.</t>
  </si>
  <si>
    <t xml:space="preserve">CHECK THE COST FIRST: the free tier gives only a name.wordpress.com subdomain, 1GB storage, no plugins (so no SEO plugin) and shows adverts you neither control nor earn from. For a brand blog, budget for the entry paid tier or accept those limits in writing.</t>
  </si>
  <si>
    <t xml:space="preserve">Supplementary and repurposed content. Google-owned and free, but carries little editorial weight.</t>
  </si>
  <si>
    <t xml:space="preserve">Links behave normally.</t>
  </si>
  <si>
    <t xml:space="preserve">You control the template, so a manual canonical link back to the original is possible.</t>
  </si>
  <si>
    <t xml:space="preserve">Use for repurposed content only, and always link to the original article. Do not spend original writing time here while ranks 1-5 are still under-served.</t>
  </si>
  <si>
    <t xml:space="preserve">Short educational posts, infographics and brand citations.</t>
  </si>
  <si>
    <t xml:space="preserve">Links behave normally but the audience overlap with a professional certification audience is thin.</t>
  </si>
  <si>
    <t xml:space="preserve">Not applicable for short-form posts.</t>
  </si>
  <si>
    <t xml:space="preserve">Short-form and visual only. Do not put long-form educational articles here.</t>
  </si>
  <si>
    <t xml:space="preserve">Contributed articles across educational and professional topics; useful for reach and citations.</t>
  </si>
  <si>
    <t xml:space="preserve">Links work, but every submission passes through moderation before it appears.</t>
  </si>
  <si>
    <t xml:space="preserve">No canonical control, so avoid posting an exact copy of a page you want to rank.</t>
  </si>
  <si>
    <t xml:space="preserve">Rewrite rather than copy. Treat as an occasional reach channel, not a pillar.</t>
  </si>
  <si>
    <t xml:space="preserve">Only for genuine technical writing about the AI coach, learning technology or platform engineering.</t>
  </si>
  <si>
    <t xml:space="preserve">Links work, but the terms of service explicitly prohibit content posted primarily for promotion or for creating backlinks.</t>
  </si>
  <si>
    <t xml:space="preserve">YES. DEV supports a canonical_url field.</t>
  </si>
  <si>
    <t xml:space="preserve">READ THE RULES BEFORE POSTING: DEV prohibits promotional-first content and prohibits stub posts that merely link out to the full article. The full text must live on DEV. Use the organisation CTA link rather than in-body promotion. A marketing article posted here will be removed.</t>
  </si>
  <si>
    <t xml:space="preserve">Technical content about the learning platform and its AI features.</t>
  </si>
  <si>
    <t xml:space="preserve">Links work; reach comes from tag feeds rather than search.</t>
  </si>
  <si>
    <t xml:space="preserve">YES. Draft Settings has an 'Are you republishing?' field for the canonical URL.</t>
  </si>
  <si>
    <t xml:space="preserve">Technical write-ups only. Set the canonical on every republished piece, and reply in the comments - engagement is what surfaces posts in tag feeds.</t>
  </si>
  <si>
    <t xml:space="preserve">THE ONE RULE THAT GOVERNS ALL TEN: publish on your own website first, let it be indexed, and only then republish elsewhere with the canonical pointed back home. Republishing first, or republishing without a canonical, means a platform with far more domain authority than yours ranks for your own article and you rank below it. The three platforms here that cannot point a canonical home - LinkedIn Articles, Substack and Vocal - must therefore receive original or rewritten content, never a copy of a page you want to rank.</t>
  </si>
  <si>
    <t xml:space="preserve">SOURCES: platform link behaviour and canonical support verified August 2026 against DEV Community's published terms, Hashnode's republishing documentation, Medium's story settings, and 2026 SEO analyses of nofollow treatment on Medium and Quora. Platform rules change - re-check before scaling any channel.</t>
  </si>
  <si>
    <t xml:space="preserve">SEO CONTENT CLUSTERS  —  build authority on a topic, not a pile of unrelated posts</t>
  </si>
  <si>
    <t xml:space="preserve">One pillar page per subject, with supporting articles that all link back to it. Fill in the search-console columns monthly.</t>
  </si>
  <si>
    <t xml:space="preserve">Cluster (pillar topic)</t>
  </si>
  <si>
    <t xml:space="preserve">Pillar page URL</t>
  </si>
  <si>
    <t xml:space="preserve">Supporting article</t>
  </si>
  <si>
    <t xml:space="preserve">Target search phrase</t>
  </si>
  <si>
    <t xml:space="preserve">What the searcher wants</t>
  </si>
  <si>
    <t xml:space="preserve">Published URL</t>
  </si>
  <si>
    <t xml:space="preserve">Links to pillar?</t>
  </si>
  <si>
    <t xml:space="preserve">Republished to</t>
  </si>
  <si>
    <t xml:space="preserve">Canonical set?</t>
  </si>
  <si>
    <t xml:space="preserve">Impressions (GSC)</t>
  </si>
  <si>
    <t xml:space="preserve">Clicks (GSC)</t>
  </si>
  <si>
    <t xml:space="preserve">Position</t>
  </si>
  <si>
    <t xml:space="preserve">Project controls fundamentals</t>
  </si>
  <si>
    <t xml:space="preserve">What is project controls and what does a project controls engineer do</t>
  </si>
  <si>
    <t xml:space="preserve">Idea</t>
  </si>
  <si>
    <t xml:space="preserve">Planning and scheduling</t>
  </si>
  <si>
    <t xml:space="preserve">How to build a realistic project schedule in Primavera P6</t>
  </si>
  <si>
    <t xml:space="preserve">Cost control and estimating</t>
  </si>
  <si>
    <t xml:space="preserve">Cost control methods that catch overruns early</t>
  </si>
  <si>
    <t xml:space="preserve">Earned value management</t>
  </si>
  <si>
    <t xml:space="preserve">Earned value management explained with a worked example</t>
  </si>
  <si>
    <t xml:space="preserve">Risk management</t>
  </si>
  <si>
    <t xml:space="preserve">Quantitative schedule risk analysis for beginners</t>
  </si>
  <si>
    <t xml:space="preserve">AI in project controls</t>
  </si>
  <si>
    <t xml:space="preserve">How AI is changing forecasting in project controls</t>
  </si>
  <si>
    <t xml:space="preserve">Certification and careers</t>
  </si>
  <si>
    <t xml:space="preserve">Project controls certification routes compared</t>
  </si>
  <si>
    <t xml:space="preserve">APPROVED MESSAGE BANK  —  300-character outreach for the PCI honorary certification</t>
  </si>
  <si>
    <t xml:space="preserve">Replace every [bracket] with real details. Column D counts your characters live - keep it green. Never send a message that is not on this list without manager approval.</t>
  </si>
  <si>
    <t xml:space="preserve">Code</t>
  </si>
  <si>
    <t xml:space="preserve">Use it when</t>
  </si>
  <si>
    <t xml:space="preserve">Approved message  —  copy, then replace every [bracket]</t>
  </si>
  <si>
    <t xml:space="preserve">Characters (auto)</t>
  </si>
  <si>
    <t xml:space="preserve">Limit</t>
  </si>
  <si>
    <t xml:space="preserve">Rules</t>
  </si>
  <si>
    <t xml:space="preserve">M1</t>
  </si>
  <si>
    <t xml:space="preserve">LinkedIn connection request note</t>
  </si>
  <si>
    <t xml:space="preserve">Hi [First Name], I'm with the Project Controls Institute. Your work in [planning/cost/risk] at [Company] stood out - I'd value connecting with experienced practitioners in the field. - [Your Name]</t>
  </si>
  <si>
    <t xml:space="preserve">Connection notes are limited to 200 characters. Replace the middle clause with your own personal line from the profile.</t>
  </si>
  <si>
    <t xml:space="preserve">M2</t>
  </si>
  <si>
    <t xml:space="preserve">First message, within 24h of them accepting</t>
  </si>
  <si>
    <t xml:space="preserve">Thanks for connecting, [First Name]. PCI recognises senior project controls practitioners through an honorary certification, assessed on experience and contribution rather than an exam. With [X] years at [Company] you may qualify. May I send you the criteria? No cost to review. - [Your Name]</t>
  </si>
  <si>
    <t xml:space="preserve">THE CORE MESSAGE. 'May qualify' and 'may I send' - never 'you have been selected'. Always personalise [X] and [Company].</t>
  </si>
  <si>
    <t xml:space="preserve">M3</t>
  </si>
  <si>
    <t xml:space="preserve">Sales Navigator InMail to a cold, senior lead</t>
  </si>
  <si>
    <t xml:space="preserve">Hi [First Name], I'm with the Project Controls Institute. We're inviting experienced [role] professionals to be considered for our honorary certification, based on career contribution rather than an exam. Your [X] years at [Company] fit the profile. Shall I send the criteria? - [Your Name]</t>
  </si>
  <si>
    <t xml:space="preserve">InMails are limited - use them only for high-value leads who did not accept a connection request.</t>
  </si>
  <si>
    <t xml:space="preserve">M4</t>
  </si>
  <si>
    <t xml:space="preserve">Follow-up 1  -  day 4, no reply</t>
  </si>
  <si>
    <t xml:space="preserve">Hi [First Name], just following up on the PCI honorary certification criteria I mentioned. It takes two minutes to read and there's no cost to be considered. Happy to send it over, or to leave it if the timing isn't right. - [Your Name]</t>
  </si>
  <si>
    <t xml:space="preserve">Gives them an easy exit. Never guilt-trip or ask 'did you see my message?'.</t>
  </si>
  <si>
    <t xml:space="preserve">M5</t>
  </si>
  <si>
    <t xml:space="preserve">Follow-up 2  -  day 10, final message</t>
  </si>
  <si>
    <t xml:space="preserve">Hi [First Name], I'll leave this here so I'm not filling your inbox. If the PCI honorary certification is ever of interest, just reply 'criteria' and I'll send it. Wishing you well with the work at [Company]. - [Your Name]</t>
  </si>
  <si>
    <t xml:space="preserve">This is the LAST message. After this, mark Outcome = No Response and stop.</t>
  </si>
  <si>
    <t xml:space="preserve">M6</t>
  </si>
  <si>
    <t xml:space="preserve">They ask what it is or whether it is legitimate</t>
  </si>
  <si>
    <t xml:space="preserve">Good question. PCI's honorary certification recognises practitioners for demonstrated experience and contribution to project controls, rather than an examination. Candidates are reviewed against published criteria and not everyone is awarded. I'll send the full criteria and process now.</t>
  </si>
  <si>
    <t xml:space="preserve">Total transparency. Send the criteria document immediately. Escalate anything you cannot answer accurately.</t>
  </si>
  <si>
    <t xml:space="preserve">M7</t>
  </si>
  <si>
    <t xml:space="preserve">They ask about cost</t>
  </si>
  <si>
    <t xml:space="preserve">Being considered costs nothing. If you're invited to proceed there are administrative fees, which I'll set out in writing before you decide anything. I'd rather you saw the full criteria and costs up front than committed to anything blind. Shall I send them?</t>
  </si>
  <si>
    <t xml:space="preserve">Confirm the current fee position with your manager before sending. Never be vague about money.</t>
  </si>
  <si>
    <t xml:space="preserve">M8</t>
  </si>
  <si>
    <t xml:space="preserve">They are interested  -  ask for a referral</t>
  </si>
  <si>
    <t xml:space="preserve">Thank you [First Name], that's kind. If one or two colleagues in [planning/cost/risk] come to mind who'd meet the criteria, I'd be glad of an introduction - or I'm happy to reach out directly and mention you suggested it. Either works.</t>
  </si>
  <si>
    <t xml:space="preserve">Only ask AFTER they have responded positively. Never before.</t>
  </si>
  <si>
    <t xml:space="preserve">M9</t>
  </si>
  <si>
    <t xml:space="preserve">Professional association partnership</t>
  </si>
  <si>
    <t xml:space="preserve">Hi [First Name], I'm with the Project Controls Institute. We work with bodies like [Association] on credentialing and CPD for project controls professionals. Would you be open to a short call about a member benefit or joint webinar? Happy to send a one-pager first. - [Your Name]</t>
  </si>
  <si>
    <t xml:space="preserve">Lead with what they get for their members, not what PCI wants.</t>
  </si>
  <si>
    <t xml:space="preserve">M10</t>
  </si>
  <si>
    <t xml:space="preserve">University / faculty</t>
  </si>
  <si>
    <t xml:space="preserve">Hi [First Name], I'm with the Project Controls Institute. We support universities teaching project management with practitioner credentials and guest sessions for students in [Department]. Would a short call be useful, or shall I send an outline first? - [Your Name]</t>
  </si>
  <si>
    <t xml:space="preserve">Name the actual department or course. Generic academic outreach is ignored.</t>
  </si>
  <si>
    <t xml:space="preserve">M11</t>
  </si>
  <si>
    <t xml:space="preserve">Employer / PMO / L&amp;D team</t>
  </si>
  <si>
    <t xml:space="preserve">Hi [First Name], I'm with the Project Controls Institute. We help PMO and L&amp;D teams benchmark and credential project controls staff. If skills gaps in [planning/cost/risk] are on your agenda at [Company], I'd be glad to share how other teams approach it. - [Your Name]</t>
  </si>
  <si>
    <t xml:space="preserve">Frame it as a team capability problem, not an individual certificate.</t>
  </si>
  <si>
    <t xml:space="preserve">M12</t>
  </si>
  <si>
    <t xml:space="preserve">Podcast guest pitch</t>
  </si>
  <si>
    <t xml:space="preserve">Hi [First Name], I enjoyed your episode on [topic]. I'm with the Project Controls Institute. We could offer a guest who can talk on [specific angle] with real project data, not generic advice. Would that suit your audience? Happy to send two topic options. - [Your Name]</t>
  </si>
  <si>
    <t xml:space="preserve">You must actually listen to an episode first and name it.</t>
  </si>
  <si>
    <t xml:space="preserve">M13</t>
  </si>
  <si>
    <t xml:space="preserve">Inviting a webinar speaker</t>
  </si>
  <si>
    <t xml:space="preserve">Hi [First Name], your experience in [specialism] at [Company] is exactly what our audience asks about. Would you speak on a 45-minute PCI webinar - 30 minutes of content, 15 of Q&amp;A? We handle promotion, hosting and recording. Happy to send dates. - [Your Name]</t>
  </si>
  <si>
    <t xml:space="preserve">State the time commitment up front - it doubles acceptance.</t>
  </si>
  <si>
    <t xml:space="preserve">M14</t>
  </si>
  <si>
    <t xml:space="preserve">Industry media / editor pitch</t>
  </si>
  <si>
    <t xml:space="preserve">Hi [First Name], I'm with the Project Controls Institute. We have data on [topic/finding] from [sample] practitioners that your readers at [Publication] would find useful. I can write it as a 900-word piece or provide the data for your team. Interested? - [Your Name]</t>
  </si>
  <si>
    <t xml:space="preserve">Only pitch data you genuinely hold. Never invent a statistic.</t>
  </si>
  <si>
    <t xml:space="preserve">M15</t>
  </si>
  <si>
    <t xml:space="preserve">They decline or ask you to stop</t>
  </si>
  <si>
    <t xml:space="preserve">Understood, [First Name] - thank you for coming back to me, and I won't follow up again. If anything changes you're very welcome to get in touch. Best of luck with the work at [Company]. - [Your Name]</t>
  </si>
  <si>
    <t xml:space="preserve">Send this, mark Outcome = Declined, and never contact them again.</t>
  </si>
  <si>
    <t xml:space="preserve">HOW TO USE: copy the message from column C into a notepad, replace every [bracket] with real details from the person's profile, re-read it once as if you were receiving it, then send. Paste the final version into the LinkedIn Outreach tab so the character count is checked automatically.</t>
  </si>
  <si>
    <t xml:space="preserve">LINKEDIN + SALES NAVIGATOR PLAYBOOK  —  the honorary certification outreach process</t>
  </si>
  <si>
    <t xml:space="preserve">This is the core daily job. Follow it in order. Quality of the person matters more than the number of messages.</t>
  </si>
  <si>
    <t xml:space="preserve">Step</t>
  </si>
  <si>
    <t xml:space="preserve">When</t>
  </si>
  <si>
    <t xml:space="preserve">What to do  —  exactly</t>
  </si>
  <si>
    <t xml:space="preserve">Rule / limit</t>
  </si>
  <si>
    <t xml:space="preserve">Where to log it</t>
  </si>
  <si>
    <t xml:space="preserve">A</t>
  </si>
  <si>
    <t xml:space="preserve">Once, week 1</t>
  </si>
  <si>
    <t xml:space="preserve">SET UP: complete your LinkedIn profile and the PCI company page first. Nobody accepts a request from an empty profile. Your headline must say Project Controls Institute, and your Featured section must link to the PCI credential page so people can check you are real.</t>
  </si>
  <si>
    <t xml:space="preserve">Do not send a single request until this is done.</t>
  </si>
  <si>
    <t xml:space="preserve">Platform Setup tab</t>
  </si>
  <si>
    <t xml:space="preserve">B</t>
  </si>
  <si>
    <t xml:space="preserve">BUILD 5 SAVED SEARCHES in Sales Navigator: (1) Project Controls Manager/Lead, (2) Planning &amp; Scheduling Manager, (3) Cost Manager / Cost Engineer / Estimator, (4) PMO Director/Head, (5) Head of Risk. For each, filter: Seniority = Manager and above; Industry = Construction, Civil Engineering, Oil &amp; Gas, Energy, Infrastructure, Defence, Mining; Geography = your agreed target countries; Years in current role = 3+.</t>
  </si>
  <si>
    <t xml:space="preserve">Save each search and turn on alerts.</t>
  </si>
  <si>
    <t xml:space="preserve">C</t>
  </si>
  <si>
    <t xml:space="preserve">CREATE LEAD LISTS, one per segment, so your work is organised and repeatable. Name them clearly, e.g. 'PC Managers - UK', 'Planners - GCC', 'PMO - India'.</t>
  </si>
  <si>
    <t xml:space="preserve">Minimum 3 lists.</t>
  </si>
  <si>
    <t xml:space="preserve">Daily 09:00</t>
  </si>
  <si>
    <t xml:space="preserve">RESEARCH 30 LEADS. Open each profile properly. Qualify against these tests: 8+ years in project controls or a related discipline; a real, current employer; visible seniority or specialism; an active account (posted or commented in the last 6 months). If they fail any test, skip them - do not lower the bar to hit a number.</t>
  </si>
  <si>
    <t xml:space="preserve">30 qualified leads per day.</t>
  </si>
  <si>
    <t xml:space="preserve">LinkedIn Outreach - one row each</t>
  </si>
  <si>
    <t xml:space="preserve">Daily 09:30</t>
  </si>
  <si>
    <t xml:space="preserve">WRITE ONE PERSONAL LINE for each lead in the Personalisation column: something specific and true from their profile (a project type, a certification, a company move, a post they wrote). This single line is the difference between a 10% and a 40% acceptance rate.</t>
  </si>
  <si>
    <t xml:space="preserve">No personal line = do not send.</t>
  </si>
  <si>
    <t xml:space="preserve">LinkedIn Outreach, column M</t>
  </si>
  <si>
    <t xml:space="preserve">Daily 10:00</t>
  </si>
  <si>
    <t xml:space="preserve">SEND 20 CONNECTION REQUESTS using template M1, with your personal line pasted into it. Keep the note under 200 characters. Send them spread through the morning, not all in one burst.</t>
  </si>
  <si>
    <t xml:space="preserve">Max 20/day. Never use automation tools.</t>
  </si>
  <si>
    <t xml:space="preserve">LinkedIn Outreach, column N</t>
  </si>
  <si>
    <t xml:space="preserve">Daily 11:00</t>
  </si>
  <si>
    <t xml:space="preserve">CHECK ACCEPTANCES from previous days. Within 24 hours of someone accepting, send template M2 - the 300-character honorary certification message. Personalise the [X] years and [Company] fields from their profile.</t>
  </si>
  <si>
    <t xml:space="preserve">Max 300 characters. 15 per day.</t>
  </si>
  <si>
    <t xml:space="preserve">LinkedIn Outreach, columns P-R</t>
  </si>
  <si>
    <t xml:space="preserve">Daily 11:30</t>
  </si>
  <si>
    <t xml:space="preserve">REPLY TO EVERY RESPONSE the same day. Interested = send the criteria document and log Outcome = Info Requested. Question about cost or legitimacy = use M6 or M7, honestly. Anything you are unsure about = ask your manager before replying. Never guess.</t>
  </si>
  <si>
    <t xml:space="preserve">Same-day replies. Never promise an award.</t>
  </si>
  <si>
    <t xml:space="preserve">LinkedIn Outreach, columns S-T</t>
  </si>
  <si>
    <t xml:space="preserve">Daily 12:00</t>
  </si>
  <si>
    <t xml:space="preserve">FOLLOW UP. Day 4 after M2 with no reply: send M4. Day 10: send M5 and then stop. Two follow-ups maximum, ever. Sort the sheet by Follow-up Date to see who is due.</t>
  </si>
  <si>
    <t xml:space="preserve">Maximum 2 follow-ups per person.</t>
  </si>
  <si>
    <t xml:space="preserve">LinkedIn Outreach, columns U-V</t>
  </si>
  <si>
    <t xml:space="preserve">Daily 14:00</t>
  </si>
  <si>
    <t xml:space="preserve">ENGAGE BEFORE YOU ASK. Leave 15 genuine comments on posts by your target audience - add an insight, not 'Great post'. People check your profile after a good comment, which lifts acceptance rates the following day.</t>
  </si>
  <si>
    <t xml:space="preserve">15 real comments per day.</t>
  </si>
  <si>
    <t xml:space="preserve">Daily Log, column K</t>
  </si>
  <si>
    <t xml:space="preserve">Daily 15:00</t>
  </si>
  <si>
    <t xml:space="preserve">PUBLISH OR SUPPORT CONTENT. Post to the PCI page 3x a week and reshare with your own commentary. Prospects check whether PCI looks active before replying.</t>
  </si>
  <si>
    <t xml:space="preserve">3 page posts per week.</t>
  </si>
  <si>
    <t xml:space="preserve">Content Calendar tab</t>
  </si>
  <si>
    <t xml:space="preserve">Daily 17:00</t>
  </si>
  <si>
    <t xml:space="preserve">LOG THE DAY in the Daily Log tab: leads, connections, messages, follow-ups, posts, engagements, your best result and any blocker. Two minutes. Unlogged work does not count.</t>
  </si>
  <si>
    <t xml:space="preserve">Every working day.</t>
  </si>
  <si>
    <t xml:space="preserve">Daily Log tab</t>
  </si>
  <si>
    <t xml:space="preserve">Friday</t>
  </si>
  <si>
    <t xml:space="preserve">REVIEW THE WEEK. Fill in the Weekly Review tab. Look at acceptance rate and reply rate, not just volume. If acceptance is under 25%, your targeting or your note is wrong - change one of them, not both, so you know what worked.</t>
  </si>
  <si>
    <t xml:space="preserve">Every Friday.</t>
  </si>
  <si>
    <t xml:space="preserve">Weekly Review tab</t>
  </si>
  <si>
    <t xml:space="preserve">!</t>
  </si>
  <si>
    <t xml:space="preserve">Safety</t>
  </si>
  <si>
    <t xml:space="preserve">IF LINKEDIN WARNS YOU or restricts anything: stop sending immediately, do not use a different account, and tell your manager the same day. Warnings usually follow bursts of identical messages - which is exactly why every message must be personalised and spread out.</t>
  </si>
  <si>
    <t xml:space="preserve">Stop and escalate.</t>
  </si>
  <si>
    <t xml:space="preserve">Daily Log - Blocker column</t>
  </si>
  <si>
    <t xml:space="preserve">Honesty</t>
  </si>
  <si>
    <t xml:space="preserve">YOU ARE INVITING PEOPLE TO BE CONSIDERED. You are not awarding anything. Never write or imply 'you have been selected', 'you have been awarded' or 'guaranteed'. Send the published criteria and let people decide. Misleading a professional damages PCI far more than a missed target.</t>
  </si>
  <si>
    <t xml:space="preserve">Non-negotiable.</t>
  </si>
  <si>
    <t xml:space="preserve">CONTENT CALENDAR  —  plan, publish and measure every post on every platform</t>
  </si>
  <si>
    <t xml:space="preserve">Plan the week ahead every Monday. Row 4 is a worked example - your data starts on row 5. Fill in the results columns 7 days after publishing.</t>
  </si>
  <si>
    <t xml:space="preserve">Plan date</t>
  </si>
  <si>
    <t xml:space="preserve">Content type</t>
  </si>
  <si>
    <t xml:space="preserve">Topic / title</t>
  </si>
  <si>
    <t xml:space="preserve">Objective</t>
  </si>
  <si>
    <t xml:space="preserve">Hook / first line</t>
  </si>
  <si>
    <t xml:space="preserve">Call to action</t>
  </si>
  <si>
    <t xml:space="preserve">Asset link (Canva / Drive)</t>
  </si>
  <si>
    <t xml:space="preserve">Published date</t>
  </si>
  <si>
    <t xml:space="preserve">Impressions</t>
  </si>
  <si>
    <t xml:space="preserve">Clicks</t>
  </si>
  <si>
    <t xml:space="preserve">Leads</t>
  </si>
  <si>
    <t xml:space="preserve">Repurpose to</t>
  </si>
  <si>
    <t xml:space="preserve">Brand</t>
  </si>
  <si>
    <t xml:space="preserve">Carousel</t>
  </si>
  <si>
    <t xml:space="preserve">5 cost-control mistakes that kill a project schedule</t>
  </si>
  <si>
    <t xml:space="preserve">Authority + credential signups</t>
  </si>
  <si>
    <t xml:space="preserve">Most schedule slips are visible in the cost report 6 weeks before anyone admits it.</t>
  </si>
  <si>
    <t xml:space="preserve">Read the full PCI guide - link in comments</t>
  </si>
  <si>
    <t xml:space="preserve">[Canva link]</t>
  </si>
  <si>
    <t xml:space="preserve">Medium article, YouTube Short, Quora answer</t>
  </si>
  <si>
    <t xml:space="preserve">EXAMPLE ROW - delete before use.</t>
  </si>
  <si>
    <t xml:space="preserve">COMMUNITY, PARTNERSHIPS &amp; PR  —  Quora, Reddit, groups, associations, universities, employers, media</t>
  </si>
  <si>
    <t xml:space="preserve">One row per answer, per contact, per pitch. Row 4 is a worked example - your data starts on row 5.</t>
  </si>
  <si>
    <t xml:space="preserve">Platform / channel</t>
  </si>
  <si>
    <t xml:space="preserve">Organisation or community</t>
  </si>
  <si>
    <t xml:space="preserve">URL of thread / profile</t>
  </si>
  <si>
    <t xml:space="preserve">Why we targeted them</t>
  </si>
  <si>
    <t xml:space="preserve">Action taken</t>
  </si>
  <si>
    <t xml:space="preserve">What you said (summary)</t>
  </si>
  <si>
    <t xml:space="preserve">Meeting date</t>
  </si>
  <si>
    <t xml:space="preserve">Evidence URL</t>
  </si>
  <si>
    <t xml:space="preserve">Quora - Project Management topic</t>
  </si>
  <si>
    <t xml:space="preserve">[question URL]</t>
  </si>
  <si>
    <t xml:space="preserve">High-traffic question about earned value that our audience searches for</t>
  </si>
  <si>
    <t xml:space="preserve">Answer Posted</t>
  </si>
  <si>
    <t xml:space="preserve">Custom</t>
  </si>
  <si>
    <t xml:space="preserve">Explained EVM with a worked example, then linked the PCI guide at the end</t>
  </si>
  <si>
    <t xml:space="preserve">Awaiting Reply</t>
  </si>
  <si>
    <t xml:space="preserve">[answer URL]</t>
  </si>
  <si>
    <t xml:space="preserve">Check views in 7 days and repurpose as a LinkedIn post</t>
  </si>
  <si>
    <t xml:space="preserve">CAMPAIGN EXPERIMENTS  —  change one thing at a time and measure it</t>
  </si>
  <si>
    <t xml:space="preserve">Run one experiment per channel at a time. If two things change at once you learn nothing. Rates and significance are calculated for you.</t>
  </si>
  <si>
    <t xml:space="preserve">ID</t>
  </si>
  <si>
    <t xml:space="preserve">Start date</t>
  </si>
  <si>
    <t xml:space="preserve">Channel / platform</t>
  </si>
  <si>
    <t xml:space="preserve">What we believe (hypothesis)</t>
  </si>
  <si>
    <t xml:space="preserve">Variant A</t>
  </si>
  <si>
    <t xml:space="preserve">Variant B</t>
  </si>
  <si>
    <t xml:space="preserve">Metric being judged</t>
  </si>
  <si>
    <t xml:space="preserve">Sample A</t>
  </si>
  <si>
    <t xml:space="preserve">Result A</t>
  </si>
  <si>
    <t xml:space="preserve">Rate A</t>
  </si>
  <si>
    <t xml:space="preserve">Sample B</t>
  </si>
  <si>
    <t xml:space="preserve">Result B</t>
  </si>
  <si>
    <t xml:space="preserve">Rate B</t>
  </si>
  <si>
    <t xml:space="preserve">Difference</t>
  </si>
  <si>
    <t xml:space="preserve">Big enough to act on?</t>
  </si>
  <si>
    <t xml:space="preserve">Decision taken</t>
  </si>
  <si>
    <t xml:space="preserve">Rolled into the playbook?</t>
  </si>
  <si>
    <t xml:space="preserve">Naming the person's specific project type in the connection note lifts acceptance</t>
  </si>
  <si>
    <t xml:space="preserve">Generic note: role and company mentioned</t>
  </si>
  <si>
    <t xml:space="preserve">Specific note: their project type mentioned</t>
  </si>
  <si>
    <t xml:space="preserve">Running</t>
  </si>
  <si>
    <t xml:space="preserve">READ THIS BEFORE ACTING ON A RESULT. The 'big enough to act on' column is a rough guard, not a statistical test: it requires at least 30 in each group and a gap of at least 5 percentage points before it will say yes, and it calls anything under 100 per group directional only. Most marketing A/B tests are called far too early on far too little data, which is how teams end up confidently adopting a change that did nothing.</t>
  </si>
  <si>
    <t xml:space="preserve">UTM BUILDER  —  so you can prove which platform actually produced enquiries</t>
  </si>
  <si>
    <t xml:space="preserve">Fill in the yellow columns and copy the tracked link from column F. Any link posted without one of these is untraceable, and the work behind it cannot be credited to anyone.</t>
  </si>
  <si>
    <t xml:space="preserve">Landing page URL</t>
  </si>
  <si>
    <t xml:space="preserve">Source</t>
  </si>
  <si>
    <t xml:space="preserve">Campaign</t>
  </si>
  <si>
    <t xml:space="preserve">Content</t>
  </si>
  <si>
    <t xml:space="preserve">Tracked link (copy this)</t>
  </si>
  <si>
    <t xml:space="preserve">Used where</t>
  </si>
  <si>
    <t xml:space="preserve">https://example.org/honorary-certification</t>
  </si>
  <si>
    <t xml:space="preserve">linkedin</t>
  </si>
  <si>
    <t xml:space="preserve">social</t>
  </si>
  <si>
    <t xml:space="preserve">honorary-aug26</t>
  </si>
  <si>
    <t xml:space="preserve">connection-message</t>
  </si>
  <si>
    <t xml:space="preserve">LinkedIn outreach messages</t>
  </si>
  <si>
    <t xml:space="preserve">NAMING CONVENTION - agree it once and never deviate, because Google Analytics treats LinkedIn, linkedin and Linkedin as three different sources. source = the platform (linkedin, medium, quora, youtube). medium = the type (social, email, referral, organic). campaign = purpose and month (honorary-aug26). content = which specific asset or message. Everything is forced to lower case by the formula.</t>
  </si>
  <si>
    <t xml:space="preserve">QA &amp; COMPLIANCE  —  the checks that stop this programme damaging the brand</t>
  </si>
  <si>
    <t xml:space="preserve">Work through this weekly. Anything marked Blocked or failing goes to the manager the same day.</t>
  </si>
  <si>
    <t xml:space="preserve">Check</t>
  </si>
  <si>
    <t xml:space="preserve">Why it matters</t>
  </si>
  <si>
    <t xml:space="preserve">How often</t>
  </si>
  <si>
    <t xml:space="preserve">Last checked</t>
  </si>
  <si>
    <t xml:space="preserve">No message claims anyone has been awarded, selected or guaranteed a certification</t>
  </si>
  <si>
    <t xml:space="preserve">Overstating a credential to a senior professional is the single fastest way to destroy an institute's reputation, and it can be actionable.</t>
  </si>
  <si>
    <t xml:space="preserve">Every outreach message is inside its character limit</t>
  </si>
  <si>
    <t xml:space="preserve">The Team Scorecard flags breaches. A breach usually means someone stopped using the approved templates.</t>
  </si>
  <si>
    <t xml:space="preserve">Fees are stated in writing before anyone is asked to decide</t>
  </si>
  <si>
    <t xml:space="preserve">Vagueness about money reads as a scam, however good the credential is.</t>
  </si>
  <si>
    <t xml:space="preserve">Anyone who declined has not been contacted again</t>
  </si>
  <si>
    <t xml:space="preserve">Filter LinkedIn Outreach by Outcome = Declined and check no later activity exists.</t>
  </si>
  <si>
    <t xml:space="preserve">No automation tools, bots or scrapers are in use on any account</t>
  </si>
  <si>
    <t xml:space="preserve">Restrictions and permanent bans follow, and the account cannot be recovered.</t>
  </si>
  <si>
    <t xml:space="preserve">Daily sending stayed inside the agreed limit</t>
  </si>
  <si>
    <t xml:space="preserve">Bursts above the limit are what trigger LinkedIn warnings.</t>
  </si>
  <si>
    <t xml:space="preserve">Every live platform account has 2FA switched on</t>
  </si>
  <si>
    <t xml:space="preserve">The Dashboard shows the count. A hijacked brand account posting spam is a public incident.</t>
  </si>
  <si>
    <t xml:space="preserve">No passwords are stored anywhere in this workbook</t>
  </si>
  <si>
    <t xml:space="preserve">Only password-manager references belong here.</t>
  </si>
  <si>
    <t xml:space="preserve">Reviews are genuine and never incentivised or written internally</t>
  </si>
  <si>
    <t xml:space="preserve">Fake reviews get profiles removed and are illegal in several jurisdictions.</t>
  </si>
  <si>
    <t xml:space="preserve">Republished articles have a canonical pointing back to the owned site</t>
  </si>
  <si>
    <t xml:space="preserve">Otherwise the platform outranks you for your own article. See the Publishing Plan tab.</t>
  </si>
  <si>
    <t xml:space="preserve">Community rules were read before posting on each platform</t>
  </si>
  <si>
    <t xml:space="preserve">DEV, Reddit and most groups ban promotional posting outright.</t>
  </si>
  <si>
    <t xml:space="preserve">Every posted link carries a UTM from the UTM Builder</t>
  </si>
  <si>
    <t xml:space="preserve">Without it no enquiry can be attributed to the person or platform that produced it.</t>
  </si>
  <si>
    <t xml:space="preserve">Claims about PCI (member numbers, recognition, partnerships) are accurate and evidenced</t>
  </si>
  <si>
    <t xml:space="preserve">Invented credibility markers are the hardest damage to undo.</t>
  </si>
  <si>
    <t xml:space="preserve">Personal data collected during outreach is stored only where agreed</t>
  </si>
  <si>
    <t xml:space="preserve">Prospect lists are personal data and carry legal obligations in most jurisdictions.</t>
  </si>
  <si>
    <t xml:space="preserve">A named person has reviewed this checklist and signed it off</t>
  </si>
  <si>
    <t xml:space="preserve">An unowned checklist is not a control.</t>
  </si>
  <si>
    <t xml:space="preserve">DAILY SUMMARY  (optional)  —  a day-by-day view, calculated from DAILY ENTRY</t>
  </si>
  <si>
    <t xml:space="preserve">You do not have to use this tab. Nothing else depends on it. If you want a day-by-day view with target scoring, type a date and pick a name, and the rest fills in from your DAILY ENTRY rows.</t>
  </si>
  <si>
    <t xml:space="preserve">Hours worked</t>
  </si>
  <si>
    <t xml:space="preserve">Engagements (comments)</t>
  </si>
  <si>
    <t xml:space="preserve">Best result today (auto)</t>
  </si>
  <si>
    <t xml:space="preserve">Blocker (auto)</t>
  </si>
  <si>
    <t xml:space="preserve">Targets met today (of 8)</t>
  </si>
  <si>
    <t xml:space="preserve">Day rating (auto)</t>
  </si>
  <si>
    <t xml:space="preserve">HOW-TO GUIDES  —  read the row before you start a platform for the first time</t>
  </si>
  <si>
    <t xml:space="preserve">This is your training manual. If something here conflicts with an instruction from your manager, ask before you act.</t>
  </si>
  <si>
    <t xml:space="preserve">Platform / workstream</t>
  </si>
  <si>
    <t xml:space="preserve">Why it matters for PCI</t>
  </si>
  <si>
    <t xml:space="preserve">First-time setup</t>
  </si>
  <si>
    <t xml:space="preserve">What you do every week</t>
  </si>
  <si>
    <t xml:space="preserve">What 'good' looks like</t>
  </si>
  <si>
    <t xml:space="preserve">Common mistakes to avoid</t>
  </si>
  <si>
    <t xml:space="preserve">Evidence to log</t>
  </si>
  <si>
    <t xml:space="preserve">Time per week</t>
  </si>
  <si>
    <t xml:space="preserve">LinkedIn (outreach)</t>
  </si>
  <si>
    <t xml:space="preserve">Where the decision-makers for honorary certification actually are, and where Sales Navigator lets you filter by role and seniority.</t>
  </si>
  <si>
    <t xml:space="preserve">Optimise your profile and the PCI page. Activate Sales Navigator, build 5 saved searches and 3 lead lists (see the LinkedIn Playbook tab).</t>
  </si>
  <si>
    <t xml:space="preserve">Research 150 qualified leads, send 100 personalised requests, message 75 accepted connections, run follow-ups on day 4 and day 10, comment 15x per day.</t>
  </si>
  <si>
    <t xml:space="preserve">Acceptance rate above 25% and reply rate above 15%. Every message references something real from the person's profile.</t>
  </si>
  <si>
    <t xml:space="preserve">Bulk identical messages. Automation tools. Claiming someone has been awarded anything. Sending before the profile is complete.</t>
  </si>
  <si>
    <t xml:space="preserve">Lead URL, personal line, template used, message text, outcome and follow-up dates.</t>
  </si>
  <si>
    <t xml:space="preserve">15-18 h</t>
  </si>
  <si>
    <t xml:space="preserve">LinkedIn (content)</t>
  </si>
  <si>
    <t xml:space="preserve">Prospects check whether PCI looks credible and active before they reply to you.</t>
  </si>
  <si>
    <t xml:space="preserve">Set the page CTA, add a banner and pin a strong post. Create the newsletter.</t>
  </si>
  <si>
    <t xml:space="preserve">3 page posts per week, reshare each with your own comment, publish the newsletter fortnightly, reply to every comment within 24h.</t>
  </si>
  <si>
    <t xml:space="preserve">Posts teach something specific. Native text, images and video - no bare external links.</t>
  </si>
  <si>
    <t xml:space="preserve">Posting only promotions. Ignoring comments. Reposting the same content in every group.</t>
  </si>
  <si>
    <t xml:space="preserve">Post URL, impressions, engagements, clicks and any leads.</t>
  </si>
  <si>
    <t xml:space="preserve">3 h</t>
  </si>
  <si>
    <t xml:space="preserve">Long-form articles that rank in Google and build authority with people who Google PCI before replying.</t>
  </si>
  <si>
    <t xml:space="preserve">Create the account with the PCI email, complete the bio and links, then create a PCI publication so several authors can publish.</t>
  </si>
  <si>
    <t xml:space="preserve">One original 800-1,200 word article per week, 5 relevant tags, internal links to PCI pages, then repurpose it into a LinkedIn post and a Quora answer.</t>
  </si>
  <si>
    <t xml:space="preserve">A standalone useful article with a strong title, real examples and correct sources - not a sales page.</t>
  </si>
  <si>
    <t xml:space="preserve">Copy-pasting the website blog word for word. Thin 300-word posts. Missing tags.</t>
  </si>
  <si>
    <t xml:space="preserve">Article URL, views, reads, follower growth and referral traffic in Google Analytics.</t>
  </si>
  <si>
    <t xml:space="preserve">People search project controls questions constantly and good answers keep bringing traffic for years.</t>
  </si>
  <si>
    <t xml:space="preserve">Create your personal account with your real name and PCI role, then create the PCI Business Profile. Follow the relevant topics.</t>
  </si>
  <si>
    <t xml:space="preserve">Find 3 high-traffic questions per week and answer them properly - 200-400 words, a worked example, then a PCI link only if it genuinely adds to the answer.</t>
  </si>
  <si>
    <t xml:space="preserve">The answer stands alone and would be useful even if the PCI link were removed.</t>
  </si>
  <si>
    <t xml:space="preserve">Dropping links with no answer. Answering irrelevant questions for volume. Copy-pasting the same answer.</t>
  </si>
  <si>
    <t xml:space="preserve">Question URL, answer URL, views and upvotes.</t>
  </si>
  <si>
    <t xml:space="preserve">2 h</t>
  </si>
  <si>
    <t xml:space="preserve">Extremely valuable communities, but ruthless about promotion. Handled properly it builds real credibility.</t>
  </si>
  <si>
    <t xml:space="preserve">Create an account that honestly identifies your PCI role. Join r/projectmanagement, r/construction, r/civilengineering, r/PMP, r/artificial. Read every rule set.</t>
  </si>
  <si>
    <t xml:space="preserve">Contribute helpful comments several times a week. Only share a PCI link where the rules allow and it directly answers the question.</t>
  </si>
  <si>
    <t xml:space="preserve">Positive karma, no removed posts, and at least one thread where people thank you for the help.</t>
  </si>
  <si>
    <t xml:space="preserve">Posting links in your first week. Ignoring subreddit rules. Arguing with moderators.</t>
  </si>
  <si>
    <t xml:space="preserve">Subreddit, thread URL, your comment and the reaction.</t>
  </si>
  <si>
    <t xml:space="preserve">YouTube + Shorts</t>
  </si>
  <si>
    <t xml:space="preserve">Webinars and expert interviews are PCI's strongest assets and they are searchable forever on YouTube.</t>
  </si>
  <si>
    <t xml:space="preserve">Create a Brand Account channel, brand it, complete About and links, and create playlists.</t>
  </si>
  <si>
    <t xml:space="preserve">One long-form upload per week plus 3 Shorts cut from existing footage. Write real titles and descriptions with timestamps.</t>
  </si>
  <si>
    <t xml:space="preserve">Clear titles, readable thumbnails, captions on every Short, and a CTA to the credential page.</t>
  </si>
  <si>
    <t xml:space="preserve">Uploading raw recordings with no title work. No captions. Posting Shorts with no hook in the first 2 seconds.</t>
  </si>
  <si>
    <t xml:space="preserve">Video URL, views, watch time, subscribers gained and clicks to PCI.</t>
  </si>
  <si>
    <t xml:space="preserve">Facebook + Instagram + Threads</t>
  </si>
  <si>
    <t xml:space="preserve">Reaches practitioners in regions where LinkedIn use is lower, and supports events.</t>
  </si>
  <si>
    <t xml:space="preserve">Create a Facebook Page under the business account, an Instagram Business account linked to it, then Threads from Instagram.</t>
  </si>
  <si>
    <t xml:space="preserve">3 posts per week per platform, stories around events, and replies to every comment and DM.</t>
  </si>
  <si>
    <t xml:space="preserve">Consistent branding, native formats (reels and carousels) and a human tone.</t>
  </si>
  <si>
    <t xml:space="preserve">Posting identical text everywhere. Ignoring DMs. Using a personal profile as the brand.</t>
  </si>
  <si>
    <t xml:space="preserve">Post URL, reach, engagement and profile clicks.</t>
  </si>
  <si>
    <t xml:space="preserve">Fast industry conversation and good for reaching software, AI and consulting voices.</t>
  </si>
  <si>
    <t xml:space="preserve">Complete the profile, claim the handle, pin an introduction post.</t>
  </si>
  <si>
    <t xml:space="preserve">One post per day plus replies in relevant conversations. Thread out your best article once a week.</t>
  </si>
  <si>
    <t xml:space="preserve">You are part of conversations, not just broadcasting.</t>
  </si>
  <si>
    <t xml:space="preserve">Automated cross-posting from LinkedIn with broken formatting. Arguing publicly.</t>
  </si>
  <si>
    <t xml:space="preserve">Post URL, impressions and profile clicks.</t>
  </si>
  <si>
    <t xml:space="preserve">Reaches early-career professionals who are the next generation of members.</t>
  </si>
  <si>
    <t xml:space="preserve">Create a Business account, brand the profile and add the link.</t>
  </si>
  <si>
    <t xml:space="preserve">3 short educational videos per week with a hook in the first 2 seconds and burned-in captions.</t>
  </si>
  <si>
    <t xml:space="preserve">Genuinely useful 30-60 second explainers, not dancing or trends for their own sake.</t>
  </si>
  <si>
    <t xml:space="preserve">Reposting horizontal video. No captions. Overly formal delivery.</t>
  </si>
  <si>
    <t xml:space="preserve">Video URL, views, completion rate and profile visits.</t>
  </si>
  <si>
    <t xml:space="preserve">Groups &amp; communities (LinkedIn, Facebook, Discord, Slack)</t>
  </si>
  <si>
    <t xml:space="preserve">Where practitioners ask the exact questions PCI answers - and where partnerships start.</t>
  </si>
  <si>
    <t xml:space="preserve">Join 10 LinkedIn groups, 10 Facebook groups and 5 Discord/Slack communities. Read every rule set. Introduce yourself once.</t>
  </si>
  <si>
    <t xml:space="preserve">3 useful contributions per week. Note anyone who could be a lead, speaker or partner and move them to the right tab.</t>
  </si>
  <si>
    <t xml:space="preserve">People reply to you by name and tag you in questions.</t>
  </si>
  <si>
    <t xml:space="preserve">Link dropping. Same message in every group. Promoting before contributing.</t>
  </si>
  <si>
    <t xml:space="preserve">Group, thread URL, what you contributed and any lead generated.</t>
  </si>
  <si>
    <t xml:space="preserve">Directories &amp; reviews</t>
  </si>
  <si>
    <t xml:space="preserve">Third-party listings are what people check when they are deciding whether PCI is legitimate.</t>
  </si>
  <si>
    <t xml:space="preserve">Create or claim Google Business Profile, Bing Places, Trustpilot and Crunchbase. Check G2, Capterra and Clutch for genuine category fit.</t>
  </si>
  <si>
    <t xml:space="preserve">Monitor weekly, reply to every review within 7 days and keep all details identical across sites.</t>
  </si>
  <si>
    <t xml:space="preserve">Name, description and links are identical everywhere. All reviews answered.</t>
  </si>
  <si>
    <t xml:space="preserve">Fake or incentivised reviews - this is a serious integrity breach and gets profiles banned. Inconsistent business details.</t>
  </si>
  <si>
    <t xml:space="preserve">Profile URLs, review count, rating and your replies.</t>
  </si>
  <si>
    <t xml:space="preserve">1 h</t>
  </si>
  <si>
    <t xml:space="preserve">Partnerships &amp; PR</t>
  </si>
  <si>
    <t xml:space="preserve">One association or employer partnership is worth hundreds of individual messages.</t>
  </si>
  <si>
    <t xml:space="preserve">Build lists: 50 associations, 30 universities, 50 employers, 20 podcasts, 20 media contacts - with named contacts, not generic inboxes.</t>
  </si>
  <si>
    <t xml:space="preserve">Approach 5 associations, 3 universities, 5 employers, 3 podcasts and 2 media contacts per week using templates M9-M14. Follow up once after 7 days.</t>
  </si>
  <si>
    <t xml:space="preserve">Every approach names the organisation and states what THEY get. A pipeline of replies, calls and booked sessions.</t>
  </si>
  <si>
    <t xml:space="preserve">Generic mass emails to info@ addresses. Pitching a podcast you have not listened to. No follow-up.</t>
  </si>
  <si>
    <t xml:space="preserve">Organisation, contact, date, template used, response, meeting date and next action.</t>
  </si>
  <si>
    <t xml:space="preserve">5 h</t>
  </si>
  <si>
    <t xml:space="preserve">Events &amp; podcast</t>
  </si>
  <si>
    <t xml:space="preserve">Webinars produce the content that feeds every other platform for a month.</t>
  </si>
  <si>
    <t xml:space="preserve">Set up Eventbrite, Luma and the podcast feed on Spotify for Creators, then submit to Apple Podcasts.</t>
  </si>
  <si>
    <t xml:space="preserve">Publish each event with tracking links, promote 3 times before and once after, and cut the recording into Shorts and quotes.</t>
  </si>
  <si>
    <t xml:space="preserve">Registrations tracked in Google Analytics; every event produces at least 5 pieces of follow-on content.</t>
  </si>
  <si>
    <t xml:space="preserve">No reminder emails. Not recording the session. Letting the recording sit unused.</t>
  </si>
  <si>
    <t xml:space="preserve">Event page, registrations, attendance and content produced from it.</t>
  </si>
  <si>
    <t xml:space="preserve">Tells you which of all this work actually produced enquiries, so effort moves to what works.</t>
  </si>
  <si>
    <t xml:space="preserve">Verify Google Search Console, confirm GA4 is firing, install Microsoft Clarity, and agree a UTM naming convention.</t>
  </si>
  <si>
    <t xml:space="preserve">Review all three weekly. Write the numbers and two actions into the Weekly Review tab.</t>
  </si>
  <si>
    <t xml:space="preserve">Decisions are based on tracked results, not on how busy the week felt.</t>
  </si>
  <si>
    <t xml:space="preserve">Judging success by activity volume. Posting links without UTM tags so nothing can be attributed.</t>
  </si>
  <si>
    <t xml:space="preserve">Traffic, source/medium, conversions, top content and the action you took.</t>
  </si>
  <si>
    <t xml:space="preserve">BENCHMARKS  —  where the targets in this workbook come from</t>
  </si>
  <si>
    <t xml:space="preserve">These are published 2026 industry figures, not internal guesses. Re-check them every 6 months; outreach benchmarks move.</t>
  </si>
  <si>
    <t xml:space="preserve">Poor  -  fix this</t>
  </si>
  <si>
    <t xml:space="preserve">Average / expected</t>
  </si>
  <si>
    <t xml:space="preserve">Good</t>
  </si>
  <si>
    <t xml:space="preserve">Source of the figure</t>
  </si>
  <si>
    <t xml:space="preserve">Checked</t>
  </si>
  <si>
    <t xml:space="preserve">LinkedIn connection acceptance rate</t>
  </si>
  <si>
    <t xml:space="preserve">Below 20% - stop and fix targeting, profile or note</t>
  </si>
  <si>
    <t xml:space="preserve">27-30% platform average</t>
  </si>
  <si>
    <t xml:space="preserve">30-45%; above 45% is top tier</t>
  </si>
  <si>
    <t xml:space="preserve">Expandi LinkedIn Outreach Benchmarks 2026 (13.2m requests, May 2025-Apr 2026); Cleverly LinkedIn Benchmarks 2026; Reachium 2026 study of 180,155 matured requests (27.1% accepted)</t>
  </si>
  <si>
    <t xml:space="preserve">Aug 2026</t>
  </si>
  <si>
    <t xml:space="preserve">Reply rate on the post-connection message</t>
  </si>
  <si>
    <t xml:space="preserve">Below 10%</t>
  </si>
  <si>
    <t xml:space="preserve">About 10% average across industries</t>
  </si>
  <si>
    <t xml:space="preserve">15-25%; top performers 30%+</t>
  </si>
  <si>
    <t xml:space="preserve">Expandi 2026 (post-connection reply rate held at 10.4%); Cleverly (good outreach reply rate 10-25%)</t>
  </si>
  <si>
    <t xml:space="preserve">Reply rate on the connection-request note itself</t>
  </si>
  <si>
    <t xml:space="preserve">About 2% and falling (down from 3.5% in a year)</t>
  </si>
  <si>
    <t xml:space="preserve">Expandi 2026 note-reply trend. This is why the workbook messages after acceptance rather than relying on the note.</t>
  </si>
  <si>
    <t xml:space="preserve">Meetings booked per accepted connection</t>
  </si>
  <si>
    <t xml:space="preserve">About 2% measured in-platform (a floor - calls arranged by email are not counted)</t>
  </si>
  <si>
    <t xml:space="preserve">Higher with warm, senior targeting</t>
  </si>
  <si>
    <t xml:space="preserve">Reachium 2026, 180,155 matured requests</t>
  </si>
  <si>
    <t xml:space="preserve">How fast acceptances arrive</t>
  </si>
  <si>
    <t xml:space="preserve">63% within 24 hours, 88% within a week, 99% within 30 days</t>
  </si>
  <si>
    <t xml:space="preserve">Botdog analysis of 16,492 requests. This is why the workbook follows up on day 4, not day 1.</t>
  </si>
  <si>
    <t xml:space="preserve">Safe connection request volume</t>
  </si>
  <si>
    <t xml:space="preserve">Sending far above capacity risks restriction</t>
  </si>
  <si>
    <t xml:space="preserve">100-150 per week while you establish a baseline</t>
  </si>
  <si>
    <t xml:space="preserve">Up to about 200 per week for a strong account; the limit is reputation-based, not fixed</t>
  </si>
  <si>
    <t xml:space="preserve">Cleverly 2026; Expandi 2026 volume guidance. The workbook target of 20 per day (100 per week) sits deliberately at the safe end.</t>
  </si>
  <si>
    <t xml:space="preserve">LinkedIn organic engagement rate</t>
  </si>
  <si>
    <t xml:space="preserve">Below 1%</t>
  </si>
  <si>
    <t xml:space="preserve">About 2-4% depending on the measurement method</t>
  </si>
  <si>
    <t xml:space="preserve">5%+; carousel and document posts far exceed this</t>
  </si>
  <si>
    <t xml:space="preserve">Socialinsider 2026 LinkedIn report (3.85% average); IQFluence 2026 (5.2%); Buffer 2026 (carousels far above other formats)</t>
  </si>
  <si>
    <t xml:space="preserve">Instagram engagement rate</t>
  </si>
  <si>
    <t xml:space="preserve">Below 0.5%</t>
  </si>
  <si>
    <t xml:space="preserve">About 1.6% overall; Reels around 2.4%, carousels around 1.9%</t>
  </si>
  <si>
    <t xml:space="preserve">3%+</t>
  </si>
  <si>
    <t xml:space="preserve">Socialinsider / Buffer 2026 format breakdowns</t>
  </si>
  <si>
    <t xml:space="preserve">Facebook engagement rate</t>
  </si>
  <si>
    <t xml:space="preserve">About 0.15% per post; published figures vary enormously by formula</t>
  </si>
  <si>
    <t xml:space="preserve">Above 0.10% already beats most brand pages</t>
  </si>
  <si>
    <t xml:space="preserve">Buffer / Rival IQ 2026 datasets. Treat Facebook engagement as a weak signal.</t>
  </si>
  <si>
    <t xml:space="preserve">TikTok engagement rate</t>
  </si>
  <si>
    <t xml:space="preserve">Below 2%</t>
  </si>
  <si>
    <t xml:space="preserve">About 3.2-4.6% - still the highest raw engagement</t>
  </si>
  <si>
    <t xml:space="preserve">5%+</t>
  </si>
  <si>
    <t xml:space="preserve">Socialinsider 2026, Buffer 2026</t>
  </si>
  <si>
    <t xml:space="preserve">X (Twitter) engagement rate</t>
  </si>
  <si>
    <t xml:space="preserve">About 0.12% and declining</t>
  </si>
  <si>
    <t xml:space="preserve">Buffer / Socialinsider 2026</t>
  </si>
  <si>
    <t xml:space="preserve">Content formats worth prioritising</t>
  </si>
  <si>
    <t xml:space="preserve">LinkedIn carousels and native documents outperform every other format on any platform by a wide margin; short-form video is the strongest cross-platform format</t>
  </si>
  <si>
    <t xml:space="preserve">Buffer State of Social Media Engagement 2026 (52m+ posts analysed)</t>
  </si>
  <si>
    <t xml:space="preserve">Which industries accept most</t>
  </si>
  <si>
    <t xml:space="preserve">Acceptance ranges roughly 17.5% to 40.1% by audience industry, so judge against your own segment</t>
  </si>
  <si>
    <t xml:space="preserve">Expandi 2026 industry breakdown. Construction, engineering and infrastructure audiences sit mid-range - expect around the platform average, not the top.</t>
  </si>
  <si>
    <t xml:space="preserve">IMPORTANT CAVEAT: most outreach benchmarks are published by tool vendors using their own customers' data, so they skew towards heavy automated senders. Treat them as a sanity check, not a law. Once you have four weeks of your own data in this workbook, your own trend line is the better benchmark.</t>
  </si>
  <si>
    <t xml:space="preserve">DROPDOWN VALUE LISTS  —  do not delete or reorder; add new values at the bottom of a column</t>
  </si>
  <si>
    <t xml:space="preserve">Yes/No</t>
  </si>
  <si>
    <t xml:space="preserve">Lead Segment</t>
  </si>
  <si>
    <t xml:space="preserve">Content Type</t>
  </si>
  <si>
    <t xml:space="preserve">Content Status</t>
  </si>
  <si>
    <t xml:space="preserve">Org Type</t>
  </si>
  <si>
    <t xml:space="preserve">Action</t>
  </si>
  <si>
    <t xml:space="preserve">Template Used</t>
  </si>
  <si>
    <t xml:space="preserve">RAG</t>
  </si>
  <si>
    <t xml:space="preserve">Activity type</t>
  </si>
  <si>
    <t xml:space="preserve">WR Selector</t>
  </si>
  <si>
    <t xml:space="preserve">Funnel Stage</t>
  </si>
  <si>
    <t xml:space="preserve">Score 1-5</t>
  </si>
  <si>
    <t xml:space="preserve">Pipeline Type</t>
  </si>
  <si>
    <t xml:space="preserve">Experiment Status</t>
  </si>
  <si>
    <t xml:space="preserve">Text Post</t>
  </si>
  <si>
    <t xml:space="preserve">Research</t>
  </si>
  <si>
    <t xml:space="preserve">M1 Connection Note</t>
  </si>
  <si>
    <t xml:space="preserve">On Track</t>
  </si>
  <si>
    <t xml:space="preserve">1 - poor</t>
  </si>
  <si>
    <t xml:space="preserve">Interested</t>
  </si>
  <si>
    <t xml:space="preserve">Planning / Scheduling</t>
  </si>
  <si>
    <t xml:space="preserve">Image Post</t>
  </si>
  <si>
    <t xml:space="preserve">Drafting</t>
  </si>
  <si>
    <t xml:space="preserve">Account Created</t>
  </si>
  <si>
    <t xml:space="preserve">At Risk</t>
  </si>
  <si>
    <t xml:space="preserve">Certuvo</t>
  </si>
  <si>
    <t xml:space="preserve">N/A</t>
  </si>
  <si>
    <t xml:space="preserve">Cost Control / Estimating</t>
  </si>
  <si>
    <t xml:space="preserve">In Review</t>
  </si>
  <si>
    <t xml:space="preserve">Profile Optimised</t>
  </si>
  <si>
    <t xml:space="preserve">M3 InMail Cold</t>
  </si>
  <si>
    <t xml:space="preserve">Off Track</t>
  </si>
  <si>
    <t xml:space="preserve">Both / shared</t>
  </si>
  <si>
    <t xml:space="preserve">First message sent</t>
  </si>
  <si>
    <t xml:space="preserve">Waiting on someone</t>
  </si>
  <si>
    <t xml:space="preserve">Concluded - A won</t>
  </si>
  <si>
    <t xml:space="preserve">Follow-up Needed</t>
  </si>
  <si>
    <t xml:space="preserve">Risk Management</t>
  </si>
  <si>
    <t xml:space="preserve">Short Video</t>
  </si>
  <si>
    <t xml:space="preserve">Approved</t>
  </si>
  <si>
    <t xml:space="preserve">Training Provider</t>
  </si>
  <si>
    <t xml:space="preserve">Connect Sent</t>
  </si>
  <si>
    <t xml:space="preserve">M4 Follow-up 1</t>
  </si>
  <si>
    <t xml:space="preserve">Follow-up message sent</t>
  </si>
  <si>
    <t xml:space="preserve">4</t>
  </si>
  <si>
    <t xml:space="preserve">Influencer / Expert</t>
  </si>
  <si>
    <t xml:space="preserve">Concluded - B won</t>
  </si>
  <si>
    <t xml:space="preserve">Meeting Booked</t>
  </si>
  <si>
    <t xml:space="preserve">PMO Leader</t>
  </si>
  <si>
    <t xml:space="preserve">Long Video</t>
  </si>
  <si>
    <t xml:space="preserve">Scheduled</t>
  </si>
  <si>
    <t xml:space="preserve">Message Sent</t>
  </si>
  <si>
    <t xml:space="preserve">M5 Follow-up 2</t>
  </si>
  <si>
    <t xml:space="preserve">No reply yet</t>
  </si>
  <si>
    <t xml:space="preserve">Concluded - no difference</t>
  </si>
  <si>
    <t xml:space="preserve">Application Started</t>
  </si>
  <si>
    <t xml:space="preserve">Programme Director</t>
  </si>
  <si>
    <t xml:space="preserve">Article</t>
  </si>
  <si>
    <t xml:space="preserve">Published</t>
  </si>
  <si>
    <t xml:space="preserve">Follow-up Sent</t>
  </si>
  <si>
    <t xml:space="preserve">M6 What Is It</t>
  </si>
  <si>
    <t xml:space="preserve">Community answer or comment</t>
  </si>
  <si>
    <t xml:space="preserve">Positive reply</t>
  </si>
  <si>
    <t xml:space="preserve">Abandoned</t>
  </si>
  <si>
    <t xml:space="preserve">Converted</t>
  </si>
  <si>
    <t xml:space="preserve">Engineering Manager</t>
  </si>
  <si>
    <t xml:space="preserve">Newsletter</t>
  </si>
  <si>
    <t xml:space="preserve">Repurposed</t>
  </si>
  <si>
    <t xml:space="preserve">M7 Cost Question</t>
  </si>
  <si>
    <t xml:space="preserve">Partnership / PR contact</t>
  </si>
  <si>
    <t xml:space="preserve">Meeting booked</t>
  </si>
  <si>
    <t xml:space="preserve">Declined</t>
  </si>
  <si>
    <t xml:space="preserve">Construction Director</t>
  </si>
  <si>
    <t xml:space="preserve">Poll</t>
  </si>
  <si>
    <t xml:space="preserve">Content Published</t>
  </si>
  <si>
    <t xml:space="preserve">M8 Referral Ask</t>
  </si>
  <si>
    <t xml:space="preserve">Engagement (commented on someone else)</t>
  </si>
  <si>
    <t xml:space="preserve">Training Partner</t>
  </si>
  <si>
    <t xml:space="preserve">Not Relevant</t>
  </si>
  <si>
    <t xml:space="preserve">Academic / Faculty</t>
  </si>
  <si>
    <t xml:space="preserve">Infographic</t>
  </si>
  <si>
    <t xml:space="preserve">Influencer</t>
  </si>
  <si>
    <t xml:space="preserve">Comment / Engaged</t>
  </si>
  <si>
    <t xml:space="preserve">M9 Association</t>
  </si>
  <si>
    <t xml:space="preserve">Account created / profile completed</t>
  </si>
  <si>
    <t xml:space="preserve">No Response</t>
  </si>
  <si>
    <t xml:space="preserve">L&amp;D / HR</t>
  </si>
  <si>
    <t xml:space="preserve">Case Study</t>
  </si>
  <si>
    <t xml:space="preserve">Software Vendor</t>
  </si>
  <si>
    <t xml:space="preserve">Call Booked</t>
  </si>
  <si>
    <t xml:space="preserve">M10 University</t>
  </si>
  <si>
    <t xml:space="preserve">Analytics review</t>
  </si>
  <si>
    <t xml:space="preserve">Consultant</t>
  </si>
  <si>
    <t xml:space="preserve">Credential Story</t>
  </si>
  <si>
    <t xml:space="preserve">Government / Public Body</t>
  </si>
  <si>
    <t xml:space="preserve">Proposal Sent</t>
  </si>
  <si>
    <t xml:space="preserve">M11 Employer/L&amp;D</t>
  </si>
  <si>
    <t xml:space="preserve">Other (explain in notes)</t>
  </si>
  <si>
    <t xml:space="preserve">Software / Tech</t>
  </si>
  <si>
    <t xml:space="preserve">Webinar Promo</t>
  </si>
  <si>
    <t xml:space="preserve">Review Requested</t>
  </si>
  <si>
    <t xml:space="preserve">M12 Podcast</t>
  </si>
  <si>
    <t xml:space="preserve">Other</t>
  </si>
  <si>
    <t xml:space="preserve">Event Recap</t>
  </si>
  <si>
    <t xml:space="preserve">Reported</t>
  </si>
  <si>
    <t xml:space="preserve">M13 Speaker Invite</t>
  </si>
  <si>
    <t xml:space="preserve">Comment / Engagement</t>
  </si>
  <si>
    <t xml:space="preserve">M14 Media Pitch</t>
  </si>
  <si>
    <t xml:space="preserve">M15 Polite Close</t>
  </si>
  <si>
    <t xml:space="preserve">Vimeo</t>
  </si>
  <si>
    <t xml:space="preserve">Email / Newsletter Tool</t>
  </si>
</sst>
</file>

<file path=xl/styles.xml><?xml version="1.0" encoding="utf-8"?>
<styleSheet xmlns="http://schemas.openxmlformats.org/spreadsheetml/2006/main">
  <numFmts count="7">
    <numFmt numFmtId="164" formatCode="General"/>
    <numFmt numFmtId="165" formatCode="dd\-mmm\-yyyy"/>
    <numFmt numFmtId="166" formatCode="General"/>
    <numFmt numFmtId="167" formatCode="#,##0"/>
    <numFmt numFmtId="168" formatCode="0.0%"/>
    <numFmt numFmtId="169" formatCode="0%"/>
    <numFmt numFmtId="170" formatCode="#,##0;;&quot;&quot;"/>
  </numFmts>
  <fonts count="3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1F3864"/>
      <name val="Arial"/>
      <family val="0"/>
      <charset val="1"/>
    </font>
    <font>
      <b val="true"/>
      <sz val="11"/>
      <color rgb="FFFFFFFF"/>
      <name val="Arial"/>
      <family val="0"/>
      <charset val="1"/>
    </font>
    <font>
      <b val="true"/>
      <sz val="10"/>
      <color rgb="FF006100"/>
      <name val="Arial"/>
      <family val="0"/>
      <charset val="1"/>
    </font>
    <font>
      <sz val="10"/>
      <color rgb="FF000000"/>
      <name val="Arial"/>
      <family val="0"/>
      <charset val="1"/>
    </font>
    <font>
      <b val="true"/>
      <sz val="10"/>
      <color rgb="FF000000"/>
      <name val="Arial"/>
      <family val="0"/>
      <charset val="1"/>
    </font>
    <font>
      <sz val="10"/>
      <color rgb="FF0000FF"/>
      <name val="Arial"/>
      <family val="0"/>
      <charset val="1"/>
    </font>
    <font>
      <b val="true"/>
      <sz val="10"/>
      <color rgb="FFFFFFFF"/>
      <name val="Arial"/>
      <family val="0"/>
      <charset val="1"/>
    </font>
    <font>
      <b val="true"/>
      <sz val="10"/>
      <color rgb="FF0000FF"/>
      <name val="Arial"/>
      <family val="0"/>
      <charset val="1"/>
    </font>
    <font>
      <b val="true"/>
      <sz val="9"/>
      <color rgb="FFFFFFFF"/>
      <name val="Arial"/>
      <family val="0"/>
      <charset val="1"/>
    </font>
    <font>
      <b val="true"/>
      <sz val="9"/>
      <color rgb="FFC00000"/>
      <name val="Arial"/>
      <family val="0"/>
      <charset val="1"/>
    </font>
    <font>
      <sz val="9"/>
      <color rgb="FFC00000"/>
      <name val="Arial"/>
      <family val="0"/>
      <charset val="1"/>
    </font>
    <font>
      <i val="true"/>
      <sz val="10"/>
      <color rgb="FF808080"/>
      <name val="Arial"/>
      <family val="0"/>
      <charset val="1"/>
    </font>
    <font>
      <b val="true"/>
      <sz val="9"/>
      <color rgb="FF808080"/>
      <name val="Arial"/>
      <family val="0"/>
      <charset val="1"/>
    </font>
    <font>
      <sz val="9"/>
      <color rgb="FF000000"/>
      <name val="Arial"/>
      <family val="0"/>
      <charset val="1"/>
    </font>
    <font>
      <b val="true"/>
      <sz val="11"/>
      <color rgb="FF1F3864"/>
      <name val="Arial"/>
      <family val="0"/>
      <charset val="1"/>
    </font>
    <font>
      <sz val="9"/>
      <color rgb="FF595959"/>
      <name val="Arial"/>
      <family val="0"/>
      <charset val="1"/>
    </font>
    <font>
      <b val="true"/>
      <sz val="10"/>
      <color rgb="FFC00000"/>
      <name val="Arial"/>
      <family val="0"/>
      <charset val="1"/>
    </font>
    <font>
      <b val="true"/>
      <sz val="10"/>
      <color rgb="FF1F3864"/>
      <name val="Arial"/>
      <family val="0"/>
      <charset val="1"/>
    </font>
    <font>
      <b val="true"/>
      <sz val="9"/>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2"/>
      <color rgb="FF1F3864"/>
      <name val="Arial"/>
      <family val="0"/>
      <charset val="1"/>
    </font>
    <font>
      <sz val="8"/>
      <color rgb="FF808080"/>
      <name val="Arial"/>
      <family val="0"/>
      <charset val="1"/>
    </font>
    <font>
      <b val="true"/>
      <sz val="14"/>
      <color rgb="FFC9A227"/>
      <name val="Arial"/>
      <family val="0"/>
      <charset val="1"/>
    </font>
    <font>
      <b val="true"/>
      <sz val="11"/>
      <color rgb="FF7030A0"/>
      <name val="Arial"/>
      <family val="0"/>
      <charset val="1"/>
    </font>
    <font>
      <sz val="9"/>
      <color rgb="FF0563C1"/>
      <name val="Arial"/>
      <family val="0"/>
      <charset val="1"/>
    </font>
    <font>
      <sz val="10"/>
      <color rgb="FFC00000"/>
      <name val="Arial"/>
      <family val="0"/>
      <charset val="1"/>
    </font>
    <font>
      <sz val="10"/>
      <color rgb="FF375623"/>
      <name val="Arial"/>
      <family val="0"/>
      <charset val="1"/>
    </font>
  </fonts>
  <fills count="10">
    <fill>
      <patternFill patternType="none"/>
    </fill>
    <fill>
      <patternFill patternType="gray125"/>
    </fill>
    <fill>
      <patternFill patternType="solid">
        <fgColor rgb="FF1F3864"/>
        <bgColor rgb="FF203864"/>
      </patternFill>
    </fill>
    <fill>
      <patternFill patternType="solid">
        <fgColor rgb="FFDCE6F1"/>
        <bgColor rgb="FFDDEBF7"/>
      </patternFill>
    </fill>
    <fill>
      <patternFill patternType="solid">
        <fgColor rgb="FF2E5C9A"/>
        <bgColor rgb="FF1F4E79"/>
      </patternFill>
    </fill>
    <fill>
      <patternFill patternType="solid">
        <fgColor rgb="FFC6EFCE"/>
        <bgColor rgb="FFDCE6F1"/>
      </patternFill>
    </fill>
    <fill>
      <patternFill patternType="solid">
        <fgColor rgb="FFFFF2CC"/>
        <bgColor rgb="FFF5F0FA"/>
      </patternFill>
    </fill>
    <fill>
      <patternFill patternType="solid">
        <fgColor rgb="FFFFC7CE"/>
        <bgColor rgb="FFD9D9D9"/>
      </patternFill>
    </fill>
    <fill>
      <patternFill patternType="solid">
        <fgColor rgb="FFF5F0FA"/>
        <bgColor rgb="FFFFFFFF"/>
      </patternFill>
    </fill>
    <fill>
      <patternFill patternType="solid">
        <fgColor rgb="FFDDEBF7"/>
        <bgColor rgb="FFDCE6F1"/>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1" shrinkToFit="false"/>
      <protection locked="true" hidden="false"/>
    </xf>
    <xf numFmtId="164" fontId="5" fillId="3" borderId="0" xfId="0" applyFont="true" applyBorder="true" applyAlignment="true" applyProtection="true">
      <alignment horizontal="left" vertical="center" textRotation="0" wrapText="false" indent="1" shrinkToFit="false"/>
      <protection locked="true" hidden="false"/>
    </xf>
    <xf numFmtId="164" fontId="6" fillId="4" borderId="0" xfId="0" applyFont="true" applyBorder="true" applyAlignment="true" applyProtection="true">
      <alignment horizontal="left" vertical="center" textRotation="0" wrapText="false" indent="1" shrinkToFit="false"/>
      <protection locked="true" hidden="false"/>
    </xf>
    <xf numFmtId="164" fontId="7" fillId="5" borderId="0" xfId="0" applyFont="true" applyBorder="false" applyAlignment="true" applyProtection="true">
      <alignment horizontal="general" vertical="top" textRotation="0" wrapText="true" indent="0" shrinkToFit="false"/>
      <protection locked="true" hidden="false"/>
    </xf>
    <xf numFmtId="164" fontId="8" fillId="5" borderId="0" xfId="0" applyFont="tru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6" borderId="1" xfId="0" applyFont="true" applyBorder="true" applyAlignment="true" applyProtection="true">
      <alignment horizontal="left" vertical="center" textRotation="0" wrapText="false" indent="0" shrinkToFit="false"/>
      <protection locked="true" hidden="false"/>
    </xf>
    <xf numFmtId="165" fontId="10" fillId="6" borderId="1" xfId="0" applyFont="true" applyBorder="true" applyAlignment="true" applyProtection="true">
      <alignment horizontal="left" vertical="center" textRotation="0" wrapText="false" indent="0" shrinkToFit="false"/>
      <protection locked="true" hidden="false"/>
    </xf>
    <xf numFmtId="164" fontId="11" fillId="2" borderId="0" xfId="0" applyFont="true" applyBorder="false" applyAlignment="true" applyProtection="true">
      <alignment horizontal="center"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12" fillId="6" borderId="1" xfId="0" applyFont="true" applyBorder="true" applyAlignment="true" applyProtection="true">
      <alignment horizontal="center" vertical="bottom" textRotation="0" wrapText="false" indent="0" shrinkToFit="false"/>
      <protection locked="true" hidden="false"/>
    </xf>
    <xf numFmtId="166" fontId="8" fillId="0" borderId="1"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true" applyAlignment="true" applyProtection="true">
      <alignment horizontal="general" vertical="top" textRotation="0" wrapText="true" indent="1" shrinkToFit="false"/>
      <protection locked="true" hidden="false"/>
    </xf>
    <xf numFmtId="164" fontId="9" fillId="6" borderId="1"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9" fillId="5" borderId="1" xfId="0" applyFont="true" applyBorder="true" applyAlignment="true" applyProtection="true">
      <alignment horizontal="general" vertical="bottom" textRotation="0" wrapText="false" indent="0" shrinkToFit="false"/>
      <protection locked="true" hidden="false"/>
    </xf>
    <xf numFmtId="164" fontId="9" fillId="7" borderId="1" xfId="0" applyFont="true" applyBorder="true" applyAlignment="true" applyProtection="true">
      <alignment horizontal="general" vertical="bottom" textRotation="0" wrapText="false" indent="0" shrinkToFit="false"/>
      <protection locked="true" hidden="false"/>
    </xf>
    <xf numFmtId="164" fontId="6" fillId="4" borderId="0" xfId="0" applyFont="true" applyBorder="true" applyAlignment="true" applyProtection="true">
      <alignment horizontal="general" vertical="center" textRotation="0" wrapText="false" indent="1"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10" fillId="6" borderId="1" xfId="0" applyFont="true" applyBorder="true" applyAlignment="true" applyProtection="true">
      <alignment horizontal="general" vertical="bottom" textRotation="0" wrapText="false" indent="0" shrinkToFit="false"/>
      <protection locked="true" hidden="false"/>
    </xf>
    <xf numFmtId="164" fontId="14" fillId="6" borderId="0" xfId="0" applyFont="true" applyBorder="true" applyAlignment="true" applyProtection="true">
      <alignment horizontal="general" vertical="center" textRotation="0" wrapText="true" indent="0" shrinkToFit="false"/>
      <protection locked="true" hidden="false"/>
    </xf>
    <xf numFmtId="164" fontId="15" fillId="6" borderId="0" xfId="0" applyFont="true" applyBorder="true" applyAlignment="true" applyProtection="true">
      <alignment horizontal="general" vertical="center" textRotation="0" wrapText="tru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4" fontId="8" fillId="0" borderId="0" xfId="0" applyFont="true" applyBorder="true" applyAlignment="true" applyProtection="true">
      <alignment horizontal="general" vertical="center" textRotation="0" wrapText="true" indent="0" shrinkToFit="false"/>
      <protection locked="true" hidden="false"/>
    </xf>
    <xf numFmtId="164" fontId="11" fillId="4" borderId="1" xfId="0" applyFont="true" applyBorder="true" applyAlignment="true" applyProtection="true">
      <alignment horizontal="center" vertical="center" textRotation="0" wrapText="true" indent="0" shrinkToFit="false"/>
      <protection locked="true" hidden="false"/>
    </xf>
    <xf numFmtId="165" fontId="16" fillId="6" borderId="1" xfId="0" applyFont="true" applyBorder="true" applyAlignment="true" applyProtection="true">
      <alignment horizontal="left" vertical="top" textRotation="0" wrapText="false" indent="0" shrinkToFit="false"/>
      <protection locked="true" hidden="false"/>
    </xf>
    <xf numFmtId="164" fontId="16" fillId="6" borderId="1" xfId="0" applyFont="true" applyBorder="true" applyAlignment="true" applyProtection="true">
      <alignment horizontal="left" vertical="top" textRotation="0" wrapText="false" indent="0" shrinkToFit="false"/>
      <protection locked="true" hidden="false"/>
    </xf>
    <xf numFmtId="164" fontId="16" fillId="6" borderId="1" xfId="0" applyFont="true" applyBorder="true" applyAlignment="true" applyProtection="true">
      <alignment horizontal="left" vertical="top" textRotation="0" wrapText="true" indent="0" shrinkToFit="false"/>
      <protection locked="true" hidden="false"/>
    </xf>
    <xf numFmtId="167" fontId="16" fillId="6" borderId="1" xfId="0" applyFont="true" applyBorder="true" applyAlignment="true" applyProtection="true">
      <alignment horizontal="center" vertical="center" textRotation="0" wrapText="false" indent="0" shrinkToFit="false"/>
      <protection locked="true" hidden="false"/>
    </xf>
    <xf numFmtId="165" fontId="8" fillId="6" borderId="1" xfId="0" applyFont="true" applyBorder="true" applyAlignment="true" applyProtection="true">
      <alignment horizontal="left" vertical="top" textRotation="0" wrapText="false" indent="0" shrinkToFit="false"/>
      <protection locked="true" hidden="false"/>
    </xf>
    <xf numFmtId="164" fontId="8" fillId="6" borderId="1" xfId="0" applyFont="true" applyBorder="true" applyAlignment="true" applyProtection="true">
      <alignment horizontal="left" vertical="top" textRotation="0" wrapText="false" indent="0" shrinkToFit="false"/>
      <protection locked="true" hidden="false"/>
    </xf>
    <xf numFmtId="164" fontId="8" fillId="6" borderId="1" xfId="0" applyFont="true" applyBorder="true" applyAlignment="true" applyProtection="true">
      <alignment horizontal="left" vertical="top" textRotation="0" wrapText="true" indent="0" shrinkToFit="false"/>
      <protection locked="true" hidden="false"/>
    </xf>
    <xf numFmtId="167" fontId="8" fillId="6" borderId="1" xfId="0" applyFont="true" applyBorder="true" applyAlignment="true" applyProtection="true">
      <alignment horizontal="center" vertical="center" textRotation="0" wrapText="false" indent="0" shrinkToFit="false"/>
      <protection locked="true" hidden="false"/>
    </xf>
    <xf numFmtId="164" fontId="16" fillId="6" borderId="1" xfId="0" applyFont="true" applyBorder="true" applyAlignment="true" applyProtection="true">
      <alignment horizontal="center" vertical="top" textRotation="0" wrapText="false" indent="0" shrinkToFit="false"/>
      <protection locked="true" hidden="false"/>
    </xf>
    <xf numFmtId="164" fontId="8" fillId="0" borderId="1" xfId="0" applyFont="true" applyBorder="true" applyAlignment="true" applyProtection="true">
      <alignment horizontal="center" vertical="top" textRotation="0" wrapText="false" indent="0" shrinkToFit="false"/>
      <protection locked="true" hidden="false"/>
    </xf>
    <xf numFmtId="166" fontId="8" fillId="0" borderId="1" xfId="0" applyFont="true" applyBorder="true" applyAlignment="true" applyProtection="true">
      <alignment horizontal="center" vertical="top" textRotation="0" wrapText="false" indent="0" shrinkToFit="false"/>
      <protection locked="true" hidden="false"/>
    </xf>
    <xf numFmtId="165" fontId="8" fillId="0" borderId="1" xfId="0" applyFont="true" applyBorder="true" applyAlignment="true" applyProtection="true">
      <alignment horizontal="left" vertical="top" textRotation="0" wrapText="false" indent="0" shrinkToFit="false"/>
      <protection locked="true" hidden="false"/>
    </xf>
    <xf numFmtId="164" fontId="8" fillId="6" borderId="1" xfId="0" applyFont="true" applyBorder="true" applyAlignment="true" applyProtection="true">
      <alignment horizontal="center" vertical="center" textRotation="0" wrapText="false" indent="0" shrinkToFit="false"/>
      <protection locked="true" hidden="false"/>
    </xf>
    <xf numFmtId="164" fontId="8" fillId="0" borderId="1" xfId="0" applyFont="true" applyBorder="true" applyAlignment="true" applyProtection="true">
      <alignment horizontal="center" vertical="center" textRotation="0" wrapText="fals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8" fillId="6" borderId="1" xfId="0" applyFont="true" applyBorder="true" applyAlignment="true" applyProtection="true">
      <alignment horizontal="center" vertical="top" textRotation="0" wrapText="false" indent="0" shrinkToFit="false"/>
      <protection locked="true" hidden="false"/>
    </xf>
    <xf numFmtId="164" fontId="16" fillId="6" borderId="1" xfId="0" applyFont="true" applyBorder="tru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general" vertical="center" textRotation="0" wrapText="false" indent="1"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3" fillId="4" borderId="1" xfId="0" applyFont="true" applyBorder="true" applyAlignment="true" applyProtection="true">
      <alignment horizontal="center" vertical="center" textRotation="0" wrapText="false" indent="0" shrinkToFit="false"/>
      <protection locked="true" hidden="false"/>
    </xf>
    <xf numFmtId="167" fontId="19" fillId="0" borderId="1" xfId="0" applyFont="true" applyBorder="true" applyAlignment="true" applyProtection="true">
      <alignment horizontal="center" vertical="center" textRotation="0" wrapText="false" indent="0" shrinkToFit="false"/>
      <protection locked="true" hidden="false"/>
    </xf>
    <xf numFmtId="164" fontId="9" fillId="0" borderId="1" xfId="0" applyFont="true" applyBorder="true" applyAlignment="true" applyProtection="true">
      <alignment horizontal="center" vertical="bottom" textRotation="0" wrapText="false" indent="0" shrinkToFit="false"/>
      <protection locked="true" hidden="false"/>
    </xf>
    <xf numFmtId="164" fontId="20" fillId="0" borderId="1" xfId="0" applyFont="true" applyBorder="true" applyAlignment="true" applyProtection="true">
      <alignment horizontal="general" vertical="center" textRotation="0" wrapText="true" indent="0" shrinkToFit="false"/>
      <protection locked="true" hidden="false"/>
    </xf>
    <xf numFmtId="168" fontId="19" fillId="0" borderId="1" xfId="0" applyFont="true" applyBorder="true" applyAlignment="true" applyProtection="true">
      <alignment horizontal="center" vertical="center" textRotation="0" wrapText="false" indent="0" shrinkToFit="false"/>
      <protection locked="true" hidden="false"/>
    </xf>
    <xf numFmtId="167" fontId="19" fillId="0" borderId="1" xfId="0" applyFont="true" applyBorder="true" applyAlignment="true" applyProtection="true">
      <alignment horizontal="center" vertical="bottom" textRotation="0" wrapText="false" indent="0" shrinkToFit="false"/>
      <protection locked="true" hidden="false"/>
    </xf>
    <xf numFmtId="167" fontId="8" fillId="0" borderId="1" xfId="0" applyFont="true" applyBorder="true" applyAlignment="true" applyProtection="true">
      <alignment horizontal="center" vertical="bottom" textRotation="0" wrapText="false" indent="0" shrinkToFit="false"/>
      <protection locked="true" hidden="false"/>
    </xf>
    <xf numFmtId="169" fontId="9" fillId="0" borderId="1" xfId="0" applyFont="true" applyBorder="true" applyAlignment="true" applyProtection="true">
      <alignment horizontal="center" vertical="bottom" textRotation="0" wrapText="false" indent="0" shrinkToFit="false"/>
      <protection locked="true" hidden="false"/>
    </xf>
    <xf numFmtId="164" fontId="21" fillId="6" borderId="0" xfId="0" applyFont="true" applyBorder="true" applyAlignment="true" applyProtection="true">
      <alignment horizontal="general" vertical="center" textRotation="0" wrapText="true" indent="0" shrinkToFit="false"/>
      <protection locked="true" hidden="false"/>
    </xf>
    <xf numFmtId="166" fontId="22" fillId="0" borderId="1" xfId="0" applyFont="true" applyBorder="true" applyAlignment="true" applyProtection="true">
      <alignment horizontal="center" vertical="bottom" textRotation="0" wrapText="false" indent="0" shrinkToFit="false"/>
      <protection locked="true" hidden="false"/>
    </xf>
    <xf numFmtId="164" fontId="20" fillId="0" borderId="1" xfId="0" applyFont="true" applyBorder="true" applyAlignment="true" applyProtection="true">
      <alignment horizontal="general" vertical="bottom" textRotation="0" wrapText="false" indent="0" shrinkToFit="false"/>
      <protection locked="true" hidden="false"/>
    </xf>
    <xf numFmtId="164" fontId="23" fillId="6" borderId="0" xfId="0" applyFont="true" applyBorder="true" applyAlignment="true" applyProtection="true">
      <alignment horizontal="general" vertical="center" textRotation="0" wrapText="true" indent="0" shrinkToFit="false"/>
      <protection locked="true" hidden="false"/>
    </xf>
    <xf numFmtId="164" fontId="22" fillId="0" borderId="1" xfId="0" applyFont="true" applyBorder="true" applyAlignment="true" applyProtection="true">
      <alignment horizontal="left" vertical="top" textRotation="0" wrapText="false" indent="0" shrinkToFit="false"/>
      <protection locked="true" hidden="false"/>
    </xf>
    <xf numFmtId="166" fontId="8" fillId="0" borderId="1" xfId="0" applyFont="true" applyBorder="true" applyAlignment="true" applyProtection="true">
      <alignment horizontal="center" vertical="center" textRotation="0" wrapText="false" indent="0" shrinkToFit="false"/>
      <protection locked="true" hidden="false"/>
    </xf>
    <xf numFmtId="166" fontId="27" fillId="0" borderId="1" xfId="0" applyFont="true" applyBorder="true" applyAlignment="true" applyProtection="true">
      <alignment horizontal="center" vertical="center" textRotation="0" wrapText="false" indent="0" shrinkToFit="false"/>
      <protection locked="true" hidden="false"/>
    </xf>
    <xf numFmtId="164" fontId="20" fillId="0" borderId="1" xfId="0" applyFont="true" applyBorder="true" applyAlignment="true" applyProtection="true">
      <alignment horizontal="left" vertical="top" textRotation="0" wrapText="true" indent="0" shrinkToFit="false"/>
      <protection locked="true" hidden="false"/>
    </xf>
    <xf numFmtId="164" fontId="22" fillId="6" borderId="0" xfId="0" applyFont="true" applyBorder="true" applyAlignment="true" applyProtection="true">
      <alignment horizontal="general" vertical="center" textRotation="0" wrapText="true" indent="0" shrinkToFit="false"/>
      <protection locked="true" hidden="false"/>
    </xf>
    <xf numFmtId="167" fontId="8" fillId="0" borderId="1" xfId="0" applyFont="true" applyBorder="true" applyAlignment="true" applyProtection="true">
      <alignment horizontal="center" vertical="center" textRotation="0" wrapText="false" indent="0" shrinkToFit="false"/>
      <protection locked="true" hidden="false"/>
    </xf>
    <xf numFmtId="168" fontId="8" fillId="0" borderId="1" xfId="0" applyFont="true" applyBorder="true" applyAlignment="true" applyProtection="true">
      <alignment horizontal="center" vertical="center" textRotation="0" wrapText="false" indent="0" shrinkToFit="false"/>
      <protection locked="true" hidden="false"/>
    </xf>
    <xf numFmtId="169" fontId="8" fillId="0" borderId="1" xfId="0" applyFont="true" applyBorder="true" applyAlignment="true" applyProtection="true">
      <alignment horizontal="center" vertical="center" textRotation="0" wrapText="false" indent="0" shrinkToFit="false"/>
      <protection locked="true" hidden="false"/>
    </xf>
    <xf numFmtId="164" fontId="11" fillId="2" borderId="0" xfId="0" applyFont="true" applyBorder="false" applyAlignment="true" applyProtection="true">
      <alignment horizontal="general" vertical="bottom" textRotation="0" wrapText="false" indent="0" shrinkToFit="false"/>
      <protection locked="true" hidden="false"/>
    </xf>
    <xf numFmtId="167" fontId="11" fillId="2" borderId="0" xfId="0" applyFont="true" applyBorder="false" applyAlignment="true" applyProtection="true">
      <alignment horizontal="center" vertical="bottom" textRotation="0" wrapText="false" indent="0" shrinkToFit="false"/>
      <protection locked="true" hidden="false"/>
    </xf>
    <xf numFmtId="168" fontId="11" fillId="2" borderId="0" xfId="0" applyFont="true" applyBorder="false" applyAlignment="true" applyProtection="true">
      <alignment horizontal="center" vertical="bottom" textRotation="0" wrapText="false" indent="0" shrinkToFit="false"/>
      <protection locked="true" hidden="false"/>
    </xf>
    <xf numFmtId="164" fontId="13" fillId="2" borderId="0" xfId="0" applyFont="true" applyBorder="false" applyAlignment="true" applyProtection="true">
      <alignment horizontal="general" vertical="center" textRotation="0" wrapText="true" indent="0" shrinkToFit="false"/>
      <protection locked="true" hidden="false"/>
    </xf>
    <xf numFmtId="169" fontId="11" fillId="2" borderId="0" xfId="0" applyFont="true" applyBorder="false" applyAlignment="true" applyProtection="true">
      <alignment horizontal="center" vertical="bottom" textRotation="0" wrapText="false" indent="0" shrinkToFit="false"/>
      <protection locked="true" hidden="false"/>
    </xf>
    <xf numFmtId="164" fontId="22" fillId="0" borderId="1" xfId="0" applyFont="true" applyBorder="true" applyAlignment="true" applyProtection="true">
      <alignment horizontal="left" vertical="top" textRotation="0" wrapText="true" indent="0" shrinkToFit="false"/>
      <protection locked="true" hidden="false"/>
    </xf>
    <xf numFmtId="164" fontId="8" fillId="0" borderId="1" xfId="0" applyFont="true" applyBorder="true" applyAlignment="true" applyProtection="true">
      <alignment horizontal="left" vertical="top" textRotation="0" wrapText="false" indent="0" shrinkToFit="false"/>
      <protection locked="true" hidden="false"/>
    </xf>
    <xf numFmtId="165" fontId="8" fillId="0" borderId="1" xfId="0" applyFont="true" applyBorder="true" applyAlignment="true" applyProtection="true">
      <alignment horizontal="center" vertical="center" textRotation="0" wrapText="false" indent="0" shrinkToFit="false"/>
      <protection locked="true" hidden="false"/>
    </xf>
    <xf numFmtId="164" fontId="11" fillId="4" borderId="1" xfId="0" applyFont="true" applyBorder="true" applyAlignment="true" applyProtection="true">
      <alignment horizontal="center" vertical="center" textRotation="0" wrapText="false" indent="0" shrinkToFit="false"/>
      <protection locked="true" hidden="false"/>
    </xf>
    <xf numFmtId="164" fontId="11" fillId="2" borderId="1" xfId="0" applyFont="true" applyBorder="true" applyAlignment="true" applyProtection="true">
      <alignment horizontal="center" vertical="center" textRotation="0" wrapText="false" indent="0" shrinkToFit="false"/>
      <protection locked="true" hidden="false"/>
    </xf>
    <xf numFmtId="170" fontId="8" fillId="0" borderId="1" xfId="0" applyFont="true" applyBorder="true" applyAlignment="true" applyProtection="true">
      <alignment horizontal="center" vertical="center" textRotation="0" wrapText="false" indent="0" shrinkToFit="false"/>
      <protection locked="true" hidden="false"/>
    </xf>
    <xf numFmtId="170" fontId="9" fillId="0" borderId="1" xfId="0" applyFont="true" applyBorder="true" applyAlignment="true" applyProtection="true">
      <alignment horizontal="center" vertical="center" textRotation="0" wrapText="false" indent="0" shrinkToFit="false"/>
      <protection locked="true" hidden="false"/>
    </xf>
    <xf numFmtId="168" fontId="27" fillId="0" borderId="1" xfId="0" applyFont="true" applyBorder="true" applyAlignment="true" applyProtection="true">
      <alignment horizontal="center" vertical="center" textRotation="0" wrapText="false" indent="0" shrinkToFit="false"/>
      <protection locked="true" hidden="false"/>
    </xf>
    <xf numFmtId="167" fontId="27" fillId="0" borderId="1" xfId="0" applyFont="true" applyBorder="true" applyAlignment="true" applyProtection="true">
      <alignment horizontal="center" vertical="center"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center" textRotation="0" wrapText="tru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22" fillId="3" borderId="0" xfId="0" applyFont="true" applyBorder="false" applyAlignment="true" applyProtection="true">
      <alignment horizontal="left" vertical="center" textRotation="0" wrapText="false" indent="1" shrinkToFit="false"/>
      <protection locked="true" hidden="false"/>
    </xf>
    <xf numFmtId="164" fontId="12" fillId="6" borderId="1" xfId="0" applyFont="true" applyBorder="true" applyAlignment="true" applyProtection="true">
      <alignment horizontal="center" vertical="center" textRotation="0" wrapText="false" indent="0" shrinkToFit="false"/>
      <protection locked="true" hidden="false"/>
    </xf>
    <xf numFmtId="164" fontId="5" fillId="3" borderId="0" xfId="0" applyFont="true" applyBorder="true" applyAlignment="true" applyProtection="true">
      <alignment horizontal="general" vertical="center" textRotation="0" wrapText="false" indent="1" shrinkToFit="false"/>
      <protection locked="true" hidden="false"/>
    </xf>
    <xf numFmtId="164" fontId="8" fillId="0" borderId="1" xfId="0" applyFont="true" applyBorder="true" applyAlignment="true" applyProtection="true">
      <alignment horizontal="left" vertical="top" textRotation="0" wrapText="true" indent="0" shrinkToFit="false"/>
      <protection locked="true" hidden="false"/>
    </xf>
    <xf numFmtId="169" fontId="8" fillId="6" borderId="1" xfId="0" applyFont="true" applyBorder="true" applyAlignment="true" applyProtection="true">
      <alignment horizontal="center" vertical="top" textRotation="0" wrapText="false" indent="0" shrinkToFit="false"/>
      <protection locked="true" hidden="false"/>
    </xf>
    <xf numFmtId="164" fontId="29" fillId="0" borderId="1" xfId="0" applyFont="true" applyBorder="true" applyAlignment="true" applyProtection="true">
      <alignment horizontal="center" vertical="center" textRotation="0" wrapText="false" indent="0" shrinkToFit="false"/>
      <protection locked="true" hidden="false"/>
    </xf>
    <xf numFmtId="164" fontId="15" fillId="0" borderId="1" xfId="0" applyFont="true" applyBorder="true" applyAlignment="true" applyProtection="true">
      <alignment horizontal="left" vertical="top" textRotation="0" wrapText="true" indent="0" shrinkToFit="false"/>
      <protection locked="true" hidden="false"/>
    </xf>
    <xf numFmtId="164" fontId="20" fillId="0" borderId="0" xfId="0" applyFont="true" applyBorder="true" applyAlignment="true" applyProtection="true">
      <alignment horizontal="general" vertical="center" textRotation="0" wrapText="true" indent="0" shrinkToFit="false"/>
      <protection locked="true" hidden="false"/>
    </xf>
    <xf numFmtId="164" fontId="30" fillId="0" borderId="1" xfId="0" applyFont="true" applyBorder="true" applyAlignment="true" applyProtection="true">
      <alignment horizontal="center" vertical="center" textRotation="0" wrapText="false" indent="0" shrinkToFit="false"/>
      <protection locked="true" hidden="false"/>
    </xf>
    <xf numFmtId="164" fontId="8" fillId="8" borderId="1" xfId="0" applyFont="true" applyBorder="true" applyAlignment="true" applyProtection="true">
      <alignment horizontal="left" vertical="top" textRotation="0" wrapText="true" indent="0" shrinkToFit="false"/>
      <protection locked="true" hidden="false"/>
    </xf>
    <xf numFmtId="164" fontId="19" fillId="0" borderId="1" xfId="0" applyFont="true" applyBorder="true" applyAlignment="true" applyProtection="true">
      <alignment horizontal="center" vertical="center" textRotation="0" wrapText="false" indent="0" shrinkToFit="false"/>
      <protection locked="true" hidden="false"/>
    </xf>
    <xf numFmtId="164" fontId="21" fillId="0" borderId="1" xfId="0" applyFont="true" applyBorder="true" applyAlignment="true" applyProtection="true">
      <alignment horizontal="left" vertical="top" textRotation="0" wrapText="true" indent="0" shrinkToFit="false"/>
      <protection locked="true" hidden="false"/>
    </xf>
    <xf numFmtId="164" fontId="19" fillId="6" borderId="1" xfId="0" applyFont="true" applyBorder="true" applyAlignment="true" applyProtection="true">
      <alignment horizontal="center" vertical="center" textRotation="0" wrapText="false" indent="0" shrinkToFit="false"/>
      <protection locked="true" hidden="false"/>
    </xf>
    <xf numFmtId="164" fontId="21" fillId="6" borderId="1" xfId="0" applyFont="true" applyBorder="true" applyAlignment="true" applyProtection="true">
      <alignment horizontal="left" vertical="top" textRotation="0" wrapText="true" indent="0" shrinkToFit="false"/>
      <protection locked="true" hidden="false"/>
    </xf>
    <xf numFmtId="167" fontId="8" fillId="6" borderId="1" xfId="0" applyFont="true" applyBorder="true" applyAlignment="true" applyProtection="true">
      <alignment horizontal="center" vertical="top" textRotation="0" wrapText="false" indent="0" shrinkToFit="false"/>
      <protection locked="true" hidden="false"/>
    </xf>
    <xf numFmtId="164" fontId="8" fillId="6" borderId="1" xfId="0" applyFont="true" applyBorder="true" applyAlignment="true" applyProtection="true">
      <alignment horizontal="general" vertical="bottom" textRotation="0" wrapText="false" indent="0" shrinkToFit="false"/>
      <protection locked="true" hidden="false"/>
    </xf>
    <xf numFmtId="164" fontId="31" fillId="0" borderId="1" xfId="0" applyFont="true" applyBorder="true" applyAlignment="true" applyProtection="true">
      <alignment horizontal="left" vertical="top" textRotation="0" wrapText="true" indent="0" shrinkToFit="false"/>
      <protection locked="true" hidden="false"/>
    </xf>
    <xf numFmtId="164" fontId="9" fillId="0" borderId="1" xfId="0" applyFont="true" applyBorder="true" applyAlignment="true" applyProtection="true">
      <alignment horizontal="left" vertical="top" textRotation="0" wrapText="true" indent="0" shrinkToFit="false"/>
      <protection locked="true" hidden="false"/>
    </xf>
    <xf numFmtId="166" fontId="8" fillId="9" borderId="1" xfId="0" applyFont="true" applyBorder="true" applyAlignment="true" applyProtection="true">
      <alignment horizontal="center" vertical="center" textRotation="0" wrapText="false" indent="0" shrinkToFit="false"/>
      <protection locked="true" hidden="false"/>
    </xf>
    <xf numFmtId="164" fontId="8" fillId="9" borderId="1" xfId="0" applyFont="true" applyBorder="true" applyAlignment="true" applyProtection="true">
      <alignment horizontal="general" vertical="top" textRotation="0" wrapText="true" indent="0" shrinkToFit="false"/>
      <protection locked="true" hidden="false"/>
    </xf>
    <xf numFmtId="164" fontId="32" fillId="0" borderId="1" xfId="0" applyFont="true" applyBorder="true" applyAlignment="true" applyProtection="true">
      <alignment horizontal="left" vertical="top" textRotation="0" wrapText="true" indent="0" shrinkToFit="false"/>
      <protection locked="true" hidden="false"/>
    </xf>
    <xf numFmtId="164" fontId="33" fillId="0" borderId="1"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2E5C9A"/>
          <bgColor rgb="FF000000"/>
        </patternFill>
      </fill>
    </dxf>
    <dxf>
      <fill>
        <patternFill patternType="solid">
          <fgColor rgb="FFFFF2CC"/>
          <bgColor rgb="FF000000"/>
        </patternFill>
      </fill>
    </dxf>
    <dxf>
      <fill>
        <patternFill patternType="solid">
          <bgColor rgb="FF000000"/>
        </patternFill>
      </fill>
    </dxf>
    <dxf>
      <fill>
        <patternFill patternType="solid">
          <fgColor rgb="FF000000"/>
          <bgColor rgb="FF000000"/>
        </patternFill>
      </fill>
    </dxf>
    <dxf>
      <fill>
        <patternFill patternType="solid">
          <fgColor rgb="FF808080"/>
          <bgColor rgb="FF000000"/>
        </patternFill>
      </fill>
    </dxf>
    <dxf>
      <fill>
        <patternFill patternType="solid">
          <fgColor rgb="FFFFFFFF"/>
          <bgColor rgb="FF000000"/>
        </patternFill>
      </fill>
    </dxf>
    <dxf>
      <fill>
        <patternFill>
          <bgColor rgb="FFFFC7CE"/>
        </patternFill>
      </fill>
    </dxf>
    <dxf>
      <fill>
        <patternFill>
          <bgColor rgb="FFC6EFCE"/>
        </patternFill>
      </fill>
    </dxf>
    <dxf>
      <font>
        <name val="Arial"/>
        <charset val="1"/>
        <family val="0"/>
        <b val="1"/>
        <color rgb="FF9C0006"/>
        <sz val="10"/>
      </font>
      <fill>
        <patternFill>
          <bgColor rgb="FFFFC7CE"/>
        </patternFill>
      </fill>
    </dxf>
    <dxf>
      <fill>
        <patternFill>
          <bgColor rgb="FFFFEB9C"/>
        </patternFill>
      </fill>
    </dxf>
    <dxf>
      <fill>
        <patternFill patternType="solid">
          <fgColor rgb="FFC6EFCE"/>
          <bgColor rgb="FF000000"/>
        </patternFill>
      </fill>
    </dxf>
    <dxf>
      <fill>
        <patternFill patternType="solid">
          <fgColor rgb="FF1F3864"/>
          <bgColor rgb="FF000000"/>
        </patternFill>
      </fill>
    </dxf>
    <dxf>
      <fill>
        <patternFill patternType="solid">
          <fgColor rgb="FFFFC7CE"/>
          <bgColor rgb="FF000000"/>
        </patternFill>
      </fill>
    </dxf>
    <dxf>
      <fill>
        <patternFill patternType="solid">
          <fgColor rgb="FF595959"/>
          <bgColor rgb="FF000000"/>
        </patternFill>
      </fill>
    </dxf>
    <dxf>
      <fill>
        <patternFill patternType="solid">
          <fgColor rgb="FFF8CBAD"/>
          <bgColor rgb="FF000000"/>
        </patternFill>
      </fill>
    </dxf>
    <dxf>
      <fill>
        <patternFill patternType="solid">
          <fgColor rgb="FFFFEB9C"/>
          <bgColor rgb="FF000000"/>
        </patternFill>
      </fill>
    </dxf>
    <dxf>
      <fill>
        <patternFill patternType="solid">
          <fgColor rgb="FFDDEBF7"/>
          <bgColor rgb="FF000000"/>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6000"/>
      <rgbColor rgb="FF800080"/>
      <rgbColor rgb="FF0A66C2"/>
      <rgbColor rgb="FFBFBFBF"/>
      <rgbColor rgb="FF808080"/>
      <rgbColor rgb="FFA6A6A6"/>
      <rgbColor rgb="FFBE4B48"/>
      <rgbColor rgb="FFFFF2CC"/>
      <rgbColor rgb="FFDDEBF7"/>
      <rgbColor rgb="FF660066"/>
      <rgbColor rgb="FF4A7EBB"/>
      <rgbColor rgb="FF0563C1"/>
      <rgbColor rgb="FFD9D9D9"/>
      <rgbColor rgb="FF000080"/>
      <rgbColor rgb="FFFF00FF"/>
      <rgbColor rgb="FFFFFF00"/>
      <rgbColor rgb="FF00FFFF"/>
      <rgbColor rgb="FF800080"/>
      <rgbColor rgb="FF7B3F00"/>
      <rgbColor rgb="FF2E75B6"/>
      <rgbColor rgb="FF0000FF"/>
      <rgbColor rgb="FF4F81BD"/>
      <rgbColor rgb="FFDCE6F1"/>
      <rgbColor rgb="FFC6EFCE"/>
      <rgbColor rgb="FFFFEB9C"/>
      <rgbColor rgb="FFF5F0FA"/>
      <rgbColor rgb="FFFF99CC"/>
      <rgbColor rgb="FF7F7F7F"/>
      <rgbColor rgb="FFFFC7CE"/>
      <rgbColor rgb="FF1F6FEB"/>
      <rgbColor rgb="FF00B050"/>
      <rgbColor rgb="FFBF8F00"/>
      <rgbColor rgb="FFFFCC00"/>
      <rgbColor rgb="FFC9A227"/>
      <rgbColor rgb="FFC55A11"/>
      <rgbColor rgb="FF595959"/>
      <rgbColor rgb="FF878787"/>
      <rgbColor rgb="FF1F3864"/>
      <rgbColor rgb="FF548235"/>
      <rgbColor rgb="FF2E5C9A"/>
      <rgbColor rgb="FF375623"/>
      <rgbColor rgb="FF833C0C"/>
      <rgbColor rgb="FF7030A0"/>
      <rgbColor rgb="FF1F4E79"/>
      <rgbColor rgb="FF20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Tasks by status</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Dashboard!$H$4:$H$9</c:f>
              <c:strCache>
                <c:ptCount val="6"/>
                <c:pt idx="0">
                  <c:v>Not Started</c:v>
                </c:pt>
                <c:pt idx="1">
                  <c:v>In Progress</c:v>
                </c:pt>
                <c:pt idx="2">
                  <c:v>Waiting</c:v>
                </c:pt>
                <c:pt idx="3">
                  <c:v>Blocked</c:v>
                </c:pt>
                <c:pt idx="4">
                  <c:v>Complete</c:v>
                </c:pt>
                <c:pt idx="5">
                  <c:v>Paused</c:v>
                </c:pt>
              </c:strCache>
            </c:strRef>
          </c:cat>
          <c:val>
            <c:numRef>
              <c:f>Dashboard!$I$4:$I$9</c:f>
              <c:numCache>
                <c:formatCode>General</c:formatCode>
                <c:ptCount val="6"/>
                <c:pt idx="0">
                  <c:v>63</c:v>
                </c:pt>
                <c:pt idx="1">
                  <c:v>0</c:v>
                </c:pt>
                <c:pt idx="2">
                  <c:v>0</c:v>
                </c:pt>
                <c:pt idx="3">
                  <c:v>0</c:v>
                </c:pt>
                <c:pt idx="4">
                  <c:v>0</c:v>
                </c:pt>
                <c:pt idx="5">
                  <c:v>0</c:v>
                </c:pt>
              </c:numCache>
            </c:numRef>
          </c:val>
        </c:ser>
        <c:gapWidth val="150"/>
        <c:overlap val="0"/>
        <c:axId val="687450"/>
        <c:axId val="51152702"/>
      </c:barChart>
      <c:catAx>
        <c:axId val="68745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152702"/>
        <c:crosses val="autoZero"/>
        <c:auto val="1"/>
        <c:lblAlgn val="ctr"/>
        <c:lblOffset val="100"/>
        <c:noMultiLvlLbl val="0"/>
      </c:catAx>
      <c:valAx>
        <c:axId val="5115270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Tasks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745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Platform accounts by status</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Dashboard!$H$12:$H$17</c:f>
              <c:strCache>
                <c:ptCount val="6"/>
                <c:pt idx="0">
                  <c:v>Not Started</c:v>
                </c:pt>
                <c:pt idx="1">
                  <c:v>In Progress</c:v>
                </c:pt>
                <c:pt idx="2">
                  <c:v>Waiting</c:v>
                </c:pt>
                <c:pt idx="3">
                  <c:v>Blocked</c:v>
                </c:pt>
                <c:pt idx="4">
                  <c:v>Complete</c:v>
                </c:pt>
                <c:pt idx="5">
                  <c:v>Paused</c:v>
                </c:pt>
              </c:strCache>
            </c:strRef>
          </c:cat>
          <c:val>
            <c:numRef>
              <c:f>Dashboard!$I$12:$I$17</c:f>
              <c:numCache>
                <c:formatCode>General</c:formatCode>
                <c:ptCount val="6"/>
                <c:pt idx="0">
                  <c:v>46</c:v>
                </c:pt>
                <c:pt idx="1">
                  <c:v>0</c:v>
                </c:pt>
                <c:pt idx="2">
                  <c:v>0</c:v>
                </c:pt>
                <c:pt idx="3">
                  <c:v>0</c:v>
                </c:pt>
                <c:pt idx="4">
                  <c:v>0</c:v>
                </c:pt>
                <c:pt idx="5">
                  <c:v>0</c:v>
                </c:pt>
              </c:numCache>
            </c:numRef>
          </c:val>
        </c:ser>
        <c:gapWidth val="150"/>
        <c:overlap val="0"/>
        <c:axId val="93499479"/>
        <c:axId val="34330679"/>
      </c:barChart>
      <c:catAx>
        <c:axId val="9349947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330679"/>
        <c:crosses val="autoZero"/>
        <c:auto val="1"/>
        <c:lblAlgn val="ctr"/>
        <c:lblOffset val="100"/>
        <c:noMultiLvlLbl val="0"/>
      </c:catAx>
      <c:valAx>
        <c:axId val="3433067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Platforms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49947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Weekly outreach: connections vs messages</a:t>
            </a:r>
          </a:p>
        </c:rich>
      </c:tx>
      <c:overlay val="0"/>
      <c:spPr>
        <a:noFill/>
        <a:ln w="0">
          <a:noFill/>
        </a:ln>
      </c:spPr>
    </c:title>
    <c:autoTitleDeleted val="0"/>
    <c:plotArea>
      <c:lineChart>
        <c:grouping val="standard"/>
        <c:varyColors val="0"/>
        <c:ser>
          <c:idx val="0"/>
          <c:order val="0"/>
          <c:tx>
            <c:strRef>
              <c:f>'Weekly Review'!E3</c:f>
              <c:strCache>
                <c:ptCount val="1"/>
                <c:pt idx="0">
                  <c:v>Connections sent (outreach log)</c:v>
                </c:pt>
              </c:strCache>
            </c:strRef>
          </c:tx>
          <c:spPr>
            <a:solidFill>
              <a:srgbClr val="4a7ebb"/>
            </a:solidFill>
            <a:ln w="28440">
              <a:solidFill>
                <a:srgbClr val="4a7ebb"/>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 Review'!$A$4:$A$29</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'Weekly Review'!$E$4:$E$29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1"/>
        </c:ser>
        <c:ser>
          <c:idx val="1"/>
          <c:order val="1"/>
          <c:tx>
            <c:strRef>
              <c:f>'Weekly Review'!H3</c:f>
              <c:strCache>
                <c:ptCount val="1"/>
                <c:pt idx="0">
                  <c:v>Messages sent (outreach log)</c:v>
                </c:pt>
              </c:strCache>
            </c:strRef>
          </c:tx>
          <c:spPr>
            <a:solidFill>
              <a:srgbClr val="be4b48"/>
            </a:solidFill>
            <a:ln w="28440">
              <a:solidFill>
                <a:srgbClr val="be4b48"/>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 Review'!$A$4:$A$29</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'Weekly Review'!$H$4:$H$29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1"/>
        </c:ser>
        <c:hiLowLines>
          <c:spPr>
            <a:ln w="0">
              <a:noFill/>
            </a:ln>
          </c:spPr>
        </c:hiLowLines>
        <c:marker val="0"/>
        <c:axId val="59388452"/>
        <c:axId val="49115685"/>
      </c:lineChart>
      <c:catAx>
        <c:axId val="5938845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115685"/>
        <c:crosses val="autoZero"/>
        <c:auto val="1"/>
        <c:lblAlgn val="ctr"/>
        <c:lblOffset val="100"/>
        <c:noMultiLvlLbl val="0"/>
      </c:catAx>
      <c:valAx>
        <c:axId val="49115685"/>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38845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Weekly acceptance % and reply %</a:t>
            </a:r>
          </a:p>
        </c:rich>
      </c:tx>
      <c:overlay val="0"/>
      <c:spPr>
        <a:noFill/>
        <a:ln w="0">
          <a:noFill/>
        </a:ln>
      </c:spPr>
    </c:title>
    <c:autoTitleDeleted val="0"/>
    <c:plotArea>
      <c:lineChart>
        <c:grouping val="standard"/>
        <c:varyColors val="0"/>
        <c:ser>
          <c:idx val="0"/>
          <c:order val="0"/>
          <c:tx>
            <c:strRef>
              <c:f>'Weekly Review'!G3</c:f>
              <c:strCache>
                <c:ptCount val="1"/>
                <c:pt idx="0">
                  <c:v>Acceptance %</c:v>
                </c:pt>
              </c:strCache>
            </c:strRef>
          </c:tx>
          <c:spPr>
            <a:solidFill>
              <a:srgbClr val="4a7ebb"/>
            </a:solidFill>
            <a:ln w="28440">
              <a:solidFill>
                <a:srgbClr val="4a7ebb"/>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 Review'!$A$4:$A$29</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'Weekly Review'!$G$4:$G$29</c:f>
              <c:numCache>
                <c:formatCode>General</c:formatCode>
                <c:ptCount val="26"/>
              </c:numCache>
            </c:numRef>
          </c:val>
          <c:smooth val="1"/>
        </c:ser>
        <c:ser>
          <c:idx val="1"/>
          <c:order val="1"/>
          <c:tx>
            <c:strRef>
              <c:f>'Weekly Review'!J3</c:f>
              <c:strCache>
                <c:ptCount val="1"/>
                <c:pt idx="0">
                  <c:v>Reply %</c:v>
                </c:pt>
              </c:strCache>
            </c:strRef>
          </c:tx>
          <c:spPr>
            <a:solidFill>
              <a:srgbClr val="be4b48"/>
            </a:solidFill>
            <a:ln w="28440">
              <a:solidFill>
                <a:srgbClr val="be4b48"/>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 Review'!$A$4:$A$29</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'Weekly Review'!$J$4:$J$29</c:f>
              <c:numCache>
                <c:formatCode>General</c:formatCode>
                <c:ptCount val="26"/>
              </c:numCache>
            </c:numRef>
          </c:val>
          <c:smooth val="1"/>
        </c:ser>
        <c:hiLowLines>
          <c:spPr>
            <a:ln w="0">
              <a:noFill/>
            </a:ln>
          </c:spPr>
        </c:hiLowLines>
        <c:marker val="0"/>
        <c:axId val="51721096"/>
        <c:axId val="17528045"/>
      </c:lineChart>
      <c:catAx>
        <c:axId val="5172109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528045"/>
        <c:crosses val="autoZero"/>
        <c:auto val="1"/>
        <c:lblAlgn val="ctr"/>
        <c:lblOffset val="100"/>
        <c:noMultiLvlLbl val="0"/>
      </c:catAx>
      <c:valAx>
        <c:axId val="17528045"/>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72109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drawings/_rels/drawing4.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10</xdr:col>
      <xdr:colOff>97920</xdr:colOff>
      <xdr:row>13</xdr:row>
      <xdr:rowOff>105480</xdr:rowOff>
    </xdr:to>
    <xdr:graphicFrame>
      <xdr:nvGraphicFramePr>
        <xdr:cNvPr id="0" name="Chart 1"/>
        <xdr:cNvGraphicFramePr/>
      </xdr:nvGraphicFramePr>
      <xdr:xfrm>
        <a:off x="10995840" y="743040"/>
        <a:ext cx="4679280" cy="2591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19</xdr:row>
      <xdr:rowOff>0</xdr:rowOff>
    </xdr:from>
    <xdr:to>
      <xdr:col>10</xdr:col>
      <xdr:colOff>97920</xdr:colOff>
      <xdr:row>29</xdr:row>
      <xdr:rowOff>162720</xdr:rowOff>
    </xdr:to>
    <xdr:graphicFrame>
      <xdr:nvGraphicFramePr>
        <xdr:cNvPr id="1" name="Chart 2"/>
        <xdr:cNvGraphicFramePr/>
      </xdr:nvGraphicFramePr>
      <xdr:xfrm>
        <a:off x="10995840" y="4667400"/>
        <a:ext cx="4679280" cy="2591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35</xdr:row>
      <xdr:rowOff>0</xdr:rowOff>
    </xdr:from>
    <xdr:to>
      <xdr:col>10</xdr:col>
      <xdr:colOff>97920</xdr:colOff>
      <xdr:row>46</xdr:row>
      <xdr:rowOff>60840</xdr:rowOff>
    </xdr:to>
    <xdr:graphicFrame>
      <xdr:nvGraphicFramePr>
        <xdr:cNvPr id="2" name="Chart 3"/>
        <xdr:cNvGraphicFramePr/>
      </xdr:nvGraphicFramePr>
      <xdr:xfrm>
        <a:off x="10995840" y="8582040"/>
        <a:ext cx="4679280" cy="269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51</xdr:row>
      <xdr:rowOff>0</xdr:rowOff>
    </xdr:from>
    <xdr:to>
      <xdr:col>10</xdr:col>
      <xdr:colOff>97920</xdr:colOff>
      <xdr:row>62</xdr:row>
      <xdr:rowOff>51120</xdr:rowOff>
    </xdr:to>
    <xdr:graphicFrame>
      <xdr:nvGraphicFramePr>
        <xdr:cNvPr id="3" name="Chart 4"/>
        <xdr:cNvGraphicFramePr/>
      </xdr:nvGraphicFramePr>
      <xdr:xfrm>
        <a:off x="10995840" y="12430080"/>
        <a:ext cx="4679280" cy="269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8.xml.rels><?xml version="1.0" encoding="UTF-8"?>
<Relationships xmlns="http://schemas.openxmlformats.org/package/2006/relationships"><Relationship Id="rId1" Type="http://schemas.openxmlformats.org/officeDocument/2006/relationships/drawing" Target="../drawings/drawing8.xml"/>
</Relationships>
</file>

<file path=xl/worksheets/_rels/sheet19.xml.rels><?xml version="1.0" encoding="UTF-8"?>
<Relationships xmlns="http://schemas.openxmlformats.org/package/2006/relationships"><Relationship Id="rId1" Type="http://schemas.openxmlformats.org/officeDocument/2006/relationships/drawing" Target="../drawings/drawing9.xml"/>
</Relationships>
</file>

<file path=xl/worksheets/_rels/sheet23.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true"/>
  </sheetPr>
  <dimension ref="A1:F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46"/>
    <col collapsed="false" customWidth="true" hidden="false" outlineLevel="0" max="3" min="3" style="1" width="30"/>
    <col collapsed="false" customWidth="true" hidden="false" outlineLevel="0" max="4" min="4" style="1" width="22"/>
    <col collapsed="false" customWidth="true" hidden="false" outlineLevel="0" max="6" min="5" style="1" width="18"/>
  </cols>
  <sheetData>
    <row r="1" customFormat="false" ht="25.5" hidden="false" customHeight="true" outlineLevel="0" collapsed="false">
      <c r="A1" s="2" t="s">
        <v>0</v>
      </c>
      <c r="B1" s="2"/>
      <c r="C1" s="2"/>
      <c r="D1" s="2"/>
      <c r="E1" s="2"/>
      <c r="F1" s="2"/>
    </row>
    <row r="2" customFormat="false" ht="18" hidden="false" customHeight="true" outlineLevel="0" collapsed="false">
      <c r="A2" s="3" t="s">
        <v>1</v>
      </c>
      <c r="B2" s="3"/>
      <c r="C2" s="3"/>
      <c r="D2" s="3"/>
      <c r="E2" s="3"/>
      <c r="F2" s="3"/>
    </row>
    <row r="4" customFormat="false" ht="21.75" hidden="false" customHeight="true" outlineLevel="0" collapsed="false">
      <c r="A4" s="4" t="s">
        <v>2</v>
      </c>
      <c r="B4" s="4"/>
      <c r="C4" s="4"/>
      <c r="D4" s="4"/>
      <c r="E4" s="4"/>
      <c r="F4" s="4"/>
    </row>
    <row r="5" customFormat="false" ht="39.75" hidden="false" customHeight="true" outlineLevel="0" collapsed="false">
      <c r="A5" s="5" t="s">
        <v>3</v>
      </c>
      <c r="B5" s="6" t="s">
        <v>4</v>
      </c>
      <c r="C5" s="6"/>
      <c r="D5" s="6"/>
      <c r="E5" s="6"/>
      <c r="F5" s="6"/>
    </row>
    <row r="6" customFormat="false" ht="39.75" hidden="false" customHeight="true" outlineLevel="0" collapsed="false">
      <c r="A6" s="7" t="s">
        <v>5</v>
      </c>
      <c r="B6" s="8" t="s">
        <v>6</v>
      </c>
      <c r="C6" s="8"/>
      <c r="D6" s="8"/>
      <c r="E6" s="8"/>
      <c r="F6" s="8"/>
    </row>
    <row r="7" customFormat="false" ht="39.75" hidden="false" customHeight="true" outlineLevel="0" collapsed="false">
      <c r="A7" s="7" t="s">
        <v>7</v>
      </c>
      <c r="B7" s="8" t="s">
        <v>8</v>
      </c>
      <c r="C7" s="8"/>
      <c r="D7" s="8"/>
      <c r="E7" s="8"/>
      <c r="F7" s="8"/>
    </row>
    <row r="8" customFormat="false" ht="39.75" hidden="false" customHeight="true" outlineLevel="0" collapsed="false">
      <c r="A8" s="7" t="s">
        <v>9</v>
      </c>
      <c r="B8" s="8" t="s">
        <v>10</v>
      </c>
      <c r="C8" s="8"/>
      <c r="D8" s="8"/>
      <c r="E8" s="8"/>
      <c r="F8" s="8"/>
    </row>
    <row r="9" customFormat="false" ht="39.75" hidden="false" customHeight="true" outlineLevel="0" collapsed="false">
      <c r="A9" s="7" t="s">
        <v>11</v>
      </c>
      <c r="B9" s="8" t="s">
        <v>12</v>
      </c>
      <c r="C9" s="8"/>
      <c r="D9" s="8"/>
      <c r="E9" s="8"/>
      <c r="F9" s="8"/>
    </row>
    <row r="10" customFormat="false" ht="39.75" hidden="false" customHeight="true" outlineLevel="0" collapsed="false">
      <c r="A10" s="7" t="s">
        <v>13</v>
      </c>
      <c r="B10" s="8" t="s">
        <v>14</v>
      </c>
      <c r="C10" s="8"/>
      <c r="D10" s="8"/>
      <c r="E10" s="8"/>
      <c r="F10" s="8"/>
    </row>
    <row r="11" customFormat="false" ht="39.75" hidden="false" customHeight="true" outlineLevel="0" collapsed="false">
      <c r="A11" s="7" t="s">
        <v>15</v>
      </c>
      <c r="B11" s="8" t="s">
        <v>16</v>
      </c>
      <c r="C11" s="8"/>
      <c r="D11" s="8"/>
      <c r="E11" s="8"/>
      <c r="F11" s="8"/>
    </row>
    <row r="12" customFormat="false" ht="39.75" hidden="false" customHeight="true" outlineLevel="0" collapsed="false">
      <c r="A12" s="7" t="s">
        <v>17</v>
      </c>
      <c r="B12" s="8" t="s">
        <v>18</v>
      </c>
      <c r="C12" s="8"/>
      <c r="D12" s="8"/>
      <c r="E12" s="8"/>
      <c r="F12" s="8"/>
    </row>
    <row r="13" customFormat="false" ht="39.75" hidden="false" customHeight="true" outlineLevel="0" collapsed="false">
      <c r="A13" s="7" t="s">
        <v>19</v>
      </c>
      <c r="B13" s="8" t="s">
        <v>20</v>
      </c>
      <c r="C13" s="8"/>
      <c r="D13" s="8"/>
      <c r="E13" s="8"/>
      <c r="F13" s="8"/>
    </row>
    <row r="14" customFormat="false" ht="39.75" hidden="false" customHeight="true" outlineLevel="0" collapsed="false">
      <c r="A14" s="7" t="s">
        <v>21</v>
      </c>
      <c r="B14" s="8" t="s">
        <v>22</v>
      </c>
      <c r="C14" s="8"/>
      <c r="D14" s="8"/>
      <c r="E14" s="8"/>
      <c r="F14" s="8"/>
    </row>
    <row r="15" customFormat="false" ht="39.75" hidden="false" customHeight="true" outlineLevel="0" collapsed="false">
      <c r="A15" s="7" t="s">
        <v>23</v>
      </c>
      <c r="B15" s="8" t="s">
        <v>24</v>
      </c>
      <c r="C15" s="8"/>
      <c r="D15" s="8"/>
      <c r="E15" s="8"/>
      <c r="F15" s="8"/>
    </row>
    <row r="17" customFormat="false" ht="21.75" hidden="false" customHeight="true" outlineLevel="0" collapsed="false">
      <c r="A17" s="4" t="s">
        <v>25</v>
      </c>
      <c r="B17" s="4"/>
      <c r="C17" s="4"/>
      <c r="D17" s="4"/>
      <c r="E17" s="4"/>
      <c r="F17" s="4"/>
    </row>
    <row r="18" customFormat="false" ht="19.5" hidden="false" customHeight="true" outlineLevel="0" collapsed="false">
      <c r="A18" s="9" t="s">
        <v>26</v>
      </c>
      <c r="B18" s="10"/>
    </row>
    <row r="19" customFormat="false" ht="19.5" hidden="false" customHeight="true" outlineLevel="0" collapsed="false">
      <c r="A19" s="9" t="s">
        <v>27</v>
      </c>
      <c r="B19" s="10"/>
    </row>
    <row r="20" customFormat="false" ht="19.5" hidden="false" customHeight="true" outlineLevel="0" collapsed="false">
      <c r="A20" s="9" t="s">
        <v>28</v>
      </c>
      <c r="B20" s="11" t="s">
        <v>29</v>
      </c>
    </row>
    <row r="21" customFormat="false" ht="19.5" hidden="false" customHeight="true" outlineLevel="0" collapsed="false">
      <c r="A21" s="9" t="s">
        <v>30</v>
      </c>
      <c r="B21" s="10" t="n">
        <v>5</v>
      </c>
    </row>
    <row r="23" customFormat="false" ht="21.75" hidden="false" customHeight="true" outlineLevel="0" collapsed="false">
      <c r="A23" s="4" t="s">
        <v>31</v>
      </c>
      <c r="B23" s="4"/>
      <c r="C23" s="4"/>
      <c r="D23" s="4"/>
      <c r="E23" s="4"/>
      <c r="F23" s="4"/>
    </row>
    <row r="24" customFormat="false" ht="15" hidden="false" customHeight="false" outlineLevel="0" collapsed="false">
      <c r="A24" s="12" t="s">
        <v>32</v>
      </c>
      <c r="B24" s="12" t="s">
        <v>33</v>
      </c>
      <c r="C24" s="12" t="s">
        <v>34</v>
      </c>
    </row>
    <row r="25" customFormat="false" ht="15" hidden="false" customHeight="false" outlineLevel="0" collapsed="false">
      <c r="A25" s="13" t="s">
        <v>35</v>
      </c>
      <c r="B25" s="14" t="n">
        <v>30</v>
      </c>
      <c r="C25" s="15" t="n">
        <f aca="false">B25*'START HERE'!$B$21</f>
        <v>150</v>
      </c>
    </row>
    <row r="26" customFormat="false" ht="15" hidden="false" customHeight="false" outlineLevel="0" collapsed="false">
      <c r="A26" s="13" t="s">
        <v>36</v>
      </c>
      <c r="B26" s="14" t="n">
        <v>20</v>
      </c>
      <c r="C26" s="15" t="n">
        <f aca="false">B26*'START HERE'!$B$21</f>
        <v>100</v>
      </c>
    </row>
    <row r="27" customFormat="false" ht="15" hidden="false" customHeight="false" outlineLevel="0" collapsed="false">
      <c r="A27" s="13" t="s">
        <v>37</v>
      </c>
      <c r="B27" s="14" t="n">
        <v>15</v>
      </c>
      <c r="C27" s="15" t="n">
        <f aca="false">B27*'START HERE'!$B$21</f>
        <v>75</v>
      </c>
    </row>
    <row r="28" customFormat="false" ht="15" hidden="false" customHeight="false" outlineLevel="0" collapsed="false">
      <c r="A28" s="13" t="s">
        <v>38</v>
      </c>
      <c r="B28" s="14" t="n">
        <v>10</v>
      </c>
      <c r="C28" s="15" t="n">
        <f aca="false">B28*'START HERE'!$B$21</f>
        <v>50</v>
      </c>
    </row>
    <row r="29" customFormat="false" ht="15" hidden="false" customHeight="false" outlineLevel="0" collapsed="false">
      <c r="A29" s="13" t="s">
        <v>39</v>
      </c>
      <c r="B29" s="14" t="n">
        <v>2</v>
      </c>
      <c r="C29" s="15" t="n">
        <f aca="false">B29*'START HERE'!$B$21</f>
        <v>10</v>
      </c>
    </row>
    <row r="30" customFormat="false" ht="15" hidden="false" customHeight="false" outlineLevel="0" collapsed="false">
      <c r="A30" s="13" t="s">
        <v>40</v>
      </c>
      <c r="B30" s="14" t="n">
        <v>3</v>
      </c>
      <c r="C30" s="15" t="n">
        <f aca="false">B30*'START HERE'!$B$21</f>
        <v>15</v>
      </c>
    </row>
    <row r="31" customFormat="false" ht="15" hidden="false" customHeight="false" outlineLevel="0" collapsed="false">
      <c r="A31" s="13" t="s">
        <v>41</v>
      </c>
      <c r="B31" s="14" t="n">
        <v>5</v>
      </c>
      <c r="C31" s="15" t="n">
        <f aca="false">B31*'START HERE'!$B$21</f>
        <v>25</v>
      </c>
    </row>
    <row r="32" customFormat="false" ht="15" hidden="false" customHeight="false" outlineLevel="0" collapsed="false">
      <c r="A32" s="13" t="s">
        <v>42</v>
      </c>
      <c r="B32" s="14" t="n">
        <v>15</v>
      </c>
      <c r="C32" s="15" t="n">
        <f aca="false">B32*'START HERE'!$B$21</f>
        <v>75</v>
      </c>
    </row>
    <row r="34" customFormat="false" ht="21.75" hidden="false" customHeight="true" outlineLevel="0" collapsed="false">
      <c r="A34" s="4" t="s">
        <v>43</v>
      </c>
      <c r="B34" s="4"/>
      <c r="C34" s="4"/>
      <c r="D34" s="4"/>
      <c r="E34" s="4"/>
      <c r="F34" s="4"/>
    </row>
    <row r="35" customFormat="false" ht="27.75" hidden="false" customHeight="true" outlineLevel="0" collapsed="false">
      <c r="A35" s="16" t="s">
        <v>44</v>
      </c>
      <c r="B35" s="16"/>
      <c r="C35" s="16"/>
      <c r="D35" s="16"/>
      <c r="E35" s="16"/>
      <c r="F35" s="16"/>
    </row>
    <row r="36" customFormat="false" ht="27.75" hidden="false" customHeight="true" outlineLevel="0" collapsed="false">
      <c r="A36" s="16" t="s">
        <v>45</v>
      </c>
      <c r="B36" s="16"/>
      <c r="C36" s="16"/>
      <c r="D36" s="16"/>
      <c r="E36" s="16"/>
      <c r="F36" s="16"/>
    </row>
    <row r="37" customFormat="false" ht="27.75" hidden="false" customHeight="true" outlineLevel="0" collapsed="false">
      <c r="A37" s="16" t="s">
        <v>46</v>
      </c>
      <c r="B37" s="16"/>
      <c r="C37" s="16"/>
      <c r="D37" s="16"/>
      <c r="E37" s="16"/>
      <c r="F37" s="16"/>
    </row>
    <row r="38" customFormat="false" ht="27.75" hidden="false" customHeight="true" outlineLevel="0" collapsed="false">
      <c r="A38" s="16" t="s">
        <v>47</v>
      </c>
      <c r="B38" s="16"/>
      <c r="C38" s="16"/>
      <c r="D38" s="16"/>
      <c r="E38" s="16"/>
      <c r="F38" s="16"/>
    </row>
    <row r="39" customFormat="false" ht="27.75" hidden="false" customHeight="true" outlineLevel="0" collapsed="false">
      <c r="A39" s="16" t="s">
        <v>48</v>
      </c>
      <c r="B39" s="16"/>
      <c r="C39" s="16"/>
      <c r="D39" s="16"/>
      <c r="E39" s="16"/>
      <c r="F39" s="16"/>
    </row>
    <row r="40" customFormat="false" ht="27.75" hidden="false" customHeight="true" outlineLevel="0" collapsed="false">
      <c r="A40" s="16" t="s">
        <v>49</v>
      </c>
      <c r="B40" s="16"/>
      <c r="C40" s="16"/>
      <c r="D40" s="16"/>
      <c r="E40" s="16"/>
      <c r="F40" s="16"/>
    </row>
    <row r="41" customFormat="false" ht="27.75" hidden="false" customHeight="true" outlineLevel="0" collapsed="false">
      <c r="A41" s="16" t="s">
        <v>50</v>
      </c>
      <c r="B41" s="16"/>
      <c r="C41" s="16"/>
      <c r="D41" s="16"/>
      <c r="E41" s="16"/>
      <c r="F41" s="16"/>
    </row>
    <row r="42" customFormat="false" ht="27.75" hidden="false" customHeight="true" outlineLevel="0" collapsed="false">
      <c r="A42" s="16" t="s">
        <v>51</v>
      </c>
      <c r="B42" s="16"/>
      <c r="C42" s="16"/>
      <c r="D42" s="16"/>
      <c r="E42" s="16"/>
      <c r="F42" s="16"/>
    </row>
    <row r="43" customFormat="false" ht="27.75" hidden="false" customHeight="true" outlineLevel="0" collapsed="false">
      <c r="A43" s="16" t="s">
        <v>52</v>
      </c>
      <c r="B43" s="16"/>
      <c r="C43" s="16"/>
      <c r="D43" s="16"/>
      <c r="E43" s="16"/>
      <c r="F43" s="16"/>
    </row>
    <row r="44" customFormat="false" ht="27.75" hidden="false" customHeight="true" outlineLevel="0" collapsed="false">
      <c r="A44" s="16" t="s">
        <v>53</v>
      </c>
      <c r="B44" s="16"/>
      <c r="C44" s="16"/>
      <c r="D44" s="16"/>
      <c r="E44" s="16"/>
      <c r="F44" s="16"/>
    </row>
    <row r="46" customFormat="false" ht="21.75" hidden="false" customHeight="true" outlineLevel="0" collapsed="false">
      <c r="A46" s="4" t="s">
        <v>54</v>
      </c>
      <c r="B46" s="4"/>
      <c r="C46" s="4"/>
      <c r="D46" s="4"/>
      <c r="E46" s="4"/>
      <c r="F46" s="4"/>
    </row>
    <row r="47" customFormat="false" ht="18" hidden="false" customHeight="true" outlineLevel="0" collapsed="false">
      <c r="A47" s="17" t="s">
        <v>55</v>
      </c>
      <c r="B47" s="18" t="s">
        <v>56</v>
      </c>
      <c r="C47" s="18"/>
      <c r="D47" s="18"/>
      <c r="E47" s="18"/>
      <c r="F47" s="18"/>
    </row>
    <row r="48" customFormat="false" ht="18" hidden="false" customHeight="true" outlineLevel="0" collapsed="false">
      <c r="A48" s="19" t="s">
        <v>57</v>
      </c>
      <c r="B48" s="18" t="s">
        <v>58</v>
      </c>
      <c r="C48" s="18"/>
      <c r="D48" s="18"/>
      <c r="E48" s="18"/>
      <c r="F48" s="18"/>
    </row>
    <row r="49" customFormat="false" ht="18" hidden="false" customHeight="true" outlineLevel="0" collapsed="false">
      <c r="A49" s="19" t="s">
        <v>59</v>
      </c>
      <c r="B49" s="18" t="s">
        <v>60</v>
      </c>
      <c r="C49" s="18"/>
      <c r="D49" s="18"/>
      <c r="E49" s="18"/>
      <c r="F49" s="18"/>
    </row>
    <row r="50" customFormat="false" ht="18" hidden="false" customHeight="true" outlineLevel="0" collapsed="false">
      <c r="A50" s="20" t="s">
        <v>61</v>
      </c>
      <c r="B50" s="18" t="s">
        <v>62</v>
      </c>
      <c r="C50" s="18"/>
      <c r="D50" s="18"/>
      <c r="E50" s="18"/>
      <c r="F50" s="18"/>
    </row>
    <row r="51" customFormat="false" ht="18" hidden="false" customHeight="true" outlineLevel="0" collapsed="false">
      <c r="A51" s="21" t="s">
        <v>63</v>
      </c>
      <c r="B51" s="18" t="s">
        <v>64</v>
      </c>
      <c r="C51" s="18"/>
      <c r="D51" s="18"/>
      <c r="E51" s="18"/>
      <c r="F51" s="18"/>
    </row>
    <row r="53" customFormat="false" ht="21.75" hidden="false" customHeight="true" outlineLevel="0" collapsed="false">
      <c r="A53" s="22" t="s">
        <v>65</v>
      </c>
      <c r="B53" s="22"/>
      <c r="C53" s="22"/>
      <c r="D53" s="22"/>
      <c r="E53" s="22"/>
      <c r="F53" s="22"/>
    </row>
    <row r="54" customFormat="false" ht="15" hidden="false" customHeight="false" outlineLevel="0" collapsed="false">
      <c r="A54" s="23" t="s">
        <v>66</v>
      </c>
      <c r="B54" s="24" t="s">
        <v>67</v>
      </c>
      <c r="C54" s="24"/>
      <c r="D54" s="24"/>
      <c r="E54" s="24"/>
      <c r="F54" s="24"/>
    </row>
    <row r="55" customFormat="false" ht="18.75" hidden="false" customHeight="true" outlineLevel="0" collapsed="false">
      <c r="A55" s="25" t="n">
        <v>1</v>
      </c>
      <c r="B55" s="26" t="s">
        <v>68</v>
      </c>
      <c r="C55" s="26"/>
      <c r="D55" s="26"/>
      <c r="E55" s="26"/>
      <c r="F55" s="26"/>
    </row>
    <row r="56" customFormat="false" ht="18.75" hidden="false" customHeight="true" outlineLevel="0" collapsed="false">
      <c r="A56" s="25" t="n">
        <v>2</v>
      </c>
      <c r="B56" s="26"/>
      <c r="C56" s="26"/>
      <c r="D56" s="26"/>
      <c r="E56" s="26"/>
      <c r="F56" s="26"/>
    </row>
    <row r="57" customFormat="false" ht="18.75" hidden="false" customHeight="true" outlineLevel="0" collapsed="false">
      <c r="A57" s="25" t="n">
        <v>3</v>
      </c>
      <c r="B57" s="26"/>
      <c r="C57" s="26"/>
      <c r="D57" s="26"/>
      <c r="E57" s="26"/>
      <c r="F57" s="26"/>
    </row>
    <row r="58" customFormat="false" ht="18.75" hidden="false" customHeight="true" outlineLevel="0" collapsed="false">
      <c r="A58" s="25" t="n">
        <v>4</v>
      </c>
      <c r="B58" s="26"/>
      <c r="C58" s="26"/>
      <c r="D58" s="26"/>
      <c r="E58" s="26"/>
      <c r="F58" s="26"/>
    </row>
    <row r="59" customFormat="false" ht="18.75" hidden="false" customHeight="true" outlineLevel="0" collapsed="false">
      <c r="A59" s="25" t="n">
        <v>5</v>
      </c>
      <c r="B59" s="26"/>
      <c r="C59" s="26"/>
      <c r="D59" s="26"/>
      <c r="E59" s="26"/>
      <c r="F59" s="26"/>
    </row>
    <row r="60" customFormat="false" ht="18.75" hidden="false" customHeight="true" outlineLevel="0" collapsed="false">
      <c r="A60" s="25" t="n">
        <v>6</v>
      </c>
      <c r="B60" s="26"/>
      <c r="C60" s="26"/>
      <c r="D60" s="26"/>
      <c r="E60" s="26"/>
      <c r="F60" s="26"/>
    </row>
    <row r="61" customFormat="false" ht="18.75" hidden="false" customHeight="true" outlineLevel="0" collapsed="false">
      <c r="A61" s="25" t="n">
        <v>7</v>
      </c>
      <c r="B61" s="26"/>
      <c r="C61" s="26"/>
      <c r="D61" s="26"/>
      <c r="E61" s="26"/>
      <c r="F61" s="26"/>
    </row>
    <row r="62" customFormat="false" ht="18.75" hidden="false" customHeight="true" outlineLevel="0" collapsed="false">
      <c r="A62" s="25" t="n">
        <v>8</v>
      </c>
      <c r="B62" s="26"/>
      <c r="C62" s="26"/>
      <c r="D62" s="26"/>
      <c r="E62" s="26"/>
      <c r="F62" s="26"/>
    </row>
    <row r="63" customFormat="false" ht="18.75" hidden="false" customHeight="true" outlineLevel="0" collapsed="false">
      <c r="A63" s="25" t="n">
        <v>9</v>
      </c>
      <c r="B63" s="26"/>
      <c r="C63" s="26"/>
      <c r="D63" s="26"/>
      <c r="E63" s="26"/>
      <c r="F63" s="26"/>
    </row>
    <row r="64" customFormat="false" ht="18.75" hidden="false" customHeight="true" outlineLevel="0" collapsed="false">
      <c r="A64" s="25" t="n">
        <v>10</v>
      </c>
      <c r="B64" s="26"/>
      <c r="C64" s="26"/>
      <c r="D64" s="26"/>
      <c r="E64" s="26"/>
      <c r="F64" s="26"/>
    </row>
    <row r="66" customFormat="false" ht="25.5" hidden="false" customHeight="true" outlineLevel="0" collapsed="false">
      <c r="A66" s="27" t="s">
        <v>69</v>
      </c>
      <c r="B66" s="27"/>
      <c r="C66" s="27"/>
      <c r="D66" s="27"/>
      <c r="E66" s="27"/>
      <c r="F66" s="27"/>
    </row>
    <row r="68" customFormat="false" ht="21.75" hidden="false" customHeight="true" outlineLevel="0" collapsed="false">
      <c r="A68" s="22" t="s">
        <v>70</v>
      </c>
      <c r="B68" s="22"/>
      <c r="C68" s="22"/>
      <c r="D68" s="22"/>
      <c r="E68" s="22"/>
      <c r="F68" s="22"/>
    </row>
    <row r="69" customFormat="false" ht="15" hidden="false" customHeight="false" outlineLevel="0" collapsed="false">
      <c r="A69" s="9" t="s">
        <v>71</v>
      </c>
      <c r="B69" s="26" t="s">
        <v>72</v>
      </c>
    </row>
    <row r="70" customFormat="false" ht="30" hidden="false" customHeight="true" outlineLevel="0" collapsed="false">
      <c r="A70" s="28" t="s">
        <v>73</v>
      </c>
      <c r="B70" s="28"/>
      <c r="C70" s="28"/>
      <c r="D70" s="28"/>
      <c r="E70" s="28"/>
      <c r="F70" s="28"/>
    </row>
    <row r="72" customFormat="false" ht="21.75" hidden="false" customHeight="true" outlineLevel="0" collapsed="false">
      <c r="A72" s="22" t="s">
        <v>74</v>
      </c>
      <c r="B72" s="22"/>
      <c r="C72" s="22"/>
      <c r="D72" s="22"/>
      <c r="E72" s="22"/>
      <c r="F72" s="22"/>
    </row>
    <row r="73" customFormat="false" ht="21.75" hidden="false" customHeight="true" outlineLevel="0" collapsed="false">
      <c r="A73" s="29" t="s">
        <v>75</v>
      </c>
      <c r="B73" s="30" t="s">
        <v>76</v>
      </c>
      <c r="C73" s="30"/>
      <c r="D73" s="30"/>
      <c r="E73" s="30"/>
      <c r="F73" s="30"/>
    </row>
    <row r="74" customFormat="false" ht="21.75" hidden="false" customHeight="true" outlineLevel="0" collapsed="false">
      <c r="A74" s="29" t="s">
        <v>77</v>
      </c>
      <c r="B74" s="30" t="s">
        <v>78</v>
      </c>
      <c r="C74" s="30"/>
      <c r="D74" s="30"/>
      <c r="E74" s="30"/>
      <c r="F74" s="30"/>
    </row>
    <row r="75" customFormat="false" ht="21.75" hidden="false" customHeight="true" outlineLevel="0" collapsed="false">
      <c r="A75" s="29" t="s">
        <v>79</v>
      </c>
      <c r="B75" s="30" t="s">
        <v>80</v>
      </c>
      <c r="C75" s="30"/>
      <c r="D75" s="30"/>
      <c r="E75" s="30"/>
      <c r="F75" s="30"/>
    </row>
    <row r="76" customFormat="false" ht="21.75" hidden="false" customHeight="true" outlineLevel="0" collapsed="false">
      <c r="A76" s="29" t="s">
        <v>81</v>
      </c>
      <c r="B76" s="30" t="s">
        <v>82</v>
      </c>
      <c r="C76" s="30"/>
      <c r="D76" s="30"/>
      <c r="E76" s="30"/>
      <c r="F76" s="30"/>
    </row>
    <row r="77" customFormat="false" ht="21.75" hidden="false" customHeight="true" outlineLevel="0" collapsed="false">
      <c r="A77" s="29" t="s">
        <v>83</v>
      </c>
      <c r="B77" s="30" t="s">
        <v>84</v>
      </c>
      <c r="C77" s="30"/>
      <c r="D77" s="30"/>
      <c r="E77" s="30"/>
      <c r="F77" s="30"/>
    </row>
    <row r="78" customFormat="false" ht="21.75" hidden="false" customHeight="true" outlineLevel="0" collapsed="false">
      <c r="A78" s="29" t="s">
        <v>85</v>
      </c>
      <c r="B78" s="30" t="s">
        <v>86</v>
      </c>
      <c r="C78" s="30"/>
      <c r="D78" s="30"/>
      <c r="E78" s="30"/>
      <c r="F78" s="30"/>
    </row>
    <row r="79" customFormat="false" ht="21.75" hidden="false" customHeight="true" outlineLevel="0" collapsed="false">
      <c r="A79" s="29" t="s">
        <v>87</v>
      </c>
      <c r="B79" s="30" t="s">
        <v>88</v>
      </c>
      <c r="C79" s="30"/>
      <c r="D79" s="30"/>
      <c r="E79" s="30"/>
      <c r="F79" s="30"/>
    </row>
    <row r="80" customFormat="false" ht="21.75" hidden="false" customHeight="true" outlineLevel="0" collapsed="false">
      <c r="A80" s="29" t="s">
        <v>89</v>
      </c>
      <c r="B80" s="30" t="s">
        <v>90</v>
      </c>
      <c r="C80" s="30"/>
      <c r="D80" s="30"/>
      <c r="E80" s="30"/>
      <c r="F80" s="30"/>
    </row>
    <row r="81" customFormat="false" ht="21.75" hidden="false" customHeight="true" outlineLevel="0" collapsed="false">
      <c r="A81" s="29" t="s">
        <v>91</v>
      </c>
      <c r="B81" s="30" t="s">
        <v>92</v>
      </c>
      <c r="C81" s="30"/>
      <c r="D81" s="30"/>
      <c r="E81" s="30"/>
      <c r="F81" s="30"/>
    </row>
    <row r="82" customFormat="false" ht="21.75" hidden="false" customHeight="true" outlineLevel="0" collapsed="false">
      <c r="A82" s="29" t="s">
        <v>93</v>
      </c>
      <c r="B82" s="30" t="s">
        <v>94</v>
      </c>
      <c r="C82" s="30"/>
      <c r="D82" s="30"/>
      <c r="E82" s="30"/>
      <c r="F82" s="30"/>
    </row>
    <row r="83" customFormat="false" ht="21.75" hidden="false" customHeight="true" outlineLevel="0" collapsed="false">
      <c r="A83" s="29" t="s">
        <v>95</v>
      </c>
      <c r="B83" s="30" t="s">
        <v>96</v>
      </c>
      <c r="C83" s="30"/>
      <c r="D83" s="30"/>
      <c r="E83" s="30"/>
      <c r="F83" s="30"/>
    </row>
    <row r="84" customFormat="false" ht="21.75" hidden="false" customHeight="true" outlineLevel="0" collapsed="false">
      <c r="A84" s="29" t="s">
        <v>97</v>
      </c>
      <c r="B84" s="30" t="s">
        <v>98</v>
      </c>
      <c r="C84" s="30"/>
      <c r="D84" s="30"/>
      <c r="E84" s="30"/>
      <c r="F84" s="30"/>
    </row>
    <row r="85" customFormat="false" ht="21.75" hidden="false" customHeight="true" outlineLevel="0" collapsed="false">
      <c r="A85" s="29" t="s">
        <v>99</v>
      </c>
      <c r="B85" s="30" t="s">
        <v>100</v>
      </c>
      <c r="C85" s="30"/>
      <c r="D85" s="30"/>
      <c r="E85" s="30"/>
      <c r="F85" s="30"/>
    </row>
    <row r="86" customFormat="false" ht="21.75" hidden="false" customHeight="true" outlineLevel="0" collapsed="false">
      <c r="A86" s="29" t="s">
        <v>101</v>
      </c>
      <c r="B86" s="30" t="s">
        <v>102</v>
      </c>
      <c r="C86" s="30"/>
      <c r="D86" s="30"/>
      <c r="E86" s="30"/>
      <c r="F86" s="30"/>
    </row>
    <row r="87" customFormat="false" ht="21.75" hidden="false" customHeight="true" outlineLevel="0" collapsed="false">
      <c r="A87" s="29" t="s">
        <v>103</v>
      </c>
      <c r="B87" s="30" t="s">
        <v>104</v>
      </c>
      <c r="C87" s="30"/>
      <c r="D87" s="30"/>
      <c r="E87" s="30"/>
      <c r="F87" s="30"/>
    </row>
    <row r="88" customFormat="false" ht="21.75" hidden="false" customHeight="true" outlineLevel="0" collapsed="false">
      <c r="A88" s="29" t="s">
        <v>105</v>
      </c>
      <c r="B88" s="30" t="s">
        <v>106</v>
      </c>
      <c r="C88" s="30"/>
      <c r="D88" s="30"/>
      <c r="E88" s="30"/>
      <c r="F88" s="30"/>
    </row>
    <row r="89" customFormat="false" ht="21.75" hidden="false" customHeight="true" outlineLevel="0" collapsed="false">
      <c r="A89" s="29" t="s">
        <v>107</v>
      </c>
      <c r="B89" s="30" t="s">
        <v>108</v>
      </c>
      <c r="C89" s="30"/>
      <c r="D89" s="30"/>
      <c r="E89" s="30"/>
      <c r="F89" s="30"/>
    </row>
    <row r="90" customFormat="false" ht="21.75" hidden="false" customHeight="true" outlineLevel="0" collapsed="false">
      <c r="A90" s="29" t="s">
        <v>109</v>
      </c>
      <c r="B90" s="30" t="s">
        <v>110</v>
      </c>
      <c r="C90" s="30"/>
      <c r="D90" s="30"/>
      <c r="E90" s="30"/>
      <c r="F90" s="30"/>
    </row>
  </sheetData>
  <mergeCells count="67">
    <mergeCell ref="A1:F1"/>
    <mergeCell ref="A2:F2"/>
    <mergeCell ref="A4:F4"/>
    <mergeCell ref="B5:F5"/>
    <mergeCell ref="B6:F6"/>
    <mergeCell ref="B7:F7"/>
    <mergeCell ref="B8:F8"/>
    <mergeCell ref="B9:F9"/>
    <mergeCell ref="B10:F10"/>
    <mergeCell ref="B11:F11"/>
    <mergeCell ref="B12:F12"/>
    <mergeCell ref="B13:F13"/>
    <mergeCell ref="B14:F14"/>
    <mergeCell ref="B15:F15"/>
    <mergeCell ref="A17:F17"/>
    <mergeCell ref="A23:F23"/>
    <mergeCell ref="A34:F34"/>
    <mergeCell ref="A35:F35"/>
    <mergeCell ref="A36:F36"/>
    <mergeCell ref="A37:F37"/>
    <mergeCell ref="A38:F38"/>
    <mergeCell ref="A39:F39"/>
    <mergeCell ref="A40:F40"/>
    <mergeCell ref="A41:F41"/>
    <mergeCell ref="A42:F42"/>
    <mergeCell ref="A43:F43"/>
    <mergeCell ref="A44:F44"/>
    <mergeCell ref="A46:F46"/>
    <mergeCell ref="B47:F47"/>
    <mergeCell ref="B48:F48"/>
    <mergeCell ref="B49:F49"/>
    <mergeCell ref="B50:F50"/>
    <mergeCell ref="B51:F51"/>
    <mergeCell ref="A53:F53"/>
    <mergeCell ref="B54:F54"/>
    <mergeCell ref="B55:F55"/>
    <mergeCell ref="B56:F56"/>
    <mergeCell ref="B57:F57"/>
    <mergeCell ref="B58:F58"/>
    <mergeCell ref="B59:F59"/>
    <mergeCell ref="B60:F60"/>
    <mergeCell ref="B61:F61"/>
    <mergeCell ref="B62:F62"/>
    <mergeCell ref="B63:F63"/>
    <mergeCell ref="B64:F64"/>
    <mergeCell ref="A66:F66"/>
    <mergeCell ref="A68:F68"/>
    <mergeCell ref="A70:F70"/>
    <mergeCell ref="A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 ref="B89:F89"/>
    <mergeCell ref="B90:F90"/>
  </mergeCells>
  <dataValidations count="1">
    <dataValidation allowBlank="true" errorStyle="stop" operator="between" showDropDown="false" showErrorMessage="false" showInputMessage="false" sqref="B69" type="list">
      <formula1>Lists!$O$4:$O$6</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true"/>
  </sheetPr>
  <dimension ref="A1:J1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26"/>
    <col collapsed="false" customWidth="true" hidden="false" outlineLevel="0" max="4" min="4" style="1" width="34"/>
    <col collapsed="false" customWidth="true" hidden="false" outlineLevel="0" max="5" min="5" style="1" width="46"/>
    <col collapsed="false" customWidth="true" hidden="false" outlineLevel="0" max="6" min="6" style="1" width="10"/>
    <col collapsed="false" customWidth="true" hidden="false" outlineLevel="0" max="7" min="7" style="1" width="11"/>
    <col collapsed="false" customWidth="true" hidden="false" outlineLevel="0" max="8" min="8" style="1" width="34"/>
    <col collapsed="false" customWidth="true" hidden="false" outlineLevel="0" max="9" min="9" style="1" width="20"/>
    <col collapsed="false" customWidth="true" hidden="false" outlineLevel="0" max="10" min="10" style="1" width="34"/>
  </cols>
  <sheetData>
    <row r="1" customFormat="false" ht="25.5" hidden="false" customHeight="true" outlineLevel="0" collapsed="false">
      <c r="A1" s="2" t="s">
        <v>111</v>
      </c>
      <c r="B1" s="2"/>
      <c r="C1" s="2"/>
      <c r="D1" s="2"/>
      <c r="E1" s="2"/>
      <c r="F1" s="2"/>
      <c r="G1" s="2"/>
      <c r="H1" s="2"/>
      <c r="I1" s="2"/>
      <c r="J1" s="2"/>
    </row>
    <row r="2" customFormat="false" ht="18" hidden="false" customHeight="true" outlineLevel="0" collapsed="false">
      <c r="A2" s="3" t="s">
        <v>112</v>
      </c>
      <c r="B2" s="3"/>
      <c r="C2" s="3"/>
      <c r="D2" s="3"/>
      <c r="E2" s="3"/>
      <c r="F2" s="3"/>
      <c r="G2" s="3"/>
      <c r="H2" s="3"/>
      <c r="I2" s="3"/>
      <c r="J2" s="3"/>
    </row>
    <row r="3" customFormat="false" ht="39.75" hidden="false" customHeight="true" outlineLevel="0" collapsed="false">
      <c r="A3" s="31" t="s">
        <v>113</v>
      </c>
      <c r="B3" s="31" t="s">
        <v>114</v>
      </c>
      <c r="C3" s="31" t="s">
        <v>115</v>
      </c>
      <c r="D3" s="31" t="s">
        <v>116</v>
      </c>
      <c r="E3" s="31" t="s">
        <v>117</v>
      </c>
      <c r="F3" s="31" t="s">
        <v>118</v>
      </c>
      <c r="G3" s="31" t="s">
        <v>119</v>
      </c>
      <c r="H3" s="31" t="s">
        <v>120</v>
      </c>
      <c r="I3" s="31" t="s">
        <v>121</v>
      </c>
      <c r="J3" s="31" t="s">
        <v>122</v>
      </c>
    </row>
    <row r="4" customFormat="false" ht="25.5" hidden="false" customHeight="true" outlineLevel="0" collapsed="false">
      <c r="A4" s="32" t="n">
        <v>46251</v>
      </c>
      <c r="B4" s="33" t="s">
        <v>68</v>
      </c>
      <c r="C4" s="34" t="s">
        <v>123</v>
      </c>
      <c r="D4" s="34" t="s">
        <v>124</v>
      </c>
      <c r="E4" s="34" t="s">
        <v>125</v>
      </c>
      <c r="F4" s="35" t="n">
        <v>30</v>
      </c>
      <c r="G4" s="35" t="n">
        <v>60</v>
      </c>
      <c r="H4" s="34" t="s">
        <v>126</v>
      </c>
      <c r="I4" s="33" t="s">
        <v>127</v>
      </c>
      <c r="J4" s="34" t="s">
        <v>128</v>
      </c>
    </row>
    <row r="5" customFormat="false" ht="25.5" hidden="false" customHeight="true" outlineLevel="0" collapsed="false">
      <c r="A5" s="32" t="n">
        <v>46251</v>
      </c>
      <c r="B5" s="33" t="s">
        <v>68</v>
      </c>
      <c r="C5" s="34" t="s">
        <v>129</v>
      </c>
      <c r="D5" s="34" t="s">
        <v>130</v>
      </c>
      <c r="E5" s="34" t="s">
        <v>131</v>
      </c>
      <c r="F5" s="35" t="n">
        <v>20</v>
      </c>
      <c r="G5" s="35" t="n">
        <v>45</v>
      </c>
      <c r="H5" s="34" t="s">
        <v>132</v>
      </c>
      <c r="I5" s="33" t="s">
        <v>127</v>
      </c>
      <c r="J5" s="34" t="s">
        <v>133</v>
      </c>
    </row>
    <row r="6" customFormat="false" ht="25.5" hidden="false" customHeight="true" outlineLevel="0" collapsed="false">
      <c r="A6" s="32" t="n">
        <v>46251</v>
      </c>
      <c r="B6" s="33" t="s">
        <v>68</v>
      </c>
      <c r="C6" s="34" t="s">
        <v>134</v>
      </c>
      <c r="D6" s="34" t="s">
        <v>135</v>
      </c>
      <c r="E6" s="34" t="s">
        <v>136</v>
      </c>
      <c r="F6" s="35" t="n">
        <v>1</v>
      </c>
      <c r="G6" s="35" t="n">
        <v>90</v>
      </c>
      <c r="H6" s="34" t="s">
        <v>137</v>
      </c>
      <c r="I6" s="33" t="s">
        <v>127</v>
      </c>
      <c r="J6" s="34" t="s">
        <v>133</v>
      </c>
    </row>
    <row r="7" customFormat="false" ht="25.5" hidden="false" customHeight="true" outlineLevel="0" collapsed="false">
      <c r="A7" s="36"/>
      <c r="B7" s="37"/>
      <c r="C7" s="38"/>
      <c r="D7" s="38"/>
      <c r="E7" s="38"/>
      <c r="F7" s="39"/>
      <c r="G7" s="39"/>
      <c r="H7" s="38"/>
      <c r="I7" s="37"/>
      <c r="J7" s="38"/>
    </row>
    <row r="8" customFormat="false" ht="25.5" hidden="false" customHeight="true" outlineLevel="0" collapsed="false">
      <c r="A8" s="36"/>
      <c r="B8" s="37"/>
      <c r="C8" s="38"/>
      <c r="D8" s="38"/>
      <c r="E8" s="38"/>
      <c r="F8" s="39"/>
      <c r="G8" s="39"/>
      <c r="H8" s="38"/>
      <c r="I8" s="37"/>
      <c r="J8" s="38"/>
    </row>
    <row r="9" customFormat="false" ht="25.5" hidden="false" customHeight="true" outlineLevel="0" collapsed="false">
      <c r="A9" s="36"/>
      <c r="B9" s="37"/>
      <c r="C9" s="38"/>
      <c r="D9" s="38"/>
      <c r="E9" s="38"/>
      <c r="F9" s="39"/>
      <c r="G9" s="39"/>
      <c r="H9" s="38"/>
      <c r="I9" s="37"/>
      <c r="J9" s="38"/>
    </row>
    <row r="10" customFormat="false" ht="25.5" hidden="false" customHeight="true" outlineLevel="0" collapsed="false">
      <c r="A10" s="36"/>
      <c r="B10" s="37"/>
      <c r="C10" s="38"/>
      <c r="D10" s="38"/>
      <c r="E10" s="38"/>
      <c r="F10" s="39"/>
      <c r="G10" s="39"/>
      <c r="H10" s="38"/>
      <c r="I10" s="37"/>
      <c r="J10" s="38"/>
    </row>
    <row r="11" customFormat="false" ht="25.5" hidden="false" customHeight="true" outlineLevel="0" collapsed="false">
      <c r="A11" s="36"/>
      <c r="B11" s="37"/>
      <c r="C11" s="38"/>
      <c r="D11" s="38"/>
      <c r="E11" s="38"/>
      <c r="F11" s="39"/>
      <c r="G11" s="39"/>
      <c r="H11" s="38"/>
      <c r="I11" s="37"/>
      <c r="J11" s="38"/>
    </row>
    <row r="12" customFormat="false" ht="25.5" hidden="false" customHeight="true" outlineLevel="0" collapsed="false">
      <c r="A12" s="36"/>
      <c r="B12" s="37"/>
      <c r="C12" s="38"/>
      <c r="D12" s="38"/>
      <c r="E12" s="38"/>
      <c r="F12" s="39"/>
      <c r="G12" s="39"/>
      <c r="H12" s="38"/>
      <c r="I12" s="37"/>
      <c r="J12" s="38"/>
    </row>
    <row r="13" customFormat="false" ht="25.5" hidden="false" customHeight="true" outlineLevel="0" collapsed="false">
      <c r="A13" s="36"/>
      <c r="B13" s="37"/>
      <c r="C13" s="38"/>
      <c r="D13" s="38"/>
      <c r="E13" s="38"/>
      <c r="F13" s="39"/>
      <c r="G13" s="39"/>
      <c r="H13" s="38"/>
      <c r="I13" s="37"/>
      <c r="J13" s="38"/>
    </row>
    <row r="14" customFormat="false" ht="25.5" hidden="false" customHeight="true" outlineLevel="0" collapsed="false">
      <c r="A14" s="36"/>
      <c r="B14" s="37"/>
      <c r="C14" s="38"/>
      <c r="D14" s="38"/>
      <c r="E14" s="38"/>
      <c r="F14" s="39"/>
      <c r="G14" s="39"/>
      <c r="H14" s="38"/>
      <c r="I14" s="37"/>
      <c r="J14" s="38"/>
    </row>
    <row r="15" customFormat="false" ht="25.5" hidden="false" customHeight="true" outlineLevel="0" collapsed="false">
      <c r="A15" s="36"/>
      <c r="B15" s="37"/>
      <c r="C15" s="38"/>
      <c r="D15" s="38"/>
      <c r="E15" s="38"/>
      <c r="F15" s="39"/>
      <c r="G15" s="39"/>
      <c r="H15" s="38"/>
      <c r="I15" s="37"/>
      <c r="J15" s="38"/>
    </row>
    <row r="16" customFormat="false" ht="25.5" hidden="false" customHeight="true" outlineLevel="0" collapsed="false">
      <c r="A16" s="36"/>
      <c r="B16" s="37"/>
      <c r="C16" s="38"/>
      <c r="D16" s="38"/>
      <c r="E16" s="38"/>
      <c r="F16" s="39"/>
      <c r="G16" s="39"/>
      <c r="H16" s="38"/>
      <c r="I16" s="37"/>
      <c r="J16" s="38"/>
    </row>
    <row r="17" customFormat="false" ht="25.5" hidden="false" customHeight="true" outlineLevel="0" collapsed="false">
      <c r="A17" s="36"/>
      <c r="B17" s="37"/>
      <c r="C17" s="38"/>
      <c r="D17" s="38"/>
      <c r="E17" s="38"/>
      <c r="F17" s="39"/>
      <c r="G17" s="39"/>
      <c r="H17" s="38"/>
      <c r="I17" s="37"/>
      <c r="J17" s="38"/>
    </row>
    <row r="18" customFormat="false" ht="25.5" hidden="false" customHeight="true" outlineLevel="0" collapsed="false">
      <c r="A18" s="36"/>
      <c r="B18" s="37"/>
      <c r="C18" s="38"/>
      <c r="D18" s="38"/>
      <c r="E18" s="38"/>
      <c r="F18" s="39"/>
      <c r="G18" s="39"/>
      <c r="H18" s="38"/>
      <c r="I18" s="37"/>
      <c r="J18" s="38"/>
    </row>
    <row r="19" customFormat="false" ht="25.5" hidden="false" customHeight="true" outlineLevel="0" collapsed="false">
      <c r="A19" s="36"/>
      <c r="B19" s="37"/>
      <c r="C19" s="38"/>
      <c r="D19" s="38"/>
      <c r="E19" s="38"/>
      <c r="F19" s="39"/>
      <c r="G19" s="39"/>
      <c r="H19" s="38"/>
      <c r="I19" s="37"/>
      <c r="J19" s="38"/>
    </row>
    <row r="20" customFormat="false" ht="25.5" hidden="false" customHeight="true" outlineLevel="0" collapsed="false">
      <c r="A20" s="36"/>
      <c r="B20" s="37"/>
      <c r="C20" s="38"/>
      <c r="D20" s="38"/>
      <c r="E20" s="38"/>
      <c r="F20" s="39"/>
      <c r="G20" s="39"/>
      <c r="H20" s="38"/>
      <c r="I20" s="37"/>
      <c r="J20" s="38"/>
    </row>
    <row r="21" customFormat="false" ht="25.5" hidden="false" customHeight="true" outlineLevel="0" collapsed="false">
      <c r="A21" s="36"/>
      <c r="B21" s="37"/>
      <c r="C21" s="38"/>
      <c r="D21" s="38"/>
      <c r="E21" s="38"/>
      <c r="F21" s="39"/>
      <c r="G21" s="39"/>
      <c r="H21" s="38"/>
      <c r="I21" s="37"/>
      <c r="J21" s="38"/>
    </row>
    <row r="22" customFormat="false" ht="25.5" hidden="false" customHeight="true" outlineLevel="0" collapsed="false">
      <c r="A22" s="36"/>
      <c r="B22" s="37"/>
      <c r="C22" s="38"/>
      <c r="D22" s="38"/>
      <c r="E22" s="38"/>
      <c r="F22" s="39"/>
      <c r="G22" s="39"/>
      <c r="H22" s="38"/>
      <c r="I22" s="37"/>
      <c r="J22" s="38"/>
    </row>
    <row r="23" customFormat="false" ht="25.5" hidden="false" customHeight="true" outlineLevel="0" collapsed="false">
      <c r="A23" s="36"/>
      <c r="B23" s="37"/>
      <c r="C23" s="38"/>
      <c r="D23" s="38"/>
      <c r="E23" s="38"/>
      <c r="F23" s="39"/>
      <c r="G23" s="39"/>
      <c r="H23" s="38"/>
      <c r="I23" s="37"/>
      <c r="J23" s="38"/>
    </row>
    <row r="24" customFormat="false" ht="25.5" hidden="false" customHeight="true" outlineLevel="0" collapsed="false">
      <c r="A24" s="36"/>
      <c r="B24" s="37"/>
      <c r="C24" s="38"/>
      <c r="D24" s="38"/>
      <c r="E24" s="38"/>
      <c r="F24" s="39"/>
      <c r="G24" s="39"/>
      <c r="H24" s="38"/>
      <c r="I24" s="37"/>
      <c r="J24" s="38"/>
    </row>
    <row r="25" customFormat="false" ht="25.5" hidden="false" customHeight="true" outlineLevel="0" collapsed="false">
      <c r="A25" s="36"/>
      <c r="B25" s="37"/>
      <c r="C25" s="38"/>
      <c r="D25" s="38"/>
      <c r="E25" s="38"/>
      <c r="F25" s="39"/>
      <c r="G25" s="39"/>
      <c r="H25" s="38"/>
      <c r="I25" s="37"/>
      <c r="J25" s="38"/>
    </row>
    <row r="26" customFormat="false" ht="25.5" hidden="false" customHeight="true" outlineLevel="0" collapsed="false">
      <c r="A26" s="36"/>
      <c r="B26" s="37"/>
      <c r="C26" s="38"/>
      <c r="D26" s="38"/>
      <c r="E26" s="38"/>
      <c r="F26" s="39"/>
      <c r="G26" s="39"/>
      <c r="H26" s="38"/>
      <c r="I26" s="37"/>
      <c r="J26" s="38"/>
    </row>
    <row r="27" customFormat="false" ht="25.5" hidden="false" customHeight="true" outlineLevel="0" collapsed="false">
      <c r="A27" s="36"/>
      <c r="B27" s="37"/>
      <c r="C27" s="38"/>
      <c r="D27" s="38"/>
      <c r="E27" s="38"/>
      <c r="F27" s="39"/>
      <c r="G27" s="39"/>
      <c r="H27" s="38"/>
      <c r="I27" s="37"/>
      <c r="J27" s="38"/>
    </row>
    <row r="28" customFormat="false" ht="25.5" hidden="false" customHeight="true" outlineLevel="0" collapsed="false">
      <c r="A28" s="36"/>
      <c r="B28" s="37"/>
      <c r="C28" s="38"/>
      <c r="D28" s="38"/>
      <c r="E28" s="38"/>
      <c r="F28" s="39"/>
      <c r="G28" s="39"/>
      <c r="H28" s="38"/>
      <c r="I28" s="37"/>
      <c r="J28" s="38"/>
    </row>
    <row r="29" customFormat="false" ht="25.5" hidden="false" customHeight="true" outlineLevel="0" collapsed="false">
      <c r="A29" s="36"/>
      <c r="B29" s="37"/>
      <c r="C29" s="38"/>
      <c r="D29" s="38"/>
      <c r="E29" s="38"/>
      <c r="F29" s="39"/>
      <c r="G29" s="39"/>
      <c r="H29" s="38"/>
      <c r="I29" s="37"/>
      <c r="J29" s="38"/>
    </row>
    <row r="30" customFormat="false" ht="25.5" hidden="false" customHeight="true" outlineLevel="0" collapsed="false">
      <c r="A30" s="36"/>
      <c r="B30" s="37"/>
      <c r="C30" s="38"/>
      <c r="D30" s="38"/>
      <c r="E30" s="38"/>
      <c r="F30" s="39"/>
      <c r="G30" s="39"/>
      <c r="H30" s="38"/>
      <c r="I30" s="37"/>
      <c r="J30" s="38"/>
    </row>
    <row r="31" customFormat="false" ht="25.5" hidden="false" customHeight="true" outlineLevel="0" collapsed="false">
      <c r="A31" s="36"/>
      <c r="B31" s="37"/>
      <c r="C31" s="38"/>
      <c r="D31" s="38"/>
      <c r="E31" s="38"/>
      <c r="F31" s="39"/>
      <c r="G31" s="39"/>
      <c r="H31" s="38"/>
      <c r="I31" s="37"/>
      <c r="J31" s="38"/>
    </row>
    <row r="32" customFormat="false" ht="25.5" hidden="false" customHeight="true" outlineLevel="0" collapsed="false">
      <c r="A32" s="36"/>
      <c r="B32" s="37"/>
      <c r="C32" s="38"/>
      <c r="D32" s="38"/>
      <c r="E32" s="38"/>
      <c r="F32" s="39"/>
      <c r="G32" s="39"/>
      <c r="H32" s="38"/>
      <c r="I32" s="37"/>
      <c r="J32" s="38"/>
    </row>
    <row r="33" customFormat="false" ht="25.5" hidden="false" customHeight="true" outlineLevel="0" collapsed="false">
      <c r="A33" s="36"/>
      <c r="B33" s="37"/>
      <c r="C33" s="38"/>
      <c r="D33" s="38"/>
      <c r="E33" s="38"/>
      <c r="F33" s="39"/>
      <c r="G33" s="39"/>
      <c r="H33" s="38"/>
      <c r="I33" s="37"/>
      <c r="J33" s="38"/>
    </row>
    <row r="34" customFormat="false" ht="25.5" hidden="false" customHeight="true" outlineLevel="0" collapsed="false">
      <c r="A34" s="36"/>
      <c r="B34" s="37"/>
      <c r="C34" s="38"/>
      <c r="D34" s="38"/>
      <c r="E34" s="38"/>
      <c r="F34" s="39"/>
      <c r="G34" s="39"/>
      <c r="H34" s="38"/>
      <c r="I34" s="37"/>
      <c r="J34" s="38"/>
    </row>
    <row r="35" customFormat="false" ht="25.5" hidden="false" customHeight="true" outlineLevel="0" collapsed="false">
      <c r="A35" s="36"/>
      <c r="B35" s="37"/>
      <c r="C35" s="38"/>
      <c r="D35" s="38"/>
      <c r="E35" s="38"/>
      <c r="F35" s="39"/>
      <c r="G35" s="39"/>
      <c r="H35" s="38"/>
      <c r="I35" s="37"/>
      <c r="J35" s="38"/>
    </row>
    <row r="36" customFormat="false" ht="25.5" hidden="false" customHeight="true" outlineLevel="0" collapsed="false">
      <c r="A36" s="36"/>
      <c r="B36" s="37"/>
      <c r="C36" s="38"/>
      <c r="D36" s="38"/>
      <c r="E36" s="38"/>
      <c r="F36" s="39"/>
      <c r="G36" s="39"/>
      <c r="H36" s="38"/>
      <c r="I36" s="37"/>
      <c r="J36" s="38"/>
    </row>
    <row r="37" customFormat="false" ht="25.5" hidden="false" customHeight="true" outlineLevel="0" collapsed="false">
      <c r="A37" s="36"/>
      <c r="B37" s="37"/>
      <c r="C37" s="38"/>
      <c r="D37" s="38"/>
      <c r="E37" s="38"/>
      <c r="F37" s="39"/>
      <c r="G37" s="39"/>
      <c r="H37" s="38"/>
      <c r="I37" s="37"/>
      <c r="J37" s="38"/>
    </row>
    <row r="38" customFormat="false" ht="25.5" hidden="false" customHeight="true" outlineLevel="0" collapsed="false">
      <c r="A38" s="36"/>
      <c r="B38" s="37"/>
      <c r="C38" s="38"/>
      <c r="D38" s="38"/>
      <c r="E38" s="38"/>
      <c r="F38" s="39"/>
      <c r="G38" s="39"/>
      <c r="H38" s="38"/>
      <c r="I38" s="37"/>
      <c r="J38" s="38"/>
    </row>
    <row r="39" customFormat="false" ht="25.5" hidden="false" customHeight="true" outlineLevel="0" collapsed="false">
      <c r="A39" s="36"/>
      <c r="B39" s="37"/>
      <c r="C39" s="38"/>
      <c r="D39" s="38"/>
      <c r="E39" s="38"/>
      <c r="F39" s="39"/>
      <c r="G39" s="39"/>
      <c r="H39" s="38"/>
      <c r="I39" s="37"/>
      <c r="J39" s="38"/>
    </row>
    <row r="40" customFormat="false" ht="25.5" hidden="false" customHeight="true" outlineLevel="0" collapsed="false">
      <c r="A40" s="36"/>
      <c r="B40" s="37"/>
      <c r="C40" s="38"/>
      <c r="D40" s="38"/>
      <c r="E40" s="38"/>
      <c r="F40" s="39"/>
      <c r="G40" s="39"/>
      <c r="H40" s="38"/>
      <c r="I40" s="37"/>
      <c r="J40" s="38"/>
    </row>
    <row r="41" customFormat="false" ht="25.5" hidden="false" customHeight="true" outlineLevel="0" collapsed="false">
      <c r="A41" s="36"/>
      <c r="B41" s="37"/>
      <c r="C41" s="38"/>
      <c r="D41" s="38"/>
      <c r="E41" s="38"/>
      <c r="F41" s="39"/>
      <c r="G41" s="39"/>
      <c r="H41" s="38"/>
      <c r="I41" s="37"/>
      <c r="J41" s="38"/>
    </row>
    <row r="42" customFormat="false" ht="25.5" hidden="false" customHeight="true" outlineLevel="0" collapsed="false">
      <c r="A42" s="36"/>
      <c r="B42" s="37"/>
      <c r="C42" s="38"/>
      <c r="D42" s="38"/>
      <c r="E42" s="38"/>
      <c r="F42" s="39"/>
      <c r="G42" s="39"/>
      <c r="H42" s="38"/>
      <c r="I42" s="37"/>
      <c r="J42" s="38"/>
    </row>
    <row r="43" customFormat="false" ht="25.5" hidden="false" customHeight="true" outlineLevel="0" collapsed="false">
      <c r="A43" s="36"/>
      <c r="B43" s="37"/>
      <c r="C43" s="38"/>
      <c r="D43" s="38"/>
      <c r="E43" s="38"/>
      <c r="F43" s="39"/>
      <c r="G43" s="39"/>
      <c r="H43" s="38"/>
      <c r="I43" s="37"/>
      <c r="J43" s="38"/>
    </row>
    <row r="44" customFormat="false" ht="25.5" hidden="false" customHeight="true" outlineLevel="0" collapsed="false">
      <c r="A44" s="36"/>
      <c r="B44" s="37"/>
      <c r="C44" s="38"/>
      <c r="D44" s="38"/>
      <c r="E44" s="38"/>
      <c r="F44" s="39"/>
      <c r="G44" s="39"/>
      <c r="H44" s="38"/>
      <c r="I44" s="37"/>
      <c r="J44" s="38"/>
    </row>
    <row r="45" customFormat="false" ht="25.5" hidden="false" customHeight="true" outlineLevel="0" collapsed="false">
      <c r="A45" s="36"/>
      <c r="B45" s="37"/>
      <c r="C45" s="38"/>
      <c r="D45" s="38"/>
      <c r="E45" s="38"/>
      <c r="F45" s="39"/>
      <c r="G45" s="39"/>
      <c r="H45" s="38"/>
      <c r="I45" s="37"/>
      <c r="J45" s="38"/>
    </row>
    <row r="46" customFormat="false" ht="25.5" hidden="false" customHeight="true" outlineLevel="0" collapsed="false">
      <c r="A46" s="36"/>
      <c r="B46" s="37"/>
      <c r="C46" s="38"/>
      <c r="D46" s="38"/>
      <c r="E46" s="38"/>
      <c r="F46" s="39"/>
      <c r="G46" s="39"/>
      <c r="H46" s="38"/>
      <c r="I46" s="37"/>
      <c r="J46" s="38"/>
    </row>
    <row r="47" customFormat="false" ht="25.5" hidden="false" customHeight="true" outlineLevel="0" collapsed="false">
      <c r="A47" s="36"/>
      <c r="B47" s="37"/>
      <c r="C47" s="38"/>
      <c r="D47" s="38"/>
      <c r="E47" s="38"/>
      <c r="F47" s="39"/>
      <c r="G47" s="39"/>
      <c r="H47" s="38"/>
      <c r="I47" s="37"/>
      <c r="J47" s="38"/>
    </row>
    <row r="48" customFormat="false" ht="25.5" hidden="false" customHeight="true" outlineLevel="0" collapsed="false">
      <c r="A48" s="36"/>
      <c r="B48" s="37"/>
      <c r="C48" s="38"/>
      <c r="D48" s="38"/>
      <c r="E48" s="38"/>
      <c r="F48" s="39"/>
      <c r="G48" s="39"/>
      <c r="H48" s="38"/>
      <c r="I48" s="37"/>
      <c r="J48" s="38"/>
    </row>
    <row r="49" customFormat="false" ht="25.5" hidden="false" customHeight="true" outlineLevel="0" collapsed="false">
      <c r="A49" s="36"/>
      <c r="B49" s="37"/>
      <c r="C49" s="38"/>
      <c r="D49" s="38"/>
      <c r="E49" s="38"/>
      <c r="F49" s="39"/>
      <c r="G49" s="39"/>
      <c r="H49" s="38"/>
      <c r="I49" s="37"/>
      <c r="J49" s="38"/>
    </row>
    <row r="50" customFormat="false" ht="25.5" hidden="false" customHeight="true" outlineLevel="0" collapsed="false">
      <c r="A50" s="36"/>
      <c r="B50" s="37"/>
      <c r="C50" s="38"/>
      <c r="D50" s="38"/>
      <c r="E50" s="38"/>
      <c r="F50" s="39"/>
      <c r="G50" s="39"/>
      <c r="H50" s="38"/>
      <c r="I50" s="37"/>
      <c r="J50" s="38"/>
    </row>
    <row r="51" customFormat="false" ht="25.5" hidden="false" customHeight="true" outlineLevel="0" collapsed="false">
      <c r="A51" s="36"/>
      <c r="B51" s="37"/>
      <c r="C51" s="38"/>
      <c r="D51" s="38"/>
      <c r="E51" s="38"/>
      <c r="F51" s="39"/>
      <c r="G51" s="39"/>
      <c r="H51" s="38"/>
      <c r="I51" s="37"/>
      <c r="J51" s="38"/>
    </row>
    <row r="52" customFormat="false" ht="25.5" hidden="false" customHeight="true" outlineLevel="0" collapsed="false">
      <c r="A52" s="36"/>
      <c r="B52" s="37"/>
      <c r="C52" s="38"/>
      <c r="D52" s="38"/>
      <c r="E52" s="38"/>
      <c r="F52" s="39"/>
      <c r="G52" s="39"/>
      <c r="H52" s="38"/>
      <c r="I52" s="37"/>
      <c r="J52" s="38"/>
    </row>
    <row r="53" customFormat="false" ht="25.5" hidden="false" customHeight="true" outlineLevel="0" collapsed="false">
      <c r="A53" s="36"/>
      <c r="B53" s="37"/>
      <c r="C53" s="38"/>
      <c r="D53" s="38"/>
      <c r="E53" s="38"/>
      <c r="F53" s="39"/>
      <c r="G53" s="39"/>
      <c r="H53" s="38"/>
      <c r="I53" s="37"/>
      <c r="J53" s="38"/>
    </row>
    <row r="54" customFormat="false" ht="25.5" hidden="false" customHeight="true" outlineLevel="0" collapsed="false">
      <c r="A54" s="36"/>
      <c r="B54" s="37"/>
      <c r="C54" s="38"/>
      <c r="D54" s="38"/>
      <c r="E54" s="38"/>
      <c r="F54" s="39"/>
      <c r="G54" s="39"/>
      <c r="H54" s="38"/>
      <c r="I54" s="37"/>
      <c r="J54" s="38"/>
    </row>
    <row r="55" customFormat="false" ht="25.5" hidden="false" customHeight="true" outlineLevel="0" collapsed="false">
      <c r="A55" s="36"/>
      <c r="B55" s="37"/>
      <c r="C55" s="38"/>
      <c r="D55" s="38"/>
      <c r="E55" s="38"/>
      <c r="F55" s="39"/>
      <c r="G55" s="39"/>
      <c r="H55" s="38"/>
      <c r="I55" s="37"/>
      <c r="J55" s="38"/>
    </row>
    <row r="56" customFormat="false" ht="25.5" hidden="false" customHeight="true" outlineLevel="0" collapsed="false">
      <c r="A56" s="36"/>
      <c r="B56" s="37"/>
      <c r="C56" s="38"/>
      <c r="D56" s="38"/>
      <c r="E56" s="38"/>
      <c r="F56" s="39"/>
      <c r="G56" s="39"/>
      <c r="H56" s="38"/>
      <c r="I56" s="37"/>
      <c r="J56" s="38"/>
    </row>
    <row r="57" customFormat="false" ht="25.5" hidden="false" customHeight="true" outlineLevel="0" collapsed="false">
      <c r="A57" s="36"/>
      <c r="B57" s="37"/>
      <c r="C57" s="38"/>
      <c r="D57" s="38"/>
      <c r="E57" s="38"/>
      <c r="F57" s="39"/>
      <c r="G57" s="39"/>
      <c r="H57" s="38"/>
      <c r="I57" s="37"/>
      <c r="J57" s="38"/>
    </row>
    <row r="58" customFormat="false" ht="25.5" hidden="false" customHeight="true" outlineLevel="0" collapsed="false">
      <c r="A58" s="36"/>
      <c r="B58" s="37"/>
      <c r="C58" s="38"/>
      <c r="D58" s="38"/>
      <c r="E58" s="38"/>
      <c r="F58" s="39"/>
      <c r="G58" s="39"/>
      <c r="H58" s="38"/>
      <c r="I58" s="37"/>
      <c r="J58" s="38"/>
    </row>
    <row r="59" customFormat="false" ht="25.5" hidden="false" customHeight="true" outlineLevel="0" collapsed="false">
      <c r="A59" s="36"/>
      <c r="B59" s="37"/>
      <c r="C59" s="38"/>
      <c r="D59" s="38"/>
      <c r="E59" s="38"/>
      <c r="F59" s="39"/>
      <c r="G59" s="39"/>
      <c r="H59" s="38"/>
      <c r="I59" s="37"/>
      <c r="J59" s="38"/>
    </row>
    <row r="60" customFormat="false" ht="25.5" hidden="false" customHeight="true" outlineLevel="0" collapsed="false">
      <c r="A60" s="36"/>
      <c r="B60" s="37"/>
      <c r="C60" s="38"/>
      <c r="D60" s="38"/>
      <c r="E60" s="38"/>
      <c r="F60" s="39"/>
      <c r="G60" s="39"/>
      <c r="H60" s="38"/>
      <c r="I60" s="37"/>
      <c r="J60" s="38"/>
    </row>
    <row r="61" customFormat="false" ht="25.5" hidden="false" customHeight="true" outlineLevel="0" collapsed="false">
      <c r="A61" s="36"/>
      <c r="B61" s="37"/>
      <c r="C61" s="38"/>
      <c r="D61" s="38"/>
      <c r="E61" s="38"/>
      <c r="F61" s="39"/>
      <c r="G61" s="39"/>
      <c r="H61" s="38"/>
      <c r="I61" s="37"/>
      <c r="J61" s="38"/>
    </row>
    <row r="62" customFormat="false" ht="25.5" hidden="false" customHeight="true" outlineLevel="0" collapsed="false">
      <c r="A62" s="36"/>
      <c r="B62" s="37"/>
      <c r="C62" s="38"/>
      <c r="D62" s="38"/>
      <c r="E62" s="38"/>
      <c r="F62" s="39"/>
      <c r="G62" s="39"/>
      <c r="H62" s="38"/>
      <c r="I62" s="37"/>
      <c r="J62" s="38"/>
    </row>
    <row r="63" customFormat="false" ht="25.5" hidden="false" customHeight="true" outlineLevel="0" collapsed="false">
      <c r="A63" s="36"/>
      <c r="B63" s="37"/>
      <c r="C63" s="38"/>
      <c r="D63" s="38"/>
      <c r="E63" s="38"/>
      <c r="F63" s="39"/>
      <c r="G63" s="39"/>
      <c r="H63" s="38"/>
      <c r="I63" s="37"/>
      <c r="J63" s="38"/>
    </row>
    <row r="64" customFormat="false" ht="25.5" hidden="false" customHeight="true" outlineLevel="0" collapsed="false">
      <c r="A64" s="36"/>
      <c r="B64" s="37"/>
      <c r="C64" s="38"/>
      <c r="D64" s="38"/>
      <c r="E64" s="38"/>
      <c r="F64" s="39"/>
      <c r="G64" s="39"/>
      <c r="H64" s="38"/>
      <c r="I64" s="37"/>
      <c r="J64" s="38"/>
    </row>
    <row r="65" customFormat="false" ht="25.5" hidden="false" customHeight="true" outlineLevel="0" collapsed="false">
      <c r="A65" s="36"/>
      <c r="B65" s="37"/>
      <c r="C65" s="38"/>
      <c r="D65" s="38"/>
      <c r="E65" s="38"/>
      <c r="F65" s="39"/>
      <c r="G65" s="39"/>
      <c r="H65" s="38"/>
      <c r="I65" s="37"/>
      <c r="J65" s="38"/>
    </row>
    <row r="66" customFormat="false" ht="25.5" hidden="false" customHeight="true" outlineLevel="0" collapsed="false">
      <c r="A66" s="36"/>
      <c r="B66" s="37"/>
      <c r="C66" s="38"/>
      <c r="D66" s="38"/>
      <c r="E66" s="38"/>
      <c r="F66" s="39"/>
      <c r="G66" s="39"/>
      <c r="H66" s="38"/>
      <c r="I66" s="37"/>
      <c r="J66" s="38"/>
    </row>
    <row r="67" customFormat="false" ht="25.5" hidden="false" customHeight="true" outlineLevel="0" collapsed="false">
      <c r="A67" s="36"/>
      <c r="B67" s="37"/>
      <c r="C67" s="38"/>
      <c r="D67" s="38"/>
      <c r="E67" s="38"/>
      <c r="F67" s="39"/>
      <c r="G67" s="39"/>
      <c r="H67" s="38"/>
      <c r="I67" s="37"/>
      <c r="J67" s="38"/>
    </row>
    <row r="68" customFormat="false" ht="25.5" hidden="false" customHeight="true" outlineLevel="0" collapsed="false">
      <c r="A68" s="36"/>
      <c r="B68" s="37"/>
      <c r="C68" s="38"/>
      <c r="D68" s="38"/>
      <c r="E68" s="38"/>
      <c r="F68" s="39"/>
      <c r="G68" s="39"/>
      <c r="H68" s="38"/>
      <c r="I68" s="37"/>
      <c r="J68" s="38"/>
    </row>
    <row r="69" customFormat="false" ht="25.5" hidden="false" customHeight="true" outlineLevel="0" collapsed="false">
      <c r="A69" s="36"/>
      <c r="B69" s="37"/>
      <c r="C69" s="38"/>
      <c r="D69" s="38"/>
      <c r="E69" s="38"/>
      <c r="F69" s="39"/>
      <c r="G69" s="39"/>
      <c r="H69" s="38"/>
      <c r="I69" s="37"/>
      <c r="J69" s="38"/>
    </row>
    <row r="70" customFormat="false" ht="25.5" hidden="false" customHeight="true" outlineLevel="0" collapsed="false">
      <c r="A70" s="36"/>
      <c r="B70" s="37"/>
      <c r="C70" s="38"/>
      <c r="D70" s="38"/>
      <c r="E70" s="38"/>
      <c r="F70" s="39"/>
      <c r="G70" s="39"/>
      <c r="H70" s="38"/>
      <c r="I70" s="37"/>
      <c r="J70" s="38"/>
    </row>
    <row r="71" customFormat="false" ht="25.5" hidden="false" customHeight="true" outlineLevel="0" collapsed="false">
      <c r="A71" s="36"/>
      <c r="B71" s="37"/>
      <c r="C71" s="38"/>
      <c r="D71" s="38"/>
      <c r="E71" s="38"/>
      <c r="F71" s="39"/>
      <c r="G71" s="39"/>
      <c r="H71" s="38"/>
      <c r="I71" s="37"/>
      <c r="J71" s="38"/>
    </row>
    <row r="72" customFormat="false" ht="25.5" hidden="false" customHeight="true" outlineLevel="0" collapsed="false">
      <c r="A72" s="36"/>
      <c r="B72" s="37"/>
      <c r="C72" s="38"/>
      <c r="D72" s="38"/>
      <c r="E72" s="38"/>
      <c r="F72" s="39"/>
      <c r="G72" s="39"/>
      <c r="H72" s="38"/>
      <c r="I72" s="37"/>
      <c r="J72" s="38"/>
    </row>
    <row r="73" customFormat="false" ht="25.5" hidden="false" customHeight="true" outlineLevel="0" collapsed="false">
      <c r="A73" s="36"/>
      <c r="B73" s="37"/>
      <c r="C73" s="38"/>
      <c r="D73" s="38"/>
      <c r="E73" s="38"/>
      <c r="F73" s="39"/>
      <c r="G73" s="39"/>
      <c r="H73" s="38"/>
      <c r="I73" s="37"/>
      <c r="J73" s="38"/>
    </row>
    <row r="74" customFormat="false" ht="25.5" hidden="false" customHeight="true" outlineLevel="0" collapsed="false">
      <c r="A74" s="36"/>
      <c r="B74" s="37"/>
      <c r="C74" s="38"/>
      <c r="D74" s="38"/>
      <c r="E74" s="38"/>
      <c r="F74" s="39"/>
      <c r="G74" s="39"/>
      <c r="H74" s="38"/>
      <c r="I74" s="37"/>
      <c r="J74" s="38"/>
    </row>
    <row r="75" customFormat="false" ht="25.5" hidden="false" customHeight="true" outlineLevel="0" collapsed="false">
      <c r="A75" s="36"/>
      <c r="B75" s="37"/>
      <c r="C75" s="38"/>
      <c r="D75" s="38"/>
      <c r="E75" s="38"/>
      <c r="F75" s="39"/>
      <c r="G75" s="39"/>
      <c r="H75" s="38"/>
      <c r="I75" s="37"/>
      <c r="J75" s="38"/>
    </row>
    <row r="76" customFormat="false" ht="25.5" hidden="false" customHeight="true" outlineLevel="0" collapsed="false">
      <c r="A76" s="36"/>
      <c r="B76" s="37"/>
      <c r="C76" s="38"/>
      <c r="D76" s="38"/>
      <c r="E76" s="38"/>
      <c r="F76" s="39"/>
      <c r="G76" s="39"/>
      <c r="H76" s="38"/>
      <c r="I76" s="37"/>
      <c r="J76" s="38"/>
    </row>
    <row r="77" customFormat="false" ht="25.5" hidden="false" customHeight="true" outlineLevel="0" collapsed="false">
      <c r="A77" s="36"/>
      <c r="B77" s="37"/>
      <c r="C77" s="38"/>
      <c r="D77" s="38"/>
      <c r="E77" s="38"/>
      <c r="F77" s="39"/>
      <c r="G77" s="39"/>
      <c r="H77" s="38"/>
      <c r="I77" s="37"/>
      <c r="J77" s="38"/>
    </row>
    <row r="78" customFormat="false" ht="25.5" hidden="false" customHeight="true" outlineLevel="0" collapsed="false">
      <c r="A78" s="36"/>
      <c r="B78" s="37"/>
      <c r="C78" s="38"/>
      <c r="D78" s="38"/>
      <c r="E78" s="38"/>
      <c r="F78" s="39"/>
      <c r="G78" s="39"/>
      <c r="H78" s="38"/>
      <c r="I78" s="37"/>
      <c r="J78" s="38"/>
    </row>
    <row r="79" customFormat="false" ht="25.5" hidden="false" customHeight="true" outlineLevel="0" collapsed="false">
      <c r="A79" s="36"/>
      <c r="B79" s="37"/>
      <c r="C79" s="38"/>
      <c r="D79" s="38"/>
      <c r="E79" s="38"/>
      <c r="F79" s="39"/>
      <c r="G79" s="39"/>
      <c r="H79" s="38"/>
      <c r="I79" s="37"/>
      <c r="J79" s="38"/>
    </row>
    <row r="80" customFormat="false" ht="25.5" hidden="false" customHeight="true" outlineLevel="0" collapsed="false">
      <c r="A80" s="36"/>
      <c r="B80" s="37"/>
      <c r="C80" s="38"/>
      <c r="D80" s="38"/>
      <c r="E80" s="38"/>
      <c r="F80" s="39"/>
      <c r="G80" s="39"/>
      <c r="H80" s="38"/>
      <c r="I80" s="37"/>
      <c r="J80" s="38"/>
    </row>
    <row r="81" customFormat="false" ht="25.5" hidden="false" customHeight="true" outlineLevel="0" collapsed="false">
      <c r="A81" s="36"/>
      <c r="B81" s="37"/>
      <c r="C81" s="38"/>
      <c r="D81" s="38"/>
      <c r="E81" s="38"/>
      <c r="F81" s="39"/>
      <c r="G81" s="39"/>
      <c r="H81" s="38"/>
      <c r="I81" s="37"/>
      <c r="J81" s="38"/>
    </row>
    <row r="82" customFormat="false" ht="25.5" hidden="false" customHeight="true" outlineLevel="0" collapsed="false">
      <c r="A82" s="36"/>
      <c r="B82" s="37"/>
      <c r="C82" s="38"/>
      <c r="D82" s="38"/>
      <c r="E82" s="38"/>
      <c r="F82" s="39"/>
      <c r="G82" s="39"/>
      <c r="H82" s="38"/>
      <c r="I82" s="37"/>
      <c r="J82" s="38"/>
    </row>
    <row r="83" customFormat="false" ht="25.5" hidden="false" customHeight="true" outlineLevel="0" collapsed="false">
      <c r="A83" s="36"/>
      <c r="B83" s="37"/>
      <c r="C83" s="38"/>
      <c r="D83" s="38"/>
      <c r="E83" s="38"/>
      <c r="F83" s="39"/>
      <c r="G83" s="39"/>
      <c r="H83" s="38"/>
      <c r="I83" s="37"/>
      <c r="J83" s="38"/>
    </row>
    <row r="84" customFormat="false" ht="25.5" hidden="false" customHeight="true" outlineLevel="0" collapsed="false">
      <c r="A84" s="36"/>
      <c r="B84" s="37"/>
      <c r="C84" s="38"/>
      <c r="D84" s="38"/>
      <c r="E84" s="38"/>
      <c r="F84" s="39"/>
      <c r="G84" s="39"/>
      <c r="H84" s="38"/>
      <c r="I84" s="37"/>
      <c r="J84" s="38"/>
    </row>
    <row r="85" customFormat="false" ht="25.5" hidden="false" customHeight="true" outlineLevel="0" collapsed="false">
      <c r="A85" s="36"/>
      <c r="B85" s="37"/>
      <c r="C85" s="38"/>
      <c r="D85" s="38"/>
      <c r="E85" s="38"/>
      <c r="F85" s="39"/>
      <c r="G85" s="39"/>
      <c r="H85" s="38"/>
      <c r="I85" s="37"/>
      <c r="J85" s="38"/>
    </row>
    <row r="86" customFormat="false" ht="25.5" hidden="false" customHeight="true" outlineLevel="0" collapsed="false">
      <c r="A86" s="36"/>
      <c r="B86" s="37"/>
      <c r="C86" s="38"/>
      <c r="D86" s="38"/>
      <c r="E86" s="38"/>
      <c r="F86" s="39"/>
      <c r="G86" s="39"/>
      <c r="H86" s="38"/>
      <c r="I86" s="37"/>
      <c r="J86" s="38"/>
    </row>
    <row r="87" customFormat="false" ht="25.5" hidden="false" customHeight="true" outlineLevel="0" collapsed="false">
      <c r="A87" s="36"/>
      <c r="B87" s="37"/>
      <c r="C87" s="38"/>
      <c r="D87" s="38"/>
      <c r="E87" s="38"/>
      <c r="F87" s="39"/>
      <c r="G87" s="39"/>
      <c r="H87" s="38"/>
      <c r="I87" s="37"/>
      <c r="J87" s="38"/>
    </row>
    <row r="88" customFormat="false" ht="25.5" hidden="false" customHeight="true" outlineLevel="0" collapsed="false">
      <c r="A88" s="36"/>
      <c r="B88" s="37"/>
      <c r="C88" s="38"/>
      <c r="D88" s="38"/>
      <c r="E88" s="38"/>
      <c r="F88" s="39"/>
      <c r="G88" s="39"/>
      <c r="H88" s="38"/>
      <c r="I88" s="37"/>
      <c r="J88" s="38"/>
    </row>
    <row r="89" customFormat="false" ht="25.5" hidden="false" customHeight="true" outlineLevel="0" collapsed="false">
      <c r="A89" s="36"/>
      <c r="B89" s="37"/>
      <c r="C89" s="38"/>
      <c r="D89" s="38"/>
      <c r="E89" s="38"/>
      <c r="F89" s="39"/>
      <c r="G89" s="39"/>
      <c r="H89" s="38"/>
      <c r="I89" s="37"/>
      <c r="J89" s="38"/>
    </row>
    <row r="90" customFormat="false" ht="25.5" hidden="false" customHeight="true" outlineLevel="0" collapsed="false">
      <c r="A90" s="36"/>
      <c r="B90" s="37"/>
      <c r="C90" s="38"/>
      <c r="D90" s="38"/>
      <c r="E90" s="38"/>
      <c r="F90" s="39"/>
      <c r="G90" s="39"/>
      <c r="H90" s="38"/>
      <c r="I90" s="37"/>
      <c r="J90" s="38"/>
    </row>
    <row r="91" customFormat="false" ht="25.5" hidden="false" customHeight="true" outlineLevel="0" collapsed="false">
      <c r="A91" s="36"/>
      <c r="B91" s="37"/>
      <c r="C91" s="38"/>
      <c r="D91" s="38"/>
      <c r="E91" s="38"/>
      <c r="F91" s="39"/>
      <c r="G91" s="39"/>
      <c r="H91" s="38"/>
      <c r="I91" s="37"/>
      <c r="J91" s="38"/>
    </row>
    <row r="92" customFormat="false" ht="25.5" hidden="false" customHeight="true" outlineLevel="0" collapsed="false">
      <c r="A92" s="36"/>
      <c r="B92" s="37"/>
      <c r="C92" s="38"/>
      <c r="D92" s="38"/>
      <c r="E92" s="38"/>
      <c r="F92" s="39"/>
      <c r="G92" s="39"/>
      <c r="H92" s="38"/>
      <c r="I92" s="37"/>
      <c r="J92" s="38"/>
    </row>
    <row r="93" customFormat="false" ht="25.5" hidden="false" customHeight="true" outlineLevel="0" collapsed="false">
      <c r="A93" s="36"/>
      <c r="B93" s="37"/>
      <c r="C93" s="38"/>
      <c r="D93" s="38"/>
      <c r="E93" s="38"/>
      <c r="F93" s="39"/>
      <c r="G93" s="39"/>
      <c r="H93" s="38"/>
      <c r="I93" s="37"/>
      <c r="J93" s="38"/>
    </row>
    <row r="94" customFormat="false" ht="25.5" hidden="false" customHeight="true" outlineLevel="0" collapsed="false">
      <c r="A94" s="36"/>
      <c r="B94" s="37"/>
      <c r="C94" s="38"/>
      <c r="D94" s="38"/>
      <c r="E94" s="38"/>
      <c r="F94" s="39"/>
      <c r="G94" s="39"/>
      <c r="H94" s="38"/>
      <c r="I94" s="37"/>
      <c r="J94" s="38"/>
    </row>
    <row r="95" customFormat="false" ht="25.5" hidden="false" customHeight="true" outlineLevel="0" collapsed="false">
      <c r="A95" s="36"/>
      <c r="B95" s="37"/>
      <c r="C95" s="38"/>
      <c r="D95" s="38"/>
      <c r="E95" s="38"/>
      <c r="F95" s="39"/>
      <c r="G95" s="39"/>
      <c r="H95" s="38"/>
      <c r="I95" s="37"/>
      <c r="J95" s="38"/>
    </row>
    <row r="96" customFormat="false" ht="25.5" hidden="false" customHeight="true" outlineLevel="0" collapsed="false">
      <c r="A96" s="36"/>
      <c r="B96" s="37"/>
      <c r="C96" s="38"/>
      <c r="D96" s="38"/>
      <c r="E96" s="38"/>
      <c r="F96" s="39"/>
      <c r="G96" s="39"/>
      <c r="H96" s="38"/>
      <c r="I96" s="37"/>
      <c r="J96" s="38"/>
    </row>
    <row r="97" customFormat="false" ht="25.5" hidden="false" customHeight="true" outlineLevel="0" collapsed="false">
      <c r="A97" s="36"/>
      <c r="B97" s="37"/>
      <c r="C97" s="38"/>
      <c r="D97" s="38"/>
      <c r="E97" s="38"/>
      <c r="F97" s="39"/>
      <c r="G97" s="39"/>
      <c r="H97" s="38"/>
      <c r="I97" s="37"/>
      <c r="J97" s="38"/>
    </row>
    <row r="98" customFormat="false" ht="25.5" hidden="false" customHeight="true" outlineLevel="0" collapsed="false">
      <c r="A98" s="36"/>
      <c r="B98" s="37"/>
      <c r="C98" s="38"/>
      <c r="D98" s="38"/>
      <c r="E98" s="38"/>
      <c r="F98" s="39"/>
      <c r="G98" s="39"/>
      <c r="H98" s="38"/>
      <c r="I98" s="37"/>
      <c r="J98" s="38"/>
    </row>
    <row r="99" customFormat="false" ht="25.5" hidden="false" customHeight="true" outlineLevel="0" collapsed="false">
      <c r="A99" s="36"/>
      <c r="B99" s="37"/>
      <c r="C99" s="38"/>
      <c r="D99" s="38"/>
      <c r="E99" s="38"/>
      <c r="F99" s="39"/>
      <c r="G99" s="39"/>
      <c r="H99" s="38"/>
      <c r="I99" s="37"/>
      <c r="J99" s="38"/>
    </row>
    <row r="100" customFormat="false" ht="25.5" hidden="false" customHeight="true" outlineLevel="0" collapsed="false">
      <c r="A100" s="36"/>
      <c r="B100" s="37"/>
      <c r="C100" s="38"/>
      <c r="D100" s="38"/>
      <c r="E100" s="38"/>
      <c r="F100" s="39"/>
      <c r="G100" s="39"/>
      <c r="H100" s="38"/>
      <c r="I100" s="37"/>
      <c r="J100" s="38"/>
    </row>
    <row r="101" customFormat="false" ht="25.5" hidden="false" customHeight="true" outlineLevel="0" collapsed="false">
      <c r="A101" s="36"/>
      <c r="B101" s="37"/>
      <c r="C101" s="38"/>
      <c r="D101" s="38"/>
      <c r="E101" s="38"/>
      <c r="F101" s="39"/>
      <c r="G101" s="39"/>
      <c r="H101" s="38"/>
      <c r="I101" s="37"/>
      <c r="J101" s="38"/>
    </row>
    <row r="102" customFormat="false" ht="25.5" hidden="false" customHeight="true" outlineLevel="0" collapsed="false">
      <c r="A102" s="36"/>
      <c r="B102" s="37"/>
      <c r="C102" s="38"/>
      <c r="D102" s="38"/>
      <c r="E102" s="38"/>
      <c r="F102" s="39"/>
      <c r="G102" s="39"/>
      <c r="H102" s="38"/>
      <c r="I102" s="37"/>
      <c r="J102" s="38"/>
    </row>
    <row r="103" customFormat="false" ht="25.5" hidden="false" customHeight="true" outlineLevel="0" collapsed="false">
      <c r="A103" s="36"/>
      <c r="B103" s="37"/>
      <c r="C103" s="38"/>
      <c r="D103" s="38"/>
      <c r="E103" s="38"/>
      <c r="F103" s="39"/>
      <c r="G103" s="39"/>
      <c r="H103" s="38"/>
      <c r="I103" s="37"/>
      <c r="J103" s="38"/>
    </row>
    <row r="104" customFormat="false" ht="25.5" hidden="false" customHeight="true" outlineLevel="0" collapsed="false">
      <c r="A104" s="36"/>
      <c r="B104" s="37"/>
      <c r="C104" s="38"/>
      <c r="D104" s="38"/>
      <c r="E104" s="38"/>
      <c r="F104" s="39"/>
      <c r="G104" s="39"/>
      <c r="H104" s="38"/>
      <c r="I104" s="37"/>
      <c r="J104" s="38"/>
    </row>
    <row r="105" customFormat="false" ht="25.5" hidden="false" customHeight="true" outlineLevel="0" collapsed="false">
      <c r="A105" s="36"/>
      <c r="B105" s="37"/>
      <c r="C105" s="38"/>
      <c r="D105" s="38"/>
      <c r="E105" s="38"/>
      <c r="F105" s="39"/>
      <c r="G105" s="39"/>
      <c r="H105" s="38"/>
      <c r="I105" s="37"/>
      <c r="J105" s="38"/>
    </row>
    <row r="106" customFormat="false" ht="25.5" hidden="false" customHeight="true" outlineLevel="0" collapsed="false">
      <c r="A106" s="36"/>
      <c r="B106" s="37"/>
      <c r="C106" s="38"/>
      <c r="D106" s="38"/>
      <c r="E106" s="38"/>
      <c r="F106" s="39"/>
      <c r="G106" s="39"/>
      <c r="H106" s="38"/>
      <c r="I106" s="37"/>
      <c r="J106" s="38"/>
    </row>
    <row r="107" customFormat="false" ht="25.5" hidden="false" customHeight="true" outlineLevel="0" collapsed="false">
      <c r="A107" s="36"/>
      <c r="B107" s="37"/>
      <c r="C107" s="38"/>
      <c r="D107" s="38"/>
      <c r="E107" s="38"/>
      <c r="F107" s="39"/>
      <c r="G107" s="39"/>
      <c r="H107" s="38"/>
      <c r="I107" s="37"/>
      <c r="J107" s="38"/>
    </row>
    <row r="108" customFormat="false" ht="25.5" hidden="false" customHeight="true" outlineLevel="0" collapsed="false">
      <c r="A108" s="36"/>
      <c r="B108" s="37"/>
      <c r="C108" s="38"/>
      <c r="D108" s="38"/>
      <c r="E108" s="38"/>
      <c r="F108" s="39"/>
      <c r="G108" s="39"/>
      <c r="H108" s="38"/>
      <c r="I108" s="37"/>
      <c r="J108" s="38"/>
    </row>
    <row r="109" customFormat="false" ht="25.5" hidden="false" customHeight="true" outlineLevel="0" collapsed="false">
      <c r="A109" s="36"/>
      <c r="B109" s="37"/>
      <c r="C109" s="38"/>
      <c r="D109" s="38"/>
      <c r="E109" s="38"/>
      <c r="F109" s="39"/>
      <c r="G109" s="39"/>
      <c r="H109" s="38"/>
      <c r="I109" s="37"/>
      <c r="J109" s="38"/>
    </row>
    <row r="110" customFormat="false" ht="25.5" hidden="false" customHeight="true" outlineLevel="0" collapsed="false">
      <c r="A110" s="36"/>
      <c r="B110" s="37"/>
      <c r="C110" s="38"/>
      <c r="D110" s="38"/>
      <c r="E110" s="38"/>
      <c r="F110" s="39"/>
      <c r="G110" s="39"/>
      <c r="H110" s="38"/>
      <c r="I110" s="37"/>
      <c r="J110" s="38"/>
    </row>
    <row r="111" customFormat="false" ht="25.5" hidden="false" customHeight="true" outlineLevel="0" collapsed="false">
      <c r="A111" s="36"/>
      <c r="B111" s="37"/>
      <c r="C111" s="38"/>
      <c r="D111" s="38"/>
      <c r="E111" s="38"/>
      <c r="F111" s="39"/>
      <c r="G111" s="39"/>
      <c r="H111" s="38"/>
      <c r="I111" s="37"/>
      <c r="J111" s="38"/>
    </row>
    <row r="112" customFormat="false" ht="25.5" hidden="false" customHeight="true" outlineLevel="0" collapsed="false">
      <c r="A112" s="36"/>
      <c r="B112" s="37"/>
      <c r="C112" s="38"/>
      <c r="D112" s="38"/>
      <c r="E112" s="38"/>
      <c r="F112" s="39"/>
      <c r="G112" s="39"/>
      <c r="H112" s="38"/>
      <c r="I112" s="37"/>
      <c r="J112" s="38"/>
    </row>
    <row r="113" customFormat="false" ht="25.5" hidden="false" customHeight="true" outlineLevel="0" collapsed="false">
      <c r="A113" s="36"/>
      <c r="B113" s="37"/>
      <c r="C113" s="38"/>
      <c r="D113" s="38"/>
      <c r="E113" s="38"/>
      <c r="F113" s="39"/>
      <c r="G113" s="39"/>
      <c r="H113" s="38"/>
      <c r="I113" s="37"/>
      <c r="J113" s="38"/>
    </row>
    <row r="114" customFormat="false" ht="25.5" hidden="false" customHeight="true" outlineLevel="0" collapsed="false">
      <c r="A114" s="36"/>
      <c r="B114" s="37"/>
      <c r="C114" s="38"/>
      <c r="D114" s="38"/>
      <c r="E114" s="38"/>
      <c r="F114" s="39"/>
      <c r="G114" s="39"/>
      <c r="H114" s="38"/>
      <c r="I114" s="37"/>
      <c r="J114" s="38"/>
    </row>
    <row r="115" customFormat="false" ht="25.5" hidden="false" customHeight="true" outlineLevel="0" collapsed="false">
      <c r="A115" s="36"/>
      <c r="B115" s="37"/>
      <c r="C115" s="38"/>
      <c r="D115" s="38"/>
      <c r="E115" s="38"/>
      <c r="F115" s="39"/>
      <c r="G115" s="39"/>
      <c r="H115" s="38"/>
      <c r="I115" s="37"/>
      <c r="J115" s="38"/>
    </row>
    <row r="116" customFormat="false" ht="25.5" hidden="false" customHeight="true" outlineLevel="0" collapsed="false">
      <c r="A116" s="36"/>
      <c r="B116" s="37"/>
      <c r="C116" s="38"/>
      <c r="D116" s="38"/>
      <c r="E116" s="38"/>
      <c r="F116" s="39"/>
      <c r="G116" s="39"/>
      <c r="H116" s="38"/>
      <c r="I116" s="37"/>
      <c r="J116" s="38"/>
    </row>
    <row r="117" customFormat="false" ht="25.5" hidden="false" customHeight="true" outlineLevel="0" collapsed="false">
      <c r="A117" s="36"/>
      <c r="B117" s="37"/>
      <c r="C117" s="38"/>
      <c r="D117" s="38"/>
      <c r="E117" s="38"/>
      <c r="F117" s="39"/>
      <c r="G117" s="39"/>
      <c r="H117" s="38"/>
      <c r="I117" s="37"/>
      <c r="J117" s="38"/>
    </row>
    <row r="118" customFormat="false" ht="25.5" hidden="false" customHeight="true" outlineLevel="0" collapsed="false">
      <c r="A118" s="36"/>
      <c r="B118" s="37"/>
      <c r="C118" s="38"/>
      <c r="D118" s="38"/>
      <c r="E118" s="38"/>
      <c r="F118" s="39"/>
      <c r="G118" s="39"/>
      <c r="H118" s="38"/>
      <c r="I118" s="37"/>
      <c r="J118" s="38"/>
    </row>
    <row r="119" customFormat="false" ht="25.5" hidden="false" customHeight="true" outlineLevel="0" collapsed="false">
      <c r="A119" s="36"/>
      <c r="B119" s="37"/>
      <c r="C119" s="38"/>
      <c r="D119" s="38"/>
      <c r="E119" s="38"/>
      <c r="F119" s="39"/>
      <c r="G119" s="39"/>
      <c r="H119" s="38"/>
      <c r="I119" s="37"/>
      <c r="J119" s="38"/>
    </row>
    <row r="120" customFormat="false" ht="25.5" hidden="false" customHeight="true" outlineLevel="0" collapsed="false">
      <c r="A120" s="36"/>
      <c r="B120" s="37"/>
      <c r="C120" s="38"/>
      <c r="D120" s="38"/>
      <c r="E120" s="38"/>
      <c r="F120" s="39"/>
      <c r="G120" s="39"/>
      <c r="H120" s="38"/>
      <c r="I120" s="37"/>
      <c r="J120" s="38"/>
    </row>
    <row r="121" customFormat="false" ht="25.5" hidden="false" customHeight="true" outlineLevel="0" collapsed="false">
      <c r="A121" s="36"/>
      <c r="B121" s="37"/>
      <c r="C121" s="38"/>
      <c r="D121" s="38"/>
      <c r="E121" s="38"/>
      <c r="F121" s="39"/>
      <c r="G121" s="39"/>
      <c r="H121" s="38"/>
      <c r="I121" s="37"/>
      <c r="J121" s="38"/>
    </row>
    <row r="122" customFormat="false" ht="25.5" hidden="false" customHeight="true" outlineLevel="0" collapsed="false">
      <c r="A122" s="36"/>
      <c r="B122" s="37"/>
      <c r="C122" s="38"/>
      <c r="D122" s="38"/>
      <c r="E122" s="38"/>
      <c r="F122" s="39"/>
      <c r="G122" s="39"/>
      <c r="H122" s="38"/>
      <c r="I122" s="37"/>
      <c r="J122" s="38"/>
    </row>
    <row r="123" customFormat="false" ht="25.5" hidden="false" customHeight="true" outlineLevel="0" collapsed="false">
      <c r="A123" s="36"/>
      <c r="B123" s="37"/>
      <c r="C123" s="38"/>
      <c r="D123" s="38"/>
      <c r="E123" s="38"/>
      <c r="F123" s="39"/>
      <c r="G123" s="39"/>
      <c r="H123" s="38"/>
      <c r="I123" s="37"/>
      <c r="J123" s="38"/>
    </row>
    <row r="124" customFormat="false" ht="25.5" hidden="false" customHeight="true" outlineLevel="0" collapsed="false">
      <c r="A124" s="36"/>
      <c r="B124" s="37"/>
      <c r="C124" s="38"/>
      <c r="D124" s="38"/>
      <c r="E124" s="38"/>
      <c r="F124" s="39"/>
      <c r="G124" s="39"/>
      <c r="H124" s="38"/>
      <c r="I124" s="37"/>
      <c r="J124" s="38"/>
    </row>
    <row r="125" customFormat="false" ht="25.5" hidden="false" customHeight="true" outlineLevel="0" collapsed="false">
      <c r="A125" s="36"/>
      <c r="B125" s="37"/>
      <c r="C125" s="38"/>
      <c r="D125" s="38"/>
      <c r="E125" s="38"/>
      <c r="F125" s="39"/>
      <c r="G125" s="39"/>
      <c r="H125" s="38"/>
      <c r="I125" s="37"/>
      <c r="J125" s="38"/>
    </row>
    <row r="126" customFormat="false" ht="25.5" hidden="false" customHeight="true" outlineLevel="0" collapsed="false">
      <c r="A126" s="36"/>
      <c r="B126" s="37"/>
      <c r="C126" s="38"/>
      <c r="D126" s="38"/>
      <c r="E126" s="38"/>
      <c r="F126" s="39"/>
      <c r="G126" s="39"/>
      <c r="H126" s="38"/>
      <c r="I126" s="37"/>
      <c r="J126" s="38"/>
    </row>
    <row r="127" customFormat="false" ht="25.5" hidden="false" customHeight="true" outlineLevel="0" collapsed="false">
      <c r="A127" s="36"/>
      <c r="B127" s="37"/>
      <c r="C127" s="38"/>
      <c r="D127" s="38"/>
      <c r="E127" s="38"/>
      <c r="F127" s="39"/>
      <c r="G127" s="39"/>
      <c r="H127" s="38"/>
      <c r="I127" s="37"/>
      <c r="J127" s="38"/>
    </row>
    <row r="128" customFormat="false" ht="25.5" hidden="false" customHeight="true" outlineLevel="0" collapsed="false">
      <c r="A128" s="36"/>
      <c r="B128" s="37"/>
      <c r="C128" s="38"/>
      <c r="D128" s="38"/>
      <c r="E128" s="38"/>
      <c r="F128" s="39"/>
      <c r="G128" s="39"/>
      <c r="H128" s="38"/>
      <c r="I128" s="37"/>
      <c r="J128" s="38"/>
    </row>
    <row r="129" customFormat="false" ht="25.5" hidden="false" customHeight="true" outlineLevel="0" collapsed="false">
      <c r="A129" s="36"/>
      <c r="B129" s="37"/>
      <c r="C129" s="38"/>
      <c r="D129" s="38"/>
      <c r="E129" s="38"/>
      <c r="F129" s="39"/>
      <c r="G129" s="39"/>
      <c r="H129" s="38"/>
      <c r="I129" s="37"/>
      <c r="J129" s="38"/>
    </row>
    <row r="130" customFormat="false" ht="25.5" hidden="false" customHeight="true" outlineLevel="0" collapsed="false">
      <c r="A130" s="36"/>
      <c r="B130" s="37"/>
      <c r="C130" s="38"/>
      <c r="D130" s="38"/>
      <c r="E130" s="38"/>
      <c r="F130" s="39"/>
      <c r="G130" s="39"/>
      <c r="H130" s="38"/>
      <c r="I130" s="37"/>
      <c r="J130" s="38"/>
    </row>
    <row r="131" customFormat="false" ht="25.5" hidden="false" customHeight="true" outlineLevel="0" collapsed="false">
      <c r="A131" s="36"/>
      <c r="B131" s="37"/>
      <c r="C131" s="38"/>
      <c r="D131" s="38"/>
      <c r="E131" s="38"/>
      <c r="F131" s="39"/>
      <c r="G131" s="39"/>
      <c r="H131" s="38"/>
      <c r="I131" s="37"/>
      <c r="J131" s="38"/>
    </row>
    <row r="132" customFormat="false" ht="25.5" hidden="false" customHeight="true" outlineLevel="0" collapsed="false">
      <c r="A132" s="36"/>
      <c r="B132" s="37"/>
      <c r="C132" s="38"/>
      <c r="D132" s="38"/>
      <c r="E132" s="38"/>
      <c r="F132" s="39"/>
      <c r="G132" s="39"/>
      <c r="H132" s="38"/>
      <c r="I132" s="37"/>
      <c r="J132" s="38"/>
    </row>
    <row r="133" customFormat="false" ht="25.5" hidden="false" customHeight="true" outlineLevel="0" collapsed="false">
      <c r="A133" s="36"/>
      <c r="B133" s="37"/>
      <c r="C133" s="38"/>
      <c r="D133" s="38"/>
      <c r="E133" s="38"/>
      <c r="F133" s="39"/>
      <c r="G133" s="39"/>
      <c r="H133" s="38"/>
      <c r="I133" s="37"/>
      <c r="J133" s="38"/>
    </row>
    <row r="134" customFormat="false" ht="25.5" hidden="false" customHeight="true" outlineLevel="0" collapsed="false">
      <c r="A134" s="36"/>
      <c r="B134" s="37"/>
      <c r="C134" s="38"/>
      <c r="D134" s="38"/>
      <c r="E134" s="38"/>
      <c r="F134" s="39"/>
      <c r="G134" s="39"/>
      <c r="H134" s="38"/>
      <c r="I134" s="37"/>
      <c r="J134" s="38"/>
    </row>
    <row r="135" customFormat="false" ht="25.5" hidden="false" customHeight="true" outlineLevel="0" collapsed="false">
      <c r="A135" s="36"/>
      <c r="B135" s="37"/>
      <c r="C135" s="38"/>
      <c r="D135" s="38"/>
      <c r="E135" s="38"/>
      <c r="F135" s="39"/>
      <c r="G135" s="39"/>
      <c r="H135" s="38"/>
      <c r="I135" s="37"/>
      <c r="J135" s="38"/>
    </row>
    <row r="136" customFormat="false" ht="25.5" hidden="false" customHeight="true" outlineLevel="0" collapsed="false">
      <c r="A136" s="36"/>
      <c r="B136" s="37"/>
      <c r="C136" s="38"/>
      <c r="D136" s="38"/>
      <c r="E136" s="38"/>
      <c r="F136" s="39"/>
      <c r="G136" s="39"/>
      <c r="H136" s="38"/>
      <c r="I136" s="37"/>
      <c r="J136" s="38"/>
    </row>
    <row r="137" customFormat="false" ht="25.5" hidden="false" customHeight="true" outlineLevel="0" collapsed="false">
      <c r="A137" s="36"/>
      <c r="B137" s="37"/>
      <c r="C137" s="38"/>
      <c r="D137" s="38"/>
      <c r="E137" s="38"/>
      <c r="F137" s="39"/>
      <c r="G137" s="39"/>
      <c r="H137" s="38"/>
      <c r="I137" s="37"/>
      <c r="J137" s="38"/>
    </row>
    <row r="138" customFormat="false" ht="25.5" hidden="false" customHeight="true" outlineLevel="0" collapsed="false">
      <c r="A138" s="36"/>
      <c r="B138" s="37"/>
      <c r="C138" s="38"/>
      <c r="D138" s="38"/>
      <c r="E138" s="38"/>
      <c r="F138" s="39"/>
      <c r="G138" s="39"/>
      <c r="H138" s="38"/>
      <c r="I138" s="37"/>
      <c r="J138" s="38"/>
    </row>
    <row r="139" customFormat="false" ht="25.5" hidden="false" customHeight="true" outlineLevel="0" collapsed="false">
      <c r="A139" s="36"/>
      <c r="B139" s="37"/>
      <c r="C139" s="38"/>
      <c r="D139" s="38"/>
      <c r="E139" s="38"/>
      <c r="F139" s="39"/>
      <c r="G139" s="39"/>
      <c r="H139" s="38"/>
      <c r="I139" s="37"/>
      <c r="J139" s="38"/>
    </row>
    <row r="140" customFormat="false" ht="25.5" hidden="false" customHeight="true" outlineLevel="0" collapsed="false">
      <c r="A140" s="36"/>
      <c r="B140" s="37"/>
      <c r="C140" s="38"/>
      <c r="D140" s="38"/>
      <c r="E140" s="38"/>
      <c r="F140" s="39"/>
      <c r="G140" s="39"/>
      <c r="H140" s="38"/>
      <c r="I140" s="37"/>
      <c r="J140" s="38"/>
    </row>
    <row r="141" customFormat="false" ht="25.5" hidden="false" customHeight="true" outlineLevel="0" collapsed="false">
      <c r="A141" s="36"/>
      <c r="B141" s="37"/>
      <c r="C141" s="38"/>
      <c r="D141" s="38"/>
      <c r="E141" s="38"/>
      <c r="F141" s="39"/>
      <c r="G141" s="39"/>
      <c r="H141" s="38"/>
      <c r="I141" s="37"/>
      <c r="J141" s="38"/>
    </row>
    <row r="142" customFormat="false" ht="25.5" hidden="false" customHeight="true" outlineLevel="0" collapsed="false">
      <c r="A142" s="36"/>
      <c r="B142" s="37"/>
      <c r="C142" s="38"/>
      <c r="D142" s="38"/>
      <c r="E142" s="38"/>
      <c r="F142" s="39"/>
      <c r="G142" s="39"/>
      <c r="H142" s="38"/>
      <c r="I142" s="37"/>
      <c r="J142" s="38"/>
    </row>
    <row r="143" customFormat="false" ht="25.5" hidden="false" customHeight="true" outlineLevel="0" collapsed="false">
      <c r="A143" s="36"/>
      <c r="B143" s="37"/>
      <c r="C143" s="38"/>
      <c r="D143" s="38"/>
      <c r="E143" s="38"/>
      <c r="F143" s="39"/>
      <c r="G143" s="39"/>
      <c r="H143" s="38"/>
      <c r="I143" s="37"/>
      <c r="J143" s="38"/>
    </row>
    <row r="144" customFormat="false" ht="25.5" hidden="false" customHeight="true" outlineLevel="0" collapsed="false">
      <c r="A144" s="36"/>
      <c r="B144" s="37"/>
      <c r="C144" s="38"/>
      <c r="D144" s="38"/>
      <c r="E144" s="38"/>
      <c r="F144" s="39"/>
      <c r="G144" s="39"/>
      <c r="H144" s="38"/>
      <c r="I144" s="37"/>
      <c r="J144" s="38"/>
    </row>
    <row r="145" customFormat="false" ht="25.5" hidden="false" customHeight="true" outlineLevel="0" collapsed="false">
      <c r="A145" s="36"/>
      <c r="B145" s="37"/>
      <c r="C145" s="38"/>
      <c r="D145" s="38"/>
      <c r="E145" s="38"/>
      <c r="F145" s="39"/>
      <c r="G145" s="39"/>
      <c r="H145" s="38"/>
      <c r="I145" s="37"/>
      <c r="J145" s="38"/>
    </row>
    <row r="146" customFormat="false" ht="25.5" hidden="false" customHeight="true" outlineLevel="0" collapsed="false">
      <c r="A146" s="36"/>
      <c r="B146" s="37"/>
      <c r="C146" s="38"/>
      <c r="D146" s="38"/>
      <c r="E146" s="38"/>
      <c r="F146" s="39"/>
      <c r="G146" s="39"/>
      <c r="H146" s="38"/>
      <c r="I146" s="37"/>
      <c r="J146" s="38"/>
    </row>
    <row r="147" customFormat="false" ht="25.5" hidden="false" customHeight="true" outlineLevel="0" collapsed="false">
      <c r="A147" s="36"/>
      <c r="B147" s="37"/>
      <c r="C147" s="38"/>
      <c r="D147" s="38"/>
      <c r="E147" s="38"/>
      <c r="F147" s="39"/>
      <c r="G147" s="39"/>
      <c r="H147" s="38"/>
      <c r="I147" s="37"/>
      <c r="J147" s="38"/>
    </row>
    <row r="148" customFormat="false" ht="25.5" hidden="false" customHeight="true" outlineLevel="0" collapsed="false">
      <c r="A148" s="36"/>
      <c r="B148" s="37"/>
      <c r="C148" s="38"/>
      <c r="D148" s="38"/>
      <c r="E148" s="38"/>
      <c r="F148" s="39"/>
      <c r="G148" s="39"/>
      <c r="H148" s="38"/>
      <c r="I148" s="37"/>
      <c r="J148" s="38"/>
    </row>
    <row r="149" customFormat="false" ht="25.5" hidden="false" customHeight="true" outlineLevel="0" collapsed="false">
      <c r="A149" s="36"/>
      <c r="B149" s="37"/>
      <c r="C149" s="38"/>
      <c r="D149" s="38"/>
      <c r="E149" s="38"/>
      <c r="F149" s="39"/>
      <c r="G149" s="39"/>
      <c r="H149" s="38"/>
      <c r="I149" s="37"/>
      <c r="J149" s="38"/>
    </row>
    <row r="150" customFormat="false" ht="25.5" hidden="false" customHeight="true" outlineLevel="0" collapsed="false">
      <c r="A150" s="36"/>
      <c r="B150" s="37"/>
      <c r="C150" s="38"/>
      <c r="D150" s="38"/>
      <c r="E150" s="38"/>
      <c r="F150" s="39"/>
      <c r="G150" s="39"/>
      <c r="H150" s="38"/>
      <c r="I150" s="37"/>
      <c r="J150" s="38"/>
    </row>
    <row r="151" customFormat="false" ht="25.5" hidden="false" customHeight="true" outlineLevel="0" collapsed="false">
      <c r="A151" s="36"/>
      <c r="B151" s="37"/>
      <c r="C151" s="38"/>
      <c r="D151" s="38"/>
      <c r="E151" s="38"/>
      <c r="F151" s="39"/>
      <c r="G151" s="39"/>
      <c r="H151" s="38"/>
      <c r="I151" s="37"/>
      <c r="J151" s="38"/>
    </row>
    <row r="152" customFormat="false" ht="25.5" hidden="false" customHeight="true" outlineLevel="0" collapsed="false">
      <c r="A152" s="36"/>
      <c r="B152" s="37"/>
      <c r="C152" s="38"/>
      <c r="D152" s="38"/>
      <c r="E152" s="38"/>
      <c r="F152" s="39"/>
      <c r="G152" s="39"/>
      <c r="H152" s="38"/>
      <c r="I152" s="37"/>
      <c r="J152" s="38"/>
    </row>
    <row r="153" customFormat="false" ht="25.5" hidden="false" customHeight="true" outlineLevel="0" collapsed="false">
      <c r="A153" s="36"/>
      <c r="B153" s="37"/>
      <c r="C153" s="38"/>
      <c r="D153" s="38"/>
      <c r="E153" s="38"/>
      <c r="F153" s="39"/>
      <c r="G153" s="39"/>
      <c r="H153" s="38"/>
      <c r="I153" s="37"/>
      <c r="J153" s="38"/>
    </row>
    <row r="154" customFormat="false" ht="25.5" hidden="false" customHeight="true" outlineLevel="0" collapsed="false">
      <c r="A154" s="36"/>
      <c r="B154" s="37"/>
      <c r="C154" s="38"/>
      <c r="D154" s="38"/>
      <c r="E154" s="38"/>
      <c r="F154" s="39"/>
      <c r="G154" s="39"/>
      <c r="H154" s="38"/>
      <c r="I154" s="37"/>
      <c r="J154" s="38"/>
    </row>
    <row r="155" customFormat="false" ht="25.5" hidden="false" customHeight="true" outlineLevel="0" collapsed="false">
      <c r="A155" s="36"/>
      <c r="B155" s="37"/>
      <c r="C155" s="38"/>
      <c r="D155" s="38"/>
      <c r="E155" s="38"/>
      <c r="F155" s="39"/>
      <c r="G155" s="39"/>
      <c r="H155" s="38"/>
      <c r="I155" s="37"/>
      <c r="J155" s="38"/>
    </row>
    <row r="156" customFormat="false" ht="25.5" hidden="false" customHeight="true" outlineLevel="0" collapsed="false">
      <c r="A156" s="36"/>
      <c r="B156" s="37"/>
      <c r="C156" s="38"/>
      <c r="D156" s="38"/>
      <c r="E156" s="38"/>
      <c r="F156" s="39"/>
      <c r="G156" s="39"/>
      <c r="H156" s="38"/>
      <c r="I156" s="37"/>
      <c r="J156" s="38"/>
    </row>
    <row r="157" customFormat="false" ht="25.5" hidden="false" customHeight="true" outlineLevel="0" collapsed="false">
      <c r="A157" s="36"/>
      <c r="B157" s="37"/>
      <c r="C157" s="38"/>
      <c r="D157" s="38"/>
      <c r="E157" s="38"/>
      <c r="F157" s="39"/>
      <c r="G157" s="39"/>
      <c r="H157" s="38"/>
      <c r="I157" s="37"/>
      <c r="J157" s="38"/>
    </row>
    <row r="158" customFormat="false" ht="25.5" hidden="false" customHeight="true" outlineLevel="0" collapsed="false">
      <c r="A158" s="36"/>
      <c r="B158" s="37"/>
      <c r="C158" s="38"/>
      <c r="D158" s="38"/>
      <c r="E158" s="38"/>
      <c r="F158" s="39"/>
      <c r="G158" s="39"/>
      <c r="H158" s="38"/>
      <c r="I158" s="37"/>
      <c r="J158" s="38"/>
    </row>
    <row r="159" customFormat="false" ht="25.5" hidden="false" customHeight="true" outlineLevel="0" collapsed="false">
      <c r="A159" s="36"/>
      <c r="B159" s="37"/>
      <c r="C159" s="38"/>
      <c r="D159" s="38"/>
      <c r="E159" s="38"/>
      <c r="F159" s="39"/>
      <c r="G159" s="39"/>
      <c r="H159" s="38"/>
      <c r="I159" s="37"/>
      <c r="J159" s="38"/>
    </row>
    <row r="160" customFormat="false" ht="25.5" hidden="false" customHeight="true" outlineLevel="0" collapsed="false">
      <c r="A160" s="36"/>
      <c r="B160" s="37"/>
      <c r="C160" s="38"/>
      <c r="D160" s="38"/>
      <c r="E160" s="38"/>
      <c r="F160" s="39"/>
      <c r="G160" s="39"/>
      <c r="H160" s="38"/>
      <c r="I160" s="37"/>
      <c r="J160" s="38"/>
    </row>
    <row r="161" customFormat="false" ht="25.5" hidden="false" customHeight="true" outlineLevel="0" collapsed="false">
      <c r="A161" s="36"/>
      <c r="B161" s="37"/>
      <c r="C161" s="38"/>
      <c r="D161" s="38"/>
      <c r="E161" s="38"/>
      <c r="F161" s="39"/>
      <c r="G161" s="39"/>
      <c r="H161" s="38"/>
      <c r="I161" s="37"/>
      <c r="J161" s="38"/>
    </row>
    <row r="162" customFormat="false" ht="25.5" hidden="false" customHeight="true" outlineLevel="0" collapsed="false">
      <c r="A162" s="36"/>
      <c r="B162" s="37"/>
      <c r="C162" s="38"/>
      <c r="D162" s="38"/>
      <c r="E162" s="38"/>
      <c r="F162" s="39"/>
      <c r="G162" s="39"/>
      <c r="H162" s="38"/>
      <c r="I162" s="37"/>
      <c r="J162" s="38"/>
    </row>
    <row r="163" customFormat="false" ht="25.5" hidden="false" customHeight="true" outlineLevel="0" collapsed="false">
      <c r="A163" s="36"/>
      <c r="B163" s="37"/>
      <c r="C163" s="38"/>
      <c r="D163" s="38"/>
      <c r="E163" s="38"/>
      <c r="F163" s="39"/>
      <c r="G163" s="39"/>
      <c r="H163" s="38"/>
      <c r="I163" s="37"/>
      <c r="J163" s="38"/>
    </row>
    <row r="164" customFormat="false" ht="25.5" hidden="false" customHeight="true" outlineLevel="0" collapsed="false">
      <c r="A164" s="36"/>
      <c r="B164" s="37"/>
      <c r="C164" s="38"/>
      <c r="D164" s="38"/>
      <c r="E164" s="38"/>
      <c r="F164" s="39"/>
      <c r="G164" s="39"/>
      <c r="H164" s="38"/>
      <c r="I164" s="37"/>
      <c r="J164" s="38"/>
    </row>
    <row r="165" customFormat="false" ht="25.5" hidden="false" customHeight="true" outlineLevel="0" collapsed="false">
      <c r="A165" s="36"/>
      <c r="B165" s="37"/>
      <c r="C165" s="38"/>
      <c r="D165" s="38"/>
      <c r="E165" s="38"/>
      <c r="F165" s="39"/>
      <c r="G165" s="39"/>
      <c r="H165" s="38"/>
      <c r="I165" s="37"/>
      <c r="J165" s="38"/>
    </row>
    <row r="166" customFormat="false" ht="25.5" hidden="false" customHeight="true" outlineLevel="0" collapsed="false">
      <c r="A166" s="36"/>
      <c r="B166" s="37"/>
      <c r="C166" s="38"/>
      <c r="D166" s="38"/>
      <c r="E166" s="38"/>
      <c r="F166" s="39"/>
      <c r="G166" s="39"/>
      <c r="H166" s="38"/>
      <c r="I166" s="37"/>
      <c r="J166" s="38"/>
    </row>
    <row r="167" customFormat="false" ht="25.5" hidden="false" customHeight="true" outlineLevel="0" collapsed="false">
      <c r="A167" s="36"/>
      <c r="B167" s="37"/>
      <c r="C167" s="38"/>
      <c r="D167" s="38"/>
      <c r="E167" s="38"/>
      <c r="F167" s="39"/>
      <c r="G167" s="39"/>
      <c r="H167" s="38"/>
      <c r="I167" s="37"/>
      <c r="J167" s="38"/>
    </row>
    <row r="168" customFormat="false" ht="25.5" hidden="false" customHeight="true" outlineLevel="0" collapsed="false">
      <c r="A168" s="36"/>
      <c r="B168" s="37"/>
      <c r="C168" s="38"/>
      <c r="D168" s="38"/>
      <c r="E168" s="38"/>
      <c r="F168" s="39"/>
      <c r="G168" s="39"/>
      <c r="H168" s="38"/>
      <c r="I168" s="37"/>
      <c r="J168" s="38"/>
    </row>
    <row r="169" customFormat="false" ht="25.5" hidden="false" customHeight="true" outlineLevel="0" collapsed="false">
      <c r="A169" s="36"/>
      <c r="B169" s="37"/>
      <c r="C169" s="38"/>
      <c r="D169" s="38"/>
      <c r="E169" s="38"/>
      <c r="F169" s="39"/>
      <c r="G169" s="39"/>
      <c r="H169" s="38"/>
      <c r="I169" s="37"/>
      <c r="J169" s="38"/>
    </row>
    <row r="170" customFormat="false" ht="25.5" hidden="false" customHeight="true" outlineLevel="0" collapsed="false">
      <c r="A170" s="36"/>
      <c r="B170" s="37"/>
      <c r="C170" s="38"/>
      <c r="D170" s="38"/>
      <c r="E170" s="38"/>
      <c r="F170" s="39"/>
      <c r="G170" s="39"/>
      <c r="H170" s="38"/>
      <c r="I170" s="37"/>
      <c r="J170" s="38"/>
    </row>
    <row r="171" customFormat="false" ht="25.5" hidden="false" customHeight="true" outlineLevel="0" collapsed="false">
      <c r="A171" s="36"/>
      <c r="B171" s="37"/>
      <c r="C171" s="38"/>
      <c r="D171" s="38"/>
      <c r="E171" s="38"/>
      <c r="F171" s="39"/>
      <c r="G171" s="39"/>
      <c r="H171" s="38"/>
      <c r="I171" s="37"/>
      <c r="J171" s="38"/>
    </row>
    <row r="172" customFormat="false" ht="25.5" hidden="false" customHeight="true" outlineLevel="0" collapsed="false">
      <c r="A172" s="36"/>
      <c r="B172" s="37"/>
      <c r="C172" s="38"/>
      <c r="D172" s="38"/>
      <c r="E172" s="38"/>
      <c r="F172" s="39"/>
      <c r="G172" s="39"/>
      <c r="H172" s="38"/>
      <c r="I172" s="37"/>
      <c r="J172" s="38"/>
    </row>
    <row r="173" customFormat="false" ht="25.5" hidden="false" customHeight="true" outlineLevel="0" collapsed="false">
      <c r="A173" s="36"/>
      <c r="B173" s="37"/>
      <c r="C173" s="38"/>
      <c r="D173" s="38"/>
      <c r="E173" s="38"/>
      <c r="F173" s="39"/>
      <c r="G173" s="39"/>
      <c r="H173" s="38"/>
      <c r="I173" s="37"/>
      <c r="J173" s="38"/>
    </row>
    <row r="174" customFormat="false" ht="25.5" hidden="false" customHeight="true" outlineLevel="0" collapsed="false">
      <c r="A174" s="36"/>
      <c r="B174" s="37"/>
      <c r="C174" s="38"/>
      <c r="D174" s="38"/>
      <c r="E174" s="38"/>
      <c r="F174" s="39"/>
      <c r="G174" s="39"/>
      <c r="H174" s="38"/>
      <c r="I174" s="37"/>
      <c r="J174" s="38"/>
    </row>
    <row r="175" customFormat="false" ht="25.5" hidden="false" customHeight="true" outlineLevel="0" collapsed="false">
      <c r="A175" s="36"/>
      <c r="B175" s="37"/>
      <c r="C175" s="38"/>
      <c r="D175" s="38"/>
      <c r="E175" s="38"/>
      <c r="F175" s="39"/>
      <c r="G175" s="39"/>
      <c r="H175" s="38"/>
      <c r="I175" s="37"/>
      <c r="J175" s="38"/>
    </row>
    <row r="176" customFormat="false" ht="25.5" hidden="false" customHeight="true" outlineLevel="0" collapsed="false">
      <c r="A176" s="36"/>
      <c r="B176" s="37"/>
      <c r="C176" s="38"/>
      <c r="D176" s="38"/>
      <c r="E176" s="38"/>
      <c r="F176" s="39"/>
      <c r="G176" s="39"/>
      <c r="H176" s="38"/>
      <c r="I176" s="37"/>
      <c r="J176" s="38"/>
    </row>
    <row r="177" customFormat="false" ht="25.5" hidden="false" customHeight="true" outlineLevel="0" collapsed="false">
      <c r="A177" s="36"/>
      <c r="B177" s="37"/>
      <c r="C177" s="38"/>
      <c r="D177" s="38"/>
      <c r="E177" s="38"/>
      <c r="F177" s="39"/>
      <c r="G177" s="39"/>
      <c r="H177" s="38"/>
      <c r="I177" s="37"/>
      <c r="J177" s="38"/>
    </row>
    <row r="178" customFormat="false" ht="25.5" hidden="false" customHeight="true" outlineLevel="0" collapsed="false">
      <c r="A178" s="36"/>
      <c r="B178" s="37"/>
      <c r="C178" s="38"/>
      <c r="D178" s="38"/>
      <c r="E178" s="38"/>
      <c r="F178" s="39"/>
      <c r="G178" s="39"/>
      <c r="H178" s="38"/>
      <c r="I178" s="37"/>
      <c r="J178" s="38"/>
    </row>
    <row r="179" customFormat="false" ht="25.5" hidden="false" customHeight="true" outlineLevel="0" collapsed="false">
      <c r="A179" s="36"/>
      <c r="B179" s="37"/>
      <c r="C179" s="38"/>
      <c r="D179" s="38"/>
      <c r="E179" s="38"/>
      <c r="F179" s="39"/>
      <c r="G179" s="39"/>
      <c r="H179" s="38"/>
      <c r="I179" s="37"/>
      <c r="J179" s="38"/>
    </row>
    <row r="180" customFormat="false" ht="25.5" hidden="false" customHeight="true" outlineLevel="0" collapsed="false">
      <c r="A180" s="36"/>
      <c r="B180" s="37"/>
      <c r="C180" s="38"/>
      <c r="D180" s="38"/>
      <c r="E180" s="38"/>
      <c r="F180" s="39"/>
      <c r="G180" s="39"/>
      <c r="H180" s="38"/>
      <c r="I180" s="37"/>
      <c r="J180" s="38"/>
    </row>
    <row r="181" customFormat="false" ht="25.5" hidden="false" customHeight="true" outlineLevel="0" collapsed="false">
      <c r="A181" s="36"/>
      <c r="B181" s="37"/>
      <c r="C181" s="38"/>
      <c r="D181" s="38"/>
      <c r="E181" s="38"/>
      <c r="F181" s="39"/>
      <c r="G181" s="39"/>
      <c r="H181" s="38"/>
      <c r="I181" s="37"/>
      <c r="J181" s="38"/>
    </row>
    <row r="182" customFormat="false" ht="25.5" hidden="false" customHeight="true" outlineLevel="0" collapsed="false">
      <c r="A182" s="36"/>
      <c r="B182" s="37"/>
      <c r="C182" s="38"/>
      <c r="D182" s="38"/>
      <c r="E182" s="38"/>
      <c r="F182" s="39"/>
      <c r="G182" s="39"/>
      <c r="H182" s="38"/>
      <c r="I182" s="37"/>
      <c r="J182" s="38"/>
    </row>
    <row r="183" customFormat="false" ht="25.5" hidden="false" customHeight="true" outlineLevel="0" collapsed="false">
      <c r="A183" s="36"/>
      <c r="B183" s="37"/>
      <c r="C183" s="38"/>
      <c r="D183" s="38"/>
      <c r="E183" s="38"/>
      <c r="F183" s="39"/>
      <c r="G183" s="39"/>
      <c r="H183" s="38"/>
      <c r="I183" s="37"/>
      <c r="J183" s="38"/>
    </row>
    <row r="184" customFormat="false" ht="25.5" hidden="false" customHeight="true" outlineLevel="0" collapsed="false">
      <c r="A184" s="36"/>
      <c r="B184" s="37"/>
      <c r="C184" s="38"/>
      <c r="D184" s="38"/>
      <c r="E184" s="38"/>
      <c r="F184" s="39"/>
      <c r="G184" s="39"/>
      <c r="H184" s="38"/>
      <c r="I184" s="37"/>
      <c r="J184" s="38"/>
    </row>
    <row r="185" customFormat="false" ht="25.5" hidden="false" customHeight="true" outlineLevel="0" collapsed="false">
      <c r="A185" s="36"/>
      <c r="B185" s="37"/>
      <c r="C185" s="38"/>
      <c r="D185" s="38"/>
      <c r="E185" s="38"/>
      <c r="F185" s="39"/>
      <c r="G185" s="39"/>
      <c r="H185" s="38"/>
      <c r="I185" s="37"/>
      <c r="J185" s="38"/>
    </row>
    <row r="186" customFormat="false" ht="25.5" hidden="false" customHeight="true" outlineLevel="0" collapsed="false">
      <c r="A186" s="36"/>
      <c r="B186" s="37"/>
      <c r="C186" s="38"/>
      <c r="D186" s="38"/>
      <c r="E186" s="38"/>
      <c r="F186" s="39"/>
      <c r="G186" s="39"/>
      <c r="H186" s="38"/>
      <c r="I186" s="37"/>
      <c r="J186" s="38"/>
    </row>
    <row r="187" customFormat="false" ht="25.5" hidden="false" customHeight="true" outlineLevel="0" collapsed="false">
      <c r="A187" s="36"/>
      <c r="B187" s="37"/>
      <c r="C187" s="38"/>
      <c r="D187" s="38"/>
      <c r="E187" s="38"/>
      <c r="F187" s="39"/>
      <c r="G187" s="39"/>
      <c r="H187" s="38"/>
      <c r="I187" s="37"/>
      <c r="J187" s="38"/>
    </row>
    <row r="188" customFormat="false" ht="25.5" hidden="false" customHeight="true" outlineLevel="0" collapsed="false">
      <c r="A188" s="36"/>
      <c r="B188" s="37"/>
      <c r="C188" s="38"/>
      <c r="D188" s="38"/>
      <c r="E188" s="38"/>
      <c r="F188" s="39"/>
      <c r="G188" s="39"/>
      <c r="H188" s="38"/>
      <c r="I188" s="37"/>
      <c r="J188" s="38"/>
    </row>
    <row r="189" customFormat="false" ht="25.5" hidden="false" customHeight="true" outlineLevel="0" collapsed="false">
      <c r="A189" s="36"/>
      <c r="B189" s="37"/>
      <c r="C189" s="38"/>
      <c r="D189" s="38"/>
      <c r="E189" s="38"/>
      <c r="F189" s="39"/>
      <c r="G189" s="39"/>
      <c r="H189" s="38"/>
      <c r="I189" s="37"/>
      <c r="J189" s="38"/>
    </row>
    <row r="190" customFormat="false" ht="25.5" hidden="false" customHeight="true" outlineLevel="0" collapsed="false">
      <c r="A190" s="36"/>
      <c r="B190" s="37"/>
      <c r="C190" s="38"/>
      <c r="D190" s="38"/>
      <c r="E190" s="38"/>
      <c r="F190" s="39"/>
      <c r="G190" s="39"/>
      <c r="H190" s="38"/>
      <c r="I190" s="37"/>
      <c r="J190" s="38"/>
    </row>
    <row r="191" customFormat="false" ht="25.5" hidden="false" customHeight="true" outlineLevel="0" collapsed="false">
      <c r="A191" s="36"/>
      <c r="B191" s="37"/>
      <c r="C191" s="38"/>
      <c r="D191" s="38"/>
      <c r="E191" s="38"/>
      <c r="F191" s="39"/>
      <c r="G191" s="39"/>
      <c r="H191" s="38"/>
      <c r="I191" s="37"/>
      <c r="J191" s="38"/>
    </row>
    <row r="192" customFormat="false" ht="25.5" hidden="false" customHeight="true" outlineLevel="0" collapsed="false">
      <c r="A192" s="36"/>
      <c r="B192" s="37"/>
      <c r="C192" s="38"/>
      <c r="D192" s="38"/>
      <c r="E192" s="38"/>
      <c r="F192" s="39"/>
      <c r="G192" s="39"/>
      <c r="H192" s="38"/>
      <c r="I192" s="37"/>
      <c r="J192" s="38"/>
    </row>
    <row r="193" customFormat="false" ht="25.5" hidden="false" customHeight="true" outlineLevel="0" collapsed="false">
      <c r="A193" s="36"/>
      <c r="B193" s="37"/>
      <c r="C193" s="38"/>
      <c r="D193" s="38"/>
      <c r="E193" s="38"/>
      <c r="F193" s="39"/>
      <c r="G193" s="39"/>
      <c r="H193" s="38"/>
      <c r="I193" s="37"/>
      <c r="J193" s="38"/>
    </row>
    <row r="194" customFormat="false" ht="25.5" hidden="false" customHeight="true" outlineLevel="0" collapsed="false">
      <c r="A194" s="36"/>
      <c r="B194" s="37"/>
      <c r="C194" s="38"/>
      <c r="D194" s="38"/>
      <c r="E194" s="38"/>
      <c r="F194" s="39"/>
      <c r="G194" s="39"/>
      <c r="H194" s="38"/>
      <c r="I194" s="37"/>
      <c r="J194" s="38"/>
    </row>
    <row r="195" customFormat="false" ht="25.5" hidden="false" customHeight="true" outlineLevel="0" collapsed="false">
      <c r="A195" s="36"/>
      <c r="B195" s="37"/>
      <c r="C195" s="38"/>
      <c r="D195" s="38"/>
      <c r="E195" s="38"/>
      <c r="F195" s="39"/>
      <c r="G195" s="39"/>
      <c r="H195" s="38"/>
      <c r="I195" s="37"/>
      <c r="J195" s="38"/>
    </row>
    <row r="196" customFormat="false" ht="25.5" hidden="false" customHeight="true" outlineLevel="0" collapsed="false">
      <c r="A196" s="36"/>
      <c r="B196" s="37"/>
      <c r="C196" s="38"/>
      <c r="D196" s="38"/>
      <c r="E196" s="38"/>
      <c r="F196" s="39"/>
      <c r="G196" s="39"/>
      <c r="H196" s="38"/>
      <c r="I196" s="37"/>
      <c r="J196" s="38"/>
    </row>
    <row r="197" customFormat="false" ht="25.5" hidden="false" customHeight="true" outlineLevel="0" collapsed="false">
      <c r="A197" s="36"/>
      <c r="B197" s="37"/>
      <c r="C197" s="38"/>
      <c r="D197" s="38"/>
      <c r="E197" s="38"/>
      <c r="F197" s="39"/>
      <c r="G197" s="39"/>
      <c r="H197" s="38"/>
      <c r="I197" s="37"/>
      <c r="J197" s="38"/>
    </row>
    <row r="198" customFormat="false" ht="25.5" hidden="false" customHeight="true" outlineLevel="0" collapsed="false">
      <c r="A198" s="36"/>
      <c r="B198" s="37"/>
      <c r="C198" s="38"/>
      <c r="D198" s="38"/>
      <c r="E198" s="38"/>
      <c r="F198" s="39"/>
      <c r="G198" s="39"/>
      <c r="H198" s="38"/>
      <c r="I198" s="37"/>
      <c r="J198" s="38"/>
    </row>
    <row r="199" customFormat="false" ht="25.5" hidden="false" customHeight="true" outlineLevel="0" collapsed="false">
      <c r="A199" s="36"/>
      <c r="B199" s="37"/>
      <c r="C199" s="38"/>
      <c r="D199" s="38"/>
      <c r="E199" s="38"/>
      <c r="F199" s="39"/>
      <c r="G199" s="39"/>
      <c r="H199" s="38"/>
      <c r="I199" s="37"/>
      <c r="J199" s="38"/>
    </row>
    <row r="200" customFormat="false" ht="25.5" hidden="false" customHeight="true" outlineLevel="0" collapsed="false">
      <c r="A200" s="36"/>
      <c r="B200" s="37"/>
      <c r="C200" s="38"/>
      <c r="D200" s="38"/>
      <c r="E200" s="38"/>
      <c r="F200" s="39"/>
      <c r="G200" s="39"/>
      <c r="H200" s="38"/>
      <c r="I200" s="37"/>
      <c r="J200" s="38"/>
    </row>
    <row r="201" customFormat="false" ht="25.5" hidden="false" customHeight="true" outlineLevel="0" collapsed="false">
      <c r="A201" s="36"/>
      <c r="B201" s="37"/>
      <c r="C201" s="38"/>
      <c r="D201" s="38"/>
      <c r="E201" s="38"/>
      <c r="F201" s="39"/>
      <c r="G201" s="39"/>
      <c r="H201" s="38"/>
      <c r="I201" s="37"/>
      <c r="J201" s="38"/>
    </row>
    <row r="202" customFormat="false" ht="25.5" hidden="false" customHeight="true" outlineLevel="0" collapsed="false">
      <c r="A202" s="36"/>
      <c r="B202" s="37"/>
      <c r="C202" s="38"/>
      <c r="D202" s="38"/>
      <c r="E202" s="38"/>
      <c r="F202" s="39"/>
      <c r="G202" s="39"/>
      <c r="H202" s="38"/>
      <c r="I202" s="37"/>
      <c r="J202" s="38"/>
    </row>
    <row r="203" customFormat="false" ht="25.5" hidden="false" customHeight="true" outlineLevel="0" collapsed="false">
      <c r="A203" s="36"/>
      <c r="B203" s="37"/>
      <c r="C203" s="38"/>
      <c r="D203" s="38"/>
      <c r="E203" s="38"/>
      <c r="F203" s="39"/>
      <c r="G203" s="39"/>
      <c r="H203" s="38"/>
      <c r="I203" s="37"/>
      <c r="J203" s="38"/>
    </row>
    <row r="204" customFormat="false" ht="25.5" hidden="false" customHeight="true" outlineLevel="0" collapsed="false">
      <c r="A204" s="36"/>
      <c r="B204" s="37"/>
      <c r="C204" s="38"/>
      <c r="D204" s="38"/>
      <c r="E204" s="38"/>
      <c r="F204" s="39"/>
      <c r="G204" s="39"/>
      <c r="H204" s="38"/>
      <c r="I204" s="37"/>
      <c r="J204" s="38"/>
    </row>
    <row r="205" customFormat="false" ht="25.5" hidden="false" customHeight="true" outlineLevel="0" collapsed="false">
      <c r="A205" s="36"/>
      <c r="B205" s="37"/>
      <c r="C205" s="38"/>
      <c r="D205" s="38"/>
      <c r="E205" s="38"/>
      <c r="F205" s="39"/>
      <c r="G205" s="39"/>
      <c r="H205" s="38"/>
      <c r="I205" s="37"/>
      <c r="J205" s="38"/>
    </row>
    <row r="206" customFormat="false" ht="25.5" hidden="false" customHeight="true" outlineLevel="0" collapsed="false">
      <c r="A206" s="36"/>
      <c r="B206" s="37"/>
      <c r="C206" s="38"/>
      <c r="D206" s="38"/>
      <c r="E206" s="38"/>
      <c r="F206" s="39"/>
      <c r="G206" s="39"/>
      <c r="H206" s="38"/>
      <c r="I206" s="37"/>
      <c r="J206" s="38"/>
    </row>
    <row r="207" customFormat="false" ht="25.5" hidden="false" customHeight="true" outlineLevel="0" collapsed="false">
      <c r="A207" s="36"/>
      <c r="B207" s="37"/>
      <c r="C207" s="38"/>
      <c r="D207" s="38"/>
      <c r="E207" s="38"/>
      <c r="F207" s="39"/>
      <c r="G207" s="39"/>
      <c r="H207" s="38"/>
      <c r="I207" s="37"/>
      <c r="J207" s="38"/>
    </row>
    <row r="208" customFormat="false" ht="25.5" hidden="false" customHeight="true" outlineLevel="0" collapsed="false">
      <c r="A208" s="36"/>
      <c r="B208" s="37"/>
      <c r="C208" s="38"/>
      <c r="D208" s="38"/>
      <c r="E208" s="38"/>
      <c r="F208" s="39"/>
      <c r="G208" s="39"/>
      <c r="H208" s="38"/>
      <c r="I208" s="37"/>
      <c r="J208" s="38"/>
    </row>
    <row r="209" customFormat="false" ht="25.5" hidden="false" customHeight="true" outlineLevel="0" collapsed="false">
      <c r="A209" s="36"/>
      <c r="B209" s="37"/>
      <c r="C209" s="38"/>
      <c r="D209" s="38"/>
      <c r="E209" s="38"/>
      <c r="F209" s="39"/>
      <c r="G209" s="39"/>
      <c r="H209" s="38"/>
      <c r="I209" s="37"/>
      <c r="J209" s="38"/>
    </row>
    <row r="210" customFormat="false" ht="25.5" hidden="false" customHeight="true" outlineLevel="0" collapsed="false">
      <c r="A210" s="36"/>
      <c r="B210" s="37"/>
      <c r="C210" s="38"/>
      <c r="D210" s="38"/>
      <c r="E210" s="38"/>
      <c r="F210" s="39"/>
      <c r="G210" s="39"/>
      <c r="H210" s="38"/>
      <c r="I210" s="37"/>
      <c r="J210" s="38"/>
    </row>
    <row r="211" customFormat="false" ht="25.5" hidden="false" customHeight="true" outlineLevel="0" collapsed="false">
      <c r="A211" s="36"/>
      <c r="B211" s="37"/>
      <c r="C211" s="38"/>
      <c r="D211" s="38"/>
      <c r="E211" s="38"/>
      <c r="F211" s="39"/>
      <c r="G211" s="39"/>
      <c r="H211" s="38"/>
      <c r="I211" s="37"/>
      <c r="J211" s="38"/>
    </row>
    <row r="212" customFormat="false" ht="25.5" hidden="false" customHeight="true" outlineLevel="0" collapsed="false">
      <c r="A212" s="36"/>
      <c r="B212" s="37"/>
      <c r="C212" s="38"/>
      <c r="D212" s="38"/>
      <c r="E212" s="38"/>
      <c r="F212" s="39"/>
      <c r="G212" s="39"/>
      <c r="H212" s="38"/>
      <c r="I212" s="37"/>
      <c r="J212" s="38"/>
    </row>
    <row r="213" customFormat="false" ht="25.5" hidden="false" customHeight="true" outlineLevel="0" collapsed="false">
      <c r="A213" s="36"/>
      <c r="B213" s="37"/>
      <c r="C213" s="38"/>
      <c r="D213" s="38"/>
      <c r="E213" s="38"/>
      <c r="F213" s="39"/>
      <c r="G213" s="39"/>
      <c r="H213" s="38"/>
      <c r="I213" s="37"/>
      <c r="J213" s="38"/>
    </row>
    <row r="214" customFormat="false" ht="25.5" hidden="false" customHeight="true" outlineLevel="0" collapsed="false">
      <c r="A214" s="36"/>
      <c r="B214" s="37"/>
      <c r="C214" s="38"/>
      <c r="D214" s="38"/>
      <c r="E214" s="38"/>
      <c r="F214" s="39"/>
      <c r="G214" s="39"/>
      <c r="H214" s="38"/>
      <c r="I214" s="37"/>
      <c r="J214" s="38"/>
    </row>
    <row r="215" customFormat="false" ht="25.5" hidden="false" customHeight="true" outlineLevel="0" collapsed="false">
      <c r="A215" s="36"/>
      <c r="B215" s="37"/>
      <c r="C215" s="38"/>
      <c r="D215" s="38"/>
      <c r="E215" s="38"/>
      <c r="F215" s="39"/>
      <c r="G215" s="39"/>
      <c r="H215" s="38"/>
      <c r="I215" s="37"/>
      <c r="J215" s="38"/>
    </row>
    <row r="216" customFormat="false" ht="25.5" hidden="false" customHeight="true" outlineLevel="0" collapsed="false">
      <c r="A216" s="36"/>
      <c r="B216" s="37"/>
      <c r="C216" s="38"/>
      <c r="D216" s="38"/>
      <c r="E216" s="38"/>
      <c r="F216" s="39"/>
      <c r="G216" s="39"/>
      <c r="H216" s="38"/>
      <c r="I216" s="37"/>
      <c r="J216" s="38"/>
    </row>
    <row r="217" customFormat="false" ht="25.5" hidden="false" customHeight="true" outlineLevel="0" collapsed="false">
      <c r="A217" s="36"/>
      <c r="B217" s="37"/>
      <c r="C217" s="38"/>
      <c r="D217" s="38"/>
      <c r="E217" s="38"/>
      <c r="F217" s="39"/>
      <c r="G217" s="39"/>
      <c r="H217" s="38"/>
      <c r="I217" s="37"/>
      <c r="J217" s="38"/>
    </row>
    <row r="218" customFormat="false" ht="25.5" hidden="false" customHeight="true" outlineLevel="0" collapsed="false">
      <c r="A218" s="36"/>
      <c r="B218" s="37"/>
      <c r="C218" s="38"/>
      <c r="D218" s="38"/>
      <c r="E218" s="38"/>
      <c r="F218" s="39"/>
      <c r="G218" s="39"/>
      <c r="H218" s="38"/>
      <c r="I218" s="37"/>
      <c r="J218" s="38"/>
    </row>
    <row r="219" customFormat="false" ht="25.5" hidden="false" customHeight="true" outlineLevel="0" collapsed="false">
      <c r="A219" s="36"/>
      <c r="B219" s="37"/>
      <c r="C219" s="38"/>
      <c r="D219" s="38"/>
      <c r="E219" s="38"/>
      <c r="F219" s="39"/>
      <c r="G219" s="39"/>
      <c r="H219" s="38"/>
      <c r="I219" s="37"/>
      <c r="J219" s="38"/>
    </row>
    <row r="220" customFormat="false" ht="25.5" hidden="false" customHeight="true" outlineLevel="0" collapsed="false">
      <c r="A220" s="36"/>
      <c r="B220" s="37"/>
      <c r="C220" s="38"/>
      <c r="D220" s="38"/>
      <c r="E220" s="38"/>
      <c r="F220" s="39"/>
      <c r="G220" s="39"/>
      <c r="H220" s="38"/>
      <c r="I220" s="37"/>
      <c r="J220" s="38"/>
    </row>
    <row r="221" customFormat="false" ht="25.5" hidden="false" customHeight="true" outlineLevel="0" collapsed="false">
      <c r="A221" s="36"/>
      <c r="B221" s="37"/>
      <c r="C221" s="38"/>
      <c r="D221" s="38"/>
      <c r="E221" s="38"/>
      <c r="F221" s="39"/>
      <c r="G221" s="39"/>
      <c r="H221" s="38"/>
      <c r="I221" s="37"/>
      <c r="J221" s="38"/>
    </row>
    <row r="222" customFormat="false" ht="25.5" hidden="false" customHeight="true" outlineLevel="0" collapsed="false">
      <c r="A222" s="36"/>
      <c r="B222" s="37"/>
      <c r="C222" s="38"/>
      <c r="D222" s="38"/>
      <c r="E222" s="38"/>
      <c r="F222" s="39"/>
      <c r="G222" s="39"/>
      <c r="H222" s="38"/>
      <c r="I222" s="37"/>
      <c r="J222" s="38"/>
    </row>
    <row r="223" customFormat="false" ht="25.5" hidden="false" customHeight="true" outlineLevel="0" collapsed="false">
      <c r="A223" s="36"/>
      <c r="B223" s="37"/>
      <c r="C223" s="38"/>
      <c r="D223" s="38"/>
      <c r="E223" s="38"/>
      <c r="F223" s="39"/>
      <c r="G223" s="39"/>
      <c r="H223" s="38"/>
      <c r="I223" s="37"/>
      <c r="J223" s="38"/>
    </row>
    <row r="224" customFormat="false" ht="25.5" hidden="false" customHeight="true" outlineLevel="0" collapsed="false">
      <c r="A224" s="36"/>
      <c r="B224" s="37"/>
      <c r="C224" s="38"/>
      <c r="D224" s="38"/>
      <c r="E224" s="38"/>
      <c r="F224" s="39"/>
      <c r="G224" s="39"/>
      <c r="H224" s="38"/>
      <c r="I224" s="37"/>
      <c r="J224" s="38"/>
    </row>
    <row r="225" customFormat="false" ht="25.5" hidden="false" customHeight="true" outlineLevel="0" collapsed="false">
      <c r="A225" s="36"/>
      <c r="B225" s="37"/>
      <c r="C225" s="38"/>
      <c r="D225" s="38"/>
      <c r="E225" s="38"/>
      <c r="F225" s="39"/>
      <c r="G225" s="39"/>
      <c r="H225" s="38"/>
      <c r="I225" s="37"/>
      <c r="J225" s="38"/>
    </row>
    <row r="226" customFormat="false" ht="25.5" hidden="false" customHeight="true" outlineLevel="0" collapsed="false">
      <c r="A226" s="36"/>
      <c r="B226" s="37"/>
      <c r="C226" s="38"/>
      <c r="D226" s="38"/>
      <c r="E226" s="38"/>
      <c r="F226" s="39"/>
      <c r="G226" s="39"/>
      <c r="H226" s="38"/>
      <c r="I226" s="37"/>
      <c r="J226" s="38"/>
    </row>
    <row r="227" customFormat="false" ht="25.5" hidden="false" customHeight="true" outlineLevel="0" collapsed="false">
      <c r="A227" s="36"/>
      <c r="B227" s="37"/>
      <c r="C227" s="38"/>
      <c r="D227" s="38"/>
      <c r="E227" s="38"/>
      <c r="F227" s="39"/>
      <c r="G227" s="39"/>
      <c r="H227" s="38"/>
      <c r="I227" s="37"/>
      <c r="J227" s="38"/>
    </row>
    <row r="228" customFormat="false" ht="25.5" hidden="false" customHeight="true" outlineLevel="0" collapsed="false">
      <c r="A228" s="36"/>
      <c r="B228" s="37"/>
      <c r="C228" s="38"/>
      <c r="D228" s="38"/>
      <c r="E228" s="38"/>
      <c r="F228" s="39"/>
      <c r="G228" s="39"/>
      <c r="H228" s="38"/>
      <c r="I228" s="37"/>
      <c r="J228" s="38"/>
    </row>
    <row r="229" customFormat="false" ht="25.5" hidden="false" customHeight="true" outlineLevel="0" collapsed="false">
      <c r="A229" s="36"/>
      <c r="B229" s="37"/>
      <c r="C229" s="38"/>
      <c r="D229" s="38"/>
      <c r="E229" s="38"/>
      <c r="F229" s="39"/>
      <c r="G229" s="39"/>
      <c r="H229" s="38"/>
      <c r="I229" s="37"/>
      <c r="J229" s="38"/>
    </row>
    <row r="230" customFormat="false" ht="25.5" hidden="false" customHeight="true" outlineLevel="0" collapsed="false">
      <c r="A230" s="36"/>
      <c r="B230" s="37"/>
      <c r="C230" s="38"/>
      <c r="D230" s="38"/>
      <c r="E230" s="38"/>
      <c r="F230" s="39"/>
      <c r="G230" s="39"/>
      <c r="H230" s="38"/>
      <c r="I230" s="37"/>
      <c r="J230" s="38"/>
    </row>
    <row r="231" customFormat="false" ht="25.5" hidden="false" customHeight="true" outlineLevel="0" collapsed="false">
      <c r="A231" s="36"/>
      <c r="B231" s="37"/>
      <c r="C231" s="38"/>
      <c r="D231" s="38"/>
      <c r="E231" s="38"/>
      <c r="F231" s="39"/>
      <c r="G231" s="39"/>
      <c r="H231" s="38"/>
      <c r="I231" s="37"/>
      <c r="J231" s="38"/>
    </row>
    <row r="232" customFormat="false" ht="25.5" hidden="false" customHeight="true" outlineLevel="0" collapsed="false">
      <c r="A232" s="36"/>
      <c r="B232" s="37"/>
      <c r="C232" s="38"/>
      <c r="D232" s="38"/>
      <c r="E232" s="38"/>
      <c r="F232" s="39"/>
      <c r="G232" s="39"/>
      <c r="H232" s="38"/>
      <c r="I232" s="37"/>
      <c r="J232" s="38"/>
    </row>
    <row r="233" customFormat="false" ht="25.5" hidden="false" customHeight="true" outlineLevel="0" collapsed="false">
      <c r="A233" s="36"/>
      <c r="B233" s="37"/>
      <c r="C233" s="38"/>
      <c r="D233" s="38"/>
      <c r="E233" s="38"/>
      <c r="F233" s="39"/>
      <c r="G233" s="39"/>
      <c r="H233" s="38"/>
      <c r="I233" s="37"/>
      <c r="J233" s="38"/>
    </row>
    <row r="234" customFormat="false" ht="25.5" hidden="false" customHeight="true" outlineLevel="0" collapsed="false">
      <c r="A234" s="36"/>
      <c r="B234" s="37"/>
      <c r="C234" s="38"/>
      <c r="D234" s="38"/>
      <c r="E234" s="38"/>
      <c r="F234" s="39"/>
      <c r="G234" s="39"/>
      <c r="H234" s="38"/>
      <c r="I234" s="37"/>
      <c r="J234" s="38"/>
    </row>
    <row r="235" customFormat="false" ht="25.5" hidden="false" customHeight="true" outlineLevel="0" collapsed="false">
      <c r="A235" s="36"/>
      <c r="B235" s="37"/>
      <c r="C235" s="38"/>
      <c r="D235" s="38"/>
      <c r="E235" s="38"/>
      <c r="F235" s="39"/>
      <c r="G235" s="39"/>
      <c r="H235" s="38"/>
      <c r="I235" s="37"/>
      <c r="J235" s="38"/>
    </row>
    <row r="236" customFormat="false" ht="25.5" hidden="false" customHeight="true" outlineLevel="0" collapsed="false">
      <c r="A236" s="36"/>
      <c r="B236" s="37"/>
      <c r="C236" s="38"/>
      <c r="D236" s="38"/>
      <c r="E236" s="38"/>
      <c r="F236" s="39"/>
      <c r="G236" s="39"/>
      <c r="H236" s="38"/>
      <c r="I236" s="37"/>
      <c r="J236" s="38"/>
    </row>
    <row r="237" customFormat="false" ht="25.5" hidden="false" customHeight="true" outlineLevel="0" collapsed="false">
      <c r="A237" s="36"/>
      <c r="B237" s="37"/>
      <c r="C237" s="38"/>
      <c r="D237" s="38"/>
      <c r="E237" s="38"/>
      <c r="F237" s="39"/>
      <c r="G237" s="39"/>
      <c r="H237" s="38"/>
      <c r="I237" s="37"/>
      <c r="J237" s="38"/>
    </row>
    <row r="238" customFormat="false" ht="25.5" hidden="false" customHeight="true" outlineLevel="0" collapsed="false">
      <c r="A238" s="36"/>
      <c r="B238" s="37"/>
      <c r="C238" s="38"/>
      <c r="D238" s="38"/>
      <c r="E238" s="38"/>
      <c r="F238" s="39"/>
      <c r="G238" s="39"/>
      <c r="H238" s="38"/>
      <c r="I238" s="37"/>
      <c r="J238" s="38"/>
    </row>
    <row r="239" customFormat="false" ht="25.5" hidden="false" customHeight="true" outlineLevel="0" collapsed="false">
      <c r="A239" s="36"/>
      <c r="B239" s="37"/>
      <c r="C239" s="38"/>
      <c r="D239" s="38"/>
      <c r="E239" s="38"/>
      <c r="F239" s="39"/>
      <c r="G239" s="39"/>
      <c r="H239" s="38"/>
      <c r="I239" s="37"/>
      <c r="J239" s="38"/>
    </row>
    <row r="240" customFormat="false" ht="25.5" hidden="false" customHeight="true" outlineLevel="0" collapsed="false">
      <c r="A240" s="36"/>
      <c r="B240" s="37"/>
      <c r="C240" s="38"/>
      <c r="D240" s="38"/>
      <c r="E240" s="38"/>
      <c r="F240" s="39"/>
      <c r="G240" s="39"/>
      <c r="H240" s="38"/>
      <c r="I240" s="37"/>
      <c r="J240" s="38"/>
    </row>
    <row r="241" customFormat="false" ht="25.5" hidden="false" customHeight="true" outlineLevel="0" collapsed="false">
      <c r="A241" s="36"/>
      <c r="B241" s="37"/>
      <c r="C241" s="38"/>
      <c r="D241" s="38"/>
      <c r="E241" s="38"/>
      <c r="F241" s="39"/>
      <c r="G241" s="39"/>
      <c r="H241" s="38"/>
      <c r="I241" s="37"/>
      <c r="J241" s="38"/>
    </row>
    <row r="242" customFormat="false" ht="25.5" hidden="false" customHeight="true" outlineLevel="0" collapsed="false">
      <c r="A242" s="36"/>
      <c r="B242" s="37"/>
      <c r="C242" s="38"/>
      <c r="D242" s="38"/>
      <c r="E242" s="38"/>
      <c r="F242" s="39"/>
      <c r="G242" s="39"/>
      <c r="H242" s="38"/>
      <c r="I242" s="37"/>
      <c r="J242" s="38"/>
    </row>
    <row r="243" customFormat="false" ht="25.5" hidden="false" customHeight="true" outlineLevel="0" collapsed="false">
      <c r="A243" s="36"/>
      <c r="B243" s="37"/>
      <c r="C243" s="38"/>
      <c r="D243" s="38"/>
      <c r="E243" s="38"/>
      <c r="F243" s="39"/>
      <c r="G243" s="39"/>
      <c r="H243" s="38"/>
      <c r="I243" s="37"/>
      <c r="J243" s="38"/>
    </row>
    <row r="244" customFormat="false" ht="25.5" hidden="false" customHeight="true" outlineLevel="0" collapsed="false">
      <c r="A244" s="36"/>
      <c r="B244" s="37"/>
      <c r="C244" s="38"/>
      <c r="D244" s="38"/>
      <c r="E244" s="38"/>
      <c r="F244" s="39"/>
      <c r="G244" s="39"/>
      <c r="H244" s="38"/>
      <c r="I244" s="37"/>
      <c r="J244" s="38"/>
    </row>
    <row r="245" customFormat="false" ht="25.5" hidden="false" customHeight="true" outlineLevel="0" collapsed="false">
      <c r="A245" s="36"/>
      <c r="B245" s="37"/>
      <c r="C245" s="38"/>
      <c r="D245" s="38"/>
      <c r="E245" s="38"/>
      <c r="F245" s="39"/>
      <c r="G245" s="39"/>
      <c r="H245" s="38"/>
      <c r="I245" s="37"/>
      <c r="J245" s="38"/>
    </row>
    <row r="246" customFormat="false" ht="25.5" hidden="false" customHeight="true" outlineLevel="0" collapsed="false">
      <c r="A246" s="36"/>
      <c r="B246" s="37"/>
      <c r="C246" s="38"/>
      <c r="D246" s="38"/>
      <c r="E246" s="38"/>
      <c r="F246" s="39"/>
      <c r="G246" s="39"/>
      <c r="H246" s="38"/>
      <c r="I246" s="37"/>
      <c r="J246" s="38"/>
    </row>
    <row r="247" customFormat="false" ht="25.5" hidden="false" customHeight="true" outlineLevel="0" collapsed="false">
      <c r="A247" s="36"/>
      <c r="B247" s="37"/>
      <c r="C247" s="38"/>
      <c r="D247" s="38"/>
      <c r="E247" s="38"/>
      <c r="F247" s="39"/>
      <c r="G247" s="39"/>
      <c r="H247" s="38"/>
      <c r="I247" s="37"/>
      <c r="J247" s="38"/>
    </row>
    <row r="248" customFormat="false" ht="25.5" hidden="false" customHeight="true" outlineLevel="0" collapsed="false">
      <c r="A248" s="36"/>
      <c r="B248" s="37"/>
      <c r="C248" s="38"/>
      <c r="D248" s="38"/>
      <c r="E248" s="38"/>
      <c r="F248" s="39"/>
      <c r="G248" s="39"/>
      <c r="H248" s="38"/>
      <c r="I248" s="37"/>
      <c r="J248" s="38"/>
    </row>
    <row r="249" customFormat="false" ht="25.5" hidden="false" customHeight="true" outlineLevel="0" collapsed="false">
      <c r="A249" s="36"/>
      <c r="B249" s="37"/>
      <c r="C249" s="38"/>
      <c r="D249" s="38"/>
      <c r="E249" s="38"/>
      <c r="F249" s="39"/>
      <c r="G249" s="39"/>
      <c r="H249" s="38"/>
      <c r="I249" s="37"/>
      <c r="J249" s="38"/>
    </row>
    <row r="250" customFormat="false" ht="25.5" hidden="false" customHeight="true" outlineLevel="0" collapsed="false">
      <c r="A250" s="36"/>
      <c r="B250" s="37"/>
      <c r="C250" s="38"/>
      <c r="D250" s="38"/>
      <c r="E250" s="38"/>
      <c r="F250" s="39"/>
      <c r="G250" s="39"/>
      <c r="H250" s="38"/>
      <c r="I250" s="37"/>
      <c r="J250" s="38"/>
    </row>
    <row r="251" customFormat="false" ht="25.5" hidden="false" customHeight="true" outlineLevel="0" collapsed="false">
      <c r="A251" s="36"/>
      <c r="B251" s="37"/>
      <c r="C251" s="38"/>
      <c r="D251" s="38"/>
      <c r="E251" s="38"/>
      <c r="F251" s="39"/>
      <c r="G251" s="39"/>
      <c r="H251" s="38"/>
      <c r="I251" s="37"/>
      <c r="J251" s="38"/>
    </row>
    <row r="252" customFormat="false" ht="25.5" hidden="false" customHeight="true" outlineLevel="0" collapsed="false">
      <c r="A252" s="36"/>
      <c r="B252" s="37"/>
      <c r="C252" s="38"/>
      <c r="D252" s="38"/>
      <c r="E252" s="38"/>
      <c r="F252" s="39"/>
      <c r="G252" s="39"/>
      <c r="H252" s="38"/>
      <c r="I252" s="37"/>
      <c r="J252" s="38"/>
    </row>
    <row r="253" customFormat="false" ht="25.5" hidden="false" customHeight="true" outlineLevel="0" collapsed="false">
      <c r="A253" s="36"/>
      <c r="B253" s="37"/>
      <c r="C253" s="38"/>
      <c r="D253" s="38"/>
      <c r="E253" s="38"/>
      <c r="F253" s="39"/>
      <c r="G253" s="39"/>
      <c r="H253" s="38"/>
      <c r="I253" s="37"/>
      <c r="J253" s="38"/>
    </row>
    <row r="254" customFormat="false" ht="25.5" hidden="false" customHeight="true" outlineLevel="0" collapsed="false">
      <c r="A254" s="36"/>
      <c r="B254" s="37"/>
      <c r="C254" s="38"/>
      <c r="D254" s="38"/>
      <c r="E254" s="38"/>
      <c r="F254" s="39"/>
      <c r="G254" s="39"/>
      <c r="H254" s="38"/>
      <c r="I254" s="37"/>
      <c r="J254" s="38"/>
    </row>
    <row r="255" customFormat="false" ht="25.5" hidden="false" customHeight="true" outlineLevel="0" collapsed="false">
      <c r="A255" s="36"/>
      <c r="B255" s="37"/>
      <c r="C255" s="38"/>
      <c r="D255" s="38"/>
      <c r="E255" s="38"/>
      <c r="F255" s="39"/>
      <c r="G255" s="39"/>
      <c r="H255" s="38"/>
      <c r="I255" s="37"/>
      <c r="J255" s="38"/>
    </row>
    <row r="256" customFormat="false" ht="25.5" hidden="false" customHeight="true" outlineLevel="0" collapsed="false">
      <c r="A256" s="36"/>
      <c r="B256" s="37"/>
      <c r="C256" s="38"/>
      <c r="D256" s="38"/>
      <c r="E256" s="38"/>
      <c r="F256" s="39"/>
      <c r="G256" s="39"/>
      <c r="H256" s="38"/>
      <c r="I256" s="37"/>
      <c r="J256" s="38"/>
    </row>
    <row r="257" customFormat="false" ht="25.5" hidden="false" customHeight="true" outlineLevel="0" collapsed="false">
      <c r="A257" s="36"/>
      <c r="B257" s="37"/>
      <c r="C257" s="38"/>
      <c r="D257" s="38"/>
      <c r="E257" s="38"/>
      <c r="F257" s="39"/>
      <c r="G257" s="39"/>
      <c r="H257" s="38"/>
      <c r="I257" s="37"/>
      <c r="J257" s="38"/>
    </row>
    <row r="258" customFormat="false" ht="25.5" hidden="false" customHeight="true" outlineLevel="0" collapsed="false">
      <c r="A258" s="36"/>
      <c r="B258" s="37"/>
      <c r="C258" s="38"/>
      <c r="D258" s="38"/>
      <c r="E258" s="38"/>
      <c r="F258" s="39"/>
      <c r="G258" s="39"/>
      <c r="H258" s="38"/>
      <c r="I258" s="37"/>
      <c r="J258" s="38"/>
    </row>
    <row r="259" customFormat="false" ht="25.5" hidden="false" customHeight="true" outlineLevel="0" collapsed="false">
      <c r="A259" s="36"/>
      <c r="B259" s="37"/>
      <c r="C259" s="38"/>
      <c r="D259" s="38"/>
      <c r="E259" s="38"/>
      <c r="F259" s="39"/>
      <c r="G259" s="39"/>
      <c r="H259" s="38"/>
      <c r="I259" s="37"/>
      <c r="J259" s="38"/>
    </row>
    <row r="260" customFormat="false" ht="25.5" hidden="false" customHeight="true" outlineLevel="0" collapsed="false">
      <c r="A260" s="36"/>
      <c r="B260" s="37"/>
      <c r="C260" s="38"/>
      <c r="D260" s="38"/>
      <c r="E260" s="38"/>
      <c r="F260" s="39"/>
      <c r="G260" s="39"/>
      <c r="H260" s="38"/>
      <c r="I260" s="37"/>
      <c r="J260" s="38"/>
    </row>
    <row r="261" customFormat="false" ht="25.5" hidden="false" customHeight="true" outlineLevel="0" collapsed="false">
      <c r="A261" s="36"/>
      <c r="B261" s="37"/>
      <c r="C261" s="38"/>
      <c r="D261" s="38"/>
      <c r="E261" s="38"/>
      <c r="F261" s="39"/>
      <c r="G261" s="39"/>
      <c r="H261" s="38"/>
      <c r="I261" s="37"/>
      <c r="J261" s="38"/>
    </row>
    <row r="262" customFormat="false" ht="25.5" hidden="false" customHeight="true" outlineLevel="0" collapsed="false">
      <c r="A262" s="36"/>
      <c r="B262" s="37"/>
      <c r="C262" s="38"/>
      <c r="D262" s="38"/>
      <c r="E262" s="38"/>
      <c r="F262" s="39"/>
      <c r="G262" s="39"/>
      <c r="H262" s="38"/>
      <c r="I262" s="37"/>
      <c r="J262" s="38"/>
    </row>
    <row r="263" customFormat="false" ht="25.5" hidden="false" customHeight="true" outlineLevel="0" collapsed="false">
      <c r="A263" s="36"/>
      <c r="B263" s="37"/>
      <c r="C263" s="38"/>
      <c r="D263" s="38"/>
      <c r="E263" s="38"/>
      <c r="F263" s="39"/>
      <c r="G263" s="39"/>
      <c r="H263" s="38"/>
      <c r="I263" s="37"/>
      <c r="J263" s="38"/>
    </row>
    <row r="264" customFormat="false" ht="25.5" hidden="false" customHeight="true" outlineLevel="0" collapsed="false">
      <c r="A264" s="36"/>
      <c r="B264" s="37"/>
      <c r="C264" s="38"/>
      <c r="D264" s="38"/>
      <c r="E264" s="38"/>
      <c r="F264" s="39"/>
      <c r="G264" s="39"/>
      <c r="H264" s="38"/>
      <c r="I264" s="37"/>
      <c r="J264" s="38"/>
    </row>
    <row r="265" customFormat="false" ht="25.5" hidden="false" customHeight="true" outlineLevel="0" collapsed="false">
      <c r="A265" s="36"/>
      <c r="B265" s="37"/>
      <c r="C265" s="38"/>
      <c r="D265" s="38"/>
      <c r="E265" s="38"/>
      <c r="F265" s="39"/>
      <c r="G265" s="39"/>
      <c r="H265" s="38"/>
      <c r="I265" s="37"/>
      <c r="J265" s="38"/>
    </row>
    <row r="266" customFormat="false" ht="25.5" hidden="false" customHeight="true" outlineLevel="0" collapsed="false">
      <c r="A266" s="36"/>
      <c r="B266" s="37"/>
      <c r="C266" s="38"/>
      <c r="D266" s="38"/>
      <c r="E266" s="38"/>
      <c r="F266" s="39"/>
      <c r="G266" s="39"/>
      <c r="H266" s="38"/>
      <c r="I266" s="37"/>
      <c r="J266" s="38"/>
    </row>
    <row r="267" customFormat="false" ht="25.5" hidden="false" customHeight="true" outlineLevel="0" collapsed="false">
      <c r="A267" s="36"/>
      <c r="B267" s="37"/>
      <c r="C267" s="38"/>
      <c r="D267" s="38"/>
      <c r="E267" s="38"/>
      <c r="F267" s="39"/>
      <c r="G267" s="39"/>
      <c r="H267" s="38"/>
      <c r="I267" s="37"/>
      <c r="J267" s="38"/>
    </row>
    <row r="268" customFormat="false" ht="25.5" hidden="false" customHeight="true" outlineLevel="0" collapsed="false">
      <c r="A268" s="36"/>
      <c r="B268" s="37"/>
      <c r="C268" s="38"/>
      <c r="D268" s="38"/>
      <c r="E268" s="38"/>
      <c r="F268" s="39"/>
      <c r="G268" s="39"/>
      <c r="H268" s="38"/>
      <c r="I268" s="37"/>
      <c r="J268" s="38"/>
    </row>
    <row r="269" customFormat="false" ht="25.5" hidden="false" customHeight="true" outlineLevel="0" collapsed="false">
      <c r="A269" s="36"/>
      <c r="B269" s="37"/>
      <c r="C269" s="38"/>
      <c r="D269" s="38"/>
      <c r="E269" s="38"/>
      <c r="F269" s="39"/>
      <c r="G269" s="39"/>
      <c r="H269" s="38"/>
      <c r="I269" s="37"/>
      <c r="J269" s="38"/>
    </row>
    <row r="270" customFormat="false" ht="25.5" hidden="false" customHeight="true" outlineLevel="0" collapsed="false">
      <c r="A270" s="36"/>
      <c r="B270" s="37"/>
      <c r="C270" s="38"/>
      <c r="D270" s="38"/>
      <c r="E270" s="38"/>
      <c r="F270" s="39"/>
      <c r="G270" s="39"/>
      <c r="H270" s="38"/>
      <c r="I270" s="37"/>
      <c r="J270" s="38"/>
    </row>
    <row r="271" customFormat="false" ht="25.5" hidden="false" customHeight="true" outlineLevel="0" collapsed="false">
      <c r="A271" s="36"/>
      <c r="B271" s="37"/>
      <c r="C271" s="38"/>
      <c r="D271" s="38"/>
      <c r="E271" s="38"/>
      <c r="F271" s="39"/>
      <c r="G271" s="39"/>
      <c r="H271" s="38"/>
      <c r="I271" s="37"/>
      <c r="J271" s="38"/>
    </row>
    <row r="272" customFormat="false" ht="25.5" hidden="false" customHeight="true" outlineLevel="0" collapsed="false">
      <c r="A272" s="36"/>
      <c r="B272" s="37"/>
      <c r="C272" s="38"/>
      <c r="D272" s="38"/>
      <c r="E272" s="38"/>
      <c r="F272" s="39"/>
      <c r="G272" s="39"/>
      <c r="H272" s="38"/>
      <c r="I272" s="37"/>
      <c r="J272" s="38"/>
    </row>
    <row r="273" customFormat="false" ht="25.5" hidden="false" customHeight="true" outlineLevel="0" collapsed="false">
      <c r="A273" s="36"/>
      <c r="B273" s="37"/>
      <c r="C273" s="38"/>
      <c r="D273" s="38"/>
      <c r="E273" s="38"/>
      <c r="F273" s="39"/>
      <c r="G273" s="39"/>
      <c r="H273" s="38"/>
      <c r="I273" s="37"/>
      <c r="J273" s="38"/>
    </row>
    <row r="274" customFormat="false" ht="25.5" hidden="false" customHeight="true" outlineLevel="0" collapsed="false">
      <c r="A274" s="36"/>
      <c r="B274" s="37"/>
      <c r="C274" s="38"/>
      <c r="D274" s="38"/>
      <c r="E274" s="38"/>
      <c r="F274" s="39"/>
      <c r="G274" s="39"/>
      <c r="H274" s="38"/>
      <c r="I274" s="37"/>
      <c r="J274" s="38"/>
    </row>
    <row r="275" customFormat="false" ht="25.5" hidden="false" customHeight="true" outlineLevel="0" collapsed="false">
      <c r="A275" s="36"/>
      <c r="B275" s="37"/>
      <c r="C275" s="38"/>
      <c r="D275" s="38"/>
      <c r="E275" s="38"/>
      <c r="F275" s="39"/>
      <c r="G275" s="39"/>
      <c r="H275" s="38"/>
      <c r="I275" s="37"/>
      <c r="J275" s="38"/>
    </row>
    <row r="276" customFormat="false" ht="25.5" hidden="false" customHeight="true" outlineLevel="0" collapsed="false">
      <c r="A276" s="36"/>
      <c r="B276" s="37"/>
      <c r="C276" s="38"/>
      <c r="D276" s="38"/>
      <c r="E276" s="38"/>
      <c r="F276" s="39"/>
      <c r="G276" s="39"/>
      <c r="H276" s="38"/>
      <c r="I276" s="37"/>
      <c r="J276" s="38"/>
    </row>
    <row r="277" customFormat="false" ht="25.5" hidden="false" customHeight="true" outlineLevel="0" collapsed="false">
      <c r="A277" s="36"/>
      <c r="B277" s="37"/>
      <c r="C277" s="38"/>
      <c r="D277" s="38"/>
      <c r="E277" s="38"/>
      <c r="F277" s="39"/>
      <c r="G277" s="39"/>
      <c r="H277" s="38"/>
      <c r="I277" s="37"/>
      <c r="J277" s="38"/>
    </row>
    <row r="278" customFormat="false" ht="25.5" hidden="false" customHeight="true" outlineLevel="0" collapsed="false">
      <c r="A278" s="36"/>
      <c r="B278" s="37"/>
      <c r="C278" s="38"/>
      <c r="D278" s="38"/>
      <c r="E278" s="38"/>
      <c r="F278" s="39"/>
      <c r="G278" s="39"/>
      <c r="H278" s="38"/>
      <c r="I278" s="37"/>
      <c r="J278" s="38"/>
    </row>
    <row r="279" customFormat="false" ht="25.5" hidden="false" customHeight="true" outlineLevel="0" collapsed="false">
      <c r="A279" s="36"/>
      <c r="B279" s="37"/>
      <c r="C279" s="38"/>
      <c r="D279" s="38"/>
      <c r="E279" s="38"/>
      <c r="F279" s="39"/>
      <c r="G279" s="39"/>
      <c r="H279" s="38"/>
      <c r="I279" s="37"/>
      <c r="J279" s="38"/>
    </row>
    <row r="280" customFormat="false" ht="25.5" hidden="false" customHeight="true" outlineLevel="0" collapsed="false">
      <c r="A280" s="36"/>
      <c r="B280" s="37"/>
      <c r="C280" s="38"/>
      <c r="D280" s="38"/>
      <c r="E280" s="38"/>
      <c r="F280" s="39"/>
      <c r="G280" s="39"/>
      <c r="H280" s="38"/>
      <c r="I280" s="37"/>
      <c r="J280" s="38"/>
    </row>
    <row r="281" customFormat="false" ht="25.5" hidden="false" customHeight="true" outlineLevel="0" collapsed="false">
      <c r="A281" s="36"/>
      <c r="B281" s="37"/>
      <c r="C281" s="38"/>
      <c r="D281" s="38"/>
      <c r="E281" s="38"/>
      <c r="F281" s="39"/>
      <c r="G281" s="39"/>
      <c r="H281" s="38"/>
      <c r="I281" s="37"/>
      <c r="J281" s="38"/>
    </row>
    <row r="282" customFormat="false" ht="25.5" hidden="false" customHeight="true" outlineLevel="0" collapsed="false">
      <c r="A282" s="36"/>
      <c r="B282" s="37"/>
      <c r="C282" s="38"/>
      <c r="D282" s="38"/>
      <c r="E282" s="38"/>
      <c r="F282" s="39"/>
      <c r="G282" s="39"/>
      <c r="H282" s="38"/>
      <c r="I282" s="37"/>
      <c r="J282" s="38"/>
    </row>
    <row r="283" customFormat="false" ht="25.5" hidden="false" customHeight="true" outlineLevel="0" collapsed="false">
      <c r="A283" s="36"/>
      <c r="B283" s="37"/>
      <c r="C283" s="38"/>
      <c r="D283" s="38"/>
      <c r="E283" s="38"/>
      <c r="F283" s="39"/>
      <c r="G283" s="39"/>
      <c r="H283" s="38"/>
      <c r="I283" s="37"/>
      <c r="J283" s="38"/>
    </row>
    <row r="284" customFormat="false" ht="25.5" hidden="false" customHeight="true" outlineLevel="0" collapsed="false">
      <c r="A284" s="36"/>
      <c r="B284" s="37"/>
      <c r="C284" s="38"/>
      <c r="D284" s="38"/>
      <c r="E284" s="38"/>
      <c r="F284" s="39"/>
      <c r="G284" s="39"/>
      <c r="H284" s="38"/>
      <c r="I284" s="37"/>
      <c r="J284" s="38"/>
    </row>
    <row r="285" customFormat="false" ht="25.5" hidden="false" customHeight="true" outlineLevel="0" collapsed="false">
      <c r="A285" s="36"/>
      <c r="B285" s="37"/>
      <c r="C285" s="38"/>
      <c r="D285" s="38"/>
      <c r="E285" s="38"/>
      <c r="F285" s="39"/>
      <c r="G285" s="39"/>
      <c r="H285" s="38"/>
      <c r="I285" s="37"/>
      <c r="J285" s="38"/>
    </row>
    <row r="286" customFormat="false" ht="25.5" hidden="false" customHeight="true" outlineLevel="0" collapsed="false">
      <c r="A286" s="36"/>
      <c r="B286" s="37"/>
      <c r="C286" s="38"/>
      <c r="D286" s="38"/>
      <c r="E286" s="38"/>
      <c r="F286" s="39"/>
      <c r="G286" s="39"/>
      <c r="H286" s="38"/>
      <c r="I286" s="37"/>
      <c r="J286" s="38"/>
    </row>
    <row r="287" customFormat="false" ht="25.5" hidden="false" customHeight="true" outlineLevel="0" collapsed="false">
      <c r="A287" s="36"/>
      <c r="B287" s="37"/>
      <c r="C287" s="38"/>
      <c r="D287" s="38"/>
      <c r="E287" s="38"/>
      <c r="F287" s="39"/>
      <c r="G287" s="39"/>
      <c r="H287" s="38"/>
      <c r="I287" s="37"/>
      <c r="J287" s="38"/>
    </row>
    <row r="288" customFormat="false" ht="25.5" hidden="false" customHeight="true" outlineLevel="0" collapsed="false">
      <c r="A288" s="36"/>
      <c r="B288" s="37"/>
      <c r="C288" s="38"/>
      <c r="D288" s="38"/>
      <c r="E288" s="38"/>
      <c r="F288" s="39"/>
      <c r="G288" s="39"/>
      <c r="H288" s="38"/>
      <c r="I288" s="37"/>
      <c r="J288" s="38"/>
    </row>
    <row r="289" customFormat="false" ht="25.5" hidden="false" customHeight="true" outlineLevel="0" collapsed="false">
      <c r="A289" s="36"/>
      <c r="B289" s="37"/>
      <c r="C289" s="38"/>
      <c r="D289" s="38"/>
      <c r="E289" s="38"/>
      <c r="F289" s="39"/>
      <c r="G289" s="39"/>
      <c r="H289" s="38"/>
      <c r="I289" s="37"/>
      <c r="J289" s="38"/>
    </row>
    <row r="290" customFormat="false" ht="25.5" hidden="false" customHeight="true" outlineLevel="0" collapsed="false">
      <c r="A290" s="36"/>
      <c r="B290" s="37"/>
      <c r="C290" s="38"/>
      <c r="D290" s="38"/>
      <c r="E290" s="38"/>
      <c r="F290" s="39"/>
      <c r="G290" s="39"/>
      <c r="H290" s="38"/>
      <c r="I290" s="37"/>
      <c r="J290" s="38"/>
    </row>
    <row r="291" customFormat="false" ht="25.5" hidden="false" customHeight="true" outlineLevel="0" collapsed="false">
      <c r="A291" s="36"/>
      <c r="B291" s="37"/>
      <c r="C291" s="38"/>
      <c r="D291" s="38"/>
      <c r="E291" s="38"/>
      <c r="F291" s="39"/>
      <c r="G291" s="39"/>
      <c r="H291" s="38"/>
      <c r="I291" s="37"/>
      <c r="J291" s="38"/>
    </row>
    <row r="292" customFormat="false" ht="25.5" hidden="false" customHeight="true" outlineLevel="0" collapsed="false">
      <c r="A292" s="36"/>
      <c r="B292" s="37"/>
      <c r="C292" s="38"/>
      <c r="D292" s="38"/>
      <c r="E292" s="38"/>
      <c r="F292" s="39"/>
      <c r="G292" s="39"/>
      <c r="H292" s="38"/>
      <c r="I292" s="37"/>
      <c r="J292" s="38"/>
    </row>
    <row r="293" customFormat="false" ht="25.5" hidden="false" customHeight="true" outlineLevel="0" collapsed="false">
      <c r="A293" s="36"/>
      <c r="B293" s="37"/>
      <c r="C293" s="38"/>
      <c r="D293" s="38"/>
      <c r="E293" s="38"/>
      <c r="F293" s="39"/>
      <c r="G293" s="39"/>
      <c r="H293" s="38"/>
      <c r="I293" s="37"/>
      <c r="J293" s="38"/>
    </row>
    <row r="294" customFormat="false" ht="25.5" hidden="false" customHeight="true" outlineLevel="0" collapsed="false">
      <c r="A294" s="36"/>
      <c r="B294" s="37"/>
      <c r="C294" s="38"/>
      <c r="D294" s="38"/>
      <c r="E294" s="38"/>
      <c r="F294" s="39"/>
      <c r="G294" s="39"/>
      <c r="H294" s="38"/>
      <c r="I294" s="37"/>
      <c r="J294" s="38"/>
    </row>
    <row r="295" customFormat="false" ht="25.5" hidden="false" customHeight="true" outlineLevel="0" collapsed="false">
      <c r="A295" s="36"/>
      <c r="B295" s="37"/>
      <c r="C295" s="38"/>
      <c r="D295" s="38"/>
      <c r="E295" s="38"/>
      <c r="F295" s="39"/>
      <c r="G295" s="39"/>
      <c r="H295" s="38"/>
      <c r="I295" s="37"/>
      <c r="J295" s="38"/>
    </row>
    <row r="296" customFormat="false" ht="25.5" hidden="false" customHeight="true" outlineLevel="0" collapsed="false">
      <c r="A296" s="36"/>
      <c r="B296" s="37"/>
      <c r="C296" s="38"/>
      <c r="D296" s="38"/>
      <c r="E296" s="38"/>
      <c r="F296" s="39"/>
      <c r="G296" s="39"/>
      <c r="H296" s="38"/>
      <c r="I296" s="37"/>
      <c r="J296" s="38"/>
    </row>
    <row r="297" customFormat="false" ht="25.5" hidden="false" customHeight="true" outlineLevel="0" collapsed="false">
      <c r="A297" s="36"/>
      <c r="B297" s="37"/>
      <c r="C297" s="38"/>
      <c r="D297" s="38"/>
      <c r="E297" s="38"/>
      <c r="F297" s="39"/>
      <c r="G297" s="39"/>
      <c r="H297" s="38"/>
      <c r="I297" s="37"/>
      <c r="J297" s="38"/>
    </row>
    <row r="298" customFormat="false" ht="25.5" hidden="false" customHeight="true" outlineLevel="0" collapsed="false">
      <c r="A298" s="36"/>
      <c r="B298" s="37"/>
      <c r="C298" s="38"/>
      <c r="D298" s="38"/>
      <c r="E298" s="38"/>
      <c r="F298" s="39"/>
      <c r="G298" s="39"/>
      <c r="H298" s="38"/>
      <c r="I298" s="37"/>
      <c r="J298" s="38"/>
    </row>
    <row r="299" customFormat="false" ht="25.5" hidden="false" customHeight="true" outlineLevel="0" collapsed="false">
      <c r="A299" s="36"/>
      <c r="B299" s="37"/>
      <c r="C299" s="38"/>
      <c r="D299" s="38"/>
      <c r="E299" s="38"/>
      <c r="F299" s="39"/>
      <c r="G299" s="39"/>
      <c r="H299" s="38"/>
      <c r="I299" s="37"/>
      <c r="J299" s="38"/>
    </row>
    <row r="300" customFormat="false" ht="25.5" hidden="false" customHeight="true" outlineLevel="0" collapsed="false">
      <c r="A300" s="36"/>
      <c r="B300" s="37"/>
      <c r="C300" s="38"/>
      <c r="D300" s="38"/>
      <c r="E300" s="38"/>
      <c r="F300" s="39"/>
      <c r="G300" s="39"/>
      <c r="H300" s="38"/>
      <c r="I300" s="37"/>
      <c r="J300" s="38"/>
    </row>
    <row r="301" customFormat="false" ht="25.5" hidden="false" customHeight="true" outlineLevel="0" collapsed="false">
      <c r="A301" s="36"/>
      <c r="B301" s="37"/>
      <c r="C301" s="38"/>
      <c r="D301" s="38"/>
      <c r="E301" s="38"/>
      <c r="F301" s="39"/>
      <c r="G301" s="39"/>
      <c r="H301" s="38"/>
      <c r="I301" s="37"/>
      <c r="J301" s="38"/>
    </row>
    <row r="302" customFormat="false" ht="25.5" hidden="false" customHeight="true" outlineLevel="0" collapsed="false">
      <c r="A302" s="36"/>
      <c r="B302" s="37"/>
      <c r="C302" s="38"/>
      <c r="D302" s="38"/>
      <c r="E302" s="38"/>
      <c r="F302" s="39"/>
      <c r="G302" s="39"/>
      <c r="H302" s="38"/>
      <c r="I302" s="37"/>
      <c r="J302" s="38"/>
    </row>
    <row r="303" customFormat="false" ht="25.5" hidden="false" customHeight="true" outlineLevel="0" collapsed="false">
      <c r="A303" s="36"/>
      <c r="B303" s="37"/>
      <c r="C303" s="38"/>
      <c r="D303" s="38"/>
      <c r="E303" s="38"/>
      <c r="F303" s="39"/>
      <c r="G303" s="39"/>
      <c r="H303" s="38"/>
      <c r="I303" s="37"/>
      <c r="J303" s="38"/>
    </row>
    <row r="304" customFormat="false" ht="25.5" hidden="false" customHeight="true" outlineLevel="0" collapsed="false">
      <c r="A304" s="36"/>
      <c r="B304" s="37"/>
      <c r="C304" s="38"/>
      <c r="D304" s="38"/>
      <c r="E304" s="38"/>
      <c r="F304" s="39"/>
      <c r="G304" s="39"/>
      <c r="H304" s="38"/>
      <c r="I304" s="37"/>
      <c r="J304" s="38"/>
    </row>
    <row r="305" customFormat="false" ht="25.5" hidden="false" customHeight="true" outlineLevel="0" collapsed="false">
      <c r="A305" s="36"/>
      <c r="B305" s="37"/>
      <c r="C305" s="38"/>
      <c r="D305" s="38"/>
      <c r="E305" s="38"/>
      <c r="F305" s="39"/>
      <c r="G305" s="39"/>
      <c r="H305" s="38"/>
      <c r="I305" s="37"/>
      <c r="J305" s="38"/>
    </row>
    <row r="306" customFormat="false" ht="25.5" hidden="false" customHeight="true" outlineLevel="0" collapsed="false">
      <c r="A306" s="36"/>
      <c r="B306" s="37"/>
      <c r="C306" s="38"/>
      <c r="D306" s="38"/>
      <c r="E306" s="38"/>
      <c r="F306" s="39"/>
      <c r="G306" s="39"/>
      <c r="H306" s="38"/>
      <c r="I306" s="37"/>
      <c r="J306" s="38"/>
    </row>
    <row r="307" customFormat="false" ht="25.5" hidden="false" customHeight="true" outlineLevel="0" collapsed="false">
      <c r="A307" s="36"/>
      <c r="B307" s="37"/>
      <c r="C307" s="38"/>
      <c r="D307" s="38"/>
      <c r="E307" s="38"/>
      <c r="F307" s="39"/>
      <c r="G307" s="39"/>
      <c r="H307" s="38"/>
      <c r="I307" s="37"/>
      <c r="J307" s="38"/>
    </row>
    <row r="308" customFormat="false" ht="25.5" hidden="false" customHeight="true" outlineLevel="0" collapsed="false">
      <c r="A308" s="36"/>
      <c r="B308" s="37"/>
      <c r="C308" s="38"/>
      <c r="D308" s="38"/>
      <c r="E308" s="38"/>
      <c r="F308" s="39"/>
      <c r="G308" s="39"/>
      <c r="H308" s="38"/>
      <c r="I308" s="37"/>
      <c r="J308" s="38"/>
    </row>
    <row r="309" customFormat="false" ht="25.5" hidden="false" customHeight="true" outlineLevel="0" collapsed="false">
      <c r="A309" s="36"/>
      <c r="B309" s="37"/>
      <c r="C309" s="38"/>
      <c r="D309" s="38"/>
      <c r="E309" s="38"/>
      <c r="F309" s="39"/>
      <c r="G309" s="39"/>
      <c r="H309" s="38"/>
      <c r="I309" s="37"/>
      <c r="J309" s="38"/>
    </row>
    <row r="310" customFormat="false" ht="25.5" hidden="false" customHeight="true" outlineLevel="0" collapsed="false">
      <c r="A310" s="36"/>
      <c r="B310" s="37"/>
      <c r="C310" s="38"/>
      <c r="D310" s="38"/>
      <c r="E310" s="38"/>
      <c r="F310" s="39"/>
      <c r="G310" s="39"/>
      <c r="H310" s="38"/>
      <c r="I310" s="37"/>
      <c r="J310" s="38"/>
    </row>
    <row r="311" customFormat="false" ht="25.5" hidden="false" customHeight="true" outlineLevel="0" collapsed="false">
      <c r="A311" s="36"/>
      <c r="B311" s="37"/>
      <c r="C311" s="38"/>
      <c r="D311" s="38"/>
      <c r="E311" s="38"/>
      <c r="F311" s="39"/>
      <c r="G311" s="39"/>
      <c r="H311" s="38"/>
      <c r="I311" s="37"/>
      <c r="J311" s="38"/>
    </row>
    <row r="312" customFormat="false" ht="25.5" hidden="false" customHeight="true" outlineLevel="0" collapsed="false">
      <c r="A312" s="36"/>
      <c r="B312" s="37"/>
      <c r="C312" s="38"/>
      <c r="D312" s="38"/>
      <c r="E312" s="38"/>
      <c r="F312" s="39"/>
      <c r="G312" s="39"/>
      <c r="H312" s="38"/>
      <c r="I312" s="37"/>
      <c r="J312" s="38"/>
    </row>
    <row r="313" customFormat="false" ht="25.5" hidden="false" customHeight="true" outlineLevel="0" collapsed="false">
      <c r="A313" s="36"/>
      <c r="B313" s="37"/>
      <c r="C313" s="38"/>
      <c r="D313" s="38"/>
      <c r="E313" s="38"/>
      <c r="F313" s="39"/>
      <c r="G313" s="39"/>
      <c r="H313" s="38"/>
      <c r="I313" s="37"/>
      <c r="J313" s="38"/>
    </row>
    <row r="314" customFormat="false" ht="25.5" hidden="false" customHeight="true" outlineLevel="0" collapsed="false">
      <c r="A314" s="36"/>
      <c r="B314" s="37"/>
      <c r="C314" s="38"/>
      <c r="D314" s="38"/>
      <c r="E314" s="38"/>
      <c r="F314" s="39"/>
      <c r="G314" s="39"/>
      <c r="H314" s="38"/>
      <c r="I314" s="37"/>
      <c r="J314" s="38"/>
    </row>
    <row r="315" customFormat="false" ht="25.5" hidden="false" customHeight="true" outlineLevel="0" collapsed="false">
      <c r="A315" s="36"/>
      <c r="B315" s="37"/>
      <c r="C315" s="38"/>
      <c r="D315" s="38"/>
      <c r="E315" s="38"/>
      <c r="F315" s="39"/>
      <c r="G315" s="39"/>
      <c r="H315" s="38"/>
      <c r="I315" s="37"/>
      <c r="J315" s="38"/>
    </row>
    <row r="316" customFormat="false" ht="25.5" hidden="false" customHeight="true" outlineLevel="0" collapsed="false">
      <c r="A316" s="36"/>
      <c r="B316" s="37"/>
      <c r="C316" s="38"/>
      <c r="D316" s="38"/>
      <c r="E316" s="38"/>
      <c r="F316" s="39"/>
      <c r="G316" s="39"/>
      <c r="H316" s="38"/>
      <c r="I316" s="37"/>
      <c r="J316" s="38"/>
    </row>
    <row r="317" customFormat="false" ht="25.5" hidden="false" customHeight="true" outlineLevel="0" collapsed="false">
      <c r="A317" s="36"/>
      <c r="B317" s="37"/>
      <c r="C317" s="38"/>
      <c r="D317" s="38"/>
      <c r="E317" s="38"/>
      <c r="F317" s="39"/>
      <c r="G317" s="39"/>
      <c r="H317" s="38"/>
      <c r="I317" s="37"/>
      <c r="J317" s="38"/>
    </row>
    <row r="318" customFormat="false" ht="25.5" hidden="false" customHeight="true" outlineLevel="0" collapsed="false">
      <c r="A318" s="36"/>
      <c r="B318" s="37"/>
      <c r="C318" s="38"/>
      <c r="D318" s="38"/>
      <c r="E318" s="38"/>
      <c r="F318" s="39"/>
      <c r="G318" s="39"/>
      <c r="H318" s="38"/>
      <c r="I318" s="37"/>
      <c r="J318" s="38"/>
    </row>
    <row r="319" customFormat="false" ht="25.5" hidden="false" customHeight="true" outlineLevel="0" collapsed="false">
      <c r="A319" s="36"/>
      <c r="B319" s="37"/>
      <c r="C319" s="38"/>
      <c r="D319" s="38"/>
      <c r="E319" s="38"/>
      <c r="F319" s="39"/>
      <c r="G319" s="39"/>
      <c r="H319" s="38"/>
      <c r="I319" s="37"/>
      <c r="J319" s="38"/>
    </row>
    <row r="320" customFormat="false" ht="25.5" hidden="false" customHeight="true" outlineLevel="0" collapsed="false">
      <c r="A320" s="36"/>
      <c r="B320" s="37"/>
      <c r="C320" s="38"/>
      <c r="D320" s="38"/>
      <c r="E320" s="38"/>
      <c r="F320" s="39"/>
      <c r="G320" s="39"/>
      <c r="H320" s="38"/>
      <c r="I320" s="37"/>
      <c r="J320" s="38"/>
    </row>
    <row r="321" customFormat="false" ht="25.5" hidden="false" customHeight="true" outlineLevel="0" collapsed="false">
      <c r="A321" s="36"/>
      <c r="B321" s="37"/>
      <c r="C321" s="38"/>
      <c r="D321" s="38"/>
      <c r="E321" s="38"/>
      <c r="F321" s="39"/>
      <c r="G321" s="39"/>
      <c r="H321" s="38"/>
      <c r="I321" s="37"/>
      <c r="J321" s="38"/>
    </row>
    <row r="322" customFormat="false" ht="25.5" hidden="false" customHeight="true" outlineLevel="0" collapsed="false">
      <c r="A322" s="36"/>
      <c r="B322" s="37"/>
      <c r="C322" s="38"/>
      <c r="D322" s="38"/>
      <c r="E322" s="38"/>
      <c r="F322" s="39"/>
      <c r="G322" s="39"/>
      <c r="H322" s="38"/>
      <c r="I322" s="37"/>
      <c r="J322" s="38"/>
    </row>
    <row r="323" customFormat="false" ht="25.5" hidden="false" customHeight="true" outlineLevel="0" collapsed="false">
      <c r="A323" s="36"/>
      <c r="B323" s="37"/>
      <c r="C323" s="38"/>
      <c r="D323" s="38"/>
      <c r="E323" s="38"/>
      <c r="F323" s="39"/>
      <c r="G323" s="39"/>
      <c r="H323" s="38"/>
      <c r="I323" s="37"/>
      <c r="J323" s="38"/>
    </row>
    <row r="324" customFormat="false" ht="25.5" hidden="false" customHeight="true" outlineLevel="0" collapsed="false">
      <c r="A324" s="36"/>
      <c r="B324" s="37"/>
      <c r="C324" s="38"/>
      <c r="D324" s="38"/>
      <c r="E324" s="38"/>
      <c r="F324" s="39"/>
      <c r="G324" s="39"/>
      <c r="H324" s="38"/>
      <c r="I324" s="37"/>
      <c r="J324" s="38"/>
    </row>
    <row r="325" customFormat="false" ht="25.5" hidden="false" customHeight="true" outlineLevel="0" collapsed="false">
      <c r="A325" s="36"/>
      <c r="B325" s="37"/>
      <c r="C325" s="38"/>
      <c r="D325" s="38"/>
      <c r="E325" s="38"/>
      <c r="F325" s="39"/>
      <c r="G325" s="39"/>
      <c r="H325" s="38"/>
      <c r="I325" s="37"/>
      <c r="J325" s="38"/>
    </row>
    <row r="326" customFormat="false" ht="25.5" hidden="false" customHeight="true" outlineLevel="0" collapsed="false">
      <c r="A326" s="36"/>
      <c r="B326" s="37"/>
      <c r="C326" s="38"/>
      <c r="D326" s="38"/>
      <c r="E326" s="38"/>
      <c r="F326" s="39"/>
      <c r="G326" s="39"/>
      <c r="H326" s="38"/>
      <c r="I326" s="37"/>
      <c r="J326" s="38"/>
    </row>
    <row r="327" customFormat="false" ht="25.5" hidden="false" customHeight="true" outlineLevel="0" collapsed="false">
      <c r="A327" s="36"/>
      <c r="B327" s="37"/>
      <c r="C327" s="38"/>
      <c r="D327" s="38"/>
      <c r="E327" s="38"/>
      <c r="F327" s="39"/>
      <c r="G327" s="39"/>
      <c r="H327" s="38"/>
      <c r="I327" s="37"/>
      <c r="J327" s="38"/>
    </row>
    <row r="328" customFormat="false" ht="25.5" hidden="false" customHeight="true" outlineLevel="0" collapsed="false">
      <c r="A328" s="36"/>
      <c r="B328" s="37"/>
      <c r="C328" s="38"/>
      <c r="D328" s="38"/>
      <c r="E328" s="38"/>
      <c r="F328" s="39"/>
      <c r="G328" s="39"/>
      <c r="H328" s="38"/>
      <c r="I328" s="37"/>
      <c r="J328" s="38"/>
    </row>
    <row r="329" customFormat="false" ht="25.5" hidden="false" customHeight="true" outlineLevel="0" collapsed="false">
      <c r="A329" s="36"/>
      <c r="B329" s="37"/>
      <c r="C329" s="38"/>
      <c r="D329" s="38"/>
      <c r="E329" s="38"/>
      <c r="F329" s="39"/>
      <c r="G329" s="39"/>
      <c r="H329" s="38"/>
      <c r="I329" s="37"/>
      <c r="J329" s="38"/>
    </row>
    <row r="330" customFormat="false" ht="25.5" hidden="false" customHeight="true" outlineLevel="0" collapsed="false">
      <c r="A330" s="36"/>
      <c r="B330" s="37"/>
      <c r="C330" s="38"/>
      <c r="D330" s="38"/>
      <c r="E330" s="38"/>
      <c r="F330" s="39"/>
      <c r="G330" s="39"/>
      <c r="H330" s="38"/>
      <c r="I330" s="37"/>
      <c r="J330" s="38"/>
    </row>
    <row r="331" customFormat="false" ht="25.5" hidden="false" customHeight="true" outlineLevel="0" collapsed="false">
      <c r="A331" s="36"/>
      <c r="B331" s="37"/>
      <c r="C331" s="38"/>
      <c r="D331" s="38"/>
      <c r="E331" s="38"/>
      <c r="F331" s="39"/>
      <c r="G331" s="39"/>
      <c r="H331" s="38"/>
      <c r="I331" s="37"/>
      <c r="J331" s="38"/>
    </row>
    <row r="332" customFormat="false" ht="25.5" hidden="false" customHeight="true" outlineLevel="0" collapsed="false">
      <c r="A332" s="36"/>
      <c r="B332" s="37"/>
      <c r="C332" s="38"/>
      <c r="D332" s="38"/>
      <c r="E332" s="38"/>
      <c r="F332" s="39"/>
      <c r="G332" s="39"/>
      <c r="H332" s="38"/>
      <c r="I332" s="37"/>
      <c r="J332" s="38"/>
    </row>
    <row r="333" customFormat="false" ht="25.5" hidden="false" customHeight="true" outlineLevel="0" collapsed="false">
      <c r="A333" s="36"/>
      <c r="B333" s="37"/>
      <c r="C333" s="38"/>
      <c r="D333" s="38"/>
      <c r="E333" s="38"/>
      <c r="F333" s="39"/>
      <c r="G333" s="39"/>
      <c r="H333" s="38"/>
      <c r="I333" s="37"/>
      <c r="J333" s="38"/>
    </row>
    <row r="334" customFormat="false" ht="25.5" hidden="false" customHeight="true" outlineLevel="0" collapsed="false">
      <c r="A334" s="36"/>
      <c r="B334" s="37"/>
      <c r="C334" s="38"/>
      <c r="D334" s="38"/>
      <c r="E334" s="38"/>
      <c r="F334" s="39"/>
      <c r="G334" s="39"/>
      <c r="H334" s="38"/>
      <c r="I334" s="37"/>
      <c r="J334" s="38"/>
    </row>
    <row r="335" customFormat="false" ht="25.5" hidden="false" customHeight="true" outlineLevel="0" collapsed="false">
      <c r="A335" s="36"/>
      <c r="B335" s="37"/>
      <c r="C335" s="38"/>
      <c r="D335" s="38"/>
      <c r="E335" s="38"/>
      <c r="F335" s="39"/>
      <c r="G335" s="39"/>
      <c r="H335" s="38"/>
      <c r="I335" s="37"/>
      <c r="J335" s="38"/>
    </row>
    <row r="336" customFormat="false" ht="25.5" hidden="false" customHeight="true" outlineLevel="0" collapsed="false">
      <c r="A336" s="36"/>
      <c r="B336" s="37"/>
      <c r="C336" s="38"/>
      <c r="D336" s="38"/>
      <c r="E336" s="38"/>
      <c r="F336" s="39"/>
      <c r="G336" s="39"/>
      <c r="H336" s="38"/>
      <c r="I336" s="37"/>
      <c r="J336" s="38"/>
    </row>
    <row r="337" customFormat="false" ht="25.5" hidden="false" customHeight="true" outlineLevel="0" collapsed="false">
      <c r="A337" s="36"/>
      <c r="B337" s="37"/>
      <c r="C337" s="38"/>
      <c r="D337" s="38"/>
      <c r="E337" s="38"/>
      <c r="F337" s="39"/>
      <c r="G337" s="39"/>
      <c r="H337" s="38"/>
      <c r="I337" s="37"/>
      <c r="J337" s="38"/>
    </row>
    <row r="338" customFormat="false" ht="25.5" hidden="false" customHeight="true" outlineLevel="0" collapsed="false">
      <c r="A338" s="36"/>
      <c r="B338" s="37"/>
      <c r="C338" s="38"/>
      <c r="D338" s="38"/>
      <c r="E338" s="38"/>
      <c r="F338" s="39"/>
      <c r="G338" s="39"/>
      <c r="H338" s="38"/>
      <c r="I338" s="37"/>
      <c r="J338" s="38"/>
    </row>
    <row r="339" customFormat="false" ht="25.5" hidden="false" customHeight="true" outlineLevel="0" collapsed="false">
      <c r="A339" s="36"/>
      <c r="B339" s="37"/>
      <c r="C339" s="38"/>
      <c r="D339" s="38"/>
      <c r="E339" s="38"/>
      <c r="F339" s="39"/>
      <c r="G339" s="39"/>
      <c r="H339" s="38"/>
      <c r="I339" s="37"/>
      <c r="J339" s="38"/>
    </row>
    <row r="340" customFormat="false" ht="25.5" hidden="false" customHeight="true" outlineLevel="0" collapsed="false">
      <c r="A340" s="36"/>
      <c r="B340" s="37"/>
      <c r="C340" s="38"/>
      <c r="D340" s="38"/>
      <c r="E340" s="38"/>
      <c r="F340" s="39"/>
      <c r="G340" s="39"/>
      <c r="H340" s="38"/>
      <c r="I340" s="37"/>
      <c r="J340" s="38"/>
    </row>
    <row r="341" customFormat="false" ht="25.5" hidden="false" customHeight="true" outlineLevel="0" collapsed="false">
      <c r="A341" s="36"/>
      <c r="B341" s="37"/>
      <c r="C341" s="38"/>
      <c r="D341" s="38"/>
      <c r="E341" s="38"/>
      <c r="F341" s="39"/>
      <c r="G341" s="39"/>
      <c r="H341" s="38"/>
      <c r="I341" s="37"/>
      <c r="J341" s="38"/>
    </row>
    <row r="342" customFormat="false" ht="25.5" hidden="false" customHeight="true" outlineLevel="0" collapsed="false">
      <c r="A342" s="36"/>
      <c r="B342" s="37"/>
      <c r="C342" s="38"/>
      <c r="D342" s="38"/>
      <c r="E342" s="38"/>
      <c r="F342" s="39"/>
      <c r="G342" s="39"/>
      <c r="H342" s="38"/>
      <c r="I342" s="37"/>
      <c r="J342" s="38"/>
    </row>
    <row r="343" customFormat="false" ht="25.5" hidden="false" customHeight="true" outlineLevel="0" collapsed="false">
      <c r="A343" s="36"/>
      <c r="B343" s="37"/>
      <c r="C343" s="38"/>
      <c r="D343" s="38"/>
      <c r="E343" s="38"/>
      <c r="F343" s="39"/>
      <c r="G343" s="39"/>
      <c r="H343" s="38"/>
      <c r="I343" s="37"/>
      <c r="J343" s="38"/>
    </row>
    <row r="344" customFormat="false" ht="25.5" hidden="false" customHeight="true" outlineLevel="0" collapsed="false">
      <c r="A344" s="36"/>
      <c r="B344" s="37"/>
      <c r="C344" s="38"/>
      <c r="D344" s="38"/>
      <c r="E344" s="38"/>
      <c r="F344" s="39"/>
      <c r="G344" s="39"/>
      <c r="H344" s="38"/>
      <c r="I344" s="37"/>
      <c r="J344" s="38"/>
    </row>
    <row r="345" customFormat="false" ht="25.5" hidden="false" customHeight="true" outlineLevel="0" collapsed="false">
      <c r="A345" s="36"/>
      <c r="B345" s="37"/>
      <c r="C345" s="38"/>
      <c r="D345" s="38"/>
      <c r="E345" s="38"/>
      <c r="F345" s="39"/>
      <c r="G345" s="39"/>
      <c r="H345" s="38"/>
      <c r="I345" s="37"/>
      <c r="J345" s="38"/>
    </row>
    <row r="346" customFormat="false" ht="25.5" hidden="false" customHeight="true" outlineLevel="0" collapsed="false">
      <c r="A346" s="36"/>
      <c r="B346" s="37"/>
      <c r="C346" s="38"/>
      <c r="D346" s="38"/>
      <c r="E346" s="38"/>
      <c r="F346" s="39"/>
      <c r="G346" s="39"/>
      <c r="H346" s="38"/>
      <c r="I346" s="37"/>
      <c r="J346" s="38"/>
    </row>
    <row r="347" customFormat="false" ht="25.5" hidden="false" customHeight="true" outlineLevel="0" collapsed="false">
      <c r="A347" s="36"/>
      <c r="B347" s="37"/>
      <c r="C347" s="38"/>
      <c r="D347" s="38"/>
      <c r="E347" s="38"/>
      <c r="F347" s="39"/>
      <c r="G347" s="39"/>
      <c r="H347" s="38"/>
      <c r="I347" s="37"/>
      <c r="J347" s="38"/>
    </row>
    <row r="348" customFormat="false" ht="25.5" hidden="false" customHeight="true" outlineLevel="0" collapsed="false">
      <c r="A348" s="36"/>
      <c r="B348" s="37"/>
      <c r="C348" s="38"/>
      <c r="D348" s="38"/>
      <c r="E348" s="38"/>
      <c r="F348" s="39"/>
      <c r="G348" s="39"/>
      <c r="H348" s="38"/>
      <c r="I348" s="37"/>
      <c r="J348" s="38"/>
    </row>
    <row r="349" customFormat="false" ht="25.5" hidden="false" customHeight="true" outlineLevel="0" collapsed="false">
      <c r="A349" s="36"/>
      <c r="B349" s="37"/>
      <c r="C349" s="38"/>
      <c r="D349" s="38"/>
      <c r="E349" s="38"/>
      <c r="F349" s="39"/>
      <c r="G349" s="39"/>
      <c r="H349" s="38"/>
      <c r="I349" s="37"/>
      <c r="J349" s="38"/>
    </row>
    <row r="350" customFormat="false" ht="25.5" hidden="false" customHeight="true" outlineLevel="0" collapsed="false">
      <c r="A350" s="36"/>
      <c r="B350" s="37"/>
      <c r="C350" s="38"/>
      <c r="D350" s="38"/>
      <c r="E350" s="38"/>
      <c r="F350" s="39"/>
      <c r="G350" s="39"/>
      <c r="H350" s="38"/>
      <c r="I350" s="37"/>
      <c r="J350" s="38"/>
    </row>
    <row r="351" customFormat="false" ht="25.5" hidden="false" customHeight="true" outlineLevel="0" collapsed="false">
      <c r="A351" s="36"/>
      <c r="B351" s="37"/>
      <c r="C351" s="38"/>
      <c r="D351" s="38"/>
      <c r="E351" s="38"/>
      <c r="F351" s="39"/>
      <c r="G351" s="39"/>
      <c r="H351" s="38"/>
      <c r="I351" s="37"/>
      <c r="J351" s="38"/>
    </row>
    <row r="352" customFormat="false" ht="25.5" hidden="false" customHeight="true" outlineLevel="0" collapsed="false">
      <c r="A352" s="36"/>
      <c r="B352" s="37"/>
      <c r="C352" s="38"/>
      <c r="D352" s="38"/>
      <c r="E352" s="38"/>
      <c r="F352" s="39"/>
      <c r="G352" s="39"/>
      <c r="H352" s="38"/>
      <c r="I352" s="37"/>
      <c r="J352" s="38"/>
    </row>
    <row r="353" customFormat="false" ht="25.5" hidden="false" customHeight="true" outlineLevel="0" collapsed="false">
      <c r="A353" s="36"/>
      <c r="B353" s="37"/>
      <c r="C353" s="38"/>
      <c r="D353" s="38"/>
      <c r="E353" s="38"/>
      <c r="F353" s="39"/>
      <c r="G353" s="39"/>
      <c r="H353" s="38"/>
      <c r="I353" s="37"/>
      <c r="J353" s="38"/>
    </row>
    <row r="354" customFormat="false" ht="25.5" hidden="false" customHeight="true" outlineLevel="0" collapsed="false">
      <c r="A354" s="36"/>
      <c r="B354" s="37"/>
      <c r="C354" s="38"/>
      <c r="D354" s="38"/>
      <c r="E354" s="38"/>
      <c r="F354" s="39"/>
      <c r="G354" s="39"/>
      <c r="H354" s="38"/>
      <c r="I354" s="37"/>
      <c r="J354" s="38"/>
    </row>
    <row r="355" customFormat="false" ht="25.5" hidden="false" customHeight="true" outlineLevel="0" collapsed="false">
      <c r="A355" s="36"/>
      <c r="B355" s="37"/>
      <c r="C355" s="38"/>
      <c r="D355" s="38"/>
      <c r="E355" s="38"/>
      <c r="F355" s="39"/>
      <c r="G355" s="39"/>
      <c r="H355" s="38"/>
      <c r="I355" s="37"/>
      <c r="J355" s="38"/>
    </row>
    <row r="356" customFormat="false" ht="25.5" hidden="false" customHeight="true" outlineLevel="0" collapsed="false">
      <c r="A356" s="36"/>
      <c r="B356" s="37"/>
      <c r="C356" s="38"/>
      <c r="D356" s="38"/>
      <c r="E356" s="38"/>
      <c r="F356" s="39"/>
      <c r="G356" s="39"/>
      <c r="H356" s="38"/>
      <c r="I356" s="37"/>
      <c r="J356" s="38"/>
    </row>
    <row r="357" customFormat="false" ht="25.5" hidden="false" customHeight="true" outlineLevel="0" collapsed="false">
      <c r="A357" s="36"/>
      <c r="B357" s="37"/>
      <c r="C357" s="38"/>
      <c r="D357" s="38"/>
      <c r="E357" s="38"/>
      <c r="F357" s="39"/>
      <c r="G357" s="39"/>
      <c r="H357" s="38"/>
      <c r="I357" s="37"/>
      <c r="J357" s="38"/>
    </row>
    <row r="358" customFormat="false" ht="25.5" hidden="false" customHeight="true" outlineLevel="0" collapsed="false">
      <c r="A358" s="36"/>
      <c r="B358" s="37"/>
      <c r="C358" s="38"/>
      <c r="D358" s="38"/>
      <c r="E358" s="38"/>
      <c r="F358" s="39"/>
      <c r="G358" s="39"/>
      <c r="H358" s="38"/>
      <c r="I358" s="37"/>
      <c r="J358" s="38"/>
    </row>
    <row r="359" customFormat="false" ht="25.5" hidden="false" customHeight="true" outlineLevel="0" collapsed="false">
      <c r="A359" s="36"/>
      <c r="B359" s="37"/>
      <c r="C359" s="38"/>
      <c r="D359" s="38"/>
      <c r="E359" s="38"/>
      <c r="F359" s="39"/>
      <c r="G359" s="39"/>
      <c r="H359" s="38"/>
      <c r="I359" s="37"/>
      <c r="J359" s="38"/>
    </row>
    <row r="360" customFormat="false" ht="25.5" hidden="false" customHeight="true" outlineLevel="0" collapsed="false">
      <c r="A360" s="36"/>
      <c r="B360" s="37"/>
      <c r="C360" s="38"/>
      <c r="D360" s="38"/>
      <c r="E360" s="38"/>
      <c r="F360" s="39"/>
      <c r="G360" s="39"/>
      <c r="H360" s="38"/>
      <c r="I360" s="37"/>
      <c r="J360" s="38"/>
    </row>
    <row r="361" customFormat="false" ht="25.5" hidden="false" customHeight="true" outlineLevel="0" collapsed="false">
      <c r="A361" s="36"/>
      <c r="B361" s="37"/>
      <c r="C361" s="38"/>
      <c r="D361" s="38"/>
      <c r="E361" s="38"/>
      <c r="F361" s="39"/>
      <c r="G361" s="39"/>
      <c r="H361" s="38"/>
      <c r="I361" s="37"/>
      <c r="J361" s="38"/>
    </row>
    <row r="362" customFormat="false" ht="25.5" hidden="false" customHeight="true" outlineLevel="0" collapsed="false">
      <c r="A362" s="36"/>
      <c r="B362" s="37"/>
      <c r="C362" s="38"/>
      <c r="D362" s="38"/>
      <c r="E362" s="38"/>
      <c r="F362" s="39"/>
      <c r="G362" s="39"/>
      <c r="H362" s="38"/>
      <c r="I362" s="37"/>
      <c r="J362" s="38"/>
    </row>
    <row r="363" customFormat="false" ht="25.5" hidden="false" customHeight="true" outlineLevel="0" collapsed="false">
      <c r="A363" s="36"/>
      <c r="B363" s="37"/>
      <c r="C363" s="38"/>
      <c r="D363" s="38"/>
      <c r="E363" s="38"/>
      <c r="F363" s="39"/>
      <c r="G363" s="39"/>
      <c r="H363" s="38"/>
      <c r="I363" s="37"/>
      <c r="J363" s="38"/>
    </row>
    <row r="364" customFormat="false" ht="25.5" hidden="false" customHeight="true" outlineLevel="0" collapsed="false">
      <c r="A364" s="36"/>
      <c r="B364" s="37"/>
      <c r="C364" s="38"/>
      <c r="D364" s="38"/>
      <c r="E364" s="38"/>
      <c r="F364" s="39"/>
      <c r="G364" s="39"/>
      <c r="H364" s="38"/>
      <c r="I364" s="37"/>
      <c r="J364" s="38"/>
    </row>
    <row r="365" customFormat="false" ht="25.5" hidden="false" customHeight="true" outlineLevel="0" collapsed="false">
      <c r="A365" s="36"/>
      <c r="B365" s="37"/>
      <c r="C365" s="38"/>
      <c r="D365" s="38"/>
      <c r="E365" s="38"/>
      <c r="F365" s="39"/>
      <c r="G365" s="39"/>
      <c r="H365" s="38"/>
      <c r="I365" s="37"/>
      <c r="J365" s="38"/>
    </row>
    <row r="366" customFormat="false" ht="25.5" hidden="false" customHeight="true" outlineLevel="0" collapsed="false">
      <c r="A366" s="36"/>
      <c r="B366" s="37"/>
      <c r="C366" s="38"/>
      <c r="D366" s="38"/>
      <c r="E366" s="38"/>
      <c r="F366" s="39"/>
      <c r="G366" s="39"/>
      <c r="H366" s="38"/>
      <c r="I366" s="37"/>
      <c r="J366" s="38"/>
    </row>
    <row r="367" customFormat="false" ht="25.5" hidden="false" customHeight="true" outlineLevel="0" collapsed="false">
      <c r="A367" s="36"/>
      <c r="B367" s="37"/>
      <c r="C367" s="38"/>
      <c r="D367" s="38"/>
      <c r="E367" s="38"/>
      <c r="F367" s="39"/>
      <c r="G367" s="39"/>
      <c r="H367" s="38"/>
      <c r="I367" s="37"/>
      <c r="J367" s="38"/>
    </row>
    <row r="368" customFormat="false" ht="25.5" hidden="false" customHeight="true" outlineLevel="0" collapsed="false">
      <c r="A368" s="36"/>
      <c r="B368" s="37"/>
      <c r="C368" s="38"/>
      <c r="D368" s="38"/>
      <c r="E368" s="38"/>
      <c r="F368" s="39"/>
      <c r="G368" s="39"/>
      <c r="H368" s="38"/>
      <c r="I368" s="37"/>
      <c r="J368" s="38"/>
    </row>
    <row r="369" customFormat="false" ht="25.5" hidden="false" customHeight="true" outlineLevel="0" collapsed="false">
      <c r="A369" s="36"/>
      <c r="B369" s="37"/>
      <c r="C369" s="38"/>
      <c r="D369" s="38"/>
      <c r="E369" s="38"/>
      <c r="F369" s="39"/>
      <c r="G369" s="39"/>
      <c r="H369" s="38"/>
      <c r="I369" s="37"/>
      <c r="J369" s="38"/>
    </row>
    <row r="370" customFormat="false" ht="25.5" hidden="false" customHeight="true" outlineLevel="0" collapsed="false">
      <c r="A370" s="36"/>
      <c r="B370" s="37"/>
      <c r="C370" s="38"/>
      <c r="D370" s="38"/>
      <c r="E370" s="38"/>
      <c r="F370" s="39"/>
      <c r="G370" s="39"/>
      <c r="H370" s="38"/>
      <c r="I370" s="37"/>
      <c r="J370" s="38"/>
    </row>
    <row r="371" customFormat="false" ht="25.5" hidden="false" customHeight="true" outlineLevel="0" collapsed="false">
      <c r="A371" s="36"/>
      <c r="B371" s="37"/>
      <c r="C371" s="38"/>
      <c r="D371" s="38"/>
      <c r="E371" s="38"/>
      <c r="F371" s="39"/>
      <c r="G371" s="39"/>
      <c r="H371" s="38"/>
      <c r="I371" s="37"/>
      <c r="J371" s="38"/>
    </row>
    <row r="372" customFormat="false" ht="25.5" hidden="false" customHeight="true" outlineLevel="0" collapsed="false">
      <c r="A372" s="36"/>
      <c r="B372" s="37"/>
      <c r="C372" s="38"/>
      <c r="D372" s="38"/>
      <c r="E372" s="38"/>
      <c r="F372" s="39"/>
      <c r="G372" s="39"/>
      <c r="H372" s="38"/>
      <c r="I372" s="37"/>
      <c r="J372" s="38"/>
    </row>
    <row r="373" customFormat="false" ht="25.5" hidden="false" customHeight="true" outlineLevel="0" collapsed="false">
      <c r="A373" s="36"/>
      <c r="B373" s="37"/>
      <c r="C373" s="38"/>
      <c r="D373" s="38"/>
      <c r="E373" s="38"/>
      <c r="F373" s="39"/>
      <c r="G373" s="39"/>
      <c r="H373" s="38"/>
      <c r="I373" s="37"/>
      <c r="J373" s="38"/>
    </row>
    <row r="374" customFormat="false" ht="25.5" hidden="false" customHeight="true" outlineLevel="0" collapsed="false">
      <c r="A374" s="36"/>
      <c r="B374" s="37"/>
      <c r="C374" s="38"/>
      <c r="D374" s="38"/>
      <c r="E374" s="38"/>
      <c r="F374" s="39"/>
      <c r="G374" s="39"/>
      <c r="H374" s="38"/>
      <c r="I374" s="37"/>
      <c r="J374" s="38"/>
    </row>
    <row r="375" customFormat="false" ht="25.5" hidden="false" customHeight="true" outlineLevel="0" collapsed="false">
      <c r="A375" s="36"/>
      <c r="B375" s="37"/>
      <c r="C375" s="38"/>
      <c r="D375" s="38"/>
      <c r="E375" s="38"/>
      <c r="F375" s="39"/>
      <c r="G375" s="39"/>
      <c r="H375" s="38"/>
      <c r="I375" s="37"/>
      <c r="J375" s="38"/>
    </row>
    <row r="376" customFormat="false" ht="25.5" hidden="false" customHeight="true" outlineLevel="0" collapsed="false">
      <c r="A376" s="36"/>
      <c r="B376" s="37"/>
      <c r="C376" s="38"/>
      <c r="D376" s="38"/>
      <c r="E376" s="38"/>
      <c r="F376" s="39"/>
      <c r="G376" s="39"/>
      <c r="H376" s="38"/>
      <c r="I376" s="37"/>
      <c r="J376" s="38"/>
    </row>
    <row r="377" customFormat="false" ht="25.5" hidden="false" customHeight="true" outlineLevel="0" collapsed="false">
      <c r="A377" s="36"/>
      <c r="B377" s="37"/>
      <c r="C377" s="38"/>
      <c r="D377" s="38"/>
      <c r="E377" s="38"/>
      <c r="F377" s="39"/>
      <c r="G377" s="39"/>
      <c r="H377" s="38"/>
      <c r="I377" s="37"/>
      <c r="J377" s="38"/>
    </row>
    <row r="378" customFormat="false" ht="25.5" hidden="false" customHeight="true" outlineLevel="0" collapsed="false">
      <c r="A378" s="36"/>
      <c r="B378" s="37"/>
      <c r="C378" s="38"/>
      <c r="D378" s="38"/>
      <c r="E378" s="38"/>
      <c r="F378" s="39"/>
      <c r="G378" s="39"/>
      <c r="H378" s="38"/>
      <c r="I378" s="37"/>
      <c r="J378" s="38"/>
    </row>
    <row r="379" customFormat="false" ht="25.5" hidden="false" customHeight="true" outlineLevel="0" collapsed="false">
      <c r="A379" s="36"/>
      <c r="B379" s="37"/>
      <c r="C379" s="38"/>
      <c r="D379" s="38"/>
      <c r="E379" s="38"/>
      <c r="F379" s="39"/>
      <c r="G379" s="39"/>
      <c r="H379" s="38"/>
      <c r="I379" s="37"/>
      <c r="J379" s="38"/>
    </row>
    <row r="380" customFormat="false" ht="25.5" hidden="false" customHeight="true" outlineLevel="0" collapsed="false">
      <c r="A380" s="36"/>
      <c r="B380" s="37"/>
      <c r="C380" s="38"/>
      <c r="D380" s="38"/>
      <c r="E380" s="38"/>
      <c r="F380" s="39"/>
      <c r="G380" s="39"/>
      <c r="H380" s="38"/>
      <c r="I380" s="37"/>
      <c r="J380" s="38"/>
    </row>
    <row r="381" customFormat="false" ht="25.5" hidden="false" customHeight="true" outlineLevel="0" collapsed="false">
      <c r="A381" s="36"/>
      <c r="B381" s="37"/>
      <c r="C381" s="38"/>
      <c r="D381" s="38"/>
      <c r="E381" s="38"/>
      <c r="F381" s="39"/>
      <c r="G381" s="39"/>
      <c r="H381" s="38"/>
      <c r="I381" s="37"/>
      <c r="J381" s="38"/>
    </row>
    <row r="382" customFormat="false" ht="25.5" hidden="false" customHeight="true" outlineLevel="0" collapsed="false">
      <c r="A382" s="36"/>
      <c r="B382" s="37"/>
      <c r="C382" s="38"/>
      <c r="D382" s="38"/>
      <c r="E382" s="38"/>
      <c r="F382" s="39"/>
      <c r="G382" s="39"/>
      <c r="H382" s="38"/>
      <c r="I382" s="37"/>
      <c r="J382" s="38"/>
    </row>
    <row r="383" customFormat="false" ht="25.5" hidden="false" customHeight="true" outlineLevel="0" collapsed="false">
      <c r="A383" s="36"/>
      <c r="B383" s="37"/>
      <c r="C383" s="38"/>
      <c r="D383" s="38"/>
      <c r="E383" s="38"/>
      <c r="F383" s="39"/>
      <c r="G383" s="39"/>
      <c r="H383" s="38"/>
      <c r="I383" s="37"/>
      <c r="J383" s="38"/>
    </row>
    <row r="384" customFormat="false" ht="25.5" hidden="false" customHeight="true" outlineLevel="0" collapsed="false">
      <c r="A384" s="36"/>
      <c r="B384" s="37"/>
      <c r="C384" s="38"/>
      <c r="D384" s="38"/>
      <c r="E384" s="38"/>
      <c r="F384" s="39"/>
      <c r="G384" s="39"/>
      <c r="H384" s="38"/>
      <c r="I384" s="37"/>
      <c r="J384" s="38"/>
    </row>
    <row r="385" customFormat="false" ht="25.5" hidden="false" customHeight="true" outlineLevel="0" collapsed="false">
      <c r="A385" s="36"/>
      <c r="B385" s="37"/>
      <c r="C385" s="38"/>
      <c r="D385" s="38"/>
      <c r="E385" s="38"/>
      <c r="F385" s="39"/>
      <c r="G385" s="39"/>
      <c r="H385" s="38"/>
      <c r="I385" s="37"/>
      <c r="J385" s="38"/>
    </row>
    <row r="386" customFormat="false" ht="25.5" hidden="false" customHeight="true" outlineLevel="0" collapsed="false">
      <c r="A386" s="36"/>
      <c r="B386" s="37"/>
      <c r="C386" s="38"/>
      <c r="D386" s="38"/>
      <c r="E386" s="38"/>
      <c r="F386" s="39"/>
      <c r="G386" s="39"/>
      <c r="H386" s="38"/>
      <c r="I386" s="37"/>
      <c r="J386" s="38"/>
    </row>
    <row r="387" customFormat="false" ht="25.5" hidden="false" customHeight="true" outlineLevel="0" collapsed="false">
      <c r="A387" s="36"/>
      <c r="B387" s="37"/>
      <c r="C387" s="38"/>
      <c r="D387" s="38"/>
      <c r="E387" s="38"/>
      <c r="F387" s="39"/>
      <c r="G387" s="39"/>
      <c r="H387" s="38"/>
      <c r="I387" s="37"/>
      <c r="J387" s="38"/>
    </row>
    <row r="388" customFormat="false" ht="25.5" hidden="false" customHeight="true" outlineLevel="0" collapsed="false">
      <c r="A388" s="36"/>
      <c r="B388" s="37"/>
      <c r="C388" s="38"/>
      <c r="D388" s="38"/>
      <c r="E388" s="38"/>
      <c r="F388" s="39"/>
      <c r="G388" s="39"/>
      <c r="H388" s="38"/>
      <c r="I388" s="37"/>
      <c r="J388" s="38"/>
    </row>
    <row r="389" customFormat="false" ht="25.5" hidden="false" customHeight="true" outlineLevel="0" collapsed="false">
      <c r="A389" s="36"/>
      <c r="B389" s="37"/>
      <c r="C389" s="38"/>
      <c r="D389" s="38"/>
      <c r="E389" s="38"/>
      <c r="F389" s="39"/>
      <c r="G389" s="39"/>
      <c r="H389" s="38"/>
      <c r="I389" s="37"/>
      <c r="J389" s="38"/>
    </row>
    <row r="390" customFormat="false" ht="25.5" hidden="false" customHeight="true" outlineLevel="0" collapsed="false">
      <c r="A390" s="36"/>
      <c r="B390" s="37"/>
      <c r="C390" s="38"/>
      <c r="D390" s="38"/>
      <c r="E390" s="38"/>
      <c r="F390" s="39"/>
      <c r="G390" s="39"/>
      <c r="H390" s="38"/>
      <c r="I390" s="37"/>
      <c r="J390" s="38"/>
    </row>
    <row r="391" customFormat="false" ht="25.5" hidden="false" customHeight="true" outlineLevel="0" collapsed="false">
      <c r="A391" s="36"/>
      <c r="B391" s="37"/>
      <c r="C391" s="38"/>
      <c r="D391" s="38"/>
      <c r="E391" s="38"/>
      <c r="F391" s="39"/>
      <c r="G391" s="39"/>
      <c r="H391" s="38"/>
      <c r="I391" s="37"/>
      <c r="J391" s="38"/>
    </row>
    <row r="392" customFormat="false" ht="25.5" hidden="false" customHeight="true" outlineLevel="0" collapsed="false">
      <c r="A392" s="36"/>
      <c r="B392" s="37"/>
      <c r="C392" s="38"/>
      <c r="D392" s="38"/>
      <c r="E392" s="38"/>
      <c r="F392" s="39"/>
      <c r="G392" s="39"/>
      <c r="H392" s="38"/>
      <c r="I392" s="37"/>
      <c r="J392" s="38"/>
    </row>
    <row r="393" customFormat="false" ht="25.5" hidden="false" customHeight="true" outlineLevel="0" collapsed="false">
      <c r="A393" s="36"/>
      <c r="B393" s="37"/>
      <c r="C393" s="38"/>
      <c r="D393" s="38"/>
      <c r="E393" s="38"/>
      <c r="F393" s="39"/>
      <c r="G393" s="39"/>
      <c r="H393" s="38"/>
      <c r="I393" s="37"/>
      <c r="J393" s="38"/>
    </row>
    <row r="394" customFormat="false" ht="25.5" hidden="false" customHeight="true" outlineLevel="0" collapsed="false">
      <c r="A394" s="36"/>
      <c r="B394" s="37"/>
      <c r="C394" s="38"/>
      <c r="D394" s="38"/>
      <c r="E394" s="38"/>
      <c r="F394" s="39"/>
      <c r="G394" s="39"/>
      <c r="H394" s="38"/>
      <c r="I394" s="37"/>
      <c r="J394" s="38"/>
    </row>
    <row r="395" customFormat="false" ht="25.5" hidden="false" customHeight="true" outlineLevel="0" collapsed="false">
      <c r="A395" s="36"/>
      <c r="B395" s="37"/>
      <c r="C395" s="38"/>
      <c r="D395" s="38"/>
      <c r="E395" s="38"/>
      <c r="F395" s="39"/>
      <c r="G395" s="39"/>
      <c r="H395" s="38"/>
      <c r="I395" s="37"/>
      <c r="J395" s="38"/>
    </row>
    <row r="396" customFormat="false" ht="25.5" hidden="false" customHeight="true" outlineLevel="0" collapsed="false">
      <c r="A396" s="36"/>
      <c r="B396" s="37"/>
      <c r="C396" s="38"/>
      <c r="D396" s="38"/>
      <c r="E396" s="38"/>
      <c r="F396" s="39"/>
      <c r="G396" s="39"/>
      <c r="H396" s="38"/>
      <c r="I396" s="37"/>
      <c r="J396" s="38"/>
    </row>
    <row r="397" customFormat="false" ht="25.5" hidden="false" customHeight="true" outlineLevel="0" collapsed="false">
      <c r="A397" s="36"/>
      <c r="B397" s="37"/>
      <c r="C397" s="38"/>
      <c r="D397" s="38"/>
      <c r="E397" s="38"/>
      <c r="F397" s="39"/>
      <c r="G397" s="39"/>
      <c r="H397" s="38"/>
      <c r="I397" s="37"/>
      <c r="J397" s="38"/>
    </row>
    <row r="398" customFormat="false" ht="25.5" hidden="false" customHeight="true" outlineLevel="0" collapsed="false">
      <c r="A398" s="36"/>
      <c r="B398" s="37"/>
      <c r="C398" s="38"/>
      <c r="D398" s="38"/>
      <c r="E398" s="38"/>
      <c r="F398" s="39"/>
      <c r="G398" s="39"/>
      <c r="H398" s="38"/>
      <c r="I398" s="37"/>
      <c r="J398" s="38"/>
    </row>
    <row r="399" customFormat="false" ht="25.5" hidden="false" customHeight="true" outlineLevel="0" collapsed="false">
      <c r="A399" s="36"/>
      <c r="B399" s="37"/>
      <c r="C399" s="38"/>
      <c r="D399" s="38"/>
      <c r="E399" s="38"/>
      <c r="F399" s="39"/>
      <c r="G399" s="39"/>
      <c r="H399" s="38"/>
      <c r="I399" s="37"/>
      <c r="J399" s="38"/>
    </row>
    <row r="400" customFormat="false" ht="25.5" hidden="false" customHeight="true" outlineLevel="0" collapsed="false">
      <c r="A400" s="36"/>
      <c r="B400" s="37"/>
      <c r="C400" s="38"/>
      <c r="D400" s="38"/>
      <c r="E400" s="38"/>
      <c r="F400" s="39"/>
      <c r="G400" s="39"/>
      <c r="H400" s="38"/>
      <c r="I400" s="37"/>
      <c r="J400" s="38"/>
    </row>
    <row r="401" customFormat="false" ht="25.5" hidden="false" customHeight="true" outlineLevel="0" collapsed="false">
      <c r="A401" s="36"/>
      <c r="B401" s="37"/>
      <c r="C401" s="38"/>
      <c r="D401" s="38"/>
      <c r="E401" s="38"/>
      <c r="F401" s="39"/>
      <c r="G401" s="39"/>
      <c r="H401" s="38"/>
      <c r="I401" s="37"/>
      <c r="J401" s="38"/>
    </row>
    <row r="402" customFormat="false" ht="25.5" hidden="false" customHeight="true" outlineLevel="0" collapsed="false">
      <c r="A402" s="36"/>
      <c r="B402" s="37"/>
      <c r="C402" s="38"/>
      <c r="D402" s="38"/>
      <c r="E402" s="38"/>
      <c r="F402" s="39"/>
      <c r="G402" s="39"/>
      <c r="H402" s="38"/>
      <c r="I402" s="37"/>
      <c r="J402" s="38"/>
    </row>
    <row r="403" customFormat="false" ht="25.5" hidden="false" customHeight="true" outlineLevel="0" collapsed="false">
      <c r="A403" s="36"/>
      <c r="B403" s="37"/>
      <c r="C403" s="38"/>
      <c r="D403" s="38"/>
      <c r="E403" s="38"/>
      <c r="F403" s="39"/>
      <c r="G403" s="39"/>
      <c r="H403" s="38"/>
      <c r="I403" s="37"/>
      <c r="J403" s="38"/>
    </row>
    <row r="404" customFormat="false" ht="25.5" hidden="false" customHeight="true" outlineLevel="0" collapsed="false">
      <c r="A404" s="36"/>
      <c r="B404" s="37"/>
      <c r="C404" s="38"/>
      <c r="D404" s="38"/>
      <c r="E404" s="38"/>
      <c r="F404" s="39"/>
      <c r="G404" s="39"/>
      <c r="H404" s="38"/>
      <c r="I404" s="37"/>
      <c r="J404" s="38"/>
    </row>
    <row r="405" customFormat="false" ht="25.5" hidden="false" customHeight="true" outlineLevel="0" collapsed="false">
      <c r="A405" s="36"/>
      <c r="B405" s="37"/>
      <c r="C405" s="38"/>
      <c r="D405" s="38"/>
      <c r="E405" s="38"/>
      <c r="F405" s="39"/>
      <c r="G405" s="39"/>
      <c r="H405" s="38"/>
      <c r="I405" s="37"/>
      <c r="J405" s="38"/>
    </row>
    <row r="406" customFormat="false" ht="25.5" hidden="false" customHeight="true" outlineLevel="0" collapsed="false">
      <c r="A406" s="36"/>
      <c r="B406" s="37"/>
      <c r="C406" s="38"/>
      <c r="D406" s="38"/>
      <c r="E406" s="38"/>
      <c r="F406" s="39"/>
      <c r="G406" s="39"/>
      <c r="H406" s="38"/>
      <c r="I406" s="37"/>
      <c r="J406" s="38"/>
    </row>
    <row r="407" customFormat="false" ht="25.5" hidden="false" customHeight="true" outlineLevel="0" collapsed="false">
      <c r="A407" s="36"/>
      <c r="B407" s="37"/>
      <c r="C407" s="38"/>
      <c r="D407" s="38"/>
      <c r="E407" s="38"/>
      <c r="F407" s="39"/>
      <c r="G407" s="39"/>
      <c r="H407" s="38"/>
      <c r="I407" s="37"/>
      <c r="J407" s="38"/>
    </row>
    <row r="408" customFormat="false" ht="25.5" hidden="false" customHeight="true" outlineLevel="0" collapsed="false">
      <c r="A408" s="36"/>
      <c r="B408" s="37"/>
      <c r="C408" s="38"/>
      <c r="D408" s="38"/>
      <c r="E408" s="38"/>
      <c r="F408" s="39"/>
      <c r="G408" s="39"/>
      <c r="H408" s="38"/>
      <c r="I408" s="37"/>
      <c r="J408" s="38"/>
    </row>
    <row r="409" customFormat="false" ht="25.5" hidden="false" customHeight="true" outlineLevel="0" collapsed="false">
      <c r="A409" s="36"/>
      <c r="B409" s="37"/>
      <c r="C409" s="38"/>
      <c r="D409" s="38"/>
      <c r="E409" s="38"/>
      <c r="F409" s="39"/>
      <c r="G409" s="39"/>
      <c r="H409" s="38"/>
      <c r="I409" s="37"/>
      <c r="J409" s="38"/>
    </row>
    <row r="410" customFormat="false" ht="25.5" hidden="false" customHeight="true" outlineLevel="0" collapsed="false">
      <c r="A410" s="36"/>
      <c r="B410" s="37"/>
      <c r="C410" s="38"/>
      <c r="D410" s="38"/>
      <c r="E410" s="38"/>
      <c r="F410" s="39"/>
      <c r="G410" s="39"/>
      <c r="H410" s="38"/>
      <c r="I410" s="37"/>
      <c r="J410" s="38"/>
    </row>
    <row r="411" customFormat="false" ht="25.5" hidden="false" customHeight="true" outlineLevel="0" collapsed="false">
      <c r="A411" s="36"/>
      <c r="B411" s="37"/>
      <c r="C411" s="38"/>
      <c r="D411" s="38"/>
      <c r="E411" s="38"/>
      <c r="F411" s="39"/>
      <c r="G411" s="39"/>
      <c r="H411" s="38"/>
      <c r="I411" s="37"/>
      <c r="J411" s="38"/>
    </row>
    <row r="412" customFormat="false" ht="25.5" hidden="false" customHeight="true" outlineLevel="0" collapsed="false">
      <c r="A412" s="36"/>
      <c r="B412" s="37"/>
      <c r="C412" s="38"/>
      <c r="D412" s="38"/>
      <c r="E412" s="38"/>
      <c r="F412" s="39"/>
      <c r="G412" s="39"/>
      <c r="H412" s="38"/>
      <c r="I412" s="37"/>
      <c r="J412" s="38"/>
    </row>
    <row r="413" customFormat="false" ht="25.5" hidden="false" customHeight="true" outlineLevel="0" collapsed="false">
      <c r="A413" s="36"/>
      <c r="B413" s="37"/>
      <c r="C413" s="38"/>
      <c r="D413" s="38"/>
      <c r="E413" s="38"/>
      <c r="F413" s="39"/>
      <c r="G413" s="39"/>
      <c r="H413" s="38"/>
      <c r="I413" s="37"/>
      <c r="J413" s="38"/>
    </row>
    <row r="414" customFormat="false" ht="25.5" hidden="false" customHeight="true" outlineLevel="0" collapsed="false">
      <c r="A414" s="36"/>
      <c r="B414" s="37"/>
      <c r="C414" s="38"/>
      <c r="D414" s="38"/>
      <c r="E414" s="38"/>
      <c r="F414" s="39"/>
      <c r="G414" s="39"/>
      <c r="H414" s="38"/>
      <c r="I414" s="37"/>
      <c r="J414" s="38"/>
    </row>
    <row r="415" customFormat="false" ht="25.5" hidden="false" customHeight="true" outlineLevel="0" collapsed="false">
      <c r="A415" s="36"/>
      <c r="B415" s="37"/>
      <c r="C415" s="38"/>
      <c r="D415" s="38"/>
      <c r="E415" s="38"/>
      <c r="F415" s="39"/>
      <c r="G415" s="39"/>
      <c r="H415" s="38"/>
      <c r="I415" s="37"/>
      <c r="J415" s="38"/>
    </row>
    <row r="416" customFormat="false" ht="25.5" hidden="false" customHeight="true" outlineLevel="0" collapsed="false">
      <c r="A416" s="36"/>
      <c r="B416" s="37"/>
      <c r="C416" s="38"/>
      <c r="D416" s="38"/>
      <c r="E416" s="38"/>
      <c r="F416" s="39"/>
      <c r="G416" s="39"/>
      <c r="H416" s="38"/>
      <c r="I416" s="37"/>
      <c r="J416" s="38"/>
    </row>
    <row r="417" customFormat="false" ht="25.5" hidden="false" customHeight="true" outlineLevel="0" collapsed="false">
      <c r="A417" s="36"/>
      <c r="B417" s="37"/>
      <c r="C417" s="38"/>
      <c r="D417" s="38"/>
      <c r="E417" s="38"/>
      <c r="F417" s="39"/>
      <c r="G417" s="39"/>
      <c r="H417" s="38"/>
      <c r="I417" s="37"/>
      <c r="J417" s="38"/>
    </row>
    <row r="418" customFormat="false" ht="25.5" hidden="false" customHeight="true" outlineLevel="0" collapsed="false">
      <c r="A418" s="36"/>
      <c r="B418" s="37"/>
      <c r="C418" s="38"/>
      <c r="D418" s="38"/>
      <c r="E418" s="38"/>
      <c r="F418" s="39"/>
      <c r="G418" s="39"/>
      <c r="H418" s="38"/>
      <c r="I418" s="37"/>
      <c r="J418" s="38"/>
    </row>
    <row r="419" customFormat="false" ht="25.5" hidden="false" customHeight="true" outlineLevel="0" collapsed="false">
      <c r="A419" s="36"/>
      <c r="B419" s="37"/>
      <c r="C419" s="38"/>
      <c r="D419" s="38"/>
      <c r="E419" s="38"/>
      <c r="F419" s="39"/>
      <c r="G419" s="39"/>
      <c r="H419" s="38"/>
      <c r="I419" s="37"/>
      <c r="J419" s="38"/>
    </row>
    <row r="420" customFormat="false" ht="25.5" hidden="false" customHeight="true" outlineLevel="0" collapsed="false">
      <c r="A420" s="36"/>
      <c r="B420" s="37"/>
      <c r="C420" s="38"/>
      <c r="D420" s="38"/>
      <c r="E420" s="38"/>
      <c r="F420" s="39"/>
      <c r="G420" s="39"/>
      <c r="H420" s="38"/>
      <c r="I420" s="37"/>
      <c r="J420" s="38"/>
    </row>
    <row r="421" customFormat="false" ht="25.5" hidden="false" customHeight="true" outlineLevel="0" collapsed="false">
      <c r="A421" s="36"/>
      <c r="B421" s="37"/>
      <c r="C421" s="38"/>
      <c r="D421" s="38"/>
      <c r="E421" s="38"/>
      <c r="F421" s="39"/>
      <c r="G421" s="39"/>
      <c r="H421" s="38"/>
      <c r="I421" s="37"/>
      <c r="J421" s="38"/>
    </row>
    <row r="422" customFormat="false" ht="25.5" hidden="false" customHeight="true" outlineLevel="0" collapsed="false">
      <c r="A422" s="36"/>
      <c r="B422" s="37"/>
      <c r="C422" s="38"/>
      <c r="D422" s="38"/>
      <c r="E422" s="38"/>
      <c r="F422" s="39"/>
      <c r="G422" s="39"/>
      <c r="H422" s="38"/>
      <c r="I422" s="37"/>
      <c r="J422" s="38"/>
    </row>
    <row r="423" customFormat="false" ht="25.5" hidden="false" customHeight="true" outlineLevel="0" collapsed="false">
      <c r="A423" s="36"/>
      <c r="B423" s="37"/>
      <c r="C423" s="38"/>
      <c r="D423" s="38"/>
      <c r="E423" s="38"/>
      <c r="F423" s="39"/>
      <c r="G423" s="39"/>
      <c r="H423" s="38"/>
      <c r="I423" s="37"/>
      <c r="J423" s="38"/>
    </row>
    <row r="424" customFormat="false" ht="25.5" hidden="false" customHeight="true" outlineLevel="0" collapsed="false">
      <c r="A424" s="36"/>
      <c r="B424" s="37"/>
      <c r="C424" s="38"/>
      <c r="D424" s="38"/>
      <c r="E424" s="38"/>
      <c r="F424" s="39"/>
      <c r="G424" s="39"/>
      <c r="H424" s="38"/>
      <c r="I424" s="37"/>
      <c r="J424" s="38"/>
    </row>
    <row r="425" customFormat="false" ht="25.5" hidden="false" customHeight="true" outlineLevel="0" collapsed="false">
      <c r="A425" s="36"/>
      <c r="B425" s="37"/>
      <c r="C425" s="38"/>
      <c r="D425" s="38"/>
      <c r="E425" s="38"/>
      <c r="F425" s="39"/>
      <c r="G425" s="39"/>
      <c r="H425" s="38"/>
      <c r="I425" s="37"/>
      <c r="J425" s="38"/>
    </row>
    <row r="426" customFormat="false" ht="25.5" hidden="false" customHeight="true" outlineLevel="0" collapsed="false">
      <c r="A426" s="36"/>
      <c r="B426" s="37"/>
      <c r="C426" s="38"/>
      <c r="D426" s="38"/>
      <c r="E426" s="38"/>
      <c r="F426" s="39"/>
      <c r="G426" s="39"/>
      <c r="H426" s="38"/>
      <c r="I426" s="37"/>
      <c r="J426" s="38"/>
    </row>
    <row r="427" customFormat="false" ht="25.5" hidden="false" customHeight="true" outlineLevel="0" collapsed="false">
      <c r="A427" s="36"/>
      <c r="B427" s="37"/>
      <c r="C427" s="38"/>
      <c r="D427" s="38"/>
      <c r="E427" s="38"/>
      <c r="F427" s="39"/>
      <c r="G427" s="39"/>
      <c r="H427" s="38"/>
      <c r="I427" s="37"/>
      <c r="J427" s="38"/>
    </row>
    <row r="428" customFormat="false" ht="25.5" hidden="false" customHeight="true" outlineLevel="0" collapsed="false">
      <c r="A428" s="36"/>
      <c r="B428" s="37"/>
      <c r="C428" s="38"/>
      <c r="D428" s="38"/>
      <c r="E428" s="38"/>
      <c r="F428" s="39"/>
      <c r="G428" s="39"/>
      <c r="H428" s="38"/>
      <c r="I428" s="37"/>
      <c r="J428" s="38"/>
    </row>
    <row r="429" customFormat="false" ht="25.5" hidden="false" customHeight="true" outlineLevel="0" collapsed="false">
      <c r="A429" s="36"/>
      <c r="B429" s="37"/>
      <c r="C429" s="38"/>
      <c r="D429" s="38"/>
      <c r="E429" s="38"/>
      <c r="F429" s="39"/>
      <c r="G429" s="39"/>
      <c r="H429" s="38"/>
      <c r="I429" s="37"/>
      <c r="J429" s="38"/>
    </row>
    <row r="430" customFormat="false" ht="25.5" hidden="false" customHeight="true" outlineLevel="0" collapsed="false">
      <c r="A430" s="36"/>
      <c r="B430" s="37"/>
      <c r="C430" s="38"/>
      <c r="D430" s="38"/>
      <c r="E430" s="38"/>
      <c r="F430" s="39"/>
      <c r="G430" s="39"/>
      <c r="H430" s="38"/>
      <c r="I430" s="37"/>
      <c r="J430" s="38"/>
    </row>
    <row r="431" customFormat="false" ht="25.5" hidden="false" customHeight="true" outlineLevel="0" collapsed="false">
      <c r="A431" s="36"/>
      <c r="B431" s="37"/>
      <c r="C431" s="38"/>
      <c r="D431" s="38"/>
      <c r="E431" s="38"/>
      <c r="F431" s="39"/>
      <c r="G431" s="39"/>
      <c r="H431" s="38"/>
      <c r="I431" s="37"/>
      <c r="J431" s="38"/>
    </row>
    <row r="432" customFormat="false" ht="25.5" hidden="false" customHeight="true" outlineLevel="0" collapsed="false">
      <c r="A432" s="36"/>
      <c r="B432" s="37"/>
      <c r="C432" s="38"/>
      <c r="D432" s="38"/>
      <c r="E432" s="38"/>
      <c r="F432" s="39"/>
      <c r="G432" s="39"/>
      <c r="H432" s="38"/>
      <c r="I432" s="37"/>
      <c r="J432" s="38"/>
    </row>
    <row r="433" customFormat="false" ht="25.5" hidden="false" customHeight="true" outlineLevel="0" collapsed="false">
      <c r="A433" s="36"/>
      <c r="B433" s="37"/>
      <c r="C433" s="38"/>
      <c r="D433" s="38"/>
      <c r="E433" s="38"/>
      <c r="F433" s="39"/>
      <c r="G433" s="39"/>
      <c r="H433" s="38"/>
      <c r="I433" s="37"/>
      <c r="J433" s="38"/>
    </row>
    <row r="434" customFormat="false" ht="25.5" hidden="false" customHeight="true" outlineLevel="0" collapsed="false">
      <c r="A434" s="36"/>
      <c r="B434" s="37"/>
      <c r="C434" s="38"/>
      <c r="D434" s="38"/>
      <c r="E434" s="38"/>
      <c r="F434" s="39"/>
      <c r="G434" s="39"/>
      <c r="H434" s="38"/>
      <c r="I434" s="37"/>
      <c r="J434" s="38"/>
    </row>
    <row r="435" customFormat="false" ht="25.5" hidden="false" customHeight="true" outlineLevel="0" collapsed="false">
      <c r="A435" s="36"/>
      <c r="B435" s="37"/>
      <c r="C435" s="38"/>
      <c r="D435" s="38"/>
      <c r="E435" s="38"/>
      <c r="F435" s="39"/>
      <c r="G435" s="39"/>
      <c r="H435" s="38"/>
      <c r="I435" s="37"/>
      <c r="J435" s="38"/>
    </row>
    <row r="436" customFormat="false" ht="25.5" hidden="false" customHeight="true" outlineLevel="0" collapsed="false">
      <c r="A436" s="36"/>
      <c r="B436" s="37"/>
      <c r="C436" s="38"/>
      <c r="D436" s="38"/>
      <c r="E436" s="38"/>
      <c r="F436" s="39"/>
      <c r="G436" s="39"/>
      <c r="H436" s="38"/>
      <c r="I436" s="37"/>
      <c r="J436" s="38"/>
    </row>
    <row r="437" customFormat="false" ht="25.5" hidden="false" customHeight="true" outlineLevel="0" collapsed="false">
      <c r="A437" s="36"/>
      <c r="B437" s="37"/>
      <c r="C437" s="38"/>
      <c r="D437" s="38"/>
      <c r="E437" s="38"/>
      <c r="F437" s="39"/>
      <c r="G437" s="39"/>
      <c r="H437" s="38"/>
      <c r="I437" s="37"/>
      <c r="J437" s="38"/>
    </row>
    <row r="438" customFormat="false" ht="25.5" hidden="false" customHeight="true" outlineLevel="0" collapsed="false">
      <c r="A438" s="36"/>
      <c r="B438" s="37"/>
      <c r="C438" s="38"/>
      <c r="D438" s="38"/>
      <c r="E438" s="38"/>
      <c r="F438" s="39"/>
      <c r="G438" s="39"/>
      <c r="H438" s="38"/>
      <c r="I438" s="37"/>
      <c r="J438" s="38"/>
    </row>
    <row r="439" customFormat="false" ht="25.5" hidden="false" customHeight="true" outlineLevel="0" collapsed="false">
      <c r="A439" s="36"/>
      <c r="B439" s="37"/>
      <c r="C439" s="38"/>
      <c r="D439" s="38"/>
      <c r="E439" s="38"/>
      <c r="F439" s="39"/>
      <c r="G439" s="39"/>
      <c r="H439" s="38"/>
      <c r="I439" s="37"/>
      <c r="J439" s="38"/>
    </row>
    <row r="440" customFormat="false" ht="25.5" hidden="false" customHeight="true" outlineLevel="0" collapsed="false">
      <c r="A440" s="36"/>
      <c r="B440" s="37"/>
      <c r="C440" s="38"/>
      <c r="D440" s="38"/>
      <c r="E440" s="38"/>
      <c r="F440" s="39"/>
      <c r="G440" s="39"/>
      <c r="H440" s="38"/>
      <c r="I440" s="37"/>
      <c r="J440" s="38"/>
    </row>
    <row r="441" customFormat="false" ht="25.5" hidden="false" customHeight="true" outlineLevel="0" collapsed="false">
      <c r="A441" s="36"/>
      <c r="B441" s="37"/>
      <c r="C441" s="38"/>
      <c r="D441" s="38"/>
      <c r="E441" s="38"/>
      <c r="F441" s="39"/>
      <c r="G441" s="39"/>
      <c r="H441" s="38"/>
      <c r="I441" s="37"/>
      <c r="J441" s="38"/>
    </row>
    <row r="442" customFormat="false" ht="25.5" hidden="false" customHeight="true" outlineLevel="0" collapsed="false">
      <c r="A442" s="36"/>
      <c r="B442" s="37"/>
      <c r="C442" s="38"/>
      <c r="D442" s="38"/>
      <c r="E442" s="38"/>
      <c r="F442" s="39"/>
      <c r="G442" s="39"/>
      <c r="H442" s="38"/>
      <c r="I442" s="37"/>
      <c r="J442" s="38"/>
    </row>
    <row r="443" customFormat="false" ht="25.5" hidden="false" customHeight="true" outlineLevel="0" collapsed="false">
      <c r="A443" s="36"/>
      <c r="B443" s="37"/>
      <c r="C443" s="38"/>
      <c r="D443" s="38"/>
      <c r="E443" s="38"/>
      <c r="F443" s="39"/>
      <c r="G443" s="39"/>
      <c r="H443" s="38"/>
      <c r="I443" s="37"/>
      <c r="J443" s="38"/>
    </row>
    <row r="444" customFormat="false" ht="25.5" hidden="false" customHeight="true" outlineLevel="0" collapsed="false">
      <c r="A444" s="36"/>
      <c r="B444" s="37"/>
      <c r="C444" s="38"/>
      <c r="D444" s="38"/>
      <c r="E444" s="38"/>
      <c r="F444" s="39"/>
      <c r="G444" s="39"/>
      <c r="H444" s="38"/>
      <c r="I444" s="37"/>
      <c r="J444" s="38"/>
    </row>
    <row r="445" customFormat="false" ht="25.5" hidden="false" customHeight="true" outlineLevel="0" collapsed="false">
      <c r="A445" s="36"/>
      <c r="B445" s="37"/>
      <c r="C445" s="38"/>
      <c r="D445" s="38"/>
      <c r="E445" s="38"/>
      <c r="F445" s="39"/>
      <c r="G445" s="39"/>
      <c r="H445" s="38"/>
      <c r="I445" s="37"/>
      <c r="J445" s="38"/>
    </row>
    <row r="446" customFormat="false" ht="25.5" hidden="false" customHeight="true" outlineLevel="0" collapsed="false">
      <c r="A446" s="36"/>
      <c r="B446" s="37"/>
      <c r="C446" s="38"/>
      <c r="D446" s="38"/>
      <c r="E446" s="38"/>
      <c r="F446" s="39"/>
      <c r="G446" s="39"/>
      <c r="H446" s="38"/>
      <c r="I446" s="37"/>
      <c r="J446" s="38"/>
    </row>
    <row r="447" customFormat="false" ht="25.5" hidden="false" customHeight="true" outlineLevel="0" collapsed="false">
      <c r="A447" s="36"/>
      <c r="B447" s="37"/>
      <c r="C447" s="38"/>
      <c r="D447" s="38"/>
      <c r="E447" s="38"/>
      <c r="F447" s="39"/>
      <c r="G447" s="39"/>
      <c r="H447" s="38"/>
      <c r="I447" s="37"/>
      <c r="J447" s="38"/>
    </row>
    <row r="448" customFormat="false" ht="25.5" hidden="false" customHeight="true" outlineLevel="0" collapsed="false">
      <c r="A448" s="36"/>
      <c r="B448" s="37"/>
      <c r="C448" s="38"/>
      <c r="D448" s="38"/>
      <c r="E448" s="38"/>
      <c r="F448" s="39"/>
      <c r="G448" s="39"/>
      <c r="H448" s="38"/>
      <c r="I448" s="37"/>
      <c r="J448" s="38"/>
    </row>
    <row r="449" customFormat="false" ht="25.5" hidden="false" customHeight="true" outlineLevel="0" collapsed="false">
      <c r="A449" s="36"/>
      <c r="B449" s="37"/>
      <c r="C449" s="38"/>
      <c r="D449" s="38"/>
      <c r="E449" s="38"/>
      <c r="F449" s="39"/>
      <c r="G449" s="39"/>
      <c r="H449" s="38"/>
      <c r="I449" s="37"/>
      <c r="J449" s="38"/>
    </row>
    <row r="450" customFormat="false" ht="25.5" hidden="false" customHeight="true" outlineLevel="0" collapsed="false">
      <c r="A450" s="36"/>
      <c r="B450" s="37"/>
      <c r="C450" s="38"/>
      <c r="D450" s="38"/>
      <c r="E450" s="38"/>
      <c r="F450" s="39"/>
      <c r="G450" s="39"/>
      <c r="H450" s="38"/>
      <c r="I450" s="37"/>
      <c r="J450" s="38"/>
    </row>
    <row r="451" customFormat="false" ht="25.5" hidden="false" customHeight="true" outlineLevel="0" collapsed="false">
      <c r="A451" s="36"/>
      <c r="B451" s="37"/>
      <c r="C451" s="38"/>
      <c r="D451" s="38"/>
      <c r="E451" s="38"/>
      <c r="F451" s="39"/>
      <c r="G451" s="39"/>
      <c r="H451" s="38"/>
      <c r="I451" s="37"/>
      <c r="J451" s="38"/>
    </row>
    <row r="452" customFormat="false" ht="25.5" hidden="false" customHeight="true" outlineLevel="0" collapsed="false">
      <c r="A452" s="36"/>
      <c r="B452" s="37"/>
      <c r="C452" s="38"/>
      <c r="D452" s="38"/>
      <c r="E452" s="38"/>
      <c r="F452" s="39"/>
      <c r="G452" s="39"/>
      <c r="H452" s="38"/>
      <c r="I452" s="37"/>
      <c r="J452" s="38"/>
    </row>
    <row r="453" customFormat="false" ht="25.5" hidden="false" customHeight="true" outlineLevel="0" collapsed="false">
      <c r="A453" s="36"/>
      <c r="B453" s="37"/>
      <c r="C453" s="38"/>
      <c r="D453" s="38"/>
      <c r="E453" s="38"/>
      <c r="F453" s="39"/>
      <c r="G453" s="39"/>
      <c r="H453" s="38"/>
      <c r="I453" s="37"/>
      <c r="J453" s="38"/>
    </row>
    <row r="454" customFormat="false" ht="25.5" hidden="false" customHeight="true" outlineLevel="0" collapsed="false">
      <c r="A454" s="36"/>
      <c r="B454" s="37"/>
      <c r="C454" s="38"/>
      <c r="D454" s="38"/>
      <c r="E454" s="38"/>
      <c r="F454" s="39"/>
      <c r="G454" s="39"/>
      <c r="H454" s="38"/>
      <c r="I454" s="37"/>
      <c r="J454" s="38"/>
    </row>
    <row r="455" customFormat="false" ht="25.5" hidden="false" customHeight="true" outlineLevel="0" collapsed="false">
      <c r="A455" s="36"/>
      <c r="B455" s="37"/>
      <c r="C455" s="38"/>
      <c r="D455" s="38"/>
      <c r="E455" s="38"/>
      <c r="F455" s="39"/>
      <c r="G455" s="39"/>
      <c r="H455" s="38"/>
      <c r="I455" s="37"/>
      <c r="J455" s="38"/>
    </row>
    <row r="456" customFormat="false" ht="25.5" hidden="false" customHeight="true" outlineLevel="0" collapsed="false">
      <c r="A456" s="36"/>
      <c r="B456" s="37"/>
      <c r="C456" s="38"/>
      <c r="D456" s="38"/>
      <c r="E456" s="38"/>
      <c r="F456" s="39"/>
      <c r="G456" s="39"/>
      <c r="H456" s="38"/>
      <c r="I456" s="37"/>
      <c r="J456" s="38"/>
    </row>
    <row r="457" customFormat="false" ht="25.5" hidden="false" customHeight="true" outlineLevel="0" collapsed="false">
      <c r="A457" s="36"/>
      <c r="B457" s="37"/>
      <c r="C457" s="38"/>
      <c r="D457" s="38"/>
      <c r="E457" s="38"/>
      <c r="F457" s="39"/>
      <c r="G457" s="39"/>
      <c r="H457" s="38"/>
      <c r="I457" s="37"/>
      <c r="J457" s="38"/>
    </row>
    <row r="458" customFormat="false" ht="25.5" hidden="false" customHeight="true" outlineLevel="0" collapsed="false">
      <c r="A458" s="36"/>
      <c r="B458" s="37"/>
      <c r="C458" s="38"/>
      <c r="D458" s="38"/>
      <c r="E458" s="38"/>
      <c r="F458" s="39"/>
      <c r="G458" s="39"/>
      <c r="H458" s="38"/>
      <c r="I458" s="37"/>
      <c r="J458" s="38"/>
    </row>
    <row r="459" customFormat="false" ht="25.5" hidden="false" customHeight="true" outlineLevel="0" collapsed="false">
      <c r="A459" s="36"/>
      <c r="B459" s="37"/>
      <c r="C459" s="38"/>
      <c r="D459" s="38"/>
      <c r="E459" s="38"/>
      <c r="F459" s="39"/>
      <c r="G459" s="39"/>
      <c r="H459" s="38"/>
      <c r="I459" s="37"/>
      <c r="J459" s="38"/>
    </row>
    <row r="460" customFormat="false" ht="25.5" hidden="false" customHeight="true" outlineLevel="0" collapsed="false">
      <c r="A460" s="36"/>
      <c r="B460" s="37"/>
      <c r="C460" s="38"/>
      <c r="D460" s="38"/>
      <c r="E460" s="38"/>
      <c r="F460" s="39"/>
      <c r="G460" s="39"/>
      <c r="H460" s="38"/>
      <c r="I460" s="37"/>
      <c r="J460" s="38"/>
    </row>
    <row r="461" customFormat="false" ht="25.5" hidden="false" customHeight="true" outlineLevel="0" collapsed="false">
      <c r="A461" s="36"/>
      <c r="B461" s="37"/>
      <c r="C461" s="38"/>
      <c r="D461" s="38"/>
      <c r="E461" s="38"/>
      <c r="F461" s="39"/>
      <c r="G461" s="39"/>
      <c r="H461" s="38"/>
      <c r="I461" s="37"/>
      <c r="J461" s="38"/>
    </row>
    <row r="462" customFormat="false" ht="25.5" hidden="false" customHeight="true" outlineLevel="0" collapsed="false">
      <c r="A462" s="36"/>
      <c r="B462" s="37"/>
      <c r="C462" s="38"/>
      <c r="D462" s="38"/>
      <c r="E462" s="38"/>
      <c r="F462" s="39"/>
      <c r="G462" s="39"/>
      <c r="H462" s="38"/>
      <c r="I462" s="37"/>
      <c r="J462" s="38"/>
    </row>
    <row r="463" customFormat="false" ht="25.5" hidden="false" customHeight="true" outlineLevel="0" collapsed="false">
      <c r="A463" s="36"/>
      <c r="B463" s="37"/>
      <c r="C463" s="38"/>
      <c r="D463" s="38"/>
      <c r="E463" s="38"/>
      <c r="F463" s="39"/>
      <c r="G463" s="39"/>
      <c r="H463" s="38"/>
      <c r="I463" s="37"/>
      <c r="J463" s="38"/>
    </row>
    <row r="464" customFormat="false" ht="25.5" hidden="false" customHeight="true" outlineLevel="0" collapsed="false">
      <c r="A464" s="36"/>
      <c r="B464" s="37"/>
      <c r="C464" s="38"/>
      <c r="D464" s="38"/>
      <c r="E464" s="38"/>
      <c r="F464" s="39"/>
      <c r="G464" s="39"/>
      <c r="H464" s="38"/>
      <c r="I464" s="37"/>
      <c r="J464" s="38"/>
    </row>
    <row r="465" customFormat="false" ht="25.5" hidden="false" customHeight="true" outlineLevel="0" collapsed="false">
      <c r="A465" s="36"/>
      <c r="B465" s="37"/>
      <c r="C465" s="38"/>
      <c r="D465" s="38"/>
      <c r="E465" s="38"/>
      <c r="F465" s="39"/>
      <c r="G465" s="39"/>
      <c r="H465" s="38"/>
      <c r="I465" s="37"/>
      <c r="J465" s="38"/>
    </row>
    <row r="466" customFormat="false" ht="25.5" hidden="false" customHeight="true" outlineLevel="0" collapsed="false">
      <c r="A466" s="36"/>
      <c r="B466" s="37"/>
      <c r="C466" s="38"/>
      <c r="D466" s="38"/>
      <c r="E466" s="38"/>
      <c r="F466" s="39"/>
      <c r="G466" s="39"/>
      <c r="H466" s="38"/>
      <c r="I466" s="37"/>
      <c r="J466" s="38"/>
    </row>
    <row r="467" customFormat="false" ht="25.5" hidden="false" customHeight="true" outlineLevel="0" collapsed="false">
      <c r="A467" s="36"/>
      <c r="B467" s="37"/>
      <c r="C467" s="38"/>
      <c r="D467" s="38"/>
      <c r="E467" s="38"/>
      <c r="F467" s="39"/>
      <c r="G467" s="39"/>
      <c r="H467" s="38"/>
      <c r="I467" s="37"/>
      <c r="J467" s="38"/>
    </row>
    <row r="468" customFormat="false" ht="25.5" hidden="false" customHeight="true" outlineLevel="0" collapsed="false">
      <c r="A468" s="36"/>
      <c r="B468" s="37"/>
      <c r="C468" s="38"/>
      <c r="D468" s="38"/>
      <c r="E468" s="38"/>
      <c r="F468" s="39"/>
      <c r="G468" s="39"/>
      <c r="H468" s="38"/>
      <c r="I468" s="37"/>
      <c r="J468" s="38"/>
    </row>
    <row r="469" customFormat="false" ht="25.5" hidden="false" customHeight="true" outlineLevel="0" collapsed="false">
      <c r="A469" s="36"/>
      <c r="B469" s="37"/>
      <c r="C469" s="38"/>
      <c r="D469" s="38"/>
      <c r="E469" s="38"/>
      <c r="F469" s="39"/>
      <c r="G469" s="39"/>
      <c r="H469" s="38"/>
      <c r="I469" s="37"/>
      <c r="J469" s="38"/>
    </row>
    <row r="470" customFormat="false" ht="25.5" hidden="false" customHeight="true" outlineLevel="0" collapsed="false">
      <c r="A470" s="36"/>
      <c r="B470" s="37"/>
      <c r="C470" s="38"/>
      <c r="D470" s="38"/>
      <c r="E470" s="38"/>
      <c r="F470" s="39"/>
      <c r="G470" s="39"/>
      <c r="H470" s="38"/>
      <c r="I470" s="37"/>
      <c r="J470" s="38"/>
    </row>
    <row r="471" customFormat="false" ht="25.5" hidden="false" customHeight="true" outlineLevel="0" collapsed="false">
      <c r="A471" s="36"/>
      <c r="B471" s="37"/>
      <c r="C471" s="38"/>
      <c r="D471" s="38"/>
      <c r="E471" s="38"/>
      <c r="F471" s="39"/>
      <c r="G471" s="39"/>
      <c r="H471" s="38"/>
      <c r="I471" s="37"/>
      <c r="J471" s="38"/>
    </row>
    <row r="472" customFormat="false" ht="25.5" hidden="false" customHeight="true" outlineLevel="0" collapsed="false">
      <c r="A472" s="36"/>
      <c r="B472" s="37"/>
      <c r="C472" s="38"/>
      <c r="D472" s="38"/>
      <c r="E472" s="38"/>
      <c r="F472" s="39"/>
      <c r="G472" s="39"/>
      <c r="H472" s="38"/>
      <c r="I472" s="37"/>
      <c r="J472" s="38"/>
    </row>
    <row r="473" customFormat="false" ht="25.5" hidden="false" customHeight="true" outlineLevel="0" collapsed="false">
      <c r="A473" s="36"/>
      <c r="B473" s="37"/>
      <c r="C473" s="38"/>
      <c r="D473" s="38"/>
      <c r="E473" s="38"/>
      <c r="F473" s="39"/>
      <c r="G473" s="39"/>
      <c r="H473" s="38"/>
      <c r="I473" s="37"/>
      <c r="J473" s="38"/>
    </row>
    <row r="474" customFormat="false" ht="25.5" hidden="false" customHeight="true" outlineLevel="0" collapsed="false">
      <c r="A474" s="36"/>
      <c r="B474" s="37"/>
      <c r="C474" s="38"/>
      <c r="D474" s="38"/>
      <c r="E474" s="38"/>
      <c r="F474" s="39"/>
      <c r="G474" s="39"/>
      <c r="H474" s="38"/>
      <c r="I474" s="37"/>
      <c r="J474" s="38"/>
    </row>
    <row r="475" customFormat="false" ht="25.5" hidden="false" customHeight="true" outlineLevel="0" collapsed="false">
      <c r="A475" s="36"/>
      <c r="B475" s="37"/>
      <c r="C475" s="38"/>
      <c r="D475" s="38"/>
      <c r="E475" s="38"/>
      <c r="F475" s="39"/>
      <c r="G475" s="39"/>
      <c r="H475" s="38"/>
      <c r="I475" s="37"/>
      <c r="J475" s="38"/>
    </row>
    <row r="476" customFormat="false" ht="25.5" hidden="false" customHeight="true" outlineLevel="0" collapsed="false">
      <c r="A476" s="36"/>
      <c r="B476" s="37"/>
      <c r="C476" s="38"/>
      <c r="D476" s="38"/>
      <c r="E476" s="38"/>
      <c r="F476" s="39"/>
      <c r="G476" s="39"/>
      <c r="H476" s="38"/>
      <c r="I476" s="37"/>
      <c r="J476" s="38"/>
    </row>
    <row r="477" customFormat="false" ht="25.5" hidden="false" customHeight="true" outlineLevel="0" collapsed="false">
      <c r="A477" s="36"/>
      <c r="B477" s="37"/>
      <c r="C477" s="38"/>
      <c r="D477" s="38"/>
      <c r="E477" s="38"/>
      <c r="F477" s="39"/>
      <c r="G477" s="39"/>
      <c r="H477" s="38"/>
      <c r="I477" s="37"/>
      <c r="J477" s="38"/>
    </row>
    <row r="478" customFormat="false" ht="25.5" hidden="false" customHeight="true" outlineLevel="0" collapsed="false">
      <c r="A478" s="36"/>
      <c r="B478" s="37"/>
      <c r="C478" s="38"/>
      <c r="D478" s="38"/>
      <c r="E478" s="38"/>
      <c r="F478" s="39"/>
      <c r="G478" s="39"/>
      <c r="H478" s="38"/>
      <c r="I478" s="37"/>
      <c r="J478" s="38"/>
    </row>
    <row r="479" customFormat="false" ht="25.5" hidden="false" customHeight="true" outlineLevel="0" collapsed="false">
      <c r="A479" s="36"/>
      <c r="B479" s="37"/>
      <c r="C479" s="38"/>
      <c r="D479" s="38"/>
      <c r="E479" s="38"/>
      <c r="F479" s="39"/>
      <c r="G479" s="39"/>
      <c r="H479" s="38"/>
      <c r="I479" s="37"/>
      <c r="J479" s="38"/>
    </row>
    <row r="480" customFormat="false" ht="25.5" hidden="false" customHeight="true" outlineLevel="0" collapsed="false">
      <c r="A480" s="36"/>
      <c r="B480" s="37"/>
      <c r="C480" s="38"/>
      <c r="D480" s="38"/>
      <c r="E480" s="38"/>
      <c r="F480" s="39"/>
      <c r="G480" s="39"/>
      <c r="H480" s="38"/>
      <c r="I480" s="37"/>
      <c r="J480" s="38"/>
    </row>
    <row r="481" customFormat="false" ht="25.5" hidden="false" customHeight="true" outlineLevel="0" collapsed="false">
      <c r="A481" s="36"/>
      <c r="B481" s="37"/>
      <c r="C481" s="38"/>
      <c r="D481" s="38"/>
      <c r="E481" s="38"/>
      <c r="F481" s="39"/>
      <c r="G481" s="39"/>
      <c r="H481" s="38"/>
      <c r="I481" s="37"/>
      <c r="J481" s="38"/>
    </row>
    <row r="482" customFormat="false" ht="25.5" hidden="false" customHeight="true" outlineLevel="0" collapsed="false">
      <c r="A482" s="36"/>
      <c r="B482" s="37"/>
      <c r="C482" s="38"/>
      <c r="D482" s="38"/>
      <c r="E482" s="38"/>
      <c r="F482" s="39"/>
      <c r="G482" s="39"/>
      <c r="H482" s="38"/>
      <c r="I482" s="37"/>
      <c r="J482" s="38"/>
    </row>
    <row r="483" customFormat="false" ht="25.5" hidden="false" customHeight="true" outlineLevel="0" collapsed="false">
      <c r="A483" s="36"/>
      <c r="B483" s="37"/>
      <c r="C483" s="38"/>
      <c r="D483" s="38"/>
      <c r="E483" s="38"/>
      <c r="F483" s="39"/>
      <c r="G483" s="39"/>
      <c r="H483" s="38"/>
      <c r="I483" s="37"/>
      <c r="J483" s="38"/>
    </row>
    <row r="484" customFormat="false" ht="25.5" hidden="false" customHeight="true" outlineLevel="0" collapsed="false">
      <c r="A484" s="36"/>
      <c r="B484" s="37"/>
      <c r="C484" s="38"/>
      <c r="D484" s="38"/>
      <c r="E484" s="38"/>
      <c r="F484" s="39"/>
      <c r="G484" s="39"/>
      <c r="H484" s="38"/>
      <c r="I484" s="37"/>
      <c r="J484" s="38"/>
    </row>
    <row r="485" customFormat="false" ht="25.5" hidden="false" customHeight="true" outlineLevel="0" collapsed="false">
      <c r="A485" s="36"/>
      <c r="B485" s="37"/>
      <c r="C485" s="38"/>
      <c r="D485" s="38"/>
      <c r="E485" s="38"/>
      <c r="F485" s="39"/>
      <c r="G485" s="39"/>
      <c r="H485" s="38"/>
      <c r="I485" s="37"/>
      <c r="J485" s="38"/>
    </row>
    <row r="486" customFormat="false" ht="25.5" hidden="false" customHeight="true" outlineLevel="0" collapsed="false">
      <c r="A486" s="36"/>
      <c r="B486" s="37"/>
      <c r="C486" s="38"/>
      <c r="D486" s="38"/>
      <c r="E486" s="38"/>
      <c r="F486" s="39"/>
      <c r="G486" s="39"/>
      <c r="H486" s="38"/>
      <c r="I486" s="37"/>
      <c r="J486" s="38"/>
    </row>
    <row r="487" customFormat="false" ht="25.5" hidden="false" customHeight="true" outlineLevel="0" collapsed="false">
      <c r="A487" s="36"/>
      <c r="B487" s="37"/>
      <c r="C487" s="38"/>
      <c r="D487" s="38"/>
      <c r="E487" s="38"/>
      <c r="F487" s="39"/>
      <c r="G487" s="39"/>
      <c r="H487" s="38"/>
      <c r="I487" s="37"/>
      <c r="J487" s="38"/>
    </row>
    <row r="488" customFormat="false" ht="25.5" hidden="false" customHeight="true" outlineLevel="0" collapsed="false">
      <c r="A488" s="36"/>
      <c r="B488" s="37"/>
      <c r="C488" s="38"/>
      <c r="D488" s="38"/>
      <c r="E488" s="38"/>
      <c r="F488" s="39"/>
      <c r="G488" s="39"/>
      <c r="H488" s="38"/>
      <c r="I488" s="37"/>
      <c r="J488" s="38"/>
    </row>
    <row r="489" customFormat="false" ht="25.5" hidden="false" customHeight="true" outlineLevel="0" collapsed="false">
      <c r="A489" s="36"/>
      <c r="B489" s="37"/>
      <c r="C489" s="38"/>
      <c r="D489" s="38"/>
      <c r="E489" s="38"/>
      <c r="F489" s="39"/>
      <c r="G489" s="39"/>
      <c r="H489" s="38"/>
      <c r="I489" s="37"/>
      <c r="J489" s="38"/>
    </row>
    <row r="490" customFormat="false" ht="25.5" hidden="false" customHeight="true" outlineLevel="0" collapsed="false">
      <c r="A490" s="36"/>
      <c r="B490" s="37"/>
      <c r="C490" s="38"/>
      <c r="D490" s="38"/>
      <c r="E490" s="38"/>
      <c r="F490" s="39"/>
      <c r="G490" s="39"/>
      <c r="H490" s="38"/>
      <c r="I490" s="37"/>
      <c r="J490" s="38"/>
    </row>
    <row r="491" customFormat="false" ht="25.5" hidden="false" customHeight="true" outlineLevel="0" collapsed="false">
      <c r="A491" s="36"/>
      <c r="B491" s="37"/>
      <c r="C491" s="38"/>
      <c r="D491" s="38"/>
      <c r="E491" s="38"/>
      <c r="F491" s="39"/>
      <c r="G491" s="39"/>
      <c r="H491" s="38"/>
      <c r="I491" s="37"/>
      <c r="J491" s="38"/>
    </row>
    <row r="492" customFormat="false" ht="25.5" hidden="false" customHeight="true" outlineLevel="0" collapsed="false">
      <c r="A492" s="36"/>
      <c r="B492" s="37"/>
      <c r="C492" s="38"/>
      <c r="D492" s="38"/>
      <c r="E492" s="38"/>
      <c r="F492" s="39"/>
      <c r="G492" s="39"/>
      <c r="H492" s="38"/>
      <c r="I492" s="37"/>
      <c r="J492" s="38"/>
    </row>
    <row r="493" customFormat="false" ht="25.5" hidden="false" customHeight="true" outlineLevel="0" collapsed="false">
      <c r="A493" s="36"/>
      <c r="B493" s="37"/>
      <c r="C493" s="38"/>
      <c r="D493" s="38"/>
      <c r="E493" s="38"/>
      <c r="F493" s="39"/>
      <c r="G493" s="39"/>
      <c r="H493" s="38"/>
      <c r="I493" s="37"/>
      <c r="J493" s="38"/>
    </row>
    <row r="494" customFormat="false" ht="25.5" hidden="false" customHeight="true" outlineLevel="0" collapsed="false">
      <c r="A494" s="36"/>
      <c r="B494" s="37"/>
      <c r="C494" s="38"/>
      <c r="D494" s="38"/>
      <c r="E494" s="38"/>
      <c r="F494" s="39"/>
      <c r="G494" s="39"/>
      <c r="H494" s="38"/>
      <c r="I494" s="37"/>
      <c r="J494" s="38"/>
    </row>
    <row r="495" customFormat="false" ht="25.5" hidden="false" customHeight="true" outlineLevel="0" collapsed="false">
      <c r="A495" s="36"/>
      <c r="B495" s="37"/>
      <c r="C495" s="38"/>
      <c r="D495" s="38"/>
      <c r="E495" s="38"/>
      <c r="F495" s="39"/>
      <c r="G495" s="39"/>
      <c r="H495" s="38"/>
      <c r="I495" s="37"/>
      <c r="J495" s="38"/>
    </row>
    <row r="496" customFormat="false" ht="25.5" hidden="false" customHeight="true" outlineLevel="0" collapsed="false">
      <c r="A496" s="36"/>
      <c r="B496" s="37"/>
      <c r="C496" s="38"/>
      <c r="D496" s="38"/>
      <c r="E496" s="38"/>
      <c r="F496" s="39"/>
      <c r="G496" s="39"/>
      <c r="H496" s="38"/>
      <c r="I496" s="37"/>
      <c r="J496" s="38"/>
    </row>
    <row r="497" customFormat="false" ht="25.5" hidden="false" customHeight="true" outlineLevel="0" collapsed="false">
      <c r="A497" s="36"/>
      <c r="B497" s="37"/>
      <c r="C497" s="38"/>
      <c r="D497" s="38"/>
      <c r="E497" s="38"/>
      <c r="F497" s="39"/>
      <c r="G497" s="39"/>
      <c r="H497" s="38"/>
      <c r="I497" s="37"/>
      <c r="J497" s="38"/>
    </row>
    <row r="498" customFormat="false" ht="25.5" hidden="false" customHeight="true" outlineLevel="0" collapsed="false">
      <c r="A498" s="36"/>
      <c r="B498" s="37"/>
      <c r="C498" s="38"/>
      <c r="D498" s="38"/>
      <c r="E498" s="38"/>
      <c r="F498" s="39"/>
      <c r="G498" s="39"/>
      <c r="H498" s="38"/>
      <c r="I498" s="37"/>
      <c r="J498" s="38"/>
    </row>
    <row r="499" customFormat="false" ht="25.5" hidden="false" customHeight="true" outlineLevel="0" collapsed="false">
      <c r="A499" s="36"/>
      <c r="B499" s="37"/>
      <c r="C499" s="38"/>
      <c r="D499" s="38"/>
      <c r="E499" s="38"/>
      <c r="F499" s="39"/>
      <c r="G499" s="39"/>
      <c r="H499" s="38"/>
      <c r="I499" s="37"/>
      <c r="J499" s="38"/>
    </row>
    <row r="500" customFormat="false" ht="25.5" hidden="false" customHeight="true" outlineLevel="0" collapsed="false">
      <c r="A500" s="36"/>
      <c r="B500" s="37"/>
      <c r="C500" s="38"/>
      <c r="D500" s="38"/>
      <c r="E500" s="38"/>
      <c r="F500" s="39"/>
      <c r="G500" s="39"/>
      <c r="H500" s="38"/>
      <c r="I500" s="37"/>
      <c r="J500" s="38"/>
    </row>
    <row r="501" customFormat="false" ht="25.5" hidden="false" customHeight="true" outlineLevel="0" collapsed="false">
      <c r="A501" s="36"/>
      <c r="B501" s="37"/>
      <c r="C501" s="38"/>
      <c r="D501" s="38"/>
      <c r="E501" s="38"/>
      <c r="F501" s="39"/>
      <c r="G501" s="39"/>
      <c r="H501" s="38"/>
      <c r="I501" s="37"/>
      <c r="J501" s="38"/>
    </row>
    <row r="502" customFormat="false" ht="25.5" hidden="false" customHeight="true" outlineLevel="0" collapsed="false">
      <c r="A502" s="36"/>
      <c r="B502" s="37"/>
      <c r="C502" s="38"/>
      <c r="D502" s="38"/>
      <c r="E502" s="38"/>
      <c r="F502" s="39"/>
      <c r="G502" s="39"/>
      <c r="H502" s="38"/>
      <c r="I502" s="37"/>
      <c r="J502" s="38"/>
    </row>
    <row r="503" customFormat="false" ht="25.5" hidden="false" customHeight="true" outlineLevel="0" collapsed="false">
      <c r="A503" s="36"/>
      <c r="B503" s="37"/>
      <c r="C503" s="38"/>
      <c r="D503" s="38"/>
      <c r="E503" s="38"/>
      <c r="F503" s="39"/>
      <c r="G503" s="39"/>
      <c r="H503" s="38"/>
      <c r="I503" s="37"/>
      <c r="J503" s="38"/>
    </row>
    <row r="504" customFormat="false" ht="25.5" hidden="false" customHeight="true" outlineLevel="0" collapsed="false">
      <c r="A504" s="36"/>
      <c r="B504" s="37"/>
      <c r="C504" s="38"/>
      <c r="D504" s="38"/>
      <c r="E504" s="38"/>
      <c r="F504" s="39"/>
      <c r="G504" s="39"/>
      <c r="H504" s="38"/>
      <c r="I504" s="37"/>
      <c r="J504" s="38"/>
    </row>
    <row r="505" customFormat="false" ht="25.5" hidden="false" customHeight="true" outlineLevel="0" collapsed="false">
      <c r="A505" s="36"/>
      <c r="B505" s="37"/>
      <c r="C505" s="38"/>
      <c r="D505" s="38"/>
      <c r="E505" s="38"/>
      <c r="F505" s="39"/>
      <c r="G505" s="39"/>
      <c r="H505" s="38"/>
      <c r="I505" s="37"/>
      <c r="J505" s="38"/>
    </row>
    <row r="506" customFormat="false" ht="25.5" hidden="false" customHeight="true" outlineLevel="0" collapsed="false">
      <c r="A506" s="36"/>
      <c r="B506" s="37"/>
      <c r="C506" s="38"/>
      <c r="D506" s="38"/>
      <c r="E506" s="38"/>
      <c r="F506" s="39"/>
      <c r="G506" s="39"/>
      <c r="H506" s="38"/>
      <c r="I506" s="37"/>
      <c r="J506" s="38"/>
    </row>
    <row r="507" customFormat="false" ht="25.5" hidden="false" customHeight="true" outlineLevel="0" collapsed="false">
      <c r="A507" s="36"/>
      <c r="B507" s="37"/>
      <c r="C507" s="38"/>
      <c r="D507" s="38"/>
      <c r="E507" s="38"/>
      <c r="F507" s="39"/>
      <c r="G507" s="39"/>
      <c r="H507" s="38"/>
      <c r="I507" s="37"/>
      <c r="J507" s="38"/>
    </row>
    <row r="508" customFormat="false" ht="25.5" hidden="false" customHeight="true" outlineLevel="0" collapsed="false">
      <c r="A508" s="36"/>
      <c r="B508" s="37"/>
      <c r="C508" s="38"/>
      <c r="D508" s="38"/>
      <c r="E508" s="38"/>
      <c r="F508" s="39"/>
      <c r="G508" s="39"/>
      <c r="H508" s="38"/>
      <c r="I508" s="37"/>
      <c r="J508" s="38"/>
    </row>
    <row r="509" customFormat="false" ht="25.5" hidden="false" customHeight="true" outlineLevel="0" collapsed="false">
      <c r="A509" s="36"/>
      <c r="B509" s="37"/>
      <c r="C509" s="38"/>
      <c r="D509" s="38"/>
      <c r="E509" s="38"/>
      <c r="F509" s="39"/>
      <c r="G509" s="39"/>
      <c r="H509" s="38"/>
      <c r="I509" s="37"/>
      <c r="J509" s="38"/>
    </row>
    <row r="510" customFormat="false" ht="25.5" hidden="false" customHeight="true" outlineLevel="0" collapsed="false">
      <c r="A510" s="36"/>
      <c r="B510" s="37"/>
      <c r="C510" s="38"/>
      <c r="D510" s="38"/>
      <c r="E510" s="38"/>
      <c r="F510" s="39"/>
      <c r="G510" s="39"/>
      <c r="H510" s="38"/>
      <c r="I510" s="37"/>
      <c r="J510" s="38"/>
    </row>
    <row r="511" customFormat="false" ht="25.5" hidden="false" customHeight="true" outlineLevel="0" collapsed="false">
      <c r="A511" s="36"/>
      <c r="B511" s="37"/>
      <c r="C511" s="38"/>
      <c r="D511" s="38"/>
      <c r="E511" s="38"/>
      <c r="F511" s="39"/>
      <c r="G511" s="39"/>
      <c r="H511" s="38"/>
      <c r="I511" s="37"/>
      <c r="J511" s="38"/>
    </row>
    <row r="512" customFormat="false" ht="25.5" hidden="false" customHeight="true" outlineLevel="0" collapsed="false">
      <c r="A512" s="36"/>
      <c r="B512" s="37"/>
      <c r="C512" s="38"/>
      <c r="D512" s="38"/>
      <c r="E512" s="38"/>
      <c r="F512" s="39"/>
      <c r="G512" s="39"/>
      <c r="H512" s="38"/>
      <c r="I512" s="37"/>
      <c r="J512" s="38"/>
    </row>
    <row r="513" customFormat="false" ht="25.5" hidden="false" customHeight="true" outlineLevel="0" collapsed="false">
      <c r="A513" s="36"/>
      <c r="B513" s="37"/>
      <c r="C513" s="38"/>
      <c r="D513" s="38"/>
      <c r="E513" s="38"/>
      <c r="F513" s="39"/>
      <c r="G513" s="39"/>
      <c r="H513" s="38"/>
      <c r="I513" s="37"/>
      <c r="J513" s="38"/>
    </row>
    <row r="514" customFormat="false" ht="25.5" hidden="false" customHeight="true" outlineLevel="0" collapsed="false">
      <c r="A514" s="36"/>
      <c r="B514" s="37"/>
      <c r="C514" s="38"/>
      <c r="D514" s="38"/>
      <c r="E514" s="38"/>
      <c r="F514" s="39"/>
      <c r="G514" s="39"/>
      <c r="H514" s="38"/>
      <c r="I514" s="37"/>
      <c r="J514" s="38"/>
    </row>
    <row r="515" customFormat="false" ht="25.5" hidden="false" customHeight="true" outlineLevel="0" collapsed="false">
      <c r="A515" s="36"/>
      <c r="B515" s="37"/>
      <c r="C515" s="38"/>
      <c r="D515" s="38"/>
      <c r="E515" s="38"/>
      <c r="F515" s="39"/>
      <c r="G515" s="39"/>
      <c r="H515" s="38"/>
      <c r="I515" s="37"/>
      <c r="J515" s="38"/>
    </row>
    <row r="516" customFormat="false" ht="25.5" hidden="false" customHeight="true" outlineLevel="0" collapsed="false">
      <c r="A516" s="36"/>
      <c r="B516" s="37"/>
      <c r="C516" s="38"/>
      <c r="D516" s="38"/>
      <c r="E516" s="38"/>
      <c r="F516" s="39"/>
      <c r="G516" s="39"/>
      <c r="H516" s="38"/>
      <c r="I516" s="37"/>
      <c r="J516" s="38"/>
    </row>
    <row r="517" customFormat="false" ht="25.5" hidden="false" customHeight="true" outlineLevel="0" collapsed="false">
      <c r="A517" s="36"/>
      <c r="B517" s="37"/>
      <c r="C517" s="38"/>
      <c r="D517" s="38"/>
      <c r="E517" s="38"/>
      <c r="F517" s="39"/>
      <c r="G517" s="39"/>
      <c r="H517" s="38"/>
      <c r="I517" s="37"/>
      <c r="J517" s="38"/>
    </row>
    <row r="518" customFormat="false" ht="25.5" hidden="false" customHeight="true" outlineLevel="0" collapsed="false">
      <c r="A518" s="36"/>
      <c r="B518" s="37"/>
      <c r="C518" s="38"/>
      <c r="D518" s="38"/>
      <c r="E518" s="38"/>
      <c r="F518" s="39"/>
      <c r="G518" s="39"/>
      <c r="H518" s="38"/>
      <c r="I518" s="37"/>
      <c r="J518" s="38"/>
    </row>
    <row r="519" customFormat="false" ht="25.5" hidden="false" customHeight="true" outlineLevel="0" collapsed="false">
      <c r="A519" s="36"/>
      <c r="B519" s="37"/>
      <c r="C519" s="38"/>
      <c r="D519" s="38"/>
      <c r="E519" s="38"/>
      <c r="F519" s="39"/>
      <c r="G519" s="39"/>
      <c r="H519" s="38"/>
      <c r="I519" s="37"/>
      <c r="J519" s="38"/>
    </row>
    <row r="520" customFormat="false" ht="25.5" hidden="false" customHeight="true" outlineLevel="0" collapsed="false">
      <c r="A520" s="36"/>
      <c r="B520" s="37"/>
      <c r="C520" s="38"/>
      <c r="D520" s="38"/>
      <c r="E520" s="38"/>
      <c r="F520" s="39"/>
      <c r="G520" s="39"/>
      <c r="H520" s="38"/>
      <c r="I520" s="37"/>
      <c r="J520" s="38"/>
    </row>
    <row r="521" customFormat="false" ht="25.5" hidden="false" customHeight="true" outlineLevel="0" collapsed="false">
      <c r="A521" s="36"/>
      <c r="B521" s="37"/>
      <c r="C521" s="38"/>
      <c r="D521" s="38"/>
      <c r="E521" s="38"/>
      <c r="F521" s="39"/>
      <c r="G521" s="39"/>
      <c r="H521" s="38"/>
      <c r="I521" s="37"/>
      <c r="J521" s="38"/>
    </row>
    <row r="522" customFormat="false" ht="25.5" hidden="false" customHeight="true" outlineLevel="0" collapsed="false">
      <c r="A522" s="36"/>
      <c r="B522" s="37"/>
      <c r="C522" s="38"/>
      <c r="D522" s="38"/>
      <c r="E522" s="38"/>
      <c r="F522" s="39"/>
      <c r="G522" s="39"/>
      <c r="H522" s="38"/>
      <c r="I522" s="37"/>
      <c r="J522" s="38"/>
    </row>
    <row r="523" customFormat="false" ht="25.5" hidden="false" customHeight="true" outlineLevel="0" collapsed="false">
      <c r="A523" s="36"/>
      <c r="B523" s="37"/>
      <c r="C523" s="38"/>
      <c r="D523" s="38"/>
      <c r="E523" s="38"/>
      <c r="F523" s="39"/>
      <c r="G523" s="39"/>
      <c r="H523" s="38"/>
      <c r="I523" s="37"/>
      <c r="J523" s="38"/>
    </row>
    <row r="524" customFormat="false" ht="25.5" hidden="false" customHeight="true" outlineLevel="0" collapsed="false">
      <c r="A524" s="36"/>
      <c r="B524" s="37"/>
      <c r="C524" s="38"/>
      <c r="D524" s="38"/>
      <c r="E524" s="38"/>
      <c r="F524" s="39"/>
      <c r="G524" s="39"/>
      <c r="H524" s="38"/>
      <c r="I524" s="37"/>
      <c r="J524" s="38"/>
    </row>
    <row r="525" customFormat="false" ht="25.5" hidden="false" customHeight="true" outlineLevel="0" collapsed="false">
      <c r="A525" s="36"/>
      <c r="B525" s="37"/>
      <c r="C525" s="38"/>
      <c r="D525" s="38"/>
      <c r="E525" s="38"/>
      <c r="F525" s="39"/>
      <c r="G525" s="39"/>
      <c r="H525" s="38"/>
      <c r="I525" s="37"/>
      <c r="J525" s="38"/>
    </row>
    <row r="526" customFormat="false" ht="25.5" hidden="false" customHeight="true" outlineLevel="0" collapsed="false">
      <c r="A526" s="36"/>
      <c r="B526" s="37"/>
      <c r="C526" s="38"/>
      <c r="D526" s="38"/>
      <c r="E526" s="38"/>
      <c r="F526" s="39"/>
      <c r="G526" s="39"/>
      <c r="H526" s="38"/>
      <c r="I526" s="37"/>
      <c r="J526" s="38"/>
    </row>
    <row r="527" customFormat="false" ht="25.5" hidden="false" customHeight="true" outlineLevel="0" collapsed="false">
      <c r="A527" s="36"/>
      <c r="B527" s="37"/>
      <c r="C527" s="38"/>
      <c r="D527" s="38"/>
      <c r="E527" s="38"/>
      <c r="F527" s="39"/>
      <c r="G527" s="39"/>
      <c r="H527" s="38"/>
      <c r="I527" s="37"/>
      <c r="J527" s="38"/>
    </row>
    <row r="528" customFormat="false" ht="25.5" hidden="false" customHeight="true" outlineLevel="0" collapsed="false">
      <c r="A528" s="36"/>
      <c r="B528" s="37"/>
      <c r="C528" s="38"/>
      <c r="D528" s="38"/>
      <c r="E528" s="38"/>
      <c r="F528" s="39"/>
      <c r="G528" s="39"/>
      <c r="H528" s="38"/>
      <c r="I528" s="37"/>
      <c r="J528" s="38"/>
    </row>
    <row r="529" customFormat="false" ht="25.5" hidden="false" customHeight="true" outlineLevel="0" collapsed="false">
      <c r="A529" s="36"/>
      <c r="B529" s="37"/>
      <c r="C529" s="38"/>
      <c r="D529" s="38"/>
      <c r="E529" s="38"/>
      <c r="F529" s="39"/>
      <c r="G529" s="39"/>
      <c r="H529" s="38"/>
      <c r="I529" s="37"/>
      <c r="J529" s="38"/>
    </row>
    <row r="530" customFormat="false" ht="25.5" hidden="false" customHeight="true" outlineLevel="0" collapsed="false">
      <c r="A530" s="36"/>
      <c r="B530" s="37"/>
      <c r="C530" s="38"/>
      <c r="D530" s="38"/>
      <c r="E530" s="38"/>
      <c r="F530" s="39"/>
      <c r="G530" s="39"/>
      <c r="H530" s="38"/>
      <c r="I530" s="37"/>
      <c r="J530" s="38"/>
    </row>
    <row r="531" customFormat="false" ht="25.5" hidden="false" customHeight="true" outlineLevel="0" collapsed="false">
      <c r="A531" s="36"/>
      <c r="B531" s="37"/>
      <c r="C531" s="38"/>
      <c r="D531" s="38"/>
      <c r="E531" s="38"/>
      <c r="F531" s="39"/>
      <c r="G531" s="39"/>
      <c r="H531" s="38"/>
      <c r="I531" s="37"/>
      <c r="J531" s="38"/>
    </row>
    <row r="532" customFormat="false" ht="25.5" hidden="false" customHeight="true" outlineLevel="0" collapsed="false">
      <c r="A532" s="36"/>
      <c r="B532" s="37"/>
      <c r="C532" s="38"/>
      <c r="D532" s="38"/>
      <c r="E532" s="38"/>
      <c r="F532" s="39"/>
      <c r="G532" s="39"/>
      <c r="H532" s="38"/>
      <c r="I532" s="37"/>
      <c r="J532" s="38"/>
    </row>
    <row r="533" customFormat="false" ht="25.5" hidden="false" customHeight="true" outlineLevel="0" collapsed="false">
      <c r="A533" s="36"/>
      <c r="B533" s="37"/>
      <c r="C533" s="38"/>
      <c r="D533" s="38"/>
      <c r="E533" s="38"/>
      <c r="F533" s="39"/>
      <c r="G533" s="39"/>
      <c r="H533" s="38"/>
      <c r="I533" s="37"/>
      <c r="J533" s="38"/>
    </row>
    <row r="534" customFormat="false" ht="25.5" hidden="false" customHeight="true" outlineLevel="0" collapsed="false">
      <c r="A534" s="36"/>
      <c r="B534" s="37"/>
      <c r="C534" s="38"/>
      <c r="D534" s="38"/>
      <c r="E534" s="38"/>
      <c r="F534" s="39"/>
      <c r="G534" s="39"/>
      <c r="H534" s="38"/>
      <c r="I534" s="37"/>
      <c r="J534" s="38"/>
    </row>
    <row r="535" customFormat="false" ht="25.5" hidden="false" customHeight="true" outlineLevel="0" collapsed="false">
      <c r="A535" s="36"/>
      <c r="B535" s="37"/>
      <c r="C535" s="38"/>
      <c r="D535" s="38"/>
      <c r="E535" s="38"/>
      <c r="F535" s="39"/>
      <c r="G535" s="39"/>
      <c r="H535" s="38"/>
      <c r="I535" s="37"/>
      <c r="J535" s="38"/>
    </row>
    <row r="536" customFormat="false" ht="25.5" hidden="false" customHeight="true" outlineLevel="0" collapsed="false">
      <c r="A536" s="36"/>
      <c r="B536" s="37"/>
      <c r="C536" s="38"/>
      <c r="D536" s="38"/>
      <c r="E536" s="38"/>
      <c r="F536" s="39"/>
      <c r="G536" s="39"/>
      <c r="H536" s="38"/>
      <c r="I536" s="37"/>
      <c r="J536" s="38"/>
    </row>
    <row r="537" customFormat="false" ht="25.5" hidden="false" customHeight="true" outlineLevel="0" collapsed="false">
      <c r="A537" s="36"/>
      <c r="B537" s="37"/>
      <c r="C537" s="38"/>
      <c r="D537" s="38"/>
      <c r="E537" s="38"/>
      <c r="F537" s="39"/>
      <c r="G537" s="39"/>
      <c r="H537" s="38"/>
      <c r="I537" s="37"/>
      <c r="J537" s="38"/>
    </row>
    <row r="538" customFormat="false" ht="25.5" hidden="false" customHeight="true" outlineLevel="0" collapsed="false">
      <c r="A538" s="36"/>
      <c r="B538" s="37"/>
      <c r="C538" s="38"/>
      <c r="D538" s="38"/>
      <c r="E538" s="38"/>
      <c r="F538" s="39"/>
      <c r="G538" s="39"/>
      <c r="H538" s="38"/>
      <c r="I538" s="37"/>
      <c r="J538" s="38"/>
    </row>
    <row r="539" customFormat="false" ht="25.5" hidden="false" customHeight="true" outlineLevel="0" collapsed="false">
      <c r="A539" s="36"/>
      <c r="B539" s="37"/>
      <c r="C539" s="38"/>
      <c r="D539" s="38"/>
      <c r="E539" s="38"/>
      <c r="F539" s="39"/>
      <c r="G539" s="39"/>
      <c r="H539" s="38"/>
      <c r="I539" s="37"/>
      <c r="J539" s="38"/>
    </row>
    <row r="540" customFormat="false" ht="25.5" hidden="false" customHeight="true" outlineLevel="0" collapsed="false">
      <c r="A540" s="36"/>
      <c r="B540" s="37"/>
      <c r="C540" s="38"/>
      <c r="D540" s="38"/>
      <c r="E540" s="38"/>
      <c r="F540" s="39"/>
      <c r="G540" s="39"/>
      <c r="H540" s="38"/>
      <c r="I540" s="37"/>
      <c r="J540" s="38"/>
    </row>
    <row r="541" customFormat="false" ht="25.5" hidden="false" customHeight="true" outlineLevel="0" collapsed="false">
      <c r="A541" s="36"/>
      <c r="B541" s="37"/>
      <c r="C541" s="38"/>
      <c r="D541" s="38"/>
      <c r="E541" s="38"/>
      <c r="F541" s="39"/>
      <c r="G541" s="39"/>
      <c r="H541" s="38"/>
      <c r="I541" s="37"/>
      <c r="J541" s="38"/>
    </row>
    <row r="542" customFormat="false" ht="25.5" hidden="false" customHeight="true" outlineLevel="0" collapsed="false">
      <c r="A542" s="36"/>
      <c r="B542" s="37"/>
      <c r="C542" s="38"/>
      <c r="D542" s="38"/>
      <c r="E542" s="38"/>
      <c r="F542" s="39"/>
      <c r="G542" s="39"/>
      <c r="H542" s="38"/>
      <c r="I542" s="37"/>
      <c r="J542" s="38"/>
    </row>
    <row r="543" customFormat="false" ht="25.5" hidden="false" customHeight="true" outlineLevel="0" collapsed="false">
      <c r="A543" s="36"/>
      <c r="B543" s="37"/>
      <c r="C543" s="38"/>
      <c r="D543" s="38"/>
      <c r="E543" s="38"/>
      <c r="F543" s="39"/>
      <c r="G543" s="39"/>
      <c r="H543" s="38"/>
      <c r="I543" s="37"/>
      <c r="J543" s="38"/>
    </row>
    <row r="544" customFormat="false" ht="25.5" hidden="false" customHeight="true" outlineLevel="0" collapsed="false">
      <c r="A544" s="36"/>
      <c r="B544" s="37"/>
      <c r="C544" s="38"/>
      <c r="D544" s="38"/>
      <c r="E544" s="38"/>
      <c r="F544" s="39"/>
      <c r="G544" s="39"/>
      <c r="H544" s="38"/>
      <c r="I544" s="37"/>
      <c r="J544" s="38"/>
    </row>
    <row r="545" customFormat="false" ht="25.5" hidden="false" customHeight="true" outlineLevel="0" collapsed="false">
      <c r="A545" s="36"/>
      <c r="B545" s="37"/>
      <c r="C545" s="38"/>
      <c r="D545" s="38"/>
      <c r="E545" s="38"/>
      <c r="F545" s="39"/>
      <c r="G545" s="39"/>
      <c r="H545" s="38"/>
      <c r="I545" s="37"/>
      <c r="J545" s="38"/>
    </row>
    <row r="546" customFormat="false" ht="25.5" hidden="false" customHeight="true" outlineLevel="0" collapsed="false">
      <c r="A546" s="36"/>
      <c r="B546" s="37"/>
      <c r="C546" s="38"/>
      <c r="D546" s="38"/>
      <c r="E546" s="38"/>
      <c r="F546" s="39"/>
      <c r="G546" s="39"/>
      <c r="H546" s="38"/>
      <c r="I546" s="37"/>
      <c r="J546" s="38"/>
    </row>
    <row r="547" customFormat="false" ht="25.5" hidden="false" customHeight="true" outlineLevel="0" collapsed="false">
      <c r="A547" s="36"/>
      <c r="B547" s="37"/>
      <c r="C547" s="38"/>
      <c r="D547" s="38"/>
      <c r="E547" s="38"/>
      <c r="F547" s="39"/>
      <c r="G547" s="39"/>
      <c r="H547" s="38"/>
      <c r="I547" s="37"/>
      <c r="J547" s="38"/>
    </row>
    <row r="548" customFormat="false" ht="25.5" hidden="false" customHeight="true" outlineLevel="0" collapsed="false">
      <c r="A548" s="36"/>
      <c r="B548" s="37"/>
      <c r="C548" s="38"/>
      <c r="D548" s="38"/>
      <c r="E548" s="38"/>
      <c r="F548" s="39"/>
      <c r="G548" s="39"/>
      <c r="H548" s="38"/>
      <c r="I548" s="37"/>
      <c r="J548" s="38"/>
    </row>
    <row r="549" customFormat="false" ht="25.5" hidden="false" customHeight="true" outlineLevel="0" collapsed="false">
      <c r="A549" s="36"/>
      <c r="B549" s="37"/>
      <c r="C549" s="38"/>
      <c r="D549" s="38"/>
      <c r="E549" s="38"/>
      <c r="F549" s="39"/>
      <c r="G549" s="39"/>
      <c r="H549" s="38"/>
      <c r="I549" s="37"/>
      <c r="J549" s="38"/>
    </row>
    <row r="550" customFormat="false" ht="25.5" hidden="false" customHeight="true" outlineLevel="0" collapsed="false">
      <c r="A550" s="36"/>
      <c r="B550" s="37"/>
      <c r="C550" s="38"/>
      <c r="D550" s="38"/>
      <c r="E550" s="38"/>
      <c r="F550" s="39"/>
      <c r="G550" s="39"/>
      <c r="H550" s="38"/>
      <c r="I550" s="37"/>
      <c r="J550" s="38"/>
    </row>
    <row r="551" customFormat="false" ht="25.5" hidden="false" customHeight="true" outlineLevel="0" collapsed="false">
      <c r="A551" s="36"/>
      <c r="B551" s="37"/>
      <c r="C551" s="38"/>
      <c r="D551" s="38"/>
      <c r="E551" s="38"/>
      <c r="F551" s="39"/>
      <c r="G551" s="39"/>
      <c r="H551" s="38"/>
      <c r="I551" s="37"/>
      <c r="J551" s="38"/>
    </row>
    <row r="552" customFormat="false" ht="25.5" hidden="false" customHeight="true" outlineLevel="0" collapsed="false">
      <c r="A552" s="36"/>
      <c r="B552" s="37"/>
      <c r="C552" s="38"/>
      <c r="D552" s="38"/>
      <c r="E552" s="38"/>
      <c r="F552" s="39"/>
      <c r="G552" s="39"/>
      <c r="H552" s="38"/>
      <c r="I552" s="37"/>
      <c r="J552" s="38"/>
    </row>
    <row r="553" customFormat="false" ht="25.5" hidden="false" customHeight="true" outlineLevel="0" collapsed="false">
      <c r="A553" s="36"/>
      <c r="B553" s="37"/>
      <c r="C553" s="38"/>
      <c r="D553" s="38"/>
      <c r="E553" s="38"/>
      <c r="F553" s="39"/>
      <c r="G553" s="39"/>
      <c r="H553" s="38"/>
      <c r="I553" s="37"/>
      <c r="J553" s="38"/>
    </row>
    <row r="554" customFormat="false" ht="25.5" hidden="false" customHeight="true" outlineLevel="0" collapsed="false">
      <c r="A554" s="36"/>
      <c r="B554" s="37"/>
      <c r="C554" s="38"/>
      <c r="D554" s="38"/>
      <c r="E554" s="38"/>
      <c r="F554" s="39"/>
      <c r="G554" s="39"/>
      <c r="H554" s="38"/>
      <c r="I554" s="37"/>
      <c r="J554" s="38"/>
    </row>
    <row r="555" customFormat="false" ht="25.5" hidden="false" customHeight="true" outlineLevel="0" collapsed="false">
      <c r="A555" s="36"/>
      <c r="B555" s="37"/>
      <c r="C555" s="38"/>
      <c r="D555" s="38"/>
      <c r="E555" s="38"/>
      <c r="F555" s="39"/>
      <c r="G555" s="39"/>
      <c r="H555" s="38"/>
      <c r="I555" s="37"/>
      <c r="J555" s="38"/>
    </row>
    <row r="556" customFormat="false" ht="25.5" hidden="false" customHeight="true" outlineLevel="0" collapsed="false">
      <c r="A556" s="36"/>
      <c r="B556" s="37"/>
      <c r="C556" s="38"/>
      <c r="D556" s="38"/>
      <c r="E556" s="38"/>
      <c r="F556" s="39"/>
      <c r="G556" s="39"/>
      <c r="H556" s="38"/>
      <c r="I556" s="37"/>
      <c r="J556" s="38"/>
    </row>
    <row r="557" customFormat="false" ht="25.5" hidden="false" customHeight="true" outlineLevel="0" collapsed="false">
      <c r="A557" s="36"/>
      <c r="B557" s="37"/>
      <c r="C557" s="38"/>
      <c r="D557" s="38"/>
      <c r="E557" s="38"/>
      <c r="F557" s="39"/>
      <c r="G557" s="39"/>
      <c r="H557" s="38"/>
      <c r="I557" s="37"/>
      <c r="J557" s="38"/>
    </row>
    <row r="558" customFormat="false" ht="25.5" hidden="false" customHeight="true" outlineLevel="0" collapsed="false">
      <c r="A558" s="36"/>
      <c r="B558" s="37"/>
      <c r="C558" s="38"/>
      <c r="D558" s="38"/>
      <c r="E558" s="38"/>
      <c r="F558" s="39"/>
      <c r="G558" s="39"/>
      <c r="H558" s="38"/>
      <c r="I558" s="37"/>
      <c r="J558" s="38"/>
    </row>
    <row r="559" customFormat="false" ht="25.5" hidden="false" customHeight="true" outlineLevel="0" collapsed="false">
      <c r="A559" s="36"/>
      <c r="B559" s="37"/>
      <c r="C559" s="38"/>
      <c r="D559" s="38"/>
      <c r="E559" s="38"/>
      <c r="F559" s="39"/>
      <c r="G559" s="39"/>
      <c r="H559" s="38"/>
      <c r="I559" s="37"/>
      <c r="J559" s="38"/>
    </row>
    <row r="560" customFormat="false" ht="25.5" hidden="false" customHeight="true" outlineLevel="0" collapsed="false">
      <c r="A560" s="36"/>
      <c r="B560" s="37"/>
      <c r="C560" s="38"/>
      <c r="D560" s="38"/>
      <c r="E560" s="38"/>
      <c r="F560" s="39"/>
      <c r="G560" s="39"/>
      <c r="H560" s="38"/>
      <c r="I560" s="37"/>
      <c r="J560" s="38"/>
    </row>
    <row r="561" customFormat="false" ht="25.5" hidden="false" customHeight="true" outlineLevel="0" collapsed="false">
      <c r="A561" s="36"/>
      <c r="B561" s="37"/>
      <c r="C561" s="38"/>
      <c r="D561" s="38"/>
      <c r="E561" s="38"/>
      <c r="F561" s="39"/>
      <c r="G561" s="39"/>
      <c r="H561" s="38"/>
      <c r="I561" s="37"/>
      <c r="J561" s="38"/>
    </row>
    <row r="562" customFormat="false" ht="25.5" hidden="false" customHeight="true" outlineLevel="0" collapsed="false">
      <c r="A562" s="36"/>
      <c r="B562" s="37"/>
      <c r="C562" s="38"/>
      <c r="D562" s="38"/>
      <c r="E562" s="38"/>
      <c r="F562" s="39"/>
      <c r="G562" s="39"/>
      <c r="H562" s="38"/>
      <c r="I562" s="37"/>
      <c r="J562" s="38"/>
    </row>
    <row r="563" customFormat="false" ht="25.5" hidden="false" customHeight="true" outlineLevel="0" collapsed="false">
      <c r="A563" s="36"/>
      <c r="B563" s="37"/>
      <c r="C563" s="38"/>
      <c r="D563" s="38"/>
      <c r="E563" s="38"/>
      <c r="F563" s="39"/>
      <c r="G563" s="39"/>
      <c r="H563" s="38"/>
      <c r="I563" s="37"/>
      <c r="J563" s="38"/>
    </row>
    <row r="564" customFormat="false" ht="25.5" hidden="false" customHeight="true" outlineLevel="0" collapsed="false">
      <c r="A564" s="36"/>
      <c r="B564" s="37"/>
      <c r="C564" s="38"/>
      <c r="D564" s="38"/>
      <c r="E564" s="38"/>
      <c r="F564" s="39"/>
      <c r="G564" s="39"/>
      <c r="H564" s="38"/>
      <c r="I564" s="37"/>
      <c r="J564" s="38"/>
    </row>
    <row r="565" customFormat="false" ht="25.5" hidden="false" customHeight="true" outlineLevel="0" collapsed="false">
      <c r="A565" s="36"/>
      <c r="B565" s="37"/>
      <c r="C565" s="38"/>
      <c r="D565" s="38"/>
      <c r="E565" s="38"/>
      <c r="F565" s="39"/>
      <c r="G565" s="39"/>
      <c r="H565" s="38"/>
      <c r="I565" s="37"/>
      <c r="J565" s="38"/>
    </row>
    <row r="566" customFormat="false" ht="25.5" hidden="false" customHeight="true" outlineLevel="0" collapsed="false">
      <c r="A566" s="36"/>
      <c r="B566" s="37"/>
      <c r="C566" s="38"/>
      <c r="D566" s="38"/>
      <c r="E566" s="38"/>
      <c r="F566" s="39"/>
      <c r="G566" s="39"/>
      <c r="H566" s="38"/>
      <c r="I566" s="37"/>
      <c r="J566" s="38"/>
    </row>
    <row r="567" customFormat="false" ht="25.5" hidden="false" customHeight="true" outlineLevel="0" collapsed="false">
      <c r="A567" s="36"/>
      <c r="B567" s="37"/>
      <c r="C567" s="38"/>
      <c r="D567" s="38"/>
      <c r="E567" s="38"/>
      <c r="F567" s="39"/>
      <c r="G567" s="39"/>
      <c r="H567" s="38"/>
      <c r="I567" s="37"/>
      <c r="J567" s="38"/>
    </row>
    <row r="568" customFormat="false" ht="25.5" hidden="false" customHeight="true" outlineLevel="0" collapsed="false">
      <c r="A568" s="36"/>
      <c r="B568" s="37"/>
      <c r="C568" s="38"/>
      <c r="D568" s="38"/>
      <c r="E568" s="38"/>
      <c r="F568" s="39"/>
      <c r="G568" s="39"/>
      <c r="H568" s="38"/>
      <c r="I568" s="37"/>
      <c r="J568" s="38"/>
    </row>
    <row r="569" customFormat="false" ht="25.5" hidden="false" customHeight="true" outlineLevel="0" collapsed="false">
      <c r="A569" s="36"/>
      <c r="B569" s="37"/>
      <c r="C569" s="38"/>
      <c r="D569" s="38"/>
      <c r="E569" s="38"/>
      <c r="F569" s="39"/>
      <c r="G569" s="39"/>
      <c r="H569" s="38"/>
      <c r="I569" s="37"/>
      <c r="J569" s="38"/>
    </row>
    <row r="570" customFormat="false" ht="25.5" hidden="false" customHeight="true" outlineLevel="0" collapsed="false">
      <c r="A570" s="36"/>
      <c r="B570" s="37"/>
      <c r="C570" s="38"/>
      <c r="D570" s="38"/>
      <c r="E570" s="38"/>
      <c r="F570" s="39"/>
      <c r="G570" s="39"/>
      <c r="H570" s="38"/>
      <c r="I570" s="37"/>
      <c r="J570" s="38"/>
    </row>
    <row r="571" customFormat="false" ht="25.5" hidden="false" customHeight="true" outlineLevel="0" collapsed="false">
      <c r="A571" s="36"/>
      <c r="B571" s="37"/>
      <c r="C571" s="38"/>
      <c r="D571" s="38"/>
      <c r="E571" s="38"/>
      <c r="F571" s="39"/>
      <c r="G571" s="39"/>
      <c r="H571" s="38"/>
      <c r="I571" s="37"/>
      <c r="J571" s="38"/>
    </row>
    <row r="572" customFormat="false" ht="25.5" hidden="false" customHeight="true" outlineLevel="0" collapsed="false">
      <c r="A572" s="36"/>
      <c r="B572" s="37"/>
      <c r="C572" s="38"/>
      <c r="D572" s="38"/>
      <c r="E572" s="38"/>
      <c r="F572" s="39"/>
      <c r="G572" s="39"/>
      <c r="H572" s="38"/>
      <c r="I572" s="37"/>
      <c r="J572" s="38"/>
    </row>
    <row r="573" customFormat="false" ht="25.5" hidden="false" customHeight="true" outlineLevel="0" collapsed="false">
      <c r="A573" s="36"/>
      <c r="B573" s="37"/>
      <c r="C573" s="38"/>
      <c r="D573" s="38"/>
      <c r="E573" s="38"/>
      <c r="F573" s="39"/>
      <c r="G573" s="39"/>
      <c r="H573" s="38"/>
      <c r="I573" s="37"/>
      <c r="J573" s="38"/>
    </row>
    <row r="574" customFormat="false" ht="25.5" hidden="false" customHeight="true" outlineLevel="0" collapsed="false">
      <c r="A574" s="36"/>
      <c r="B574" s="37"/>
      <c r="C574" s="38"/>
      <c r="D574" s="38"/>
      <c r="E574" s="38"/>
      <c r="F574" s="39"/>
      <c r="G574" s="39"/>
      <c r="H574" s="38"/>
      <c r="I574" s="37"/>
      <c r="J574" s="38"/>
    </row>
    <row r="575" customFormat="false" ht="25.5" hidden="false" customHeight="true" outlineLevel="0" collapsed="false">
      <c r="A575" s="36"/>
      <c r="B575" s="37"/>
      <c r="C575" s="38"/>
      <c r="D575" s="38"/>
      <c r="E575" s="38"/>
      <c r="F575" s="39"/>
      <c r="G575" s="39"/>
      <c r="H575" s="38"/>
      <c r="I575" s="37"/>
      <c r="J575" s="38"/>
    </row>
    <row r="576" customFormat="false" ht="25.5" hidden="false" customHeight="true" outlineLevel="0" collapsed="false">
      <c r="A576" s="36"/>
      <c r="B576" s="37"/>
      <c r="C576" s="38"/>
      <c r="D576" s="38"/>
      <c r="E576" s="38"/>
      <c r="F576" s="39"/>
      <c r="G576" s="39"/>
      <c r="H576" s="38"/>
      <c r="I576" s="37"/>
      <c r="J576" s="38"/>
    </row>
    <row r="577" customFormat="false" ht="25.5" hidden="false" customHeight="true" outlineLevel="0" collapsed="false">
      <c r="A577" s="36"/>
      <c r="B577" s="37"/>
      <c r="C577" s="38"/>
      <c r="D577" s="38"/>
      <c r="E577" s="38"/>
      <c r="F577" s="39"/>
      <c r="G577" s="39"/>
      <c r="H577" s="38"/>
      <c r="I577" s="37"/>
      <c r="J577" s="38"/>
    </row>
    <row r="578" customFormat="false" ht="25.5" hidden="false" customHeight="true" outlineLevel="0" collapsed="false">
      <c r="A578" s="36"/>
      <c r="B578" s="37"/>
      <c r="C578" s="38"/>
      <c r="D578" s="38"/>
      <c r="E578" s="38"/>
      <c r="F578" s="39"/>
      <c r="G578" s="39"/>
      <c r="H578" s="38"/>
      <c r="I578" s="37"/>
      <c r="J578" s="38"/>
    </row>
    <row r="579" customFormat="false" ht="25.5" hidden="false" customHeight="true" outlineLevel="0" collapsed="false">
      <c r="A579" s="36"/>
      <c r="B579" s="37"/>
      <c r="C579" s="38"/>
      <c r="D579" s="38"/>
      <c r="E579" s="38"/>
      <c r="F579" s="39"/>
      <c r="G579" s="39"/>
      <c r="H579" s="38"/>
      <c r="I579" s="37"/>
      <c r="J579" s="38"/>
    </row>
    <row r="580" customFormat="false" ht="25.5" hidden="false" customHeight="true" outlineLevel="0" collapsed="false">
      <c r="A580" s="36"/>
      <c r="B580" s="37"/>
      <c r="C580" s="38"/>
      <c r="D580" s="38"/>
      <c r="E580" s="38"/>
      <c r="F580" s="39"/>
      <c r="G580" s="39"/>
      <c r="H580" s="38"/>
      <c r="I580" s="37"/>
      <c r="J580" s="38"/>
    </row>
    <row r="581" customFormat="false" ht="25.5" hidden="false" customHeight="true" outlineLevel="0" collapsed="false">
      <c r="A581" s="36"/>
      <c r="B581" s="37"/>
      <c r="C581" s="38"/>
      <c r="D581" s="38"/>
      <c r="E581" s="38"/>
      <c r="F581" s="39"/>
      <c r="G581" s="39"/>
      <c r="H581" s="38"/>
      <c r="I581" s="37"/>
      <c r="J581" s="38"/>
    </row>
    <row r="582" customFormat="false" ht="25.5" hidden="false" customHeight="true" outlineLevel="0" collapsed="false">
      <c r="A582" s="36"/>
      <c r="B582" s="37"/>
      <c r="C582" s="38"/>
      <c r="D582" s="38"/>
      <c r="E582" s="38"/>
      <c r="F582" s="39"/>
      <c r="G582" s="39"/>
      <c r="H582" s="38"/>
      <c r="I582" s="37"/>
      <c r="J582" s="38"/>
    </row>
    <row r="583" customFormat="false" ht="25.5" hidden="false" customHeight="true" outlineLevel="0" collapsed="false">
      <c r="A583" s="36"/>
      <c r="B583" s="37"/>
      <c r="C583" s="38"/>
      <c r="D583" s="38"/>
      <c r="E583" s="38"/>
      <c r="F583" s="39"/>
      <c r="G583" s="39"/>
      <c r="H583" s="38"/>
      <c r="I583" s="37"/>
      <c r="J583" s="38"/>
    </row>
    <row r="584" customFormat="false" ht="25.5" hidden="false" customHeight="true" outlineLevel="0" collapsed="false">
      <c r="A584" s="36"/>
      <c r="B584" s="37"/>
      <c r="C584" s="38"/>
      <c r="D584" s="38"/>
      <c r="E584" s="38"/>
      <c r="F584" s="39"/>
      <c r="G584" s="39"/>
      <c r="H584" s="38"/>
      <c r="I584" s="37"/>
      <c r="J584" s="38"/>
    </row>
    <row r="585" customFormat="false" ht="25.5" hidden="false" customHeight="true" outlineLevel="0" collapsed="false">
      <c r="A585" s="36"/>
      <c r="B585" s="37"/>
      <c r="C585" s="38"/>
      <c r="D585" s="38"/>
      <c r="E585" s="38"/>
      <c r="F585" s="39"/>
      <c r="G585" s="39"/>
      <c r="H585" s="38"/>
      <c r="I585" s="37"/>
      <c r="J585" s="38"/>
    </row>
    <row r="586" customFormat="false" ht="25.5" hidden="false" customHeight="true" outlineLevel="0" collapsed="false">
      <c r="A586" s="36"/>
      <c r="B586" s="37"/>
      <c r="C586" s="38"/>
      <c r="D586" s="38"/>
      <c r="E586" s="38"/>
      <c r="F586" s="39"/>
      <c r="G586" s="39"/>
      <c r="H586" s="38"/>
      <c r="I586" s="37"/>
      <c r="J586" s="38"/>
    </row>
    <row r="587" customFormat="false" ht="25.5" hidden="false" customHeight="true" outlineLevel="0" collapsed="false">
      <c r="A587" s="36"/>
      <c r="B587" s="37"/>
      <c r="C587" s="38"/>
      <c r="D587" s="38"/>
      <c r="E587" s="38"/>
      <c r="F587" s="39"/>
      <c r="G587" s="39"/>
      <c r="H587" s="38"/>
      <c r="I587" s="37"/>
      <c r="J587" s="38"/>
    </row>
    <row r="588" customFormat="false" ht="25.5" hidden="false" customHeight="true" outlineLevel="0" collapsed="false">
      <c r="A588" s="36"/>
      <c r="B588" s="37"/>
      <c r="C588" s="38"/>
      <c r="D588" s="38"/>
      <c r="E588" s="38"/>
      <c r="F588" s="39"/>
      <c r="G588" s="39"/>
      <c r="H588" s="38"/>
      <c r="I588" s="37"/>
      <c r="J588" s="38"/>
    </row>
    <row r="589" customFormat="false" ht="25.5" hidden="false" customHeight="true" outlineLevel="0" collapsed="false">
      <c r="A589" s="36"/>
      <c r="B589" s="37"/>
      <c r="C589" s="38"/>
      <c r="D589" s="38"/>
      <c r="E589" s="38"/>
      <c r="F589" s="39"/>
      <c r="G589" s="39"/>
      <c r="H589" s="38"/>
      <c r="I589" s="37"/>
      <c r="J589" s="38"/>
    </row>
    <row r="590" customFormat="false" ht="25.5" hidden="false" customHeight="true" outlineLevel="0" collapsed="false">
      <c r="A590" s="36"/>
      <c r="B590" s="37"/>
      <c r="C590" s="38"/>
      <c r="D590" s="38"/>
      <c r="E590" s="38"/>
      <c r="F590" s="39"/>
      <c r="G590" s="39"/>
      <c r="H590" s="38"/>
      <c r="I590" s="37"/>
      <c r="J590" s="38"/>
    </row>
    <row r="591" customFormat="false" ht="25.5" hidden="false" customHeight="true" outlineLevel="0" collapsed="false">
      <c r="A591" s="36"/>
      <c r="B591" s="37"/>
      <c r="C591" s="38"/>
      <c r="D591" s="38"/>
      <c r="E591" s="38"/>
      <c r="F591" s="39"/>
      <c r="G591" s="39"/>
      <c r="H591" s="38"/>
      <c r="I591" s="37"/>
      <c r="J591" s="38"/>
    </row>
    <row r="592" customFormat="false" ht="25.5" hidden="false" customHeight="true" outlineLevel="0" collapsed="false">
      <c r="A592" s="36"/>
      <c r="B592" s="37"/>
      <c r="C592" s="38"/>
      <c r="D592" s="38"/>
      <c r="E592" s="38"/>
      <c r="F592" s="39"/>
      <c r="G592" s="39"/>
      <c r="H592" s="38"/>
      <c r="I592" s="37"/>
      <c r="J592" s="38"/>
    </row>
    <row r="593" customFormat="false" ht="25.5" hidden="false" customHeight="true" outlineLevel="0" collapsed="false">
      <c r="A593" s="36"/>
      <c r="B593" s="37"/>
      <c r="C593" s="38"/>
      <c r="D593" s="38"/>
      <c r="E593" s="38"/>
      <c r="F593" s="39"/>
      <c r="G593" s="39"/>
      <c r="H593" s="38"/>
      <c r="I593" s="37"/>
      <c r="J593" s="38"/>
    </row>
    <row r="594" customFormat="false" ht="25.5" hidden="false" customHeight="true" outlineLevel="0" collapsed="false">
      <c r="A594" s="36"/>
      <c r="B594" s="37"/>
      <c r="C594" s="38"/>
      <c r="D594" s="38"/>
      <c r="E594" s="38"/>
      <c r="F594" s="39"/>
      <c r="G594" s="39"/>
      <c r="H594" s="38"/>
      <c r="I594" s="37"/>
      <c r="J594" s="38"/>
    </row>
    <row r="595" customFormat="false" ht="25.5" hidden="false" customHeight="true" outlineLevel="0" collapsed="false">
      <c r="A595" s="36"/>
      <c r="B595" s="37"/>
      <c r="C595" s="38"/>
      <c r="D595" s="38"/>
      <c r="E595" s="38"/>
      <c r="F595" s="39"/>
      <c r="G595" s="39"/>
      <c r="H595" s="38"/>
      <c r="I595" s="37"/>
      <c r="J595" s="38"/>
    </row>
    <row r="596" customFormat="false" ht="25.5" hidden="false" customHeight="true" outlineLevel="0" collapsed="false">
      <c r="A596" s="36"/>
      <c r="B596" s="37"/>
      <c r="C596" s="38"/>
      <c r="D596" s="38"/>
      <c r="E596" s="38"/>
      <c r="F596" s="39"/>
      <c r="G596" s="39"/>
      <c r="H596" s="38"/>
      <c r="I596" s="37"/>
      <c r="J596" s="38"/>
    </row>
    <row r="597" customFormat="false" ht="25.5" hidden="false" customHeight="true" outlineLevel="0" collapsed="false">
      <c r="A597" s="36"/>
      <c r="B597" s="37"/>
      <c r="C597" s="38"/>
      <c r="D597" s="38"/>
      <c r="E597" s="38"/>
      <c r="F597" s="39"/>
      <c r="G597" s="39"/>
      <c r="H597" s="38"/>
      <c r="I597" s="37"/>
      <c r="J597" s="38"/>
    </row>
    <row r="598" customFormat="false" ht="25.5" hidden="false" customHeight="true" outlineLevel="0" collapsed="false">
      <c r="A598" s="36"/>
      <c r="B598" s="37"/>
      <c r="C598" s="38"/>
      <c r="D598" s="38"/>
      <c r="E598" s="38"/>
      <c r="F598" s="39"/>
      <c r="G598" s="39"/>
      <c r="H598" s="38"/>
      <c r="I598" s="37"/>
      <c r="J598" s="38"/>
    </row>
    <row r="599" customFormat="false" ht="25.5" hidden="false" customHeight="true" outlineLevel="0" collapsed="false">
      <c r="A599" s="36"/>
      <c r="B599" s="37"/>
      <c r="C599" s="38"/>
      <c r="D599" s="38"/>
      <c r="E599" s="38"/>
      <c r="F599" s="39"/>
      <c r="G599" s="39"/>
      <c r="H599" s="38"/>
      <c r="I599" s="37"/>
      <c r="J599" s="38"/>
    </row>
    <row r="600" customFormat="false" ht="25.5" hidden="false" customHeight="true" outlineLevel="0" collapsed="false">
      <c r="A600" s="36"/>
      <c r="B600" s="37"/>
      <c r="C600" s="38"/>
      <c r="D600" s="38"/>
      <c r="E600" s="38"/>
      <c r="F600" s="39"/>
      <c r="G600" s="39"/>
      <c r="H600" s="38"/>
      <c r="I600" s="37"/>
      <c r="J600" s="38"/>
    </row>
    <row r="601" customFormat="false" ht="25.5" hidden="false" customHeight="true" outlineLevel="0" collapsed="false">
      <c r="A601" s="36"/>
      <c r="B601" s="37"/>
      <c r="C601" s="38"/>
      <c r="D601" s="38"/>
      <c r="E601" s="38"/>
      <c r="F601" s="39"/>
      <c r="G601" s="39"/>
      <c r="H601" s="38"/>
      <c r="I601" s="37"/>
      <c r="J601" s="38"/>
    </row>
    <row r="602" customFormat="false" ht="25.5" hidden="false" customHeight="true" outlineLevel="0" collapsed="false">
      <c r="A602" s="36"/>
      <c r="B602" s="37"/>
      <c r="C602" s="38"/>
      <c r="D602" s="38"/>
      <c r="E602" s="38"/>
      <c r="F602" s="39"/>
      <c r="G602" s="39"/>
      <c r="H602" s="38"/>
      <c r="I602" s="37"/>
      <c r="J602" s="38"/>
    </row>
    <row r="603" customFormat="false" ht="25.5" hidden="false" customHeight="true" outlineLevel="0" collapsed="false">
      <c r="A603" s="36"/>
      <c r="B603" s="37"/>
      <c r="C603" s="38"/>
      <c r="D603" s="38"/>
      <c r="E603" s="38"/>
      <c r="F603" s="39"/>
      <c r="G603" s="39"/>
      <c r="H603" s="38"/>
      <c r="I603" s="37"/>
      <c r="J603" s="38"/>
    </row>
    <row r="604" customFormat="false" ht="25.5" hidden="false" customHeight="true" outlineLevel="0" collapsed="false">
      <c r="A604" s="36"/>
      <c r="B604" s="37"/>
      <c r="C604" s="38"/>
      <c r="D604" s="38"/>
      <c r="E604" s="38"/>
      <c r="F604" s="39"/>
      <c r="G604" s="39"/>
      <c r="H604" s="38"/>
      <c r="I604" s="37"/>
      <c r="J604" s="38"/>
    </row>
    <row r="605" customFormat="false" ht="25.5" hidden="false" customHeight="true" outlineLevel="0" collapsed="false">
      <c r="A605" s="36"/>
      <c r="B605" s="37"/>
      <c r="C605" s="38"/>
      <c r="D605" s="38"/>
      <c r="E605" s="38"/>
      <c r="F605" s="39"/>
      <c r="G605" s="39"/>
      <c r="H605" s="38"/>
      <c r="I605" s="37"/>
      <c r="J605" s="38"/>
    </row>
    <row r="606" customFormat="false" ht="25.5" hidden="false" customHeight="true" outlineLevel="0" collapsed="false">
      <c r="A606" s="36"/>
      <c r="B606" s="37"/>
      <c r="C606" s="38"/>
      <c r="D606" s="38"/>
      <c r="E606" s="38"/>
      <c r="F606" s="39"/>
      <c r="G606" s="39"/>
      <c r="H606" s="38"/>
      <c r="I606" s="37"/>
      <c r="J606" s="38"/>
    </row>
    <row r="607" customFormat="false" ht="25.5" hidden="false" customHeight="true" outlineLevel="0" collapsed="false">
      <c r="A607" s="36"/>
      <c r="B607" s="37"/>
      <c r="C607" s="38"/>
      <c r="D607" s="38"/>
      <c r="E607" s="38"/>
      <c r="F607" s="39"/>
      <c r="G607" s="39"/>
      <c r="H607" s="38"/>
      <c r="I607" s="37"/>
      <c r="J607" s="38"/>
    </row>
    <row r="608" customFormat="false" ht="25.5" hidden="false" customHeight="true" outlineLevel="0" collapsed="false">
      <c r="A608" s="36"/>
      <c r="B608" s="37"/>
      <c r="C608" s="38"/>
      <c r="D608" s="38"/>
      <c r="E608" s="38"/>
      <c r="F608" s="39"/>
      <c r="G608" s="39"/>
      <c r="H608" s="38"/>
      <c r="I608" s="37"/>
      <c r="J608" s="38"/>
    </row>
    <row r="609" customFormat="false" ht="25.5" hidden="false" customHeight="true" outlineLevel="0" collapsed="false">
      <c r="A609" s="36"/>
      <c r="B609" s="37"/>
      <c r="C609" s="38"/>
      <c r="D609" s="38"/>
      <c r="E609" s="38"/>
      <c r="F609" s="39"/>
      <c r="G609" s="39"/>
      <c r="H609" s="38"/>
      <c r="I609" s="37"/>
      <c r="J609" s="38"/>
    </row>
    <row r="610" customFormat="false" ht="25.5" hidden="false" customHeight="true" outlineLevel="0" collapsed="false">
      <c r="A610" s="36"/>
      <c r="B610" s="37"/>
      <c r="C610" s="38"/>
      <c r="D610" s="38"/>
      <c r="E610" s="38"/>
      <c r="F610" s="39"/>
      <c r="G610" s="39"/>
      <c r="H610" s="38"/>
      <c r="I610" s="37"/>
      <c r="J610" s="38"/>
    </row>
    <row r="611" customFormat="false" ht="25.5" hidden="false" customHeight="true" outlineLevel="0" collapsed="false">
      <c r="A611" s="36"/>
      <c r="B611" s="37"/>
      <c r="C611" s="38"/>
      <c r="D611" s="38"/>
      <c r="E611" s="38"/>
      <c r="F611" s="39"/>
      <c r="G611" s="39"/>
      <c r="H611" s="38"/>
      <c r="I611" s="37"/>
      <c r="J611" s="38"/>
    </row>
    <row r="612" customFormat="false" ht="25.5" hidden="false" customHeight="true" outlineLevel="0" collapsed="false">
      <c r="A612" s="36"/>
      <c r="B612" s="37"/>
      <c r="C612" s="38"/>
      <c r="D612" s="38"/>
      <c r="E612" s="38"/>
      <c r="F612" s="39"/>
      <c r="G612" s="39"/>
      <c r="H612" s="38"/>
      <c r="I612" s="37"/>
      <c r="J612" s="38"/>
    </row>
    <row r="613" customFormat="false" ht="25.5" hidden="false" customHeight="true" outlineLevel="0" collapsed="false">
      <c r="A613" s="36"/>
      <c r="B613" s="37"/>
      <c r="C613" s="38"/>
      <c r="D613" s="38"/>
      <c r="E613" s="38"/>
      <c r="F613" s="39"/>
      <c r="G613" s="39"/>
      <c r="H613" s="38"/>
      <c r="I613" s="37"/>
      <c r="J613" s="38"/>
    </row>
    <row r="614" customFormat="false" ht="25.5" hidden="false" customHeight="true" outlineLevel="0" collapsed="false">
      <c r="A614" s="36"/>
      <c r="B614" s="37"/>
      <c r="C614" s="38"/>
      <c r="D614" s="38"/>
      <c r="E614" s="38"/>
      <c r="F614" s="39"/>
      <c r="G614" s="39"/>
      <c r="H614" s="38"/>
      <c r="I614" s="37"/>
      <c r="J614" s="38"/>
    </row>
    <row r="615" customFormat="false" ht="25.5" hidden="false" customHeight="true" outlineLevel="0" collapsed="false">
      <c r="A615" s="36"/>
      <c r="B615" s="37"/>
      <c r="C615" s="38"/>
      <c r="D615" s="38"/>
      <c r="E615" s="38"/>
      <c r="F615" s="39"/>
      <c r="G615" s="39"/>
      <c r="H615" s="38"/>
      <c r="I615" s="37"/>
      <c r="J615" s="38"/>
    </row>
    <row r="616" customFormat="false" ht="25.5" hidden="false" customHeight="true" outlineLevel="0" collapsed="false">
      <c r="A616" s="36"/>
      <c r="B616" s="37"/>
      <c r="C616" s="38"/>
      <c r="D616" s="38"/>
      <c r="E616" s="38"/>
      <c r="F616" s="39"/>
      <c r="G616" s="39"/>
      <c r="H616" s="38"/>
      <c r="I616" s="37"/>
      <c r="J616" s="38"/>
    </row>
    <row r="617" customFormat="false" ht="25.5" hidden="false" customHeight="true" outlineLevel="0" collapsed="false">
      <c r="A617" s="36"/>
      <c r="B617" s="37"/>
      <c r="C617" s="38"/>
      <c r="D617" s="38"/>
      <c r="E617" s="38"/>
      <c r="F617" s="39"/>
      <c r="G617" s="39"/>
      <c r="H617" s="38"/>
      <c r="I617" s="37"/>
      <c r="J617" s="38"/>
    </row>
    <row r="618" customFormat="false" ht="25.5" hidden="false" customHeight="true" outlineLevel="0" collapsed="false">
      <c r="A618" s="36"/>
      <c r="B618" s="37"/>
      <c r="C618" s="38"/>
      <c r="D618" s="38"/>
      <c r="E618" s="38"/>
      <c r="F618" s="39"/>
      <c r="G618" s="39"/>
      <c r="H618" s="38"/>
      <c r="I618" s="37"/>
      <c r="J618" s="38"/>
    </row>
    <row r="619" customFormat="false" ht="25.5" hidden="false" customHeight="true" outlineLevel="0" collapsed="false">
      <c r="A619" s="36"/>
      <c r="B619" s="37"/>
      <c r="C619" s="38"/>
      <c r="D619" s="38"/>
      <c r="E619" s="38"/>
      <c r="F619" s="39"/>
      <c r="G619" s="39"/>
      <c r="H619" s="38"/>
      <c r="I619" s="37"/>
      <c r="J619" s="38"/>
    </row>
    <row r="620" customFormat="false" ht="25.5" hidden="false" customHeight="true" outlineLevel="0" collapsed="false">
      <c r="A620" s="36"/>
      <c r="B620" s="37"/>
      <c r="C620" s="38"/>
      <c r="D620" s="38"/>
      <c r="E620" s="38"/>
      <c r="F620" s="39"/>
      <c r="G620" s="39"/>
      <c r="H620" s="38"/>
      <c r="I620" s="37"/>
      <c r="J620" s="38"/>
    </row>
    <row r="621" customFormat="false" ht="25.5" hidden="false" customHeight="true" outlineLevel="0" collapsed="false">
      <c r="A621" s="36"/>
      <c r="B621" s="37"/>
      <c r="C621" s="38"/>
      <c r="D621" s="38"/>
      <c r="E621" s="38"/>
      <c r="F621" s="39"/>
      <c r="G621" s="39"/>
      <c r="H621" s="38"/>
      <c r="I621" s="37"/>
      <c r="J621" s="38"/>
    </row>
    <row r="622" customFormat="false" ht="25.5" hidden="false" customHeight="true" outlineLevel="0" collapsed="false">
      <c r="A622" s="36"/>
      <c r="B622" s="37"/>
      <c r="C622" s="38"/>
      <c r="D622" s="38"/>
      <c r="E622" s="38"/>
      <c r="F622" s="39"/>
      <c r="G622" s="39"/>
      <c r="H622" s="38"/>
      <c r="I622" s="37"/>
      <c r="J622" s="38"/>
    </row>
    <row r="623" customFormat="false" ht="25.5" hidden="false" customHeight="true" outlineLevel="0" collapsed="false">
      <c r="A623" s="36"/>
      <c r="B623" s="37"/>
      <c r="C623" s="38"/>
      <c r="D623" s="38"/>
      <c r="E623" s="38"/>
      <c r="F623" s="39"/>
      <c r="G623" s="39"/>
      <c r="H623" s="38"/>
      <c r="I623" s="37"/>
      <c r="J623" s="38"/>
    </row>
    <row r="624" customFormat="false" ht="25.5" hidden="false" customHeight="true" outlineLevel="0" collapsed="false">
      <c r="A624" s="36"/>
      <c r="B624" s="37"/>
      <c r="C624" s="38"/>
      <c r="D624" s="38"/>
      <c r="E624" s="38"/>
      <c r="F624" s="39"/>
      <c r="G624" s="39"/>
      <c r="H624" s="38"/>
      <c r="I624" s="37"/>
      <c r="J624" s="38"/>
    </row>
    <row r="625" customFormat="false" ht="25.5" hidden="false" customHeight="true" outlineLevel="0" collapsed="false">
      <c r="A625" s="36"/>
      <c r="B625" s="37"/>
      <c r="C625" s="38"/>
      <c r="D625" s="38"/>
      <c r="E625" s="38"/>
      <c r="F625" s="39"/>
      <c r="G625" s="39"/>
      <c r="H625" s="38"/>
      <c r="I625" s="37"/>
      <c r="J625" s="38"/>
    </row>
    <row r="626" customFormat="false" ht="25.5" hidden="false" customHeight="true" outlineLevel="0" collapsed="false">
      <c r="A626" s="36"/>
      <c r="B626" s="37"/>
      <c r="C626" s="38"/>
      <c r="D626" s="38"/>
      <c r="E626" s="38"/>
      <c r="F626" s="39"/>
      <c r="G626" s="39"/>
      <c r="H626" s="38"/>
      <c r="I626" s="37"/>
      <c r="J626" s="38"/>
    </row>
    <row r="627" customFormat="false" ht="25.5" hidden="false" customHeight="true" outlineLevel="0" collapsed="false">
      <c r="A627" s="36"/>
      <c r="B627" s="37"/>
      <c r="C627" s="38"/>
      <c r="D627" s="38"/>
      <c r="E627" s="38"/>
      <c r="F627" s="39"/>
      <c r="G627" s="39"/>
      <c r="H627" s="38"/>
      <c r="I627" s="37"/>
      <c r="J627" s="38"/>
    </row>
    <row r="628" customFormat="false" ht="25.5" hidden="false" customHeight="true" outlineLevel="0" collapsed="false">
      <c r="A628" s="36"/>
      <c r="B628" s="37"/>
      <c r="C628" s="38"/>
      <c r="D628" s="38"/>
      <c r="E628" s="38"/>
      <c r="F628" s="39"/>
      <c r="G628" s="39"/>
      <c r="H628" s="38"/>
      <c r="I628" s="37"/>
      <c r="J628" s="38"/>
    </row>
    <row r="629" customFormat="false" ht="25.5" hidden="false" customHeight="true" outlineLevel="0" collapsed="false">
      <c r="A629" s="36"/>
      <c r="B629" s="37"/>
      <c r="C629" s="38"/>
      <c r="D629" s="38"/>
      <c r="E629" s="38"/>
      <c r="F629" s="39"/>
      <c r="G629" s="39"/>
      <c r="H629" s="38"/>
      <c r="I629" s="37"/>
      <c r="J629" s="38"/>
    </row>
    <row r="630" customFormat="false" ht="25.5" hidden="false" customHeight="true" outlineLevel="0" collapsed="false">
      <c r="A630" s="36"/>
      <c r="B630" s="37"/>
      <c r="C630" s="38"/>
      <c r="D630" s="38"/>
      <c r="E630" s="38"/>
      <c r="F630" s="39"/>
      <c r="G630" s="39"/>
      <c r="H630" s="38"/>
      <c r="I630" s="37"/>
      <c r="J630" s="38"/>
    </row>
    <row r="631" customFormat="false" ht="25.5" hidden="false" customHeight="true" outlineLevel="0" collapsed="false">
      <c r="A631" s="36"/>
      <c r="B631" s="37"/>
      <c r="C631" s="38"/>
      <c r="D631" s="38"/>
      <c r="E631" s="38"/>
      <c r="F631" s="39"/>
      <c r="G631" s="39"/>
      <c r="H631" s="38"/>
      <c r="I631" s="37"/>
      <c r="J631" s="38"/>
    </row>
    <row r="632" customFormat="false" ht="25.5" hidden="false" customHeight="true" outlineLevel="0" collapsed="false">
      <c r="A632" s="36"/>
      <c r="B632" s="37"/>
      <c r="C632" s="38"/>
      <c r="D632" s="38"/>
      <c r="E632" s="38"/>
      <c r="F632" s="39"/>
      <c r="G632" s="39"/>
      <c r="H632" s="38"/>
      <c r="I632" s="37"/>
      <c r="J632" s="38"/>
    </row>
    <row r="633" customFormat="false" ht="25.5" hidden="false" customHeight="true" outlineLevel="0" collapsed="false">
      <c r="A633" s="36"/>
      <c r="B633" s="37"/>
      <c r="C633" s="38"/>
      <c r="D633" s="38"/>
      <c r="E633" s="38"/>
      <c r="F633" s="39"/>
      <c r="G633" s="39"/>
      <c r="H633" s="38"/>
      <c r="I633" s="37"/>
      <c r="J633" s="38"/>
    </row>
    <row r="634" customFormat="false" ht="25.5" hidden="false" customHeight="true" outlineLevel="0" collapsed="false">
      <c r="A634" s="36"/>
      <c r="B634" s="37"/>
      <c r="C634" s="38"/>
      <c r="D634" s="38"/>
      <c r="E634" s="38"/>
      <c r="F634" s="39"/>
      <c r="G634" s="39"/>
      <c r="H634" s="38"/>
      <c r="I634" s="37"/>
      <c r="J634" s="38"/>
    </row>
    <row r="635" customFormat="false" ht="25.5" hidden="false" customHeight="true" outlineLevel="0" collapsed="false">
      <c r="A635" s="36"/>
      <c r="B635" s="37"/>
      <c r="C635" s="38"/>
      <c r="D635" s="38"/>
      <c r="E635" s="38"/>
      <c r="F635" s="39"/>
      <c r="G635" s="39"/>
      <c r="H635" s="38"/>
      <c r="I635" s="37"/>
      <c r="J635" s="38"/>
    </row>
    <row r="636" customFormat="false" ht="25.5" hidden="false" customHeight="true" outlineLevel="0" collapsed="false">
      <c r="A636" s="36"/>
      <c r="B636" s="37"/>
      <c r="C636" s="38"/>
      <c r="D636" s="38"/>
      <c r="E636" s="38"/>
      <c r="F636" s="39"/>
      <c r="G636" s="39"/>
      <c r="H636" s="38"/>
      <c r="I636" s="37"/>
      <c r="J636" s="38"/>
    </row>
    <row r="637" customFormat="false" ht="25.5" hidden="false" customHeight="true" outlineLevel="0" collapsed="false">
      <c r="A637" s="36"/>
      <c r="B637" s="37"/>
      <c r="C637" s="38"/>
      <c r="D637" s="38"/>
      <c r="E637" s="38"/>
      <c r="F637" s="39"/>
      <c r="G637" s="39"/>
      <c r="H637" s="38"/>
      <c r="I637" s="37"/>
      <c r="J637" s="38"/>
    </row>
    <row r="638" customFormat="false" ht="25.5" hidden="false" customHeight="true" outlineLevel="0" collapsed="false">
      <c r="A638" s="36"/>
      <c r="B638" s="37"/>
      <c r="C638" s="38"/>
      <c r="D638" s="38"/>
      <c r="E638" s="38"/>
      <c r="F638" s="39"/>
      <c r="G638" s="39"/>
      <c r="H638" s="38"/>
      <c r="I638" s="37"/>
      <c r="J638" s="38"/>
    </row>
    <row r="639" customFormat="false" ht="25.5" hidden="false" customHeight="true" outlineLevel="0" collapsed="false">
      <c r="A639" s="36"/>
      <c r="B639" s="37"/>
      <c r="C639" s="38"/>
      <c r="D639" s="38"/>
      <c r="E639" s="38"/>
      <c r="F639" s="39"/>
      <c r="G639" s="39"/>
      <c r="H639" s="38"/>
      <c r="I639" s="37"/>
      <c r="J639" s="38"/>
    </row>
    <row r="640" customFormat="false" ht="25.5" hidden="false" customHeight="true" outlineLevel="0" collapsed="false">
      <c r="A640" s="36"/>
      <c r="B640" s="37"/>
      <c r="C640" s="38"/>
      <c r="D640" s="38"/>
      <c r="E640" s="38"/>
      <c r="F640" s="39"/>
      <c r="G640" s="39"/>
      <c r="H640" s="38"/>
      <c r="I640" s="37"/>
      <c r="J640" s="38"/>
    </row>
    <row r="641" customFormat="false" ht="25.5" hidden="false" customHeight="true" outlineLevel="0" collapsed="false">
      <c r="A641" s="36"/>
      <c r="B641" s="37"/>
      <c r="C641" s="38"/>
      <c r="D641" s="38"/>
      <c r="E641" s="38"/>
      <c r="F641" s="39"/>
      <c r="G641" s="39"/>
      <c r="H641" s="38"/>
      <c r="I641" s="37"/>
      <c r="J641" s="38"/>
    </row>
    <row r="642" customFormat="false" ht="25.5" hidden="false" customHeight="true" outlineLevel="0" collapsed="false">
      <c r="A642" s="36"/>
      <c r="B642" s="37"/>
      <c r="C642" s="38"/>
      <c r="D642" s="38"/>
      <c r="E642" s="38"/>
      <c r="F642" s="39"/>
      <c r="G642" s="39"/>
      <c r="H642" s="38"/>
      <c r="I642" s="37"/>
      <c r="J642" s="38"/>
    </row>
    <row r="643" customFormat="false" ht="25.5" hidden="false" customHeight="true" outlineLevel="0" collapsed="false">
      <c r="A643" s="36"/>
      <c r="B643" s="37"/>
      <c r="C643" s="38"/>
      <c r="D643" s="38"/>
      <c r="E643" s="38"/>
      <c r="F643" s="39"/>
      <c r="G643" s="39"/>
      <c r="H643" s="38"/>
      <c r="I643" s="37"/>
      <c r="J643" s="38"/>
    </row>
    <row r="644" customFormat="false" ht="25.5" hidden="false" customHeight="true" outlineLevel="0" collapsed="false">
      <c r="A644" s="36"/>
      <c r="B644" s="37"/>
      <c r="C644" s="38"/>
      <c r="D644" s="38"/>
      <c r="E644" s="38"/>
      <c r="F644" s="39"/>
      <c r="G644" s="39"/>
      <c r="H644" s="38"/>
      <c r="I644" s="37"/>
      <c r="J644" s="38"/>
    </row>
    <row r="645" customFormat="false" ht="25.5" hidden="false" customHeight="true" outlineLevel="0" collapsed="false">
      <c r="A645" s="36"/>
      <c r="B645" s="37"/>
      <c r="C645" s="38"/>
      <c r="D645" s="38"/>
      <c r="E645" s="38"/>
      <c r="F645" s="39"/>
      <c r="G645" s="39"/>
      <c r="H645" s="38"/>
      <c r="I645" s="37"/>
      <c r="J645" s="38"/>
    </row>
    <row r="646" customFormat="false" ht="25.5" hidden="false" customHeight="true" outlineLevel="0" collapsed="false">
      <c r="A646" s="36"/>
      <c r="B646" s="37"/>
      <c r="C646" s="38"/>
      <c r="D646" s="38"/>
      <c r="E646" s="38"/>
      <c r="F646" s="39"/>
      <c r="G646" s="39"/>
      <c r="H646" s="38"/>
      <c r="I646" s="37"/>
      <c r="J646" s="38"/>
    </row>
    <row r="647" customFormat="false" ht="25.5" hidden="false" customHeight="true" outlineLevel="0" collapsed="false">
      <c r="A647" s="36"/>
      <c r="B647" s="37"/>
      <c r="C647" s="38"/>
      <c r="D647" s="38"/>
      <c r="E647" s="38"/>
      <c r="F647" s="39"/>
      <c r="G647" s="39"/>
      <c r="H647" s="38"/>
      <c r="I647" s="37"/>
      <c r="J647" s="38"/>
    </row>
    <row r="648" customFormat="false" ht="25.5" hidden="false" customHeight="true" outlineLevel="0" collapsed="false">
      <c r="A648" s="36"/>
      <c r="B648" s="37"/>
      <c r="C648" s="38"/>
      <c r="D648" s="38"/>
      <c r="E648" s="38"/>
      <c r="F648" s="39"/>
      <c r="G648" s="39"/>
      <c r="H648" s="38"/>
      <c r="I648" s="37"/>
      <c r="J648" s="38"/>
    </row>
    <row r="649" customFormat="false" ht="25.5" hidden="false" customHeight="true" outlineLevel="0" collapsed="false">
      <c r="A649" s="36"/>
      <c r="B649" s="37"/>
      <c r="C649" s="38"/>
      <c r="D649" s="38"/>
      <c r="E649" s="38"/>
      <c r="F649" s="39"/>
      <c r="G649" s="39"/>
      <c r="H649" s="38"/>
      <c r="I649" s="37"/>
      <c r="J649" s="38"/>
    </row>
    <row r="650" customFormat="false" ht="25.5" hidden="false" customHeight="true" outlineLevel="0" collapsed="false">
      <c r="A650" s="36"/>
      <c r="B650" s="37"/>
      <c r="C650" s="38"/>
      <c r="D650" s="38"/>
      <c r="E650" s="38"/>
      <c r="F650" s="39"/>
      <c r="G650" s="39"/>
      <c r="H650" s="38"/>
      <c r="I650" s="37"/>
      <c r="J650" s="38"/>
    </row>
    <row r="651" customFormat="false" ht="25.5" hidden="false" customHeight="true" outlineLevel="0" collapsed="false">
      <c r="A651" s="36"/>
      <c r="B651" s="37"/>
      <c r="C651" s="38"/>
      <c r="D651" s="38"/>
      <c r="E651" s="38"/>
      <c r="F651" s="39"/>
      <c r="G651" s="39"/>
      <c r="H651" s="38"/>
      <c r="I651" s="37"/>
      <c r="J651" s="38"/>
    </row>
    <row r="652" customFormat="false" ht="25.5" hidden="false" customHeight="true" outlineLevel="0" collapsed="false">
      <c r="A652" s="36"/>
      <c r="B652" s="37"/>
      <c r="C652" s="38"/>
      <c r="D652" s="38"/>
      <c r="E652" s="38"/>
      <c r="F652" s="39"/>
      <c r="G652" s="39"/>
      <c r="H652" s="38"/>
      <c r="I652" s="37"/>
      <c r="J652" s="38"/>
    </row>
    <row r="653" customFormat="false" ht="25.5" hidden="false" customHeight="true" outlineLevel="0" collapsed="false">
      <c r="A653" s="36"/>
      <c r="B653" s="37"/>
      <c r="C653" s="38"/>
      <c r="D653" s="38"/>
      <c r="E653" s="38"/>
      <c r="F653" s="39"/>
      <c r="G653" s="39"/>
      <c r="H653" s="38"/>
      <c r="I653" s="37"/>
      <c r="J653" s="38"/>
    </row>
    <row r="654" customFormat="false" ht="25.5" hidden="false" customHeight="true" outlineLevel="0" collapsed="false">
      <c r="A654" s="36"/>
      <c r="B654" s="37"/>
      <c r="C654" s="38"/>
      <c r="D654" s="38"/>
      <c r="E654" s="38"/>
      <c r="F654" s="39"/>
      <c r="G654" s="39"/>
      <c r="H654" s="38"/>
      <c r="I654" s="37"/>
      <c r="J654" s="38"/>
    </row>
    <row r="655" customFormat="false" ht="25.5" hidden="false" customHeight="true" outlineLevel="0" collapsed="false">
      <c r="A655" s="36"/>
      <c r="B655" s="37"/>
      <c r="C655" s="38"/>
      <c r="D655" s="38"/>
      <c r="E655" s="38"/>
      <c r="F655" s="39"/>
      <c r="G655" s="39"/>
      <c r="H655" s="38"/>
      <c r="I655" s="37"/>
      <c r="J655" s="38"/>
    </row>
    <row r="656" customFormat="false" ht="25.5" hidden="false" customHeight="true" outlineLevel="0" collapsed="false">
      <c r="A656" s="36"/>
      <c r="B656" s="37"/>
      <c r="C656" s="38"/>
      <c r="D656" s="38"/>
      <c r="E656" s="38"/>
      <c r="F656" s="39"/>
      <c r="G656" s="39"/>
      <c r="H656" s="38"/>
      <c r="I656" s="37"/>
      <c r="J656" s="38"/>
    </row>
    <row r="657" customFormat="false" ht="25.5" hidden="false" customHeight="true" outlineLevel="0" collapsed="false">
      <c r="A657" s="36"/>
      <c r="B657" s="37"/>
      <c r="C657" s="38"/>
      <c r="D657" s="38"/>
      <c r="E657" s="38"/>
      <c r="F657" s="39"/>
      <c r="G657" s="39"/>
      <c r="H657" s="38"/>
      <c r="I657" s="37"/>
      <c r="J657" s="38"/>
    </row>
    <row r="658" customFormat="false" ht="25.5" hidden="false" customHeight="true" outlineLevel="0" collapsed="false">
      <c r="A658" s="36"/>
      <c r="B658" s="37"/>
      <c r="C658" s="38"/>
      <c r="D658" s="38"/>
      <c r="E658" s="38"/>
      <c r="F658" s="39"/>
      <c r="G658" s="39"/>
      <c r="H658" s="38"/>
      <c r="I658" s="37"/>
      <c r="J658" s="38"/>
    </row>
    <row r="659" customFormat="false" ht="25.5" hidden="false" customHeight="true" outlineLevel="0" collapsed="false">
      <c r="A659" s="36"/>
      <c r="B659" s="37"/>
      <c r="C659" s="38"/>
      <c r="D659" s="38"/>
      <c r="E659" s="38"/>
      <c r="F659" s="39"/>
      <c r="G659" s="39"/>
      <c r="H659" s="38"/>
      <c r="I659" s="37"/>
      <c r="J659" s="38"/>
    </row>
    <row r="660" customFormat="false" ht="25.5" hidden="false" customHeight="true" outlineLevel="0" collapsed="false">
      <c r="A660" s="36"/>
      <c r="B660" s="37"/>
      <c r="C660" s="38"/>
      <c r="D660" s="38"/>
      <c r="E660" s="38"/>
      <c r="F660" s="39"/>
      <c r="G660" s="39"/>
      <c r="H660" s="38"/>
      <c r="I660" s="37"/>
      <c r="J660" s="38"/>
    </row>
    <row r="661" customFormat="false" ht="25.5" hidden="false" customHeight="true" outlineLevel="0" collapsed="false">
      <c r="A661" s="36"/>
      <c r="B661" s="37"/>
      <c r="C661" s="38"/>
      <c r="D661" s="38"/>
      <c r="E661" s="38"/>
      <c r="F661" s="39"/>
      <c r="G661" s="39"/>
      <c r="H661" s="38"/>
      <c r="I661" s="37"/>
      <c r="J661" s="38"/>
    </row>
    <row r="662" customFormat="false" ht="25.5" hidden="false" customHeight="true" outlineLevel="0" collapsed="false">
      <c r="A662" s="36"/>
      <c r="B662" s="37"/>
      <c r="C662" s="38"/>
      <c r="D662" s="38"/>
      <c r="E662" s="38"/>
      <c r="F662" s="39"/>
      <c r="G662" s="39"/>
      <c r="H662" s="38"/>
      <c r="I662" s="37"/>
      <c r="J662" s="38"/>
    </row>
    <row r="663" customFormat="false" ht="25.5" hidden="false" customHeight="true" outlineLevel="0" collapsed="false">
      <c r="A663" s="36"/>
      <c r="B663" s="37"/>
      <c r="C663" s="38"/>
      <c r="D663" s="38"/>
      <c r="E663" s="38"/>
      <c r="F663" s="39"/>
      <c r="G663" s="39"/>
      <c r="H663" s="38"/>
      <c r="I663" s="37"/>
      <c r="J663" s="38"/>
    </row>
    <row r="664" customFormat="false" ht="25.5" hidden="false" customHeight="true" outlineLevel="0" collapsed="false">
      <c r="A664" s="36"/>
      <c r="B664" s="37"/>
      <c r="C664" s="38"/>
      <c r="D664" s="38"/>
      <c r="E664" s="38"/>
      <c r="F664" s="39"/>
      <c r="G664" s="39"/>
      <c r="H664" s="38"/>
      <c r="I664" s="37"/>
      <c r="J664" s="38"/>
    </row>
    <row r="665" customFormat="false" ht="25.5" hidden="false" customHeight="true" outlineLevel="0" collapsed="false">
      <c r="A665" s="36"/>
      <c r="B665" s="37"/>
      <c r="C665" s="38"/>
      <c r="D665" s="38"/>
      <c r="E665" s="38"/>
      <c r="F665" s="39"/>
      <c r="G665" s="39"/>
      <c r="H665" s="38"/>
      <c r="I665" s="37"/>
      <c r="J665" s="38"/>
    </row>
    <row r="666" customFormat="false" ht="25.5" hidden="false" customHeight="true" outlineLevel="0" collapsed="false">
      <c r="A666" s="36"/>
      <c r="B666" s="37"/>
      <c r="C666" s="38"/>
      <c r="D666" s="38"/>
      <c r="E666" s="38"/>
      <c r="F666" s="39"/>
      <c r="G666" s="39"/>
      <c r="H666" s="38"/>
      <c r="I666" s="37"/>
      <c r="J666" s="38"/>
    </row>
    <row r="667" customFormat="false" ht="25.5" hidden="false" customHeight="true" outlineLevel="0" collapsed="false">
      <c r="A667" s="36"/>
      <c r="B667" s="37"/>
      <c r="C667" s="38"/>
      <c r="D667" s="38"/>
      <c r="E667" s="38"/>
      <c r="F667" s="39"/>
      <c r="G667" s="39"/>
      <c r="H667" s="38"/>
      <c r="I667" s="37"/>
      <c r="J667" s="38"/>
    </row>
    <row r="668" customFormat="false" ht="25.5" hidden="false" customHeight="true" outlineLevel="0" collapsed="false">
      <c r="A668" s="36"/>
      <c r="B668" s="37"/>
      <c r="C668" s="38"/>
      <c r="D668" s="38"/>
      <c r="E668" s="38"/>
      <c r="F668" s="39"/>
      <c r="G668" s="39"/>
      <c r="H668" s="38"/>
      <c r="I668" s="37"/>
      <c r="J668" s="38"/>
    </row>
    <row r="669" customFormat="false" ht="25.5" hidden="false" customHeight="true" outlineLevel="0" collapsed="false">
      <c r="A669" s="36"/>
      <c r="B669" s="37"/>
      <c r="C669" s="38"/>
      <c r="D669" s="38"/>
      <c r="E669" s="38"/>
      <c r="F669" s="39"/>
      <c r="G669" s="39"/>
      <c r="H669" s="38"/>
      <c r="I669" s="37"/>
      <c r="J669" s="38"/>
    </row>
    <row r="670" customFormat="false" ht="25.5" hidden="false" customHeight="true" outlineLevel="0" collapsed="false">
      <c r="A670" s="36"/>
      <c r="B670" s="37"/>
      <c r="C670" s="38"/>
      <c r="D670" s="38"/>
      <c r="E670" s="38"/>
      <c r="F670" s="39"/>
      <c r="G670" s="39"/>
      <c r="H670" s="38"/>
      <c r="I670" s="37"/>
      <c r="J670" s="38"/>
    </row>
    <row r="671" customFormat="false" ht="25.5" hidden="false" customHeight="true" outlineLevel="0" collapsed="false">
      <c r="A671" s="36"/>
      <c r="B671" s="37"/>
      <c r="C671" s="38"/>
      <c r="D671" s="38"/>
      <c r="E671" s="38"/>
      <c r="F671" s="39"/>
      <c r="G671" s="39"/>
      <c r="H671" s="38"/>
      <c r="I671" s="37"/>
      <c r="J671" s="38"/>
    </row>
    <row r="672" customFormat="false" ht="25.5" hidden="false" customHeight="true" outlineLevel="0" collapsed="false">
      <c r="A672" s="36"/>
      <c r="B672" s="37"/>
      <c r="C672" s="38"/>
      <c r="D672" s="38"/>
      <c r="E672" s="38"/>
      <c r="F672" s="39"/>
      <c r="G672" s="39"/>
      <c r="H672" s="38"/>
      <c r="I672" s="37"/>
      <c r="J672" s="38"/>
    </row>
    <row r="673" customFormat="false" ht="25.5" hidden="false" customHeight="true" outlineLevel="0" collapsed="false">
      <c r="A673" s="36"/>
      <c r="B673" s="37"/>
      <c r="C673" s="38"/>
      <c r="D673" s="38"/>
      <c r="E673" s="38"/>
      <c r="F673" s="39"/>
      <c r="G673" s="39"/>
      <c r="H673" s="38"/>
      <c r="I673" s="37"/>
      <c r="J673" s="38"/>
    </row>
    <row r="674" customFormat="false" ht="25.5" hidden="false" customHeight="true" outlineLevel="0" collapsed="false">
      <c r="A674" s="36"/>
      <c r="B674" s="37"/>
      <c r="C674" s="38"/>
      <c r="D674" s="38"/>
      <c r="E674" s="38"/>
      <c r="F674" s="39"/>
      <c r="G674" s="39"/>
      <c r="H674" s="38"/>
      <c r="I674" s="37"/>
      <c r="J674" s="38"/>
    </row>
    <row r="675" customFormat="false" ht="25.5" hidden="false" customHeight="true" outlineLevel="0" collapsed="false">
      <c r="A675" s="36"/>
      <c r="B675" s="37"/>
      <c r="C675" s="38"/>
      <c r="D675" s="38"/>
      <c r="E675" s="38"/>
      <c r="F675" s="39"/>
      <c r="G675" s="39"/>
      <c r="H675" s="38"/>
      <c r="I675" s="37"/>
      <c r="J675" s="38"/>
    </row>
    <row r="676" customFormat="false" ht="25.5" hidden="false" customHeight="true" outlineLevel="0" collapsed="false">
      <c r="A676" s="36"/>
      <c r="B676" s="37"/>
      <c r="C676" s="38"/>
      <c r="D676" s="38"/>
      <c r="E676" s="38"/>
      <c r="F676" s="39"/>
      <c r="G676" s="39"/>
      <c r="H676" s="38"/>
      <c r="I676" s="37"/>
      <c r="J676" s="38"/>
    </row>
    <row r="677" customFormat="false" ht="25.5" hidden="false" customHeight="true" outlineLevel="0" collapsed="false">
      <c r="A677" s="36"/>
      <c r="B677" s="37"/>
      <c r="C677" s="38"/>
      <c r="D677" s="38"/>
      <c r="E677" s="38"/>
      <c r="F677" s="39"/>
      <c r="G677" s="39"/>
      <c r="H677" s="38"/>
      <c r="I677" s="37"/>
      <c r="J677" s="38"/>
    </row>
    <row r="678" customFormat="false" ht="25.5" hidden="false" customHeight="true" outlineLevel="0" collapsed="false">
      <c r="A678" s="36"/>
      <c r="B678" s="37"/>
      <c r="C678" s="38"/>
      <c r="D678" s="38"/>
      <c r="E678" s="38"/>
      <c r="F678" s="39"/>
      <c r="G678" s="39"/>
      <c r="H678" s="38"/>
      <c r="I678" s="37"/>
      <c r="J678" s="38"/>
    </row>
    <row r="679" customFormat="false" ht="25.5" hidden="false" customHeight="true" outlineLevel="0" collapsed="false">
      <c r="A679" s="36"/>
      <c r="B679" s="37"/>
      <c r="C679" s="38"/>
      <c r="D679" s="38"/>
      <c r="E679" s="38"/>
      <c r="F679" s="39"/>
      <c r="G679" s="39"/>
      <c r="H679" s="38"/>
      <c r="I679" s="37"/>
      <c r="J679" s="38"/>
    </row>
    <row r="680" customFormat="false" ht="25.5" hidden="false" customHeight="true" outlineLevel="0" collapsed="false">
      <c r="A680" s="36"/>
      <c r="B680" s="37"/>
      <c r="C680" s="38"/>
      <c r="D680" s="38"/>
      <c r="E680" s="38"/>
      <c r="F680" s="39"/>
      <c r="G680" s="39"/>
      <c r="H680" s="38"/>
      <c r="I680" s="37"/>
      <c r="J680" s="38"/>
    </row>
    <row r="681" customFormat="false" ht="25.5" hidden="false" customHeight="true" outlineLevel="0" collapsed="false">
      <c r="A681" s="36"/>
      <c r="B681" s="37"/>
      <c r="C681" s="38"/>
      <c r="D681" s="38"/>
      <c r="E681" s="38"/>
      <c r="F681" s="39"/>
      <c r="G681" s="39"/>
      <c r="H681" s="38"/>
      <c r="I681" s="37"/>
      <c r="J681" s="38"/>
    </row>
    <row r="682" customFormat="false" ht="25.5" hidden="false" customHeight="true" outlineLevel="0" collapsed="false">
      <c r="A682" s="36"/>
      <c r="B682" s="37"/>
      <c r="C682" s="38"/>
      <c r="D682" s="38"/>
      <c r="E682" s="38"/>
      <c r="F682" s="39"/>
      <c r="G682" s="39"/>
      <c r="H682" s="38"/>
      <c r="I682" s="37"/>
      <c r="J682" s="38"/>
    </row>
    <row r="683" customFormat="false" ht="25.5" hidden="false" customHeight="true" outlineLevel="0" collapsed="false">
      <c r="A683" s="36"/>
      <c r="B683" s="37"/>
      <c r="C683" s="38"/>
      <c r="D683" s="38"/>
      <c r="E683" s="38"/>
      <c r="F683" s="39"/>
      <c r="G683" s="39"/>
      <c r="H683" s="38"/>
      <c r="I683" s="37"/>
      <c r="J683" s="38"/>
    </row>
    <row r="684" customFormat="false" ht="25.5" hidden="false" customHeight="true" outlineLevel="0" collapsed="false">
      <c r="A684" s="36"/>
      <c r="B684" s="37"/>
      <c r="C684" s="38"/>
      <c r="D684" s="38"/>
      <c r="E684" s="38"/>
      <c r="F684" s="39"/>
      <c r="G684" s="39"/>
      <c r="H684" s="38"/>
      <c r="I684" s="37"/>
      <c r="J684" s="38"/>
    </row>
    <row r="685" customFormat="false" ht="25.5" hidden="false" customHeight="true" outlineLevel="0" collapsed="false">
      <c r="A685" s="36"/>
      <c r="B685" s="37"/>
      <c r="C685" s="38"/>
      <c r="D685" s="38"/>
      <c r="E685" s="38"/>
      <c r="F685" s="39"/>
      <c r="G685" s="39"/>
      <c r="H685" s="38"/>
      <c r="I685" s="37"/>
      <c r="J685" s="38"/>
    </row>
    <row r="686" customFormat="false" ht="25.5" hidden="false" customHeight="true" outlineLevel="0" collapsed="false">
      <c r="A686" s="36"/>
      <c r="B686" s="37"/>
      <c r="C686" s="38"/>
      <c r="D686" s="38"/>
      <c r="E686" s="38"/>
      <c r="F686" s="39"/>
      <c r="G686" s="39"/>
      <c r="H686" s="38"/>
      <c r="I686" s="37"/>
      <c r="J686" s="38"/>
    </row>
    <row r="687" customFormat="false" ht="25.5" hidden="false" customHeight="true" outlineLevel="0" collapsed="false">
      <c r="A687" s="36"/>
      <c r="B687" s="37"/>
      <c r="C687" s="38"/>
      <c r="D687" s="38"/>
      <c r="E687" s="38"/>
      <c r="F687" s="39"/>
      <c r="G687" s="39"/>
      <c r="H687" s="38"/>
      <c r="I687" s="37"/>
      <c r="J687" s="38"/>
    </row>
    <row r="688" customFormat="false" ht="25.5" hidden="false" customHeight="true" outlineLevel="0" collapsed="false">
      <c r="A688" s="36"/>
      <c r="B688" s="37"/>
      <c r="C688" s="38"/>
      <c r="D688" s="38"/>
      <c r="E688" s="38"/>
      <c r="F688" s="39"/>
      <c r="G688" s="39"/>
      <c r="H688" s="38"/>
      <c r="I688" s="37"/>
      <c r="J688" s="38"/>
    </row>
    <row r="689" customFormat="false" ht="25.5" hidden="false" customHeight="true" outlineLevel="0" collapsed="false">
      <c r="A689" s="36"/>
      <c r="B689" s="37"/>
      <c r="C689" s="38"/>
      <c r="D689" s="38"/>
      <c r="E689" s="38"/>
      <c r="F689" s="39"/>
      <c r="G689" s="39"/>
      <c r="H689" s="38"/>
      <c r="I689" s="37"/>
      <c r="J689" s="38"/>
    </row>
    <row r="690" customFormat="false" ht="25.5" hidden="false" customHeight="true" outlineLevel="0" collapsed="false">
      <c r="A690" s="36"/>
      <c r="B690" s="37"/>
      <c r="C690" s="38"/>
      <c r="D690" s="38"/>
      <c r="E690" s="38"/>
      <c r="F690" s="39"/>
      <c r="G690" s="39"/>
      <c r="H690" s="38"/>
      <c r="I690" s="37"/>
      <c r="J690" s="38"/>
    </row>
    <row r="691" customFormat="false" ht="25.5" hidden="false" customHeight="true" outlineLevel="0" collapsed="false">
      <c r="A691" s="36"/>
      <c r="B691" s="37"/>
      <c r="C691" s="38"/>
      <c r="D691" s="38"/>
      <c r="E691" s="38"/>
      <c r="F691" s="39"/>
      <c r="G691" s="39"/>
      <c r="H691" s="38"/>
      <c r="I691" s="37"/>
      <c r="J691" s="38"/>
    </row>
    <row r="692" customFormat="false" ht="25.5" hidden="false" customHeight="true" outlineLevel="0" collapsed="false">
      <c r="A692" s="36"/>
      <c r="B692" s="37"/>
      <c r="C692" s="38"/>
      <c r="D692" s="38"/>
      <c r="E692" s="38"/>
      <c r="F692" s="39"/>
      <c r="G692" s="39"/>
      <c r="H692" s="38"/>
      <c r="I692" s="37"/>
      <c r="J692" s="38"/>
    </row>
    <row r="693" customFormat="false" ht="25.5" hidden="false" customHeight="true" outlineLevel="0" collapsed="false">
      <c r="A693" s="36"/>
      <c r="B693" s="37"/>
      <c r="C693" s="38"/>
      <c r="D693" s="38"/>
      <c r="E693" s="38"/>
      <c r="F693" s="39"/>
      <c r="G693" s="39"/>
      <c r="H693" s="38"/>
      <c r="I693" s="37"/>
      <c r="J693" s="38"/>
    </row>
    <row r="694" customFormat="false" ht="25.5" hidden="false" customHeight="true" outlineLevel="0" collapsed="false">
      <c r="A694" s="36"/>
      <c r="B694" s="37"/>
      <c r="C694" s="38"/>
      <c r="D694" s="38"/>
      <c r="E694" s="38"/>
      <c r="F694" s="39"/>
      <c r="G694" s="39"/>
      <c r="H694" s="38"/>
      <c r="I694" s="37"/>
      <c r="J694" s="38"/>
    </row>
    <row r="695" customFormat="false" ht="25.5" hidden="false" customHeight="true" outlineLevel="0" collapsed="false">
      <c r="A695" s="36"/>
      <c r="B695" s="37"/>
      <c r="C695" s="38"/>
      <c r="D695" s="38"/>
      <c r="E695" s="38"/>
      <c r="F695" s="39"/>
      <c r="G695" s="39"/>
      <c r="H695" s="38"/>
      <c r="I695" s="37"/>
      <c r="J695" s="38"/>
    </row>
    <row r="696" customFormat="false" ht="25.5" hidden="false" customHeight="true" outlineLevel="0" collapsed="false">
      <c r="A696" s="36"/>
      <c r="B696" s="37"/>
      <c r="C696" s="38"/>
      <c r="D696" s="38"/>
      <c r="E696" s="38"/>
      <c r="F696" s="39"/>
      <c r="G696" s="39"/>
      <c r="H696" s="38"/>
      <c r="I696" s="37"/>
      <c r="J696" s="38"/>
    </row>
    <row r="697" customFormat="false" ht="25.5" hidden="false" customHeight="true" outlineLevel="0" collapsed="false">
      <c r="A697" s="36"/>
      <c r="B697" s="37"/>
      <c r="C697" s="38"/>
      <c r="D697" s="38"/>
      <c r="E697" s="38"/>
      <c r="F697" s="39"/>
      <c r="G697" s="39"/>
      <c r="H697" s="38"/>
      <c r="I697" s="37"/>
      <c r="J697" s="38"/>
    </row>
    <row r="698" customFormat="false" ht="25.5" hidden="false" customHeight="true" outlineLevel="0" collapsed="false">
      <c r="A698" s="36"/>
      <c r="B698" s="37"/>
      <c r="C698" s="38"/>
      <c r="D698" s="38"/>
      <c r="E698" s="38"/>
      <c r="F698" s="39"/>
      <c r="G698" s="39"/>
      <c r="H698" s="38"/>
      <c r="I698" s="37"/>
      <c r="J698" s="38"/>
    </row>
    <row r="699" customFormat="false" ht="25.5" hidden="false" customHeight="true" outlineLevel="0" collapsed="false">
      <c r="A699" s="36"/>
      <c r="B699" s="37"/>
      <c r="C699" s="38"/>
      <c r="D699" s="38"/>
      <c r="E699" s="38"/>
      <c r="F699" s="39"/>
      <c r="G699" s="39"/>
      <c r="H699" s="38"/>
      <c r="I699" s="37"/>
      <c r="J699" s="38"/>
    </row>
    <row r="700" customFormat="false" ht="25.5" hidden="false" customHeight="true" outlineLevel="0" collapsed="false">
      <c r="A700" s="36"/>
      <c r="B700" s="37"/>
      <c r="C700" s="38"/>
      <c r="D700" s="38"/>
      <c r="E700" s="38"/>
      <c r="F700" s="39"/>
      <c r="G700" s="39"/>
      <c r="H700" s="38"/>
      <c r="I700" s="37"/>
      <c r="J700" s="38"/>
    </row>
    <row r="701" customFormat="false" ht="25.5" hidden="false" customHeight="true" outlineLevel="0" collapsed="false">
      <c r="A701" s="36"/>
      <c r="B701" s="37"/>
      <c r="C701" s="38"/>
      <c r="D701" s="38"/>
      <c r="E701" s="38"/>
      <c r="F701" s="39"/>
      <c r="G701" s="39"/>
      <c r="H701" s="38"/>
      <c r="I701" s="37"/>
      <c r="J701" s="38"/>
    </row>
    <row r="702" customFormat="false" ht="25.5" hidden="false" customHeight="true" outlineLevel="0" collapsed="false">
      <c r="A702" s="36"/>
      <c r="B702" s="37"/>
      <c r="C702" s="38"/>
      <c r="D702" s="38"/>
      <c r="E702" s="38"/>
      <c r="F702" s="39"/>
      <c r="G702" s="39"/>
      <c r="H702" s="38"/>
      <c r="I702" s="37"/>
      <c r="J702" s="38"/>
    </row>
    <row r="703" customFormat="false" ht="25.5" hidden="false" customHeight="true" outlineLevel="0" collapsed="false">
      <c r="A703" s="36"/>
      <c r="B703" s="37"/>
      <c r="C703" s="38"/>
      <c r="D703" s="38"/>
      <c r="E703" s="38"/>
      <c r="F703" s="39"/>
      <c r="G703" s="39"/>
      <c r="H703" s="38"/>
      <c r="I703" s="37"/>
      <c r="J703" s="38"/>
    </row>
    <row r="704" customFormat="false" ht="25.5" hidden="false" customHeight="true" outlineLevel="0" collapsed="false">
      <c r="A704" s="36"/>
      <c r="B704" s="37"/>
      <c r="C704" s="38"/>
      <c r="D704" s="38"/>
      <c r="E704" s="38"/>
      <c r="F704" s="39"/>
      <c r="G704" s="39"/>
      <c r="H704" s="38"/>
      <c r="I704" s="37"/>
      <c r="J704" s="38"/>
    </row>
    <row r="705" customFormat="false" ht="25.5" hidden="false" customHeight="true" outlineLevel="0" collapsed="false">
      <c r="A705" s="36"/>
      <c r="B705" s="37"/>
      <c r="C705" s="38"/>
      <c r="D705" s="38"/>
      <c r="E705" s="38"/>
      <c r="F705" s="39"/>
      <c r="G705" s="39"/>
      <c r="H705" s="38"/>
      <c r="I705" s="37"/>
      <c r="J705" s="38"/>
    </row>
    <row r="706" customFormat="false" ht="25.5" hidden="false" customHeight="true" outlineLevel="0" collapsed="false">
      <c r="A706" s="36"/>
      <c r="B706" s="37"/>
      <c r="C706" s="38"/>
      <c r="D706" s="38"/>
      <c r="E706" s="38"/>
      <c r="F706" s="39"/>
      <c r="G706" s="39"/>
      <c r="H706" s="38"/>
      <c r="I706" s="37"/>
      <c r="J706" s="38"/>
    </row>
    <row r="707" customFormat="false" ht="25.5" hidden="false" customHeight="true" outlineLevel="0" collapsed="false">
      <c r="A707" s="36"/>
      <c r="B707" s="37"/>
      <c r="C707" s="38"/>
      <c r="D707" s="38"/>
      <c r="E707" s="38"/>
      <c r="F707" s="39"/>
      <c r="G707" s="39"/>
      <c r="H707" s="38"/>
      <c r="I707" s="37"/>
      <c r="J707" s="38"/>
    </row>
    <row r="708" customFormat="false" ht="25.5" hidden="false" customHeight="true" outlineLevel="0" collapsed="false">
      <c r="A708" s="36"/>
      <c r="B708" s="37"/>
      <c r="C708" s="38"/>
      <c r="D708" s="38"/>
      <c r="E708" s="38"/>
      <c r="F708" s="39"/>
      <c r="G708" s="39"/>
      <c r="H708" s="38"/>
      <c r="I708" s="37"/>
      <c r="J708" s="38"/>
    </row>
    <row r="709" customFormat="false" ht="25.5" hidden="false" customHeight="true" outlineLevel="0" collapsed="false">
      <c r="A709" s="36"/>
      <c r="B709" s="37"/>
      <c r="C709" s="38"/>
      <c r="D709" s="38"/>
      <c r="E709" s="38"/>
      <c r="F709" s="39"/>
      <c r="G709" s="39"/>
      <c r="H709" s="38"/>
      <c r="I709" s="37"/>
      <c r="J709" s="38"/>
    </row>
    <row r="710" customFormat="false" ht="25.5" hidden="false" customHeight="true" outlineLevel="0" collapsed="false">
      <c r="A710" s="36"/>
      <c r="B710" s="37"/>
      <c r="C710" s="38"/>
      <c r="D710" s="38"/>
      <c r="E710" s="38"/>
      <c r="F710" s="39"/>
      <c r="G710" s="39"/>
      <c r="H710" s="38"/>
      <c r="I710" s="37"/>
      <c r="J710" s="38"/>
    </row>
    <row r="711" customFormat="false" ht="25.5" hidden="false" customHeight="true" outlineLevel="0" collapsed="false">
      <c r="A711" s="36"/>
      <c r="B711" s="37"/>
      <c r="C711" s="38"/>
      <c r="D711" s="38"/>
      <c r="E711" s="38"/>
      <c r="F711" s="39"/>
      <c r="G711" s="39"/>
      <c r="H711" s="38"/>
      <c r="I711" s="37"/>
      <c r="J711" s="38"/>
    </row>
    <row r="712" customFormat="false" ht="25.5" hidden="false" customHeight="true" outlineLevel="0" collapsed="false">
      <c r="A712" s="36"/>
      <c r="B712" s="37"/>
      <c r="C712" s="38"/>
      <c r="D712" s="38"/>
      <c r="E712" s="38"/>
      <c r="F712" s="39"/>
      <c r="G712" s="39"/>
      <c r="H712" s="38"/>
      <c r="I712" s="37"/>
      <c r="J712" s="38"/>
    </row>
    <row r="713" customFormat="false" ht="25.5" hidden="false" customHeight="true" outlineLevel="0" collapsed="false">
      <c r="A713" s="36"/>
      <c r="B713" s="37"/>
      <c r="C713" s="38"/>
      <c r="D713" s="38"/>
      <c r="E713" s="38"/>
      <c r="F713" s="39"/>
      <c r="G713" s="39"/>
      <c r="H713" s="38"/>
      <c r="I713" s="37"/>
      <c r="J713" s="38"/>
    </row>
    <row r="714" customFormat="false" ht="25.5" hidden="false" customHeight="true" outlineLevel="0" collapsed="false">
      <c r="A714" s="36"/>
      <c r="B714" s="37"/>
      <c r="C714" s="38"/>
      <c r="D714" s="38"/>
      <c r="E714" s="38"/>
      <c r="F714" s="39"/>
      <c r="G714" s="39"/>
      <c r="H714" s="38"/>
      <c r="I714" s="37"/>
      <c r="J714" s="38"/>
    </row>
    <row r="715" customFormat="false" ht="25.5" hidden="false" customHeight="true" outlineLevel="0" collapsed="false">
      <c r="A715" s="36"/>
      <c r="B715" s="37"/>
      <c r="C715" s="38"/>
      <c r="D715" s="38"/>
      <c r="E715" s="38"/>
      <c r="F715" s="39"/>
      <c r="G715" s="39"/>
      <c r="H715" s="38"/>
      <c r="I715" s="37"/>
      <c r="J715" s="38"/>
    </row>
    <row r="716" customFormat="false" ht="25.5" hidden="false" customHeight="true" outlineLevel="0" collapsed="false">
      <c r="A716" s="36"/>
      <c r="B716" s="37"/>
      <c r="C716" s="38"/>
      <c r="D716" s="38"/>
      <c r="E716" s="38"/>
      <c r="F716" s="39"/>
      <c r="G716" s="39"/>
      <c r="H716" s="38"/>
      <c r="I716" s="37"/>
      <c r="J716" s="38"/>
    </row>
    <row r="717" customFormat="false" ht="25.5" hidden="false" customHeight="true" outlineLevel="0" collapsed="false">
      <c r="A717" s="36"/>
      <c r="B717" s="37"/>
      <c r="C717" s="38"/>
      <c r="D717" s="38"/>
      <c r="E717" s="38"/>
      <c r="F717" s="39"/>
      <c r="G717" s="39"/>
      <c r="H717" s="38"/>
      <c r="I717" s="37"/>
      <c r="J717" s="38"/>
    </row>
    <row r="718" customFormat="false" ht="25.5" hidden="false" customHeight="true" outlineLevel="0" collapsed="false">
      <c r="A718" s="36"/>
      <c r="B718" s="37"/>
      <c r="C718" s="38"/>
      <c r="D718" s="38"/>
      <c r="E718" s="38"/>
      <c r="F718" s="39"/>
      <c r="G718" s="39"/>
      <c r="H718" s="38"/>
      <c r="I718" s="37"/>
      <c r="J718" s="38"/>
    </row>
    <row r="719" customFormat="false" ht="25.5" hidden="false" customHeight="true" outlineLevel="0" collapsed="false">
      <c r="A719" s="36"/>
      <c r="B719" s="37"/>
      <c r="C719" s="38"/>
      <c r="D719" s="38"/>
      <c r="E719" s="38"/>
      <c r="F719" s="39"/>
      <c r="G719" s="39"/>
      <c r="H719" s="38"/>
      <c r="I719" s="37"/>
      <c r="J719" s="38"/>
    </row>
    <row r="720" customFormat="false" ht="25.5" hidden="false" customHeight="true" outlineLevel="0" collapsed="false">
      <c r="A720" s="36"/>
      <c r="B720" s="37"/>
      <c r="C720" s="38"/>
      <c r="D720" s="38"/>
      <c r="E720" s="38"/>
      <c r="F720" s="39"/>
      <c r="G720" s="39"/>
      <c r="H720" s="38"/>
      <c r="I720" s="37"/>
      <c r="J720" s="38"/>
    </row>
    <row r="721" customFormat="false" ht="25.5" hidden="false" customHeight="true" outlineLevel="0" collapsed="false">
      <c r="A721" s="36"/>
      <c r="B721" s="37"/>
      <c r="C721" s="38"/>
      <c r="D721" s="38"/>
      <c r="E721" s="38"/>
      <c r="F721" s="39"/>
      <c r="G721" s="39"/>
      <c r="H721" s="38"/>
      <c r="I721" s="37"/>
      <c r="J721" s="38"/>
    </row>
    <row r="722" customFormat="false" ht="25.5" hidden="false" customHeight="true" outlineLevel="0" collapsed="false">
      <c r="A722" s="36"/>
      <c r="B722" s="37"/>
      <c r="C722" s="38"/>
      <c r="D722" s="38"/>
      <c r="E722" s="38"/>
      <c r="F722" s="39"/>
      <c r="G722" s="39"/>
      <c r="H722" s="38"/>
      <c r="I722" s="37"/>
      <c r="J722" s="38"/>
    </row>
    <row r="723" customFormat="false" ht="25.5" hidden="false" customHeight="true" outlineLevel="0" collapsed="false">
      <c r="A723" s="36"/>
      <c r="B723" s="37"/>
      <c r="C723" s="38"/>
      <c r="D723" s="38"/>
      <c r="E723" s="38"/>
      <c r="F723" s="39"/>
      <c r="G723" s="39"/>
      <c r="H723" s="38"/>
      <c r="I723" s="37"/>
      <c r="J723" s="38"/>
    </row>
    <row r="724" customFormat="false" ht="25.5" hidden="false" customHeight="true" outlineLevel="0" collapsed="false">
      <c r="A724" s="36"/>
      <c r="B724" s="37"/>
      <c r="C724" s="38"/>
      <c r="D724" s="38"/>
      <c r="E724" s="38"/>
      <c r="F724" s="39"/>
      <c r="G724" s="39"/>
      <c r="H724" s="38"/>
      <c r="I724" s="37"/>
      <c r="J724" s="38"/>
    </row>
    <row r="725" customFormat="false" ht="25.5" hidden="false" customHeight="true" outlineLevel="0" collapsed="false">
      <c r="A725" s="36"/>
      <c r="B725" s="37"/>
      <c r="C725" s="38"/>
      <c r="D725" s="38"/>
      <c r="E725" s="38"/>
      <c r="F725" s="39"/>
      <c r="G725" s="39"/>
      <c r="H725" s="38"/>
      <c r="I725" s="37"/>
      <c r="J725" s="38"/>
    </row>
    <row r="726" customFormat="false" ht="25.5" hidden="false" customHeight="true" outlineLevel="0" collapsed="false">
      <c r="A726" s="36"/>
      <c r="B726" s="37"/>
      <c r="C726" s="38"/>
      <c r="D726" s="38"/>
      <c r="E726" s="38"/>
      <c r="F726" s="39"/>
      <c r="G726" s="39"/>
      <c r="H726" s="38"/>
      <c r="I726" s="37"/>
      <c r="J726" s="38"/>
    </row>
    <row r="727" customFormat="false" ht="25.5" hidden="false" customHeight="true" outlineLevel="0" collapsed="false">
      <c r="A727" s="36"/>
      <c r="B727" s="37"/>
      <c r="C727" s="38"/>
      <c r="D727" s="38"/>
      <c r="E727" s="38"/>
      <c r="F727" s="39"/>
      <c r="G727" s="39"/>
      <c r="H727" s="38"/>
      <c r="I727" s="37"/>
      <c r="J727" s="38"/>
    </row>
    <row r="728" customFormat="false" ht="25.5" hidden="false" customHeight="true" outlineLevel="0" collapsed="false">
      <c r="A728" s="36"/>
      <c r="B728" s="37"/>
      <c r="C728" s="38"/>
      <c r="D728" s="38"/>
      <c r="E728" s="38"/>
      <c r="F728" s="39"/>
      <c r="G728" s="39"/>
      <c r="H728" s="38"/>
      <c r="I728" s="37"/>
      <c r="J728" s="38"/>
    </row>
    <row r="729" customFormat="false" ht="25.5" hidden="false" customHeight="true" outlineLevel="0" collapsed="false">
      <c r="A729" s="36"/>
      <c r="B729" s="37"/>
      <c r="C729" s="38"/>
      <c r="D729" s="38"/>
      <c r="E729" s="38"/>
      <c r="F729" s="39"/>
      <c r="G729" s="39"/>
      <c r="H729" s="38"/>
      <c r="I729" s="37"/>
      <c r="J729" s="38"/>
    </row>
    <row r="730" customFormat="false" ht="25.5" hidden="false" customHeight="true" outlineLevel="0" collapsed="false">
      <c r="A730" s="36"/>
      <c r="B730" s="37"/>
      <c r="C730" s="38"/>
      <c r="D730" s="38"/>
      <c r="E730" s="38"/>
      <c r="F730" s="39"/>
      <c r="G730" s="39"/>
      <c r="H730" s="38"/>
      <c r="I730" s="37"/>
      <c r="J730" s="38"/>
    </row>
    <row r="731" customFormat="false" ht="25.5" hidden="false" customHeight="true" outlineLevel="0" collapsed="false">
      <c r="A731" s="36"/>
      <c r="B731" s="37"/>
      <c r="C731" s="38"/>
      <c r="D731" s="38"/>
      <c r="E731" s="38"/>
      <c r="F731" s="39"/>
      <c r="G731" s="39"/>
      <c r="H731" s="38"/>
      <c r="I731" s="37"/>
      <c r="J731" s="38"/>
    </row>
    <row r="732" customFormat="false" ht="25.5" hidden="false" customHeight="true" outlineLevel="0" collapsed="false">
      <c r="A732" s="36"/>
      <c r="B732" s="37"/>
      <c r="C732" s="38"/>
      <c r="D732" s="38"/>
      <c r="E732" s="38"/>
      <c r="F732" s="39"/>
      <c r="G732" s="39"/>
      <c r="H732" s="38"/>
      <c r="I732" s="37"/>
      <c r="J732" s="38"/>
    </row>
    <row r="733" customFormat="false" ht="25.5" hidden="false" customHeight="true" outlineLevel="0" collapsed="false">
      <c r="A733" s="36"/>
      <c r="B733" s="37"/>
      <c r="C733" s="38"/>
      <c r="D733" s="38"/>
      <c r="E733" s="38"/>
      <c r="F733" s="39"/>
      <c r="G733" s="39"/>
      <c r="H733" s="38"/>
      <c r="I733" s="37"/>
      <c r="J733" s="38"/>
    </row>
    <row r="734" customFormat="false" ht="25.5" hidden="false" customHeight="true" outlineLevel="0" collapsed="false">
      <c r="A734" s="36"/>
      <c r="B734" s="37"/>
      <c r="C734" s="38"/>
      <c r="D734" s="38"/>
      <c r="E734" s="38"/>
      <c r="F734" s="39"/>
      <c r="G734" s="39"/>
      <c r="H734" s="38"/>
      <c r="I734" s="37"/>
      <c r="J734" s="38"/>
    </row>
    <row r="735" customFormat="false" ht="25.5" hidden="false" customHeight="true" outlineLevel="0" collapsed="false">
      <c r="A735" s="36"/>
      <c r="B735" s="37"/>
      <c r="C735" s="38"/>
      <c r="D735" s="38"/>
      <c r="E735" s="38"/>
      <c r="F735" s="39"/>
      <c r="G735" s="39"/>
      <c r="H735" s="38"/>
      <c r="I735" s="37"/>
      <c r="J735" s="38"/>
    </row>
    <row r="736" customFormat="false" ht="25.5" hidden="false" customHeight="true" outlineLevel="0" collapsed="false">
      <c r="A736" s="36"/>
      <c r="B736" s="37"/>
      <c r="C736" s="38"/>
      <c r="D736" s="38"/>
      <c r="E736" s="38"/>
      <c r="F736" s="39"/>
      <c r="G736" s="39"/>
      <c r="H736" s="38"/>
      <c r="I736" s="37"/>
      <c r="J736" s="38"/>
    </row>
    <row r="737" customFormat="false" ht="25.5" hidden="false" customHeight="true" outlineLevel="0" collapsed="false">
      <c r="A737" s="36"/>
      <c r="B737" s="37"/>
      <c r="C737" s="38"/>
      <c r="D737" s="38"/>
      <c r="E737" s="38"/>
      <c r="F737" s="39"/>
      <c r="G737" s="39"/>
      <c r="H737" s="38"/>
      <c r="I737" s="37"/>
      <c r="J737" s="38"/>
    </row>
    <row r="738" customFormat="false" ht="25.5" hidden="false" customHeight="true" outlineLevel="0" collapsed="false">
      <c r="A738" s="36"/>
      <c r="B738" s="37"/>
      <c r="C738" s="38"/>
      <c r="D738" s="38"/>
      <c r="E738" s="38"/>
      <c r="F738" s="39"/>
      <c r="G738" s="39"/>
      <c r="H738" s="38"/>
      <c r="I738" s="37"/>
      <c r="J738" s="38"/>
    </row>
    <row r="739" customFormat="false" ht="25.5" hidden="false" customHeight="true" outlineLevel="0" collapsed="false">
      <c r="A739" s="36"/>
      <c r="B739" s="37"/>
      <c r="C739" s="38"/>
      <c r="D739" s="38"/>
      <c r="E739" s="38"/>
      <c r="F739" s="39"/>
      <c r="G739" s="39"/>
      <c r="H739" s="38"/>
      <c r="I739" s="37"/>
      <c r="J739" s="38"/>
    </row>
    <row r="740" customFormat="false" ht="25.5" hidden="false" customHeight="true" outlineLevel="0" collapsed="false">
      <c r="A740" s="36"/>
      <c r="B740" s="37"/>
      <c r="C740" s="38"/>
      <c r="D740" s="38"/>
      <c r="E740" s="38"/>
      <c r="F740" s="39"/>
      <c r="G740" s="39"/>
      <c r="H740" s="38"/>
      <c r="I740" s="37"/>
      <c r="J740" s="38"/>
    </row>
    <row r="741" customFormat="false" ht="25.5" hidden="false" customHeight="true" outlineLevel="0" collapsed="false">
      <c r="A741" s="36"/>
      <c r="B741" s="37"/>
      <c r="C741" s="38"/>
      <c r="D741" s="38"/>
      <c r="E741" s="38"/>
      <c r="F741" s="39"/>
      <c r="G741" s="39"/>
      <c r="H741" s="38"/>
      <c r="I741" s="37"/>
      <c r="J741" s="38"/>
    </row>
    <row r="742" customFormat="false" ht="25.5" hidden="false" customHeight="true" outlineLevel="0" collapsed="false">
      <c r="A742" s="36"/>
      <c r="B742" s="37"/>
      <c r="C742" s="38"/>
      <c r="D742" s="38"/>
      <c r="E742" s="38"/>
      <c r="F742" s="39"/>
      <c r="G742" s="39"/>
      <c r="H742" s="38"/>
      <c r="I742" s="37"/>
      <c r="J742" s="38"/>
    </row>
    <row r="743" customFormat="false" ht="25.5" hidden="false" customHeight="true" outlineLevel="0" collapsed="false">
      <c r="A743" s="36"/>
      <c r="B743" s="37"/>
      <c r="C743" s="38"/>
      <c r="D743" s="38"/>
      <c r="E743" s="38"/>
      <c r="F743" s="39"/>
      <c r="G743" s="39"/>
      <c r="H743" s="38"/>
      <c r="I743" s="37"/>
      <c r="J743" s="38"/>
    </row>
    <row r="744" customFormat="false" ht="25.5" hidden="false" customHeight="true" outlineLevel="0" collapsed="false">
      <c r="A744" s="36"/>
      <c r="B744" s="37"/>
      <c r="C744" s="38"/>
      <c r="D744" s="38"/>
      <c r="E744" s="38"/>
      <c r="F744" s="39"/>
      <c r="G744" s="39"/>
      <c r="H744" s="38"/>
      <c r="I744" s="37"/>
      <c r="J744" s="38"/>
    </row>
    <row r="745" customFormat="false" ht="25.5" hidden="false" customHeight="true" outlineLevel="0" collapsed="false">
      <c r="A745" s="36"/>
      <c r="B745" s="37"/>
      <c r="C745" s="38"/>
      <c r="D745" s="38"/>
      <c r="E745" s="38"/>
      <c r="F745" s="39"/>
      <c r="G745" s="39"/>
      <c r="H745" s="38"/>
      <c r="I745" s="37"/>
      <c r="J745" s="38"/>
    </row>
    <row r="746" customFormat="false" ht="25.5" hidden="false" customHeight="true" outlineLevel="0" collapsed="false">
      <c r="A746" s="36"/>
      <c r="B746" s="37"/>
      <c r="C746" s="38"/>
      <c r="D746" s="38"/>
      <c r="E746" s="38"/>
      <c r="F746" s="39"/>
      <c r="G746" s="39"/>
      <c r="H746" s="38"/>
      <c r="I746" s="37"/>
      <c r="J746" s="38"/>
    </row>
    <row r="747" customFormat="false" ht="25.5" hidden="false" customHeight="true" outlineLevel="0" collapsed="false">
      <c r="A747" s="36"/>
      <c r="B747" s="37"/>
      <c r="C747" s="38"/>
      <c r="D747" s="38"/>
      <c r="E747" s="38"/>
      <c r="F747" s="39"/>
      <c r="G747" s="39"/>
      <c r="H747" s="38"/>
      <c r="I747" s="37"/>
      <c r="J747" s="38"/>
    </row>
    <row r="748" customFormat="false" ht="25.5" hidden="false" customHeight="true" outlineLevel="0" collapsed="false">
      <c r="A748" s="36"/>
      <c r="B748" s="37"/>
      <c r="C748" s="38"/>
      <c r="D748" s="38"/>
      <c r="E748" s="38"/>
      <c r="F748" s="39"/>
      <c r="G748" s="39"/>
      <c r="H748" s="38"/>
      <c r="I748" s="37"/>
      <c r="J748" s="38"/>
    </row>
    <row r="749" customFormat="false" ht="25.5" hidden="false" customHeight="true" outlineLevel="0" collapsed="false">
      <c r="A749" s="36"/>
      <c r="B749" s="37"/>
      <c r="C749" s="38"/>
      <c r="D749" s="38"/>
      <c r="E749" s="38"/>
      <c r="F749" s="39"/>
      <c r="G749" s="39"/>
      <c r="H749" s="38"/>
      <c r="I749" s="37"/>
      <c r="J749" s="38"/>
    </row>
    <row r="750" customFormat="false" ht="25.5" hidden="false" customHeight="true" outlineLevel="0" collapsed="false">
      <c r="A750" s="36"/>
      <c r="B750" s="37"/>
      <c r="C750" s="38"/>
      <c r="D750" s="38"/>
      <c r="E750" s="38"/>
      <c r="F750" s="39"/>
      <c r="G750" s="39"/>
      <c r="H750" s="38"/>
      <c r="I750" s="37"/>
      <c r="J750" s="38"/>
    </row>
    <row r="751" customFormat="false" ht="25.5" hidden="false" customHeight="true" outlineLevel="0" collapsed="false">
      <c r="A751" s="36"/>
      <c r="B751" s="37"/>
      <c r="C751" s="38"/>
      <c r="D751" s="38"/>
      <c r="E751" s="38"/>
      <c r="F751" s="39"/>
      <c r="G751" s="39"/>
      <c r="H751" s="38"/>
      <c r="I751" s="37"/>
      <c r="J751" s="38"/>
    </row>
    <row r="752" customFormat="false" ht="25.5" hidden="false" customHeight="true" outlineLevel="0" collapsed="false">
      <c r="A752" s="36"/>
      <c r="B752" s="37"/>
      <c r="C752" s="38"/>
      <c r="D752" s="38"/>
      <c r="E752" s="38"/>
      <c r="F752" s="39"/>
      <c r="G752" s="39"/>
      <c r="H752" s="38"/>
      <c r="I752" s="37"/>
      <c r="J752" s="38"/>
    </row>
    <row r="753" customFormat="false" ht="25.5" hidden="false" customHeight="true" outlineLevel="0" collapsed="false">
      <c r="A753" s="36"/>
      <c r="B753" s="37"/>
      <c r="C753" s="38"/>
      <c r="D753" s="38"/>
      <c r="E753" s="38"/>
      <c r="F753" s="39"/>
      <c r="G753" s="39"/>
      <c r="H753" s="38"/>
      <c r="I753" s="37"/>
      <c r="J753" s="38"/>
    </row>
    <row r="754" customFormat="false" ht="25.5" hidden="false" customHeight="true" outlineLevel="0" collapsed="false">
      <c r="A754" s="36"/>
      <c r="B754" s="37"/>
      <c r="C754" s="38"/>
      <c r="D754" s="38"/>
      <c r="E754" s="38"/>
      <c r="F754" s="39"/>
      <c r="G754" s="39"/>
      <c r="H754" s="38"/>
      <c r="I754" s="37"/>
      <c r="J754" s="38"/>
    </row>
    <row r="755" customFormat="false" ht="25.5" hidden="false" customHeight="true" outlineLevel="0" collapsed="false">
      <c r="A755" s="36"/>
      <c r="B755" s="37"/>
      <c r="C755" s="38"/>
      <c r="D755" s="38"/>
      <c r="E755" s="38"/>
      <c r="F755" s="39"/>
      <c r="G755" s="39"/>
      <c r="H755" s="38"/>
      <c r="I755" s="37"/>
      <c r="J755" s="38"/>
    </row>
    <row r="756" customFormat="false" ht="25.5" hidden="false" customHeight="true" outlineLevel="0" collapsed="false">
      <c r="A756" s="36"/>
      <c r="B756" s="37"/>
      <c r="C756" s="38"/>
      <c r="D756" s="38"/>
      <c r="E756" s="38"/>
      <c r="F756" s="39"/>
      <c r="G756" s="39"/>
      <c r="H756" s="38"/>
      <c r="I756" s="37"/>
      <c r="J756" s="38"/>
    </row>
    <row r="757" customFormat="false" ht="25.5" hidden="false" customHeight="true" outlineLevel="0" collapsed="false">
      <c r="A757" s="36"/>
      <c r="B757" s="37"/>
      <c r="C757" s="38"/>
      <c r="D757" s="38"/>
      <c r="E757" s="38"/>
      <c r="F757" s="39"/>
      <c r="G757" s="39"/>
      <c r="H757" s="38"/>
      <c r="I757" s="37"/>
      <c r="J757" s="38"/>
    </row>
    <row r="758" customFormat="false" ht="25.5" hidden="false" customHeight="true" outlineLevel="0" collapsed="false">
      <c r="A758" s="36"/>
      <c r="B758" s="37"/>
      <c r="C758" s="38"/>
      <c r="D758" s="38"/>
      <c r="E758" s="38"/>
      <c r="F758" s="39"/>
      <c r="G758" s="39"/>
      <c r="H758" s="38"/>
      <c r="I758" s="37"/>
      <c r="J758" s="38"/>
    </row>
    <row r="759" customFormat="false" ht="25.5" hidden="false" customHeight="true" outlineLevel="0" collapsed="false">
      <c r="A759" s="36"/>
      <c r="B759" s="37"/>
      <c r="C759" s="38"/>
      <c r="D759" s="38"/>
      <c r="E759" s="38"/>
      <c r="F759" s="39"/>
      <c r="G759" s="39"/>
      <c r="H759" s="38"/>
      <c r="I759" s="37"/>
      <c r="J759" s="38"/>
    </row>
    <row r="760" customFormat="false" ht="25.5" hidden="false" customHeight="true" outlineLevel="0" collapsed="false">
      <c r="A760" s="36"/>
      <c r="B760" s="37"/>
      <c r="C760" s="38"/>
      <c r="D760" s="38"/>
      <c r="E760" s="38"/>
      <c r="F760" s="39"/>
      <c r="G760" s="39"/>
      <c r="H760" s="38"/>
      <c r="I760" s="37"/>
      <c r="J760" s="38"/>
    </row>
    <row r="761" customFormat="false" ht="25.5" hidden="false" customHeight="true" outlineLevel="0" collapsed="false">
      <c r="A761" s="36"/>
      <c r="B761" s="37"/>
      <c r="C761" s="38"/>
      <c r="D761" s="38"/>
      <c r="E761" s="38"/>
      <c r="F761" s="39"/>
      <c r="G761" s="39"/>
      <c r="H761" s="38"/>
      <c r="I761" s="37"/>
      <c r="J761" s="38"/>
    </row>
    <row r="762" customFormat="false" ht="25.5" hidden="false" customHeight="true" outlineLevel="0" collapsed="false">
      <c r="A762" s="36"/>
      <c r="B762" s="37"/>
      <c r="C762" s="38"/>
      <c r="D762" s="38"/>
      <c r="E762" s="38"/>
      <c r="F762" s="39"/>
      <c r="G762" s="39"/>
      <c r="H762" s="38"/>
      <c r="I762" s="37"/>
      <c r="J762" s="38"/>
    </row>
    <row r="763" customFormat="false" ht="25.5" hidden="false" customHeight="true" outlineLevel="0" collapsed="false">
      <c r="A763" s="36"/>
      <c r="B763" s="37"/>
      <c r="C763" s="38"/>
      <c r="D763" s="38"/>
      <c r="E763" s="38"/>
      <c r="F763" s="39"/>
      <c r="G763" s="39"/>
      <c r="H763" s="38"/>
      <c r="I763" s="37"/>
      <c r="J763" s="38"/>
    </row>
    <row r="764" customFormat="false" ht="25.5" hidden="false" customHeight="true" outlineLevel="0" collapsed="false">
      <c r="A764" s="36"/>
      <c r="B764" s="37"/>
      <c r="C764" s="38"/>
      <c r="D764" s="38"/>
      <c r="E764" s="38"/>
      <c r="F764" s="39"/>
      <c r="G764" s="39"/>
      <c r="H764" s="38"/>
      <c r="I764" s="37"/>
      <c r="J764" s="38"/>
    </row>
    <row r="765" customFormat="false" ht="25.5" hidden="false" customHeight="true" outlineLevel="0" collapsed="false">
      <c r="A765" s="36"/>
      <c r="B765" s="37"/>
      <c r="C765" s="38"/>
      <c r="D765" s="38"/>
      <c r="E765" s="38"/>
      <c r="F765" s="39"/>
      <c r="G765" s="39"/>
      <c r="H765" s="38"/>
      <c r="I765" s="37"/>
      <c r="J765" s="38"/>
    </row>
    <row r="766" customFormat="false" ht="25.5" hidden="false" customHeight="true" outlineLevel="0" collapsed="false">
      <c r="A766" s="36"/>
      <c r="B766" s="37"/>
      <c r="C766" s="38"/>
      <c r="D766" s="38"/>
      <c r="E766" s="38"/>
      <c r="F766" s="39"/>
      <c r="G766" s="39"/>
      <c r="H766" s="38"/>
      <c r="I766" s="37"/>
      <c r="J766" s="38"/>
    </row>
    <row r="767" customFormat="false" ht="25.5" hidden="false" customHeight="true" outlineLevel="0" collapsed="false">
      <c r="A767" s="36"/>
      <c r="B767" s="37"/>
      <c r="C767" s="38"/>
      <c r="D767" s="38"/>
      <c r="E767" s="38"/>
      <c r="F767" s="39"/>
      <c r="G767" s="39"/>
      <c r="H767" s="38"/>
      <c r="I767" s="37"/>
      <c r="J767" s="38"/>
    </row>
    <row r="768" customFormat="false" ht="25.5" hidden="false" customHeight="true" outlineLevel="0" collapsed="false">
      <c r="A768" s="36"/>
      <c r="B768" s="37"/>
      <c r="C768" s="38"/>
      <c r="D768" s="38"/>
      <c r="E768" s="38"/>
      <c r="F768" s="39"/>
      <c r="G768" s="39"/>
      <c r="H768" s="38"/>
      <c r="I768" s="37"/>
      <c r="J768" s="38"/>
    </row>
    <row r="769" customFormat="false" ht="25.5" hidden="false" customHeight="true" outlineLevel="0" collapsed="false">
      <c r="A769" s="36"/>
      <c r="B769" s="37"/>
      <c r="C769" s="38"/>
      <c r="D769" s="38"/>
      <c r="E769" s="38"/>
      <c r="F769" s="39"/>
      <c r="G769" s="39"/>
      <c r="H769" s="38"/>
      <c r="I769" s="37"/>
      <c r="J769" s="38"/>
    </row>
    <row r="770" customFormat="false" ht="25.5" hidden="false" customHeight="true" outlineLevel="0" collapsed="false">
      <c r="A770" s="36"/>
      <c r="B770" s="37"/>
      <c r="C770" s="38"/>
      <c r="D770" s="38"/>
      <c r="E770" s="38"/>
      <c r="F770" s="39"/>
      <c r="G770" s="39"/>
      <c r="H770" s="38"/>
      <c r="I770" s="37"/>
      <c r="J770" s="38"/>
    </row>
    <row r="771" customFormat="false" ht="25.5" hidden="false" customHeight="true" outlineLevel="0" collapsed="false">
      <c r="A771" s="36"/>
      <c r="B771" s="37"/>
      <c r="C771" s="38"/>
      <c r="D771" s="38"/>
      <c r="E771" s="38"/>
      <c r="F771" s="39"/>
      <c r="G771" s="39"/>
      <c r="H771" s="38"/>
      <c r="I771" s="37"/>
      <c r="J771" s="38"/>
    </row>
    <row r="772" customFormat="false" ht="25.5" hidden="false" customHeight="true" outlineLevel="0" collapsed="false">
      <c r="A772" s="36"/>
      <c r="B772" s="37"/>
      <c r="C772" s="38"/>
      <c r="D772" s="38"/>
      <c r="E772" s="38"/>
      <c r="F772" s="39"/>
      <c r="G772" s="39"/>
      <c r="H772" s="38"/>
      <c r="I772" s="37"/>
      <c r="J772" s="38"/>
    </row>
    <row r="773" customFormat="false" ht="25.5" hidden="false" customHeight="true" outlineLevel="0" collapsed="false">
      <c r="A773" s="36"/>
      <c r="B773" s="37"/>
      <c r="C773" s="38"/>
      <c r="D773" s="38"/>
      <c r="E773" s="38"/>
      <c r="F773" s="39"/>
      <c r="G773" s="39"/>
      <c r="H773" s="38"/>
      <c r="I773" s="37"/>
      <c r="J773" s="38"/>
    </row>
    <row r="774" customFormat="false" ht="25.5" hidden="false" customHeight="true" outlineLevel="0" collapsed="false">
      <c r="A774" s="36"/>
      <c r="B774" s="37"/>
      <c r="C774" s="38"/>
      <c r="D774" s="38"/>
      <c r="E774" s="38"/>
      <c r="F774" s="39"/>
      <c r="G774" s="39"/>
      <c r="H774" s="38"/>
      <c r="I774" s="37"/>
      <c r="J774" s="38"/>
    </row>
    <row r="775" customFormat="false" ht="25.5" hidden="false" customHeight="true" outlineLevel="0" collapsed="false">
      <c r="A775" s="36"/>
      <c r="B775" s="37"/>
      <c r="C775" s="38"/>
      <c r="D775" s="38"/>
      <c r="E775" s="38"/>
      <c r="F775" s="39"/>
      <c r="G775" s="39"/>
      <c r="H775" s="38"/>
      <c r="I775" s="37"/>
      <c r="J775" s="38"/>
    </row>
    <row r="776" customFormat="false" ht="25.5" hidden="false" customHeight="true" outlineLevel="0" collapsed="false">
      <c r="A776" s="36"/>
      <c r="B776" s="37"/>
      <c r="C776" s="38"/>
      <c r="D776" s="38"/>
      <c r="E776" s="38"/>
      <c r="F776" s="39"/>
      <c r="G776" s="39"/>
      <c r="H776" s="38"/>
      <c r="I776" s="37"/>
      <c r="J776" s="38"/>
    </row>
    <row r="777" customFormat="false" ht="25.5" hidden="false" customHeight="true" outlineLevel="0" collapsed="false">
      <c r="A777" s="36"/>
      <c r="B777" s="37"/>
      <c r="C777" s="38"/>
      <c r="D777" s="38"/>
      <c r="E777" s="38"/>
      <c r="F777" s="39"/>
      <c r="G777" s="39"/>
      <c r="H777" s="38"/>
      <c r="I777" s="37"/>
      <c r="J777" s="38"/>
    </row>
    <row r="778" customFormat="false" ht="25.5" hidden="false" customHeight="true" outlineLevel="0" collapsed="false">
      <c r="A778" s="36"/>
      <c r="B778" s="37"/>
      <c r="C778" s="38"/>
      <c r="D778" s="38"/>
      <c r="E778" s="38"/>
      <c r="F778" s="39"/>
      <c r="G778" s="39"/>
      <c r="H778" s="38"/>
      <c r="I778" s="37"/>
      <c r="J778" s="38"/>
    </row>
    <row r="779" customFormat="false" ht="25.5" hidden="false" customHeight="true" outlineLevel="0" collapsed="false">
      <c r="A779" s="36"/>
      <c r="B779" s="37"/>
      <c r="C779" s="38"/>
      <c r="D779" s="38"/>
      <c r="E779" s="38"/>
      <c r="F779" s="39"/>
      <c r="G779" s="39"/>
      <c r="H779" s="38"/>
      <c r="I779" s="37"/>
      <c r="J779" s="38"/>
    </row>
    <row r="780" customFormat="false" ht="25.5" hidden="false" customHeight="true" outlineLevel="0" collapsed="false">
      <c r="A780" s="36"/>
      <c r="B780" s="37"/>
      <c r="C780" s="38"/>
      <c r="D780" s="38"/>
      <c r="E780" s="38"/>
      <c r="F780" s="39"/>
      <c r="G780" s="39"/>
      <c r="H780" s="38"/>
      <c r="I780" s="37"/>
      <c r="J780" s="38"/>
    </row>
    <row r="781" customFormat="false" ht="25.5" hidden="false" customHeight="true" outlineLevel="0" collapsed="false">
      <c r="A781" s="36"/>
      <c r="B781" s="37"/>
      <c r="C781" s="38"/>
      <c r="D781" s="38"/>
      <c r="E781" s="38"/>
      <c r="F781" s="39"/>
      <c r="G781" s="39"/>
      <c r="H781" s="38"/>
      <c r="I781" s="37"/>
      <c r="J781" s="38"/>
    </row>
    <row r="782" customFormat="false" ht="25.5" hidden="false" customHeight="true" outlineLevel="0" collapsed="false">
      <c r="A782" s="36"/>
      <c r="B782" s="37"/>
      <c r="C782" s="38"/>
      <c r="D782" s="38"/>
      <c r="E782" s="38"/>
      <c r="F782" s="39"/>
      <c r="G782" s="39"/>
      <c r="H782" s="38"/>
      <c r="I782" s="37"/>
      <c r="J782" s="38"/>
    </row>
    <row r="783" customFormat="false" ht="25.5" hidden="false" customHeight="true" outlineLevel="0" collapsed="false">
      <c r="A783" s="36"/>
      <c r="B783" s="37"/>
      <c r="C783" s="38"/>
      <c r="D783" s="38"/>
      <c r="E783" s="38"/>
      <c r="F783" s="39"/>
      <c r="G783" s="39"/>
      <c r="H783" s="38"/>
      <c r="I783" s="37"/>
      <c r="J783" s="38"/>
    </row>
    <row r="784" customFormat="false" ht="25.5" hidden="false" customHeight="true" outlineLevel="0" collapsed="false">
      <c r="A784" s="36"/>
      <c r="B784" s="37"/>
      <c r="C784" s="38"/>
      <c r="D784" s="38"/>
      <c r="E784" s="38"/>
      <c r="F784" s="39"/>
      <c r="G784" s="39"/>
      <c r="H784" s="38"/>
      <c r="I784" s="37"/>
      <c r="J784" s="38"/>
    </row>
    <row r="785" customFormat="false" ht="25.5" hidden="false" customHeight="true" outlineLevel="0" collapsed="false">
      <c r="A785" s="36"/>
      <c r="B785" s="37"/>
      <c r="C785" s="38"/>
      <c r="D785" s="38"/>
      <c r="E785" s="38"/>
      <c r="F785" s="39"/>
      <c r="G785" s="39"/>
      <c r="H785" s="38"/>
      <c r="I785" s="37"/>
      <c r="J785" s="38"/>
    </row>
    <row r="786" customFormat="false" ht="25.5" hidden="false" customHeight="true" outlineLevel="0" collapsed="false">
      <c r="A786" s="36"/>
      <c r="B786" s="37"/>
      <c r="C786" s="38"/>
      <c r="D786" s="38"/>
      <c r="E786" s="38"/>
      <c r="F786" s="39"/>
      <c r="G786" s="39"/>
      <c r="H786" s="38"/>
      <c r="I786" s="37"/>
      <c r="J786" s="38"/>
    </row>
    <row r="787" customFormat="false" ht="25.5" hidden="false" customHeight="true" outlineLevel="0" collapsed="false">
      <c r="A787" s="36"/>
      <c r="B787" s="37"/>
      <c r="C787" s="38"/>
      <c r="D787" s="38"/>
      <c r="E787" s="38"/>
      <c r="F787" s="39"/>
      <c r="G787" s="39"/>
      <c r="H787" s="38"/>
      <c r="I787" s="37"/>
      <c r="J787" s="38"/>
    </row>
    <row r="788" customFormat="false" ht="25.5" hidden="false" customHeight="true" outlineLevel="0" collapsed="false">
      <c r="A788" s="36"/>
      <c r="B788" s="37"/>
      <c r="C788" s="38"/>
      <c r="D788" s="38"/>
      <c r="E788" s="38"/>
      <c r="F788" s="39"/>
      <c r="G788" s="39"/>
      <c r="H788" s="38"/>
      <c r="I788" s="37"/>
      <c r="J788" s="38"/>
    </row>
    <row r="789" customFormat="false" ht="25.5" hidden="false" customHeight="true" outlineLevel="0" collapsed="false">
      <c r="A789" s="36"/>
      <c r="B789" s="37"/>
      <c r="C789" s="38"/>
      <c r="D789" s="38"/>
      <c r="E789" s="38"/>
      <c r="F789" s="39"/>
      <c r="G789" s="39"/>
      <c r="H789" s="38"/>
      <c r="I789" s="37"/>
      <c r="J789" s="38"/>
    </row>
    <row r="790" customFormat="false" ht="25.5" hidden="false" customHeight="true" outlineLevel="0" collapsed="false">
      <c r="A790" s="36"/>
      <c r="B790" s="37"/>
      <c r="C790" s="38"/>
      <c r="D790" s="38"/>
      <c r="E790" s="38"/>
      <c r="F790" s="39"/>
      <c r="G790" s="39"/>
      <c r="H790" s="38"/>
      <c r="I790" s="37"/>
      <c r="J790" s="38"/>
    </row>
    <row r="791" customFormat="false" ht="25.5" hidden="false" customHeight="true" outlineLevel="0" collapsed="false">
      <c r="A791" s="36"/>
      <c r="B791" s="37"/>
      <c r="C791" s="38"/>
      <c r="D791" s="38"/>
      <c r="E791" s="38"/>
      <c r="F791" s="39"/>
      <c r="G791" s="39"/>
      <c r="H791" s="38"/>
      <c r="I791" s="37"/>
      <c r="J791" s="38"/>
    </row>
    <row r="792" customFormat="false" ht="25.5" hidden="false" customHeight="true" outlineLevel="0" collapsed="false">
      <c r="A792" s="36"/>
      <c r="B792" s="37"/>
      <c r="C792" s="38"/>
      <c r="D792" s="38"/>
      <c r="E792" s="38"/>
      <c r="F792" s="39"/>
      <c r="G792" s="39"/>
      <c r="H792" s="38"/>
      <c r="I792" s="37"/>
      <c r="J792" s="38"/>
    </row>
    <row r="793" customFormat="false" ht="25.5" hidden="false" customHeight="true" outlineLevel="0" collapsed="false">
      <c r="A793" s="36"/>
      <c r="B793" s="37"/>
      <c r="C793" s="38"/>
      <c r="D793" s="38"/>
      <c r="E793" s="38"/>
      <c r="F793" s="39"/>
      <c r="G793" s="39"/>
      <c r="H793" s="38"/>
      <c r="I793" s="37"/>
      <c r="J793" s="38"/>
    </row>
    <row r="794" customFormat="false" ht="25.5" hidden="false" customHeight="true" outlineLevel="0" collapsed="false">
      <c r="A794" s="36"/>
      <c r="B794" s="37"/>
      <c r="C794" s="38"/>
      <c r="D794" s="38"/>
      <c r="E794" s="38"/>
      <c r="F794" s="39"/>
      <c r="G794" s="39"/>
      <c r="H794" s="38"/>
      <c r="I794" s="37"/>
      <c r="J794" s="38"/>
    </row>
    <row r="795" customFormat="false" ht="25.5" hidden="false" customHeight="true" outlineLevel="0" collapsed="false">
      <c r="A795" s="36"/>
      <c r="B795" s="37"/>
      <c r="C795" s="38"/>
      <c r="D795" s="38"/>
      <c r="E795" s="38"/>
      <c r="F795" s="39"/>
      <c r="G795" s="39"/>
      <c r="H795" s="38"/>
      <c r="I795" s="37"/>
      <c r="J795" s="38"/>
    </row>
    <row r="796" customFormat="false" ht="25.5" hidden="false" customHeight="true" outlineLevel="0" collapsed="false">
      <c r="A796" s="36"/>
      <c r="B796" s="37"/>
      <c r="C796" s="38"/>
      <c r="D796" s="38"/>
      <c r="E796" s="38"/>
      <c r="F796" s="39"/>
      <c r="G796" s="39"/>
      <c r="H796" s="38"/>
      <c r="I796" s="37"/>
      <c r="J796" s="38"/>
    </row>
    <row r="797" customFormat="false" ht="25.5" hidden="false" customHeight="true" outlineLevel="0" collapsed="false">
      <c r="A797" s="36"/>
      <c r="B797" s="37"/>
      <c r="C797" s="38"/>
      <c r="D797" s="38"/>
      <c r="E797" s="38"/>
      <c r="F797" s="39"/>
      <c r="G797" s="39"/>
      <c r="H797" s="38"/>
      <c r="I797" s="37"/>
      <c r="J797" s="38"/>
    </row>
    <row r="798" customFormat="false" ht="25.5" hidden="false" customHeight="true" outlineLevel="0" collapsed="false">
      <c r="A798" s="36"/>
      <c r="B798" s="37"/>
      <c r="C798" s="38"/>
      <c r="D798" s="38"/>
      <c r="E798" s="38"/>
      <c r="F798" s="39"/>
      <c r="G798" s="39"/>
      <c r="H798" s="38"/>
      <c r="I798" s="37"/>
      <c r="J798" s="38"/>
    </row>
    <row r="799" customFormat="false" ht="25.5" hidden="false" customHeight="true" outlineLevel="0" collapsed="false">
      <c r="A799" s="36"/>
      <c r="B799" s="37"/>
      <c r="C799" s="38"/>
      <c r="D799" s="38"/>
      <c r="E799" s="38"/>
      <c r="F799" s="39"/>
      <c r="G799" s="39"/>
      <c r="H799" s="38"/>
      <c r="I799" s="37"/>
      <c r="J799" s="38"/>
    </row>
    <row r="800" customFormat="false" ht="25.5" hidden="false" customHeight="true" outlineLevel="0" collapsed="false">
      <c r="A800" s="36"/>
      <c r="B800" s="37"/>
      <c r="C800" s="38"/>
      <c r="D800" s="38"/>
      <c r="E800" s="38"/>
      <c r="F800" s="39"/>
      <c r="G800" s="39"/>
      <c r="H800" s="38"/>
      <c r="I800" s="37"/>
      <c r="J800" s="38"/>
    </row>
    <row r="801" customFormat="false" ht="25.5" hidden="false" customHeight="true" outlineLevel="0" collapsed="false">
      <c r="A801" s="36"/>
      <c r="B801" s="37"/>
      <c r="C801" s="38"/>
      <c r="D801" s="38"/>
      <c r="E801" s="38"/>
      <c r="F801" s="39"/>
      <c r="G801" s="39"/>
      <c r="H801" s="38"/>
      <c r="I801" s="37"/>
      <c r="J801" s="38"/>
    </row>
    <row r="802" customFormat="false" ht="25.5" hidden="false" customHeight="true" outlineLevel="0" collapsed="false">
      <c r="A802" s="36"/>
      <c r="B802" s="37"/>
      <c r="C802" s="38"/>
      <c r="D802" s="38"/>
      <c r="E802" s="38"/>
      <c r="F802" s="39"/>
      <c r="G802" s="39"/>
      <c r="H802" s="38"/>
      <c r="I802" s="37"/>
      <c r="J802" s="38"/>
    </row>
    <row r="803" customFormat="false" ht="25.5" hidden="false" customHeight="true" outlineLevel="0" collapsed="false">
      <c r="A803" s="36"/>
      <c r="B803" s="37"/>
      <c r="C803" s="38"/>
      <c r="D803" s="38"/>
      <c r="E803" s="38"/>
      <c r="F803" s="39"/>
      <c r="G803" s="39"/>
      <c r="H803" s="38"/>
      <c r="I803" s="37"/>
      <c r="J803" s="38"/>
    </row>
    <row r="804" customFormat="false" ht="25.5" hidden="false" customHeight="true" outlineLevel="0" collapsed="false">
      <c r="A804" s="36"/>
      <c r="B804" s="37"/>
      <c r="C804" s="38"/>
      <c r="D804" s="38"/>
      <c r="E804" s="38"/>
      <c r="F804" s="39"/>
      <c r="G804" s="39"/>
      <c r="H804" s="38"/>
      <c r="I804" s="37"/>
      <c r="J804" s="38"/>
    </row>
    <row r="805" customFormat="false" ht="25.5" hidden="false" customHeight="true" outlineLevel="0" collapsed="false">
      <c r="A805" s="36"/>
      <c r="B805" s="37"/>
      <c r="C805" s="38"/>
      <c r="D805" s="38"/>
      <c r="E805" s="38"/>
      <c r="F805" s="39"/>
      <c r="G805" s="39"/>
      <c r="H805" s="38"/>
      <c r="I805" s="37"/>
      <c r="J805" s="38"/>
    </row>
    <row r="806" customFormat="false" ht="25.5" hidden="false" customHeight="true" outlineLevel="0" collapsed="false">
      <c r="A806" s="36"/>
      <c r="B806" s="37"/>
      <c r="C806" s="38"/>
      <c r="D806" s="38"/>
      <c r="E806" s="38"/>
      <c r="F806" s="39"/>
      <c r="G806" s="39"/>
      <c r="H806" s="38"/>
      <c r="I806" s="37"/>
      <c r="J806" s="38"/>
    </row>
    <row r="807" customFormat="false" ht="25.5" hidden="false" customHeight="true" outlineLevel="0" collapsed="false">
      <c r="A807" s="36"/>
      <c r="B807" s="37"/>
      <c r="C807" s="38"/>
      <c r="D807" s="38"/>
      <c r="E807" s="38"/>
      <c r="F807" s="39"/>
      <c r="G807" s="39"/>
      <c r="H807" s="38"/>
      <c r="I807" s="37"/>
      <c r="J807" s="38"/>
    </row>
    <row r="808" customFormat="false" ht="25.5" hidden="false" customHeight="true" outlineLevel="0" collapsed="false">
      <c r="A808" s="36"/>
      <c r="B808" s="37"/>
      <c r="C808" s="38"/>
      <c r="D808" s="38"/>
      <c r="E808" s="38"/>
      <c r="F808" s="39"/>
      <c r="G808" s="39"/>
      <c r="H808" s="38"/>
      <c r="I808" s="37"/>
      <c r="J808" s="38"/>
    </row>
    <row r="809" customFormat="false" ht="25.5" hidden="false" customHeight="true" outlineLevel="0" collapsed="false">
      <c r="A809" s="36"/>
      <c r="B809" s="37"/>
      <c r="C809" s="38"/>
      <c r="D809" s="38"/>
      <c r="E809" s="38"/>
      <c r="F809" s="39"/>
      <c r="G809" s="39"/>
      <c r="H809" s="38"/>
      <c r="I809" s="37"/>
      <c r="J809" s="38"/>
    </row>
    <row r="810" customFormat="false" ht="25.5" hidden="false" customHeight="true" outlineLevel="0" collapsed="false">
      <c r="A810" s="36"/>
      <c r="B810" s="37"/>
      <c r="C810" s="38"/>
      <c r="D810" s="38"/>
      <c r="E810" s="38"/>
      <c r="F810" s="39"/>
      <c r="G810" s="39"/>
      <c r="H810" s="38"/>
      <c r="I810" s="37"/>
      <c r="J810" s="38"/>
    </row>
    <row r="811" customFormat="false" ht="25.5" hidden="false" customHeight="true" outlineLevel="0" collapsed="false">
      <c r="A811" s="36"/>
      <c r="B811" s="37"/>
      <c r="C811" s="38"/>
      <c r="D811" s="38"/>
      <c r="E811" s="38"/>
      <c r="F811" s="39"/>
      <c r="G811" s="39"/>
      <c r="H811" s="38"/>
      <c r="I811" s="37"/>
      <c r="J811" s="38"/>
    </row>
    <row r="812" customFormat="false" ht="25.5" hidden="false" customHeight="true" outlineLevel="0" collapsed="false">
      <c r="A812" s="36"/>
      <c r="B812" s="37"/>
      <c r="C812" s="38"/>
      <c r="D812" s="38"/>
      <c r="E812" s="38"/>
      <c r="F812" s="39"/>
      <c r="G812" s="39"/>
      <c r="H812" s="38"/>
      <c r="I812" s="37"/>
      <c r="J812" s="38"/>
    </row>
    <row r="813" customFormat="false" ht="25.5" hidden="false" customHeight="true" outlineLevel="0" collapsed="false">
      <c r="A813" s="36"/>
      <c r="B813" s="37"/>
      <c r="C813" s="38"/>
      <c r="D813" s="38"/>
      <c r="E813" s="38"/>
      <c r="F813" s="39"/>
      <c r="G813" s="39"/>
      <c r="H813" s="38"/>
      <c r="I813" s="37"/>
      <c r="J813" s="38"/>
    </row>
    <row r="814" customFormat="false" ht="25.5" hidden="false" customHeight="true" outlineLevel="0" collapsed="false">
      <c r="A814" s="36"/>
      <c r="B814" s="37"/>
      <c r="C814" s="38"/>
      <c r="D814" s="38"/>
      <c r="E814" s="38"/>
      <c r="F814" s="39"/>
      <c r="G814" s="39"/>
      <c r="H814" s="38"/>
      <c r="I814" s="37"/>
      <c r="J814" s="38"/>
    </row>
    <row r="815" customFormat="false" ht="25.5" hidden="false" customHeight="true" outlineLevel="0" collapsed="false">
      <c r="A815" s="36"/>
      <c r="B815" s="37"/>
      <c r="C815" s="38"/>
      <c r="D815" s="38"/>
      <c r="E815" s="38"/>
      <c r="F815" s="39"/>
      <c r="G815" s="39"/>
      <c r="H815" s="38"/>
      <c r="I815" s="37"/>
      <c r="J815" s="38"/>
    </row>
    <row r="816" customFormat="false" ht="25.5" hidden="false" customHeight="true" outlineLevel="0" collapsed="false">
      <c r="A816" s="36"/>
      <c r="B816" s="37"/>
      <c r="C816" s="38"/>
      <c r="D816" s="38"/>
      <c r="E816" s="38"/>
      <c r="F816" s="39"/>
      <c r="G816" s="39"/>
      <c r="H816" s="38"/>
      <c r="I816" s="37"/>
      <c r="J816" s="38"/>
    </row>
    <row r="817" customFormat="false" ht="25.5" hidden="false" customHeight="true" outlineLevel="0" collapsed="false">
      <c r="A817" s="36"/>
      <c r="B817" s="37"/>
      <c r="C817" s="38"/>
      <c r="D817" s="38"/>
      <c r="E817" s="38"/>
      <c r="F817" s="39"/>
      <c r="G817" s="39"/>
      <c r="H817" s="38"/>
      <c r="I817" s="37"/>
      <c r="J817" s="38"/>
    </row>
    <row r="818" customFormat="false" ht="25.5" hidden="false" customHeight="true" outlineLevel="0" collapsed="false">
      <c r="A818" s="36"/>
      <c r="B818" s="37"/>
      <c r="C818" s="38"/>
      <c r="D818" s="38"/>
      <c r="E818" s="38"/>
      <c r="F818" s="39"/>
      <c r="G818" s="39"/>
      <c r="H818" s="38"/>
      <c r="I818" s="37"/>
      <c r="J818" s="38"/>
    </row>
    <row r="819" customFormat="false" ht="25.5" hidden="false" customHeight="true" outlineLevel="0" collapsed="false">
      <c r="A819" s="36"/>
      <c r="B819" s="37"/>
      <c r="C819" s="38"/>
      <c r="D819" s="38"/>
      <c r="E819" s="38"/>
      <c r="F819" s="39"/>
      <c r="G819" s="39"/>
      <c r="H819" s="38"/>
      <c r="I819" s="37"/>
      <c r="J819" s="38"/>
    </row>
    <row r="820" customFormat="false" ht="25.5" hidden="false" customHeight="true" outlineLevel="0" collapsed="false">
      <c r="A820" s="36"/>
      <c r="B820" s="37"/>
      <c r="C820" s="38"/>
      <c r="D820" s="38"/>
      <c r="E820" s="38"/>
      <c r="F820" s="39"/>
      <c r="G820" s="39"/>
      <c r="H820" s="38"/>
      <c r="I820" s="37"/>
      <c r="J820" s="38"/>
    </row>
    <row r="821" customFormat="false" ht="25.5" hidden="false" customHeight="true" outlineLevel="0" collapsed="false">
      <c r="A821" s="36"/>
      <c r="B821" s="37"/>
      <c r="C821" s="38"/>
      <c r="D821" s="38"/>
      <c r="E821" s="38"/>
      <c r="F821" s="39"/>
      <c r="G821" s="39"/>
      <c r="H821" s="38"/>
      <c r="I821" s="37"/>
      <c r="J821" s="38"/>
    </row>
    <row r="822" customFormat="false" ht="25.5" hidden="false" customHeight="true" outlineLevel="0" collapsed="false">
      <c r="A822" s="36"/>
      <c r="B822" s="37"/>
      <c r="C822" s="38"/>
      <c r="D822" s="38"/>
      <c r="E822" s="38"/>
      <c r="F822" s="39"/>
      <c r="G822" s="39"/>
      <c r="H822" s="38"/>
      <c r="I822" s="37"/>
      <c r="J822" s="38"/>
    </row>
    <row r="823" customFormat="false" ht="25.5" hidden="false" customHeight="true" outlineLevel="0" collapsed="false">
      <c r="A823" s="36"/>
      <c r="B823" s="37"/>
      <c r="C823" s="38"/>
      <c r="D823" s="38"/>
      <c r="E823" s="38"/>
      <c r="F823" s="39"/>
      <c r="G823" s="39"/>
      <c r="H823" s="38"/>
      <c r="I823" s="37"/>
      <c r="J823" s="38"/>
    </row>
    <row r="824" customFormat="false" ht="25.5" hidden="false" customHeight="true" outlineLevel="0" collapsed="false">
      <c r="A824" s="36"/>
      <c r="B824" s="37"/>
      <c r="C824" s="38"/>
      <c r="D824" s="38"/>
      <c r="E824" s="38"/>
      <c r="F824" s="39"/>
      <c r="G824" s="39"/>
      <c r="H824" s="38"/>
      <c r="I824" s="37"/>
      <c r="J824" s="38"/>
    </row>
    <row r="825" customFormat="false" ht="25.5" hidden="false" customHeight="true" outlineLevel="0" collapsed="false">
      <c r="A825" s="36"/>
      <c r="B825" s="37"/>
      <c r="C825" s="38"/>
      <c r="D825" s="38"/>
      <c r="E825" s="38"/>
      <c r="F825" s="39"/>
      <c r="G825" s="39"/>
      <c r="H825" s="38"/>
      <c r="I825" s="37"/>
      <c r="J825" s="38"/>
    </row>
    <row r="826" customFormat="false" ht="25.5" hidden="false" customHeight="true" outlineLevel="0" collapsed="false">
      <c r="A826" s="36"/>
      <c r="B826" s="37"/>
      <c r="C826" s="38"/>
      <c r="D826" s="38"/>
      <c r="E826" s="38"/>
      <c r="F826" s="39"/>
      <c r="G826" s="39"/>
      <c r="H826" s="38"/>
      <c r="I826" s="37"/>
      <c r="J826" s="38"/>
    </row>
    <row r="827" customFormat="false" ht="25.5" hidden="false" customHeight="true" outlineLevel="0" collapsed="false">
      <c r="A827" s="36"/>
      <c r="B827" s="37"/>
      <c r="C827" s="38"/>
      <c r="D827" s="38"/>
      <c r="E827" s="38"/>
      <c r="F827" s="39"/>
      <c r="G827" s="39"/>
      <c r="H827" s="38"/>
      <c r="I827" s="37"/>
      <c r="J827" s="38"/>
    </row>
    <row r="828" customFormat="false" ht="25.5" hidden="false" customHeight="true" outlineLevel="0" collapsed="false">
      <c r="A828" s="36"/>
      <c r="B828" s="37"/>
      <c r="C828" s="38"/>
      <c r="D828" s="38"/>
      <c r="E828" s="38"/>
      <c r="F828" s="39"/>
      <c r="G828" s="39"/>
      <c r="H828" s="38"/>
      <c r="I828" s="37"/>
      <c r="J828" s="38"/>
    </row>
    <row r="829" customFormat="false" ht="25.5" hidden="false" customHeight="true" outlineLevel="0" collapsed="false">
      <c r="A829" s="36"/>
      <c r="B829" s="37"/>
      <c r="C829" s="38"/>
      <c r="D829" s="38"/>
      <c r="E829" s="38"/>
      <c r="F829" s="39"/>
      <c r="G829" s="39"/>
      <c r="H829" s="38"/>
      <c r="I829" s="37"/>
      <c r="J829" s="38"/>
    </row>
    <row r="830" customFormat="false" ht="25.5" hidden="false" customHeight="true" outlineLevel="0" collapsed="false">
      <c r="A830" s="36"/>
      <c r="B830" s="37"/>
      <c r="C830" s="38"/>
      <c r="D830" s="38"/>
      <c r="E830" s="38"/>
      <c r="F830" s="39"/>
      <c r="G830" s="39"/>
      <c r="H830" s="38"/>
      <c r="I830" s="37"/>
      <c r="J830" s="38"/>
    </row>
    <row r="831" customFormat="false" ht="25.5" hidden="false" customHeight="true" outlineLevel="0" collapsed="false">
      <c r="A831" s="36"/>
      <c r="B831" s="37"/>
      <c r="C831" s="38"/>
      <c r="D831" s="38"/>
      <c r="E831" s="38"/>
      <c r="F831" s="39"/>
      <c r="G831" s="39"/>
      <c r="H831" s="38"/>
      <c r="I831" s="37"/>
      <c r="J831" s="38"/>
    </row>
    <row r="832" customFormat="false" ht="25.5" hidden="false" customHeight="true" outlineLevel="0" collapsed="false">
      <c r="A832" s="36"/>
      <c r="B832" s="37"/>
      <c r="C832" s="38"/>
      <c r="D832" s="38"/>
      <c r="E832" s="38"/>
      <c r="F832" s="39"/>
      <c r="G832" s="39"/>
      <c r="H832" s="38"/>
      <c r="I832" s="37"/>
      <c r="J832" s="38"/>
    </row>
    <row r="833" customFormat="false" ht="25.5" hidden="false" customHeight="true" outlineLevel="0" collapsed="false">
      <c r="A833" s="36"/>
      <c r="B833" s="37"/>
      <c r="C833" s="38"/>
      <c r="D833" s="38"/>
      <c r="E833" s="38"/>
      <c r="F833" s="39"/>
      <c r="G833" s="39"/>
      <c r="H833" s="38"/>
      <c r="I833" s="37"/>
      <c r="J833" s="38"/>
    </row>
    <row r="834" customFormat="false" ht="25.5" hidden="false" customHeight="true" outlineLevel="0" collapsed="false">
      <c r="A834" s="36"/>
      <c r="B834" s="37"/>
      <c r="C834" s="38"/>
      <c r="D834" s="38"/>
      <c r="E834" s="38"/>
      <c r="F834" s="39"/>
      <c r="G834" s="39"/>
      <c r="H834" s="38"/>
      <c r="I834" s="37"/>
      <c r="J834" s="38"/>
    </row>
    <row r="835" customFormat="false" ht="25.5" hidden="false" customHeight="true" outlineLevel="0" collapsed="false">
      <c r="A835" s="36"/>
      <c r="B835" s="37"/>
      <c r="C835" s="38"/>
      <c r="D835" s="38"/>
      <c r="E835" s="38"/>
      <c r="F835" s="39"/>
      <c r="G835" s="39"/>
      <c r="H835" s="38"/>
      <c r="I835" s="37"/>
      <c r="J835" s="38"/>
    </row>
    <row r="836" customFormat="false" ht="25.5" hidden="false" customHeight="true" outlineLevel="0" collapsed="false">
      <c r="A836" s="36"/>
      <c r="B836" s="37"/>
      <c r="C836" s="38"/>
      <c r="D836" s="38"/>
      <c r="E836" s="38"/>
      <c r="F836" s="39"/>
      <c r="G836" s="39"/>
      <c r="H836" s="38"/>
      <c r="I836" s="37"/>
      <c r="J836" s="38"/>
    </row>
    <row r="837" customFormat="false" ht="25.5" hidden="false" customHeight="true" outlineLevel="0" collapsed="false">
      <c r="A837" s="36"/>
      <c r="B837" s="37"/>
      <c r="C837" s="38"/>
      <c r="D837" s="38"/>
      <c r="E837" s="38"/>
      <c r="F837" s="39"/>
      <c r="G837" s="39"/>
      <c r="H837" s="38"/>
      <c r="I837" s="37"/>
      <c r="J837" s="38"/>
    </row>
    <row r="838" customFormat="false" ht="25.5" hidden="false" customHeight="true" outlineLevel="0" collapsed="false">
      <c r="A838" s="36"/>
      <c r="B838" s="37"/>
      <c r="C838" s="38"/>
      <c r="D838" s="38"/>
      <c r="E838" s="38"/>
      <c r="F838" s="39"/>
      <c r="G838" s="39"/>
      <c r="H838" s="38"/>
      <c r="I838" s="37"/>
      <c r="J838" s="38"/>
    </row>
    <row r="839" customFormat="false" ht="25.5" hidden="false" customHeight="true" outlineLevel="0" collapsed="false">
      <c r="A839" s="36"/>
      <c r="B839" s="37"/>
      <c r="C839" s="38"/>
      <c r="D839" s="38"/>
      <c r="E839" s="38"/>
      <c r="F839" s="39"/>
      <c r="G839" s="39"/>
      <c r="H839" s="38"/>
      <c r="I839" s="37"/>
      <c r="J839" s="38"/>
    </row>
    <row r="840" customFormat="false" ht="25.5" hidden="false" customHeight="true" outlineLevel="0" collapsed="false">
      <c r="A840" s="36"/>
      <c r="B840" s="37"/>
      <c r="C840" s="38"/>
      <c r="D840" s="38"/>
      <c r="E840" s="38"/>
      <c r="F840" s="39"/>
      <c r="G840" s="39"/>
      <c r="H840" s="38"/>
      <c r="I840" s="37"/>
      <c r="J840" s="38"/>
    </row>
    <row r="841" customFormat="false" ht="25.5" hidden="false" customHeight="true" outlineLevel="0" collapsed="false">
      <c r="A841" s="36"/>
      <c r="B841" s="37"/>
      <c r="C841" s="38"/>
      <c r="D841" s="38"/>
      <c r="E841" s="38"/>
      <c r="F841" s="39"/>
      <c r="G841" s="39"/>
      <c r="H841" s="38"/>
      <c r="I841" s="37"/>
      <c r="J841" s="38"/>
    </row>
    <row r="842" customFormat="false" ht="25.5" hidden="false" customHeight="true" outlineLevel="0" collapsed="false">
      <c r="A842" s="36"/>
      <c r="B842" s="37"/>
      <c r="C842" s="38"/>
      <c r="D842" s="38"/>
      <c r="E842" s="38"/>
      <c r="F842" s="39"/>
      <c r="G842" s="39"/>
      <c r="H842" s="38"/>
      <c r="I842" s="37"/>
      <c r="J842" s="38"/>
    </row>
    <row r="843" customFormat="false" ht="25.5" hidden="false" customHeight="true" outlineLevel="0" collapsed="false">
      <c r="A843" s="36"/>
      <c r="B843" s="37"/>
      <c r="C843" s="38"/>
      <c r="D843" s="38"/>
      <c r="E843" s="38"/>
      <c r="F843" s="39"/>
      <c r="G843" s="39"/>
      <c r="H843" s="38"/>
      <c r="I843" s="37"/>
      <c r="J843" s="38"/>
    </row>
    <row r="844" customFormat="false" ht="25.5" hidden="false" customHeight="true" outlineLevel="0" collapsed="false">
      <c r="A844" s="36"/>
      <c r="B844" s="37"/>
      <c r="C844" s="38"/>
      <c r="D844" s="38"/>
      <c r="E844" s="38"/>
      <c r="F844" s="39"/>
      <c r="G844" s="39"/>
      <c r="H844" s="38"/>
      <c r="I844" s="37"/>
      <c r="J844" s="38"/>
    </row>
    <row r="845" customFormat="false" ht="25.5" hidden="false" customHeight="true" outlineLevel="0" collapsed="false">
      <c r="A845" s="36"/>
      <c r="B845" s="37"/>
      <c r="C845" s="38"/>
      <c r="D845" s="38"/>
      <c r="E845" s="38"/>
      <c r="F845" s="39"/>
      <c r="G845" s="39"/>
      <c r="H845" s="38"/>
      <c r="I845" s="37"/>
      <c r="J845" s="38"/>
    </row>
    <row r="846" customFormat="false" ht="25.5" hidden="false" customHeight="true" outlineLevel="0" collapsed="false">
      <c r="A846" s="36"/>
      <c r="B846" s="37"/>
      <c r="C846" s="38"/>
      <c r="D846" s="38"/>
      <c r="E846" s="38"/>
      <c r="F846" s="39"/>
      <c r="G846" s="39"/>
      <c r="H846" s="38"/>
      <c r="I846" s="37"/>
      <c r="J846" s="38"/>
    </row>
    <row r="847" customFormat="false" ht="25.5" hidden="false" customHeight="true" outlineLevel="0" collapsed="false">
      <c r="A847" s="36"/>
      <c r="B847" s="37"/>
      <c r="C847" s="38"/>
      <c r="D847" s="38"/>
      <c r="E847" s="38"/>
      <c r="F847" s="39"/>
      <c r="G847" s="39"/>
      <c r="H847" s="38"/>
      <c r="I847" s="37"/>
      <c r="J847" s="38"/>
    </row>
    <row r="848" customFormat="false" ht="25.5" hidden="false" customHeight="true" outlineLevel="0" collapsed="false">
      <c r="A848" s="36"/>
      <c r="B848" s="37"/>
      <c r="C848" s="38"/>
      <c r="D848" s="38"/>
      <c r="E848" s="38"/>
      <c r="F848" s="39"/>
      <c r="G848" s="39"/>
      <c r="H848" s="38"/>
      <c r="I848" s="37"/>
      <c r="J848" s="38"/>
    </row>
    <row r="849" customFormat="false" ht="25.5" hidden="false" customHeight="true" outlineLevel="0" collapsed="false">
      <c r="A849" s="36"/>
      <c r="B849" s="37"/>
      <c r="C849" s="38"/>
      <c r="D849" s="38"/>
      <c r="E849" s="38"/>
      <c r="F849" s="39"/>
      <c r="G849" s="39"/>
      <c r="H849" s="38"/>
      <c r="I849" s="37"/>
      <c r="J849" s="38"/>
    </row>
    <row r="850" customFormat="false" ht="25.5" hidden="false" customHeight="true" outlineLevel="0" collapsed="false">
      <c r="A850" s="36"/>
      <c r="B850" s="37"/>
      <c r="C850" s="38"/>
      <c r="D850" s="38"/>
      <c r="E850" s="38"/>
      <c r="F850" s="39"/>
      <c r="G850" s="39"/>
      <c r="H850" s="38"/>
      <c r="I850" s="37"/>
      <c r="J850" s="38"/>
    </row>
    <row r="851" customFormat="false" ht="25.5" hidden="false" customHeight="true" outlineLevel="0" collapsed="false">
      <c r="A851" s="36"/>
      <c r="B851" s="37"/>
      <c r="C851" s="38"/>
      <c r="D851" s="38"/>
      <c r="E851" s="38"/>
      <c r="F851" s="39"/>
      <c r="G851" s="39"/>
      <c r="H851" s="38"/>
      <c r="I851" s="37"/>
      <c r="J851" s="38"/>
    </row>
    <row r="852" customFormat="false" ht="25.5" hidden="false" customHeight="true" outlineLevel="0" collapsed="false">
      <c r="A852" s="36"/>
      <c r="B852" s="37"/>
      <c r="C852" s="38"/>
      <c r="D852" s="38"/>
      <c r="E852" s="38"/>
      <c r="F852" s="39"/>
      <c r="G852" s="39"/>
      <c r="H852" s="38"/>
      <c r="I852" s="37"/>
      <c r="J852" s="38"/>
    </row>
    <row r="853" customFormat="false" ht="25.5" hidden="false" customHeight="true" outlineLevel="0" collapsed="false">
      <c r="A853" s="36"/>
      <c r="B853" s="37"/>
      <c r="C853" s="38"/>
      <c r="D853" s="38"/>
      <c r="E853" s="38"/>
      <c r="F853" s="39"/>
      <c r="G853" s="39"/>
      <c r="H853" s="38"/>
      <c r="I853" s="37"/>
      <c r="J853" s="38"/>
    </row>
    <row r="854" customFormat="false" ht="25.5" hidden="false" customHeight="true" outlineLevel="0" collapsed="false">
      <c r="A854" s="36"/>
      <c r="B854" s="37"/>
      <c r="C854" s="38"/>
      <c r="D854" s="38"/>
      <c r="E854" s="38"/>
      <c r="F854" s="39"/>
      <c r="G854" s="39"/>
      <c r="H854" s="38"/>
      <c r="I854" s="37"/>
      <c r="J854" s="38"/>
    </row>
    <row r="855" customFormat="false" ht="25.5" hidden="false" customHeight="true" outlineLevel="0" collapsed="false">
      <c r="A855" s="36"/>
      <c r="B855" s="37"/>
      <c r="C855" s="38"/>
      <c r="D855" s="38"/>
      <c r="E855" s="38"/>
      <c r="F855" s="39"/>
      <c r="G855" s="39"/>
      <c r="H855" s="38"/>
      <c r="I855" s="37"/>
      <c r="J855" s="38"/>
    </row>
    <row r="856" customFormat="false" ht="25.5" hidden="false" customHeight="true" outlineLevel="0" collapsed="false">
      <c r="A856" s="36"/>
      <c r="B856" s="37"/>
      <c r="C856" s="38"/>
      <c r="D856" s="38"/>
      <c r="E856" s="38"/>
      <c r="F856" s="39"/>
      <c r="G856" s="39"/>
      <c r="H856" s="38"/>
      <c r="I856" s="37"/>
      <c r="J856" s="38"/>
    </row>
    <row r="857" customFormat="false" ht="25.5" hidden="false" customHeight="true" outlineLevel="0" collapsed="false">
      <c r="A857" s="36"/>
      <c r="B857" s="37"/>
      <c r="C857" s="38"/>
      <c r="D857" s="38"/>
      <c r="E857" s="38"/>
      <c r="F857" s="39"/>
      <c r="G857" s="39"/>
      <c r="H857" s="38"/>
      <c r="I857" s="37"/>
      <c r="J857" s="38"/>
    </row>
    <row r="858" customFormat="false" ht="25.5" hidden="false" customHeight="true" outlineLevel="0" collapsed="false">
      <c r="A858" s="36"/>
      <c r="B858" s="37"/>
      <c r="C858" s="38"/>
      <c r="D858" s="38"/>
      <c r="E858" s="38"/>
      <c r="F858" s="39"/>
      <c r="G858" s="39"/>
      <c r="H858" s="38"/>
      <c r="I858" s="37"/>
      <c r="J858" s="38"/>
    </row>
    <row r="859" customFormat="false" ht="25.5" hidden="false" customHeight="true" outlineLevel="0" collapsed="false">
      <c r="A859" s="36"/>
      <c r="B859" s="37"/>
      <c r="C859" s="38"/>
      <c r="D859" s="38"/>
      <c r="E859" s="38"/>
      <c r="F859" s="39"/>
      <c r="G859" s="39"/>
      <c r="H859" s="38"/>
      <c r="I859" s="37"/>
      <c r="J859" s="38"/>
    </row>
    <row r="860" customFormat="false" ht="25.5" hidden="false" customHeight="true" outlineLevel="0" collapsed="false">
      <c r="A860" s="36"/>
      <c r="B860" s="37"/>
      <c r="C860" s="38"/>
      <c r="D860" s="38"/>
      <c r="E860" s="38"/>
      <c r="F860" s="39"/>
      <c r="G860" s="39"/>
      <c r="H860" s="38"/>
      <c r="I860" s="37"/>
      <c r="J860" s="38"/>
    </row>
    <row r="861" customFormat="false" ht="25.5" hidden="false" customHeight="true" outlineLevel="0" collapsed="false">
      <c r="A861" s="36"/>
      <c r="B861" s="37"/>
      <c r="C861" s="38"/>
      <c r="D861" s="38"/>
      <c r="E861" s="38"/>
      <c r="F861" s="39"/>
      <c r="G861" s="39"/>
      <c r="H861" s="38"/>
      <c r="I861" s="37"/>
      <c r="J861" s="38"/>
    </row>
    <row r="862" customFormat="false" ht="25.5" hidden="false" customHeight="true" outlineLevel="0" collapsed="false">
      <c r="A862" s="36"/>
      <c r="B862" s="37"/>
      <c r="C862" s="38"/>
      <c r="D862" s="38"/>
      <c r="E862" s="38"/>
      <c r="F862" s="39"/>
      <c r="G862" s="39"/>
      <c r="H862" s="38"/>
      <c r="I862" s="37"/>
      <c r="J862" s="38"/>
    </row>
    <row r="863" customFormat="false" ht="25.5" hidden="false" customHeight="true" outlineLevel="0" collapsed="false">
      <c r="A863" s="36"/>
      <c r="B863" s="37"/>
      <c r="C863" s="38"/>
      <c r="D863" s="38"/>
      <c r="E863" s="38"/>
      <c r="F863" s="39"/>
      <c r="G863" s="39"/>
      <c r="H863" s="38"/>
      <c r="I863" s="37"/>
      <c r="J863" s="38"/>
    </row>
    <row r="864" customFormat="false" ht="25.5" hidden="false" customHeight="true" outlineLevel="0" collapsed="false">
      <c r="A864" s="36"/>
      <c r="B864" s="37"/>
      <c r="C864" s="38"/>
      <c r="D864" s="38"/>
      <c r="E864" s="38"/>
      <c r="F864" s="39"/>
      <c r="G864" s="39"/>
      <c r="H864" s="38"/>
      <c r="I864" s="37"/>
      <c r="J864" s="38"/>
    </row>
    <row r="865" customFormat="false" ht="25.5" hidden="false" customHeight="true" outlineLevel="0" collapsed="false">
      <c r="A865" s="36"/>
      <c r="B865" s="37"/>
      <c r="C865" s="38"/>
      <c r="D865" s="38"/>
      <c r="E865" s="38"/>
      <c r="F865" s="39"/>
      <c r="G865" s="39"/>
      <c r="H865" s="38"/>
      <c r="I865" s="37"/>
      <c r="J865" s="38"/>
    </row>
    <row r="866" customFormat="false" ht="25.5" hidden="false" customHeight="true" outlineLevel="0" collapsed="false">
      <c r="A866" s="36"/>
      <c r="B866" s="37"/>
      <c r="C866" s="38"/>
      <c r="D866" s="38"/>
      <c r="E866" s="38"/>
      <c r="F866" s="39"/>
      <c r="G866" s="39"/>
      <c r="H866" s="38"/>
      <c r="I866" s="37"/>
      <c r="J866" s="38"/>
    </row>
    <row r="867" customFormat="false" ht="25.5" hidden="false" customHeight="true" outlineLevel="0" collapsed="false">
      <c r="A867" s="36"/>
      <c r="B867" s="37"/>
      <c r="C867" s="38"/>
      <c r="D867" s="38"/>
      <c r="E867" s="38"/>
      <c r="F867" s="39"/>
      <c r="G867" s="39"/>
      <c r="H867" s="38"/>
      <c r="I867" s="37"/>
      <c r="J867" s="38"/>
    </row>
    <row r="868" customFormat="false" ht="25.5" hidden="false" customHeight="true" outlineLevel="0" collapsed="false">
      <c r="A868" s="36"/>
      <c r="B868" s="37"/>
      <c r="C868" s="38"/>
      <c r="D868" s="38"/>
      <c r="E868" s="38"/>
      <c r="F868" s="39"/>
      <c r="G868" s="39"/>
      <c r="H868" s="38"/>
      <c r="I868" s="37"/>
      <c r="J868" s="38"/>
    </row>
    <row r="869" customFormat="false" ht="25.5" hidden="false" customHeight="true" outlineLevel="0" collapsed="false">
      <c r="A869" s="36"/>
      <c r="B869" s="37"/>
      <c r="C869" s="38"/>
      <c r="D869" s="38"/>
      <c r="E869" s="38"/>
      <c r="F869" s="39"/>
      <c r="G869" s="39"/>
      <c r="H869" s="38"/>
      <c r="I869" s="37"/>
      <c r="J869" s="38"/>
    </row>
    <row r="870" customFormat="false" ht="25.5" hidden="false" customHeight="true" outlineLevel="0" collapsed="false">
      <c r="A870" s="36"/>
      <c r="B870" s="37"/>
      <c r="C870" s="38"/>
      <c r="D870" s="38"/>
      <c r="E870" s="38"/>
      <c r="F870" s="39"/>
      <c r="G870" s="39"/>
      <c r="H870" s="38"/>
      <c r="I870" s="37"/>
      <c r="J870" s="38"/>
    </row>
    <row r="871" customFormat="false" ht="25.5" hidden="false" customHeight="true" outlineLevel="0" collapsed="false">
      <c r="A871" s="36"/>
      <c r="B871" s="37"/>
      <c r="C871" s="38"/>
      <c r="D871" s="38"/>
      <c r="E871" s="38"/>
      <c r="F871" s="39"/>
      <c r="G871" s="39"/>
      <c r="H871" s="38"/>
      <c r="I871" s="37"/>
      <c r="J871" s="38"/>
    </row>
    <row r="872" customFormat="false" ht="25.5" hidden="false" customHeight="true" outlineLevel="0" collapsed="false">
      <c r="A872" s="36"/>
      <c r="B872" s="37"/>
      <c r="C872" s="38"/>
      <c r="D872" s="38"/>
      <c r="E872" s="38"/>
      <c r="F872" s="39"/>
      <c r="G872" s="39"/>
      <c r="H872" s="38"/>
      <c r="I872" s="37"/>
      <c r="J872" s="38"/>
    </row>
    <row r="873" customFormat="false" ht="25.5" hidden="false" customHeight="true" outlineLevel="0" collapsed="false">
      <c r="A873" s="36"/>
      <c r="B873" s="37"/>
      <c r="C873" s="38"/>
      <c r="D873" s="38"/>
      <c r="E873" s="38"/>
      <c r="F873" s="39"/>
      <c r="G873" s="39"/>
      <c r="H873" s="38"/>
      <c r="I873" s="37"/>
      <c r="J873" s="38"/>
    </row>
    <row r="874" customFormat="false" ht="25.5" hidden="false" customHeight="true" outlineLevel="0" collapsed="false">
      <c r="A874" s="36"/>
      <c r="B874" s="37"/>
      <c r="C874" s="38"/>
      <c r="D874" s="38"/>
      <c r="E874" s="38"/>
      <c r="F874" s="39"/>
      <c r="G874" s="39"/>
      <c r="H874" s="38"/>
      <c r="I874" s="37"/>
      <c r="J874" s="38"/>
    </row>
    <row r="875" customFormat="false" ht="25.5" hidden="false" customHeight="true" outlineLevel="0" collapsed="false">
      <c r="A875" s="36"/>
      <c r="B875" s="37"/>
      <c r="C875" s="38"/>
      <c r="D875" s="38"/>
      <c r="E875" s="38"/>
      <c r="F875" s="39"/>
      <c r="G875" s="39"/>
      <c r="H875" s="38"/>
      <c r="I875" s="37"/>
      <c r="J875" s="38"/>
    </row>
    <row r="876" customFormat="false" ht="25.5" hidden="false" customHeight="true" outlineLevel="0" collapsed="false">
      <c r="A876" s="36"/>
      <c r="B876" s="37"/>
      <c r="C876" s="38"/>
      <c r="D876" s="38"/>
      <c r="E876" s="38"/>
      <c r="F876" s="39"/>
      <c r="G876" s="39"/>
      <c r="H876" s="38"/>
      <c r="I876" s="37"/>
      <c r="J876" s="38"/>
    </row>
    <row r="877" customFormat="false" ht="25.5" hidden="false" customHeight="true" outlineLevel="0" collapsed="false">
      <c r="A877" s="36"/>
      <c r="B877" s="37"/>
      <c r="C877" s="38"/>
      <c r="D877" s="38"/>
      <c r="E877" s="38"/>
      <c r="F877" s="39"/>
      <c r="G877" s="39"/>
      <c r="H877" s="38"/>
      <c r="I877" s="37"/>
      <c r="J877" s="38"/>
    </row>
    <row r="878" customFormat="false" ht="25.5" hidden="false" customHeight="true" outlineLevel="0" collapsed="false">
      <c r="A878" s="36"/>
      <c r="B878" s="37"/>
      <c r="C878" s="38"/>
      <c r="D878" s="38"/>
      <c r="E878" s="38"/>
      <c r="F878" s="39"/>
      <c r="G878" s="39"/>
      <c r="H878" s="38"/>
      <c r="I878" s="37"/>
      <c r="J878" s="38"/>
    </row>
    <row r="879" customFormat="false" ht="25.5" hidden="false" customHeight="true" outlineLevel="0" collapsed="false">
      <c r="A879" s="36"/>
      <c r="B879" s="37"/>
      <c r="C879" s="38"/>
      <c r="D879" s="38"/>
      <c r="E879" s="38"/>
      <c r="F879" s="39"/>
      <c r="G879" s="39"/>
      <c r="H879" s="38"/>
      <c r="I879" s="37"/>
      <c r="J879" s="38"/>
    </row>
    <row r="880" customFormat="false" ht="25.5" hidden="false" customHeight="true" outlineLevel="0" collapsed="false">
      <c r="A880" s="36"/>
      <c r="B880" s="37"/>
      <c r="C880" s="38"/>
      <c r="D880" s="38"/>
      <c r="E880" s="38"/>
      <c r="F880" s="39"/>
      <c r="G880" s="39"/>
      <c r="H880" s="38"/>
      <c r="I880" s="37"/>
      <c r="J880" s="38"/>
    </row>
    <row r="881" customFormat="false" ht="25.5" hidden="false" customHeight="true" outlineLevel="0" collapsed="false">
      <c r="A881" s="36"/>
      <c r="B881" s="37"/>
      <c r="C881" s="38"/>
      <c r="D881" s="38"/>
      <c r="E881" s="38"/>
      <c r="F881" s="39"/>
      <c r="G881" s="39"/>
      <c r="H881" s="38"/>
      <c r="I881" s="37"/>
      <c r="J881" s="38"/>
    </row>
    <row r="882" customFormat="false" ht="25.5" hidden="false" customHeight="true" outlineLevel="0" collapsed="false">
      <c r="A882" s="36"/>
      <c r="B882" s="37"/>
      <c r="C882" s="38"/>
      <c r="D882" s="38"/>
      <c r="E882" s="38"/>
      <c r="F882" s="39"/>
      <c r="G882" s="39"/>
      <c r="H882" s="38"/>
      <c r="I882" s="37"/>
      <c r="J882" s="38"/>
    </row>
    <row r="883" customFormat="false" ht="25.5" hidden="false" customHeight="true" outlineLevel="0" collapsed="false">
      <c r="A883" s="36"/>
      <c r="B883" s="37"/>
      <c r="C883" s="38"/>
      <c r="D883" s="38"/>
      <c r="E883" s="38"/>
      <c r="F883" s="39"/>
      <c r="G883" s="39"/>
      <c r="H883" s="38"/>
      <c r="I883" s="37"/>
      <c r="J883" s="38"/>
    </row>
    <row r="884" customFormat="false" ht="25.5" hidden="false" customHeight="true" outlineLevel="0" collapsed="false">
      <c r="A884" s="36"/>
      <c r="B884" s="37"/>
      <c r="C884" s="38"/>
      <c r="D884" s="38"/>
      <c r="E884" s="38"/>
      <c r="F884" s="39"/>
      <c r="G884" s="39"/>
      <c r="H884" s="38"/>
      <c r="I884" s="37"/>
      <c r="J884" s="38"/>
    </row>
    <row r="885" customFormat="false" ht="25.5" hidden="false" customHeight="true" outlineLevel="0" collapsed="false">
      <c r="A885" s="36"/>
      <c r="B885" s="37"/>
      <c r="C885" s="38"/>
      <c r="D885" s="38"/>
      <c r="E885" s="38"/>
      <c r="F885" s="39"/>
      <c r="G885" s="39"/>
      <c r="H885" s="38"/>
      <c r="I885" s="37"/>
      <c r="J885" s="38"/>
    </row>
    <row r="886" customFormat="false" ht="25.5" hidden="false" customHeight="true" outlineLevel="0" collapsed="false">
      <c r="A886" s="36"/>
      <c r="B886" s="37"/>
      <c r="C886" s="38"/>
      <c r="D886" s="38"/>
      <c r="E886" s="38"/>
      <c r="F886" s="39"/>
      <c r="G886" s="39"/>
      <c r="H886" s="38"/>
      <c r="I886" s="37"/>
      <c r="J886" s="38"/>
    </row>
    <row r="887" customFormat="false" ht="25.5" hidden="false" customHeight="true" outlineLevel="0" collapsed="false">
      <c r="A887" s="36"/>
      <c r="B887" s="37"/>
      <c r="C887" s="38"/>
      <c r="D887" s="38"/>
      <c r="E887" s="38"/>
      <c r="F887" s="39"/>
      <c r="G887" s="39"/>
      <c r="H887" s="38"/>
      <c r="I887" s="37"/>
      <c r="J887" s="38"/>
    </row>
    <row r="888" customFormat="false" ht="25.5" hidden="false" customHeight="true" outlineLevel="0" collapsed="false">
      <c r="A888" s="36"/>
      <c r="B888" s="37"/>
      <c r="C888" s="38"/>
      <c r="D888" s="38"/>
      <c r="E888" s="38"/>
      <c r="F888" s="39"/>
      <c r="G888" s="39"/>
      <c r="H888" s="38"/>
      <c r="I888" s="37"/>
      <c r="J888" s="38"/>
    </row>
    <row r="889" customFormat="false" ht="25.5" hidden="false" customHeight="true" outlineLevel="0" collapsed="false">
      <c r="A889" s="36"/>
      <c r="B889" s="37"/>
      <c r="C889" s="38"/>
      <c r="D889" s="38"/>
      <c r="E889" s="38"/>
      <c r="F889" s="39"/>
      <c r="G889" s="39"/>
      <c r="H889" s="38"/>
      <c r="I889" s="37"/>
      <c r="J889" s="38"/>
    </row>
    <row r="890" customFormat="false" ht="25.5" hidden="false" customHeight="true" outlineLevel="0" collapsed="false">
      <c r="A890" s="36"/>
      <c r="B890" s="37"/>
      <c r="C890" s="38"/>
      <c r="D890" s="38"/>
      <c r="E890" s="38"/>
      <c r="F890" s="39"/>
      <c r="G890" s="39"/>
      <c r="H890" s="38"/>
      <c r="I890" s="37"/>
      <c r="J890" s="38"/>
    </row>
    <row r="891" customFormat="false" ht="25.5" hidden="false" customHeight="true" outlineLevel="0" collapsed="false">
      <c r="A891" s="36"/>
      <c r="B891" s="37"/>
      <c r="C891" s="38"/>
      <c r="D891" s="38"/>
      <c r="E891" s="38"/>
      <c r="F891" s="39"/>
      <c r="G891" s="39"/>
      <c r="H891" s="38"/>
      <c r="I891" s="37"/>
      <c r="J891" s="38"/>
    </row>
    <row r="892" customFormat="false" ht="25.5" hidden="false" customHeight="true" outlineLevel="0" collapsed="false">
      <c r="A892" s="36"/>
      <c r="B892" s="37"/>
      <c r="C892" s="38"/>
      <c r="D892" s="38"/>
      <c r="E892" s="38"/>
      <c r="F892" s="39"/>
      <c r="G892" s="39"/>
      <c r="H892" s="38"/>
      <c r="I892" s="37"/>
      <c r="J892" s="38"/>
    </row>
    <row r="893" customFormat="false" ht="25.5" hidden="false" customHeight="true" outlineLevel="0" collapsed="false">
      <c r="A893" s="36"/>
      <c r="B893" s="37"/>
      <c r="C893" s="38"/>
      <c r="D893" s="38"/>
      <c r="E893" s="38"/>
      <c r="F893" s="39"/>
      <c r="G893" s="39"/>
      <c r="H893" s="38"/>
      <c r="I893" s="37"/>
      <c r="J893" s="38"/>
    </row>
    <row r="894" customFormat="false" ht="25.5" hidden="false" customHeight="true" outlineLevel="0" collapsed="false">
      <c r="A894" s="36"/>
      <c r="B894" s="37"/>
      <c r="C894" s="38"/>
      <c r="D894" s="38"/>
      <c r="E894" s="38"/>
      <c r="F894" s="39"/>
      <c r="G894" s="39"/>
      <c r="H894" s="38"/>
      <c r="I894" s="37"/>
      <c r="J894" s="38"/>
    </row>
    <row r="895" customFormat="false" ht="25.5" hidden="false" customHeight="true" outlineLevel="0" collapsed="false">
      <c r="A895" s="36"/>
      <c r="B895" s="37"/>
      <c r="C895" s="38"/>
      <c r="D895" s="38"/>
      <c r="E895" s="38"/>
      <c r="F895" s="39"/>
      <c r="G895" s="39"/>
      <c r="H895" s="38"/>
      <c r="I895" s="37"/>
      <c r="J895" s="38"/>
    </row>
    <row r="896" customFormat="false" ht="25.5" hidden="false" customHeight="true" outlineLevel="0" collapsed="false">
      <c r="A896" s="36"/>
      <c r="B896" s="37"/>
      <c r="C896" s="38"/>
      <c r="D896" s="38"/>
      <c r="E896" s="38"/>
      <c r="F896" s="39"/>
      <c r="G896" s="39"/>
      <c r="H896" s="38"/>
      <c r="I896" s="37"/>
      <c r="J896" s="38"/>
    </row>
    <row r="897" customFormat="false" ht="25.5" hidden="false" customHeight="true" outlineLevel="0" collapsed="false">
      <c r="A897" s="36"/>
      <c r="B897" s="37"/>
      <c r="C897" s="38"/>
      <c r="D897" s="38"/>
      <c r="E897" s="38"/>
      <c r="F897" s="39"/>
      <c r="G897" s="39"/>
      <c r="H897" s="38"/>
      <c r="I897" s="37"/>
      <c r="J897" s="38"/>
    </row>
    <row r="898" customFormat="false" ht="25.5" hidden="false" customHeight="true" outlineLevel="0" collapsed="false">
      <c r="A898" s="36"/>
      <c r="B898" s="37"/>
      <c r="C898" s="38"/>
      <c r="D898" s="38"/>
      <c r="E898" s="38"/>
      <c r="F898" s="39"/>
      <c r="G898" s="39"/>
      <c r="H898" s="38"/>
      <c r="I898" s="37"/>
      <c r="J898" s="38"/>
    </row>
    <row r="899" customFormat="false" ht="25.5" hidden="false" customHeight="true" outlineLevel="0" collapsed="false">
      <c r="A899" s="36"/>
      <c r="B899" s="37"/>
      <c r="C899" s="38"/>
      <c r="D899" s="38"/>
      <c r="E899" s="38"/>
      <c r="F899" s="39"/>
      <c r="G899" s="39"/>
      <c r="H899" s="38"/>
      <c r="I899" s="37"/>
      <c r="J899" s="38"/>
    </row>
    <row r="900" customFormat="false" ht="25.5" hidden="false" customHeight="true" outlineLevel="0" collapsed="false">
      <c r="A900" s="36"/>
      <c r="B900" s="37"/>
      <c r="C900" s="38"/>
      <c r="D900" s="38"/>
      <c r="E900" s="38"/>
      <c r="F900" s="39"/>
      <c r="G900" s="39"/>
      <c r="H900" s="38"/>
      <c r="I900" s="37"/>
      <c r="J900" s="38"/>
    </row>
    <row r="901" customFormat="false" ht="25.5" hidden="false" customHeight="true" outlineLevel="0" collapsed="false">
      <c r="A901" s="36"/>
      <c r="B901" s="37"/>
      <c r="C901" s="38"/>
      <c r="D901" s="38"/>
      <c r="E901" s="38"/>
      <c r="F901" s="39"/>
      <c r="G901" s="39"/>
      <c r="H901" s="38"/>
      <c r="I901" s="37"/>
      <c r="J901" s="38"/>
    </row>
    <row r="902" customFormat="false" ht="25.5" hidden="false" customHeight="true" outlineLevel="0" collapsed="false">
      <c r="A902" s="36"/>
      <c r="B902" s="37"/>
      <c r="C902" s="38"/>
      <c r="D902" s="38"/>
      <c r="E902" s="38"/>
      <c r="F902" s="39"/>
      <c r="G902" s="39"/>
      <c r="H902" s="38"/>
      <c r="I902" s="37"/>
      <c r="J902" s="38"/>
    </row>
    <row r="903" customFormat="false" ht="25.5" hidden="false" customHeight="true" outlineLevel="0" collapsed="false">
      <c r="A903" s="36"/>
      <c r="B903" s="37"/>
      <c r="C903" s="38"/>
      <c r="D903" s="38"/>
      <c r="E903" s="38"/>
      <c r="F903" s="39"/>
      <c r="G903" s="39"/>
      <c r="H903" s="38"/>
      <c r="I903" s="37"/>
      <c r="J903" s="38"/>
    </row>
    <row r="904" customFormat="false" ht="25.5" hidden="false" customHeight="true" outlineLevel="0" collapsed="false">
      <c r="A904" s="36"/>
      <c r="B904" s="37"/>
      <c r="C904" s="38"/>
      <c r="D904" s="38"/>
      <c r="E904" s="38"/>
      <c r="F904" s="39"/>
      <c r="G904" s="39"/>
      <c r="H904" s="38"/>
      <c r="I904" s="37"/>
      <c r="J904" s="38"/>
    </row>
    <row r="905" customFormat="false" ht="25.5" hidden="false" customHeight="true" outlineLevel="0" collapsed="false">
      <c r="A905" s="36"/>
      <c r="B905" s="37"/>
      <c r="C905" s="38"/>
      <c r="D905" s="38"/>
      <c r="E905" s="38"/>
      <c r="F905" s="39"/>
      <c r="G905" s="39"/>
      <c r="H905" s="38"/>
      <c r="I905" s="37"/>
      <c r="J905" s="38"/>
    </row>
    <row r="906" customFormat="false" ht="25.5" hidden="false" customHeight="true" outlineLevel="0" collapsed="false">
      <c r="A906" s="36"/>
      <c r="B906" s="37"/>
      <c r="C906" s="38"/>
      <c r="D906" s="38"/>
      <c r="E906" s="38"/>
      <c r="F906" s="39"/>
      <c r="G906" s="39"/>
      <c r="H906" s="38"/>
      <c r="I906" s="37"/>
      <c r="J906" s="38"/>
    </row>
    <row r="907" customFormat="false" ht="25.5" hidden="false" customHeight="true" outlineLevel="0" collapsed="false">
      <c r="A907" s="36"/>
      <c r="B907" s="37"/>
      <c r="C907" s="38"/>
      <c r="D907" s="38"/>
      <c r="E907" s="38"/>
      <c r="F907" s="39"/>
      <c r="G907" s="39"/>
      <c r="H907" s="38"/>
      <c r="I907" s="37"/>
      <c r="J907" s="38"/>
    </row>
    <row r="908" customFormat="false" ht="25.5" hidden="false" customHeight="true" outlineLevel="0" collapsed="false">
      <c r="A908" s="36"/>
      <c r="B908" s="37"/>
      <c r="C908" s="38"/>
      <c r="D908" s="38"/>
      <c r="E908" s="38"/>
      <c r="F908" s="39"/>
      <c r="G908" s="39"/>
      <c r="H908" s="38"/>
      <c r="I908" s="37"/>
      <c r="J908" s="38"/>
    </row>
    <row r="909" customFormat="false" ht="25.5" hidden="false" customHeight="true" outlineLevel="0" collapsed="false">
      <c r="A909" s="36"/>
      <c r="B909" s="37"/>
      <c r="C909" s="38"/>
      <c r="D909" s="38"/>
      <c r="E909" s="38"/>
      <c r="F909" s="39"/>
      <c r="G909" s="39"/>
      <c r="H909" s="38"/>
      <c r="I909" s="37"/>
      <c r="J909" s="38"/>
    </row>
    <row r="910" customFormat="false" ht="25.5" hidden="false" customHeight="true" outlineLevel="0" collapsed="false">
      <c r="A910" s="36"/>
      <c r="B910" s="37"/>
      <c r="C910" s="38"/>
      <c r="D910" s="38"/>
      <c r="E910" s="38"/>
      <c r="F910" s="39"/>
      <c r="G910" s="39"/>
      <c r="H910" s="38"/>
      <c r="I910" s="37"/>
      <c r="J910" s="38"/>
    </row>
    <row r="911" customFormat="false" ht="25.5" hidden="false" customHeight="true" outlineLevel="0" collapsed="false">
      <c r="A911" s="36"/>
      <c r="B911" s="37"/>
      <c r="C911" s="38"/>
      <c r="D911" s="38"/>
      <c r="E911" s="38"/>
      <c r="F911" s="39"/>
      <c r="G911" s="39"/>
      <c r="H911" s="38"/>
      <c r="I911" s="37"/>
      <c r="J911" s="38"/>
    </row>
    <row r="912" customFormat="false" ht="25.5" hidden="false" customHeight="true" outlineLevel="0" collapsed="false">
      <c r="A912" s="36"/>
      <c r="B912" s="37"/>
      <c r="C912" s="38"/>
      <c r="D912" s="38"/>
      <c r="E912" s="38"/>
      <c r="F912" s="39"/>
      <c r="G912" s="39"/>
      <c r="H912" s="38"/>
      <c r="I912" s="37"/>
      <c r="J912" s="38"/>
    </row>
    <row r="913" customFormat="false" ht="25.5" hidden="false" customHeight="true" outlineLevel="0" collapsed="false">
      <c r="A913" s="36"/>
      <c r="B913" s="37"/>
      <c r="C913" s="38"/>
      <c r="D913" s="38"/>
      <c r="E913" s="38"/>
      <c r="F913" s="39"/>
      <c r="G913" s="39"/>
      <c r="H913" s="38"/>
      <c r="I913" s="37"/>
      <c r="J913" s="38"/>
    </row>
    <row r="914" customFormat="false" ht="25.5" hidden="false" customHeight="true" outlineLevel="0" collapsed="false">
      <c r="A914" s="36"/>
      <c r="B914" s="37"/>
      <c r="C914" s="38"/>
      <c r="D914" s="38"/>
      <c r="E914" s="38"/>
      <c r="F914" s="39"/>
      <c r="G914" s="39"/>
      <c r="H914" s="38"/>
      <c r="I914" s="37"/>
      <c r="J914" s="38"/>
    </row>
    <row r="915" customFormat="false" ht="25.5" hidden="false" customHeight="true" outlineLevel="0" collapsed="false">
      <c r="A915" s="36"/>
      <c r="B915" s="37"/>
      <c r="C915" s="38"/>
      <c r="D915" s="38"/>
      <c r="E915" s="38"/>
      <c r="F915" s="39"/>
      <c r="G915" s="39"/>
      <c r="H915" s="38"/>
      <c r="I915" s="37"/>
      <c r="J915" s="38"/>
    </row>
    <row r="916" customFormat="false" ht="25.5" hidden="false" customHeight="true" outlineLevel="0" collapsed="false">
      <c r="A916" s="36"/>
      <c r="B916" s="37"/>
      <c r="C916" s="38"/>
      <c r="D916" s="38"/>
      <c r="E916" s="38"/>
      <c r="F916" s="39"/>
      <c r="G916" s="39"/>
      <c r="H916" s="38"/>
      <c r="I916" s="37"/>
      <c r="J916" s="38"/>
    </row>
    <row r="917" customFormat="false" ht="25.5" hidden="false" customHeight="true" outlineLevel="0" collapsed="false">
      <c r="A917" s="36"/>
      <c r="B917" s="37"/>
      <c r="C917" s="38"/>
      <c r="D917" s="38"/>
      <c r="E917" s="38"/>
      <c r="F917" s="39"/>
      <c r="G917" s="39"/>
      <c r="H917" s="38"/>
      <c r="I917" s="37"/>
      <c r="J917" s="38"/>
    </row>
    <row r="918" customFormat="false" ht="25.5" hidden="false" customHeight="true" outlineLevel="0" collapsed="false">
      <c r="A918" s="36"/>
      <c r="B918" s="37"/>
      <c r="C918" s="38"/>
      <c r="D918" s="38"/>
      <c r="E918" s="38"/>
      <c r="F918" s="39"/>
      <c r="G918" s="39"/>
      <c r="H918" s="38"/>
      <c r="I918" s="37"/>
      <c r="J918" s="38"/>
    </row>
    <row r="919" customFormat="false" ht="25.5" hidden="false" customHeight="true" outlineLevel="0" collapsed="false">
      <c r="A919" s="36"/>
      <c r="B919" s="37"/>
      <c r="C919" s="38"/>
      <c r="D919" s="38"/>
      <c r="E919" s="38"/>
      <c r="F919" s="39"/>
      <c r="G919" s="39"/>
      <c r="H919" s="38"/>
      <c r="I919" s="37"/>
      <c r="J919" s="38"/>
    </row>
    <row r="920" customFormat="false" ht="25.5" hidden="false" customHeight="true" outlineLevel="0" collapsed="false">
      <c r="A920" s="36"/>
      <c r="B920" s="37"/>
      <c r="C920" s="38"/>
      <c r="D920" s="38"/>
      <c r="E920" s="38"/>
      <c r="F920" s="39"/>
      <c r="G920" s="39"/>
      <c r="H920" s="38"/>
      <c r="I920" s="37"/>
      <c r="J920" s="38"/>
    </row>
    <row r="921" customFormat="false" ht="25.5" hidden="false" customHeight="true" outlineLevel="0" collapsed="false">
      <c r="A921" s="36"/>
      <c r="B921" s="37"/>
      <c r="C921" s="38"/>
      <c r="D921" s="38"/>
      <c r="E921" s="38"/>
      <c r="F921" s="39"/>
      <c r="G921" s="39"/>
      <c r="H921" s="38"/>
      <c r="I921" s="37"/>
      <c r="J921" s="38"/>
    </row>
    <row r="922" customFormat="false" ht="25.5" hidden="false" customHeight="true" outlineLevel="0" collapsed="false">
      <c r="A922" s="36"/>
      <c r="B922" s="37"/>
      <c r="C922" s="38"/>
      <c r="D922" s="38"/>
      <c r="E922" s="38"/>
      <c r="F922" s="39"/>
      <c r="G922" s="39"/>
      <c r="H922" s="38"/>
      <c r="I922" s="37"/>
      <c r="J922" s="38"/>
    </row>
    <row r="923" customFormat="false" ht="25.5" hidden="false" customHeight="true" outlineLevel="0" collapsed="false">
      <c r="A923" s="36"/>
      <c r="B923" s="37"/>
      <c r="C923" s="38"/>
      <c r="D923" s="38"/>
      <c r="E923" s="38"/>
      <c r="F923" s="39"/>
      <c r="G923" s="39"/>
      <c r="H923" s="38"/>
      <c r="I923" s="37"/>
      <c r="J923" s="38"/>
    </row>
    <row r="924" customFormat="false" ht="25.5" hidden="false" customHeight="true" outlineLevel="0" collapsed="false">
      <c r="A924" s="36"/>
      <c r="B924" s="37"/>
      <c r="C924" s="38"/>
      <c r="D924" s="38"/>
      <c r="E924" s="38"/>
      <c r="F924" s="39"/>
      <c r="G924" s="39"/>
      <c r="H924" s="38"/>
      <c r="I924" s="37"/>
      <c r="J924" s="38"/>
    </row>
    <row r="925" customFormat="false" ht="25.5" hidden="false" customHeight="true" outlineLevel="0" collapsed="false">
      <c r="A925" s="36"/>
      <c r="B925" s="37"/>
      <c r="C925" s="38"/>
      <c r="D925" s="38"/>
      <c r="E925" s="38"/>
      <c r="F925" s="39"/>
      <c r="G925" s="39"/>
      <c r="H925" s="38"/>
      <c r="I925" s="37"/>
      <c r="J925" s="38"/>
    </row>
    <row r="926" customFormat="false" ht="25.5" hidden="false" customHeight="true" outlineLevel="0" collapsed="false">
      <c r="A926" s="36"/>
      <c r="B926" s="37"/>
      <c r="C926" s="38"/>
      <c r="D926" s="38"/>
      <c r="E926" s="38"/>
      <c r="F926" s="39"/>
      <c r="G926" s="39"/>
      <c r="H926" s="38"/>
      <c r="I926" s="37"/>
      <c r="J926" s="38"/>
    </row>
    <row r="927" customFormat="false" ht="25.5" hidden="false" customHeight="true" outlineLevel="0" collapsed="false">
      <c r="A927" s="36"/>
      <c r="B927" s="37"/>
      <c r="C927" s="38"/>
      <c r="D927" s="38"/>
      <c r="E927" s="38"/>
      <c r="F927" s="39"/>
      <c r="G927" s="39"/>
      <c r="H927" s="38"/>
      <c r="I927" s="37"/>
      <c r="J927" s="38"/>
    </row>
    <row r="928" customFormat="false" ht="25.5" hidden="false" customHeight="true" outlineLevel="0" collapsed="false">
      <c r="A928" s="36"/>
      <c r="B928" s="37"/>
      <c r="C928" s="38"/>
      <c r="D928" s="38"/>
      <c r="E928" s="38"/>
      <c r="F928" s="39"/>
      <c r="G928" s="39"/>
      <c r="H928" s="38"/>
      <c r="I928" s="37"/>
      <c r="J928" s="38"/>
    </row>
    <row r="929" customFormat="false" ht="25.5" hidden="false" customHeight="true" outlineLevel="0" collapsed="false">
      <c r="A929" s="36"/>
      <c r="B929" s="37"/>
      <c r="C929" s="38"/>
      <c r="D929" s="38"/>
      <c r="E929" s="38"/>
      <c r="F929" s="39"/>
      <c r="G929" s="39"/>
      <c r="H929" s="38"/>
      <c r="I929" s="37"/>
      <c r="J929" s="38"/>
    </row>
    <row r="930" customFormat="false" ht="25.5" hidden="false" customHeight="true" outlineLevel="0" collapsed="false">
      <c r="A930" s="36"/>
      <c r="B930" s="37"/>
      <c r="C930" s="38"/>
      <c r="D930" s="38"/>
      <c r="E930" s="38"/>
      <c r="F930" s="39"/>
      <c r="G930" s="39"/>
      <c r="H930" s="38"/>
      <c r="I930" s="37"/>
      <c r="J930" s="38"/>
    </row>
    <row r="931" customFormat="false" ht="25.5" hidden="false" customHeight="true" outlineLevel="0" collapsed="false">
      <c r="A931" s="36"/>
      <c r="B931" s="37"/>
      <c r="C931" s="38"/>
      <c r="D931" s="38"/>
      <c r="E931" s="38"/>
      <c r="F931" s="39"/>
      <c r="G931" s="39"/>
      <c r="H931" s="38"/>
      <c r="I931" s="37"/>
      <c r="J931" s="38"/>
    </row>
    <row r="932" customFormat="false" ht="25.5" hidden="false" customHeight="true" outlineLevel="0" collapsed="false">
      <c r="A932" s="36"/>
      <c r="B932" s="37"/>
      <c r="C932" s="38"/>
      <c r="D932" s="38"/>
      <c r="E932" s="38"/>
      <c r="F932" s="39"/>
      <c r="G932" s="39"/>
      <c r="H932" s="38"/>
      <c r="I932" s="37"/>
      <c r="J932" s="38"/>
    </row>
    <row r="933" customFormat="false" ht="25.5" hidden="false" customHeight="true" outlineLevel="0" collapsed="false">
      <c r="A933" s="36"/>
      <c r="B933" s="37"/>
      <c r="C933" s="38"/>
      <c r="D933" s="38"/>
      <c r="E933" s="38"/>
      <c r="F933" s="39"/>
      <c r="G933" s="39"/>
      <c r="H933" s="38"/>
      <c r="I933" s="37"/>
      <c r="J933" s="38"/>
    </row>
    <row r="934" customFormat="false" ht="25.5" hidden="false" customHeight="true" outlineLevel="0" collapsed="false">
      <c r="A934" s="36"/>
      <c r="B934" s="37"/>
      <c r="C934" s="38"/>
      <c r="D934" s="38"/>
      <c r="E934" s="38"/>
      <c r="F934" s="39"/>
      <c r="G934" s="39"/>
      <c r="H934" s="38"/>
      <c r="I934" s="37"/>
      <c r="J934" s="38"/>
    </row>
    <row r="935" customFormat="false" ht="25.5" hidden="false" customHeight="true" outlineLevel="0" collapsed="false">
      <c r="A935" s="36"/>
      <c r="B935" s="37"/>
      <c r="C935" s="38"/>
      <c r="D935" s="38"/>
      <c r="E935" s="38"/>
      <c r="F935" s="39"/>
      <c r="G935" s="39"/>
      <c r="H935" s="38"/>
      <c r="I935" s="37"/>
      <c r="J935" s="38"/>
    </row>
    <row r="936" customFormat="false" ht="25.5" hidden="false" customHeight="true" outlineLevel="0" collapsed="false">
      <c r="A936" s="36"/>
      <c r="B936" s="37"/>
      <c r="C936" s="38"/>
      <c r="D936" s="38"/>
      <c r="E936" s="38"/>
      <c r="F936" s="39"/>
      <c r="G936" s="39"/>
      <c r="H936" s="38"/>
      <c r="I936" s="37"/>
      <c r="J936" s="38"/>
    </row>
    <row r="937" customFormat="false" ht="25.5" hidden="false" customHeight="true" outlineLevel="0" collapsed="false">
      <c r="A937" s="36"/>
      <c r="B937" s="37"/>
      <c r="C937" s="38"/>
      <c r="D937" s="38"/>
      <c r="E937" s="38"/>
      <c r="F937" s="39"/>
      <c r="G937" s="39"/>
      <c r="H937" s="38"/>
      <c r="I937" s="37"/>
      <c r="J937" s="38"/>
    </row>
    <row r="938" customFormat="false" ht="25.5" hidden="false" customHeight="true" outlineLevel="0" collapsed="false">
      <c r="A938" s="36"/>
      <c r="B938" s="37"/>
      <c r="C938" s="38"/>
      <c r="D938" s="38"/>
      <c r="E938" s="38"/>
      <c r="F938" s="39"/>
      <c r="G938" s="39"/>
      <c r="H938" s="38"/>
      <c r="I938" s="37"/>
      <c r="J938" s="38"/>
    </row>
    <row r="939" customFormat="false" ht="25.5" hidden="false" customHeight="true" outlineLevel="0" collapsed="false">
      <c r="A939" s="36"/>
      <c r="B939" s="37"/>
      <c r="C939" s="38"/>
      <c r="D939" s="38"/>
      <c r="E939" s="38"/>
      <c r="F939" s="39"/>
      <c r="G939" s="39"/>
      <c r="H939" s="38"/>
      <c r="I939" s="37"/>
      <c r="J939" s="38"/>
    </row>
    <row r="940" customFormat="false" ht="25.5" hidden="false" customHeight="true" outlineLevel="0" collapsed="false">
      <c r="A940" s="36"/>
      <c r="B940" s="37"/>
      <c r="C940" s="38"/>
      <c r="D940" s="38"/>
      <c r="E940" s="38"/>
      <c r="F940" s="39"/>
      <c r="G940" s="39"/>
      <c r="H940" s="38"/>
      <c r="I940" s="37"/>
      <c r="J940" s="38"/>
    </row>
    <row r="941" customFormat="false" ht="25.5" hidden="false" customHeight="true" outlineLevel="0" collapsed="false">
      <c r="A941" s="36"/>
      <c r="B941" s="37"/>
      <c r="C941" s="38"/>
      <c r="D941" s="38"/>
      <c r="E941" s="38"/>
      <c r="F941" s="39"/>
      <c r="G941" s="39"/>
      <c r="H941" s="38"/>
      <c r="I941" s="37"/>
      <c r="J941" s="38"/>
    </row>
    <row r="942" customFormat="false" ht="25.5" hidden="false" customHeight="true" outlineLevel="0" collapsed="false">
      <c r="A942" s="36"/>
      <c r="B942" s="37"/>
      <c r="C942" s="38"/>
      <c r="D942" s="38"/>
      <c r="E942" s="38"/>
      <c r="F942" s="39"/>
      <c r="G942" s="39"/>
      <c r="H942" s="38"/>
      <c r="I942" s="37"/>
      <c r="J942" s="38"/>
    </row>
    <row r="943" customFormat="false" ht="25.5" hidden="false" customHeight="true" outlineLevel="0" collapsed="false">
      <c r="A943" s="36"/>
      <c r="B943" s="37"/>
      <c r="C943" s="38"/>
      <c r="D943" s="38"/>
      <c r="E943" s="38"/>
      <c r="F943" s="39"/>
      <c r="G943" s="39"/>
      <c r="H943" s="38"/>
      <c r="I943" s="37"/>
      <c r="J943" s="38"/>
    </row>
    <row r="944" customFormat="false" ht="25.5" hidden="false" customHeight="true" outlineLevel="0" collapsed="false">
      <c r="A944" s="36"/>
      <c r="B944" s="37"/>
      <c r="C944" s="38"/>
      <c r="D944" s="38"/>
      <c r="E944" s="38"/>
      <c r="F944" s="39"/>
      <c r="G944" s="39"/>
      <c r="H944" s="38"/>
      <c r="I944" s="37"/>
      <c r="J944" s="38"/>
    </row>
    <row r="945" customFormat="false" ht="25.5" hidden="false" customHeight="true" outlineLevel="0" collapsed="false">
      <c r="A945" s="36"/>
      <c r="B945" s="37"/>
      <c r="C945" s="38"/>
      <c r="D945" s="38"/>
      <c r="E945" s="38"/>
      <c r="F945" s="39"/>
      <c r="G945" s="39"/>
      <c r="H945" s="38"/>
      <c r="I945" s="37"/>
      <c r="J945" s="38"/>
    </row>
    <row r="946" customFormat="false" ht="25.5" hidden="false" customHeight="true" outlineLevel="0" collapsed="false">
      <c r="A946" s="36"/>
      <c r="B946" s="37"/>
      <c r="C946" s="38"/>
      <c r="D946" s="38"/>
      <c r="E946" s="38"/>
      <c r="F946" s="39"/>
      <c r="G946" s="39"/>
      <c r="H946" s="38"/>
      <c r="I946" s="37"/>
      <c r="J946" s="38"/>
    </row>
    <row r="947" customFormat="false" ht="25.5" hidden="false" customHeight="true" outlineLevel="0" collapsed="false">
      <c r="A947" s="36"/>
      <c r="B947" s="37"/>
      <c r="C947" s="38"/>
      <c r="D947" s="38"/>
      <c r="E947" s="38"/>
      <c r="F947" s="39"/>
      <c r="G947" s="39"/>
      <c r="H947" s="38"/>
      <c r="I947" s="37"/>
      <c r="J947" s="38"/>
    </row>
    <row r="948" customFormat="false" ht="25.5" hidden="false" customHeight="true" outlineLevel="0" collapsed="false">
      <c r="A948" s="36"/>
      <c r="B948" s="37"/>
      <c r="C948" s="38"/>
      <c r="D948" s="38"/>
      <c r="E948" s="38"/>
      <c r="F948" s="39"/>
      <c r="G948" s="39"/>
      <c r="H948" s="38"/>
      <c r="I948" s="37"/>
      <c r="J948" s="38"/>
    </row>
    <row r="949" customFormat="false" ht="25.5" hidden="false" customHeight="true" outlineLevel="0" collapsed="false">
      <c r="A949" s="36"/>
      <c r="B949" s="37"/>
      <c r="C949" s="38"/>
      <c r="D949" s="38"/>
      <c r="E949" s="38"/>
      <c r="F949" s="39"/>
      <c r="G949" s="39"/>
      <c r="H949" s="38"/>
      <c r="I949" s="37"/>
      <c r="J949" s="38"/>
    </row>
    <row r="950" customFormat="false" ht="25.5" hidden="false" customHeight="true" outlineLevel="0" collapsed="false">
      <c r="A950" s="36"/>
      <c r="B950" s="37"/>
      <c r="C950" s="38"/>
      <c r="D950" s="38"/>
      <c r="E950" s="38"/>
      <c r="F950" s="39"/>
      <c r="G950" s="39"/>
      <c r="H950" s="38"/>
      <c r="I950" s="37"/>
      <c r="J950" s="38"/>
    </row>
    <row r="951" customFormat="false" ht="25.5" hidden="false" customHeight="true" outlineLevel="0" collapsed="false">
      <c r="A951" s="36"/>
      <c r="B951" s="37"/>
      <c r="C951" s="38"/>
      <c r="D951" s="38"/>
      <c r="E951" s="38"/>
      <c r="F951" s="39"/>
      <c r="G951" s="39"/>
      <c r="H951" s="38"/>
      <c r="I951" s="37"/>
      <c r="J951" s="38"/>
    </row>
    <row r="952" customFormat="false" ht="25.5" hidden="false" customHeight="true" outlineLevel="0" collapsed="false">
      <c r="A952" s="36"/>
      <c r="B952" s="37"/>
      <c r="C952" s="38"/>
      <c r="D952" s="38"/>
      <c r="E952" s="38"/>
      <c r="F952" s="39"/>
      <c r="G952" s="39"/>
      <c r="H952" s="38"/>
      <c r="I952" s="37"/>
      <c r="J952" s="38"/>
    </row>
    <row r="953" customFormat="false" ht="25.5" hidden="false" customHeight="true" outlineLevel="0" collapsed="false">
      <c r="A953" s="36"/>
      <c r="B953" s="37"/>
      <c r="C953" s="38"/>
      <c r="D953" s="38"/>
      <c r="E953" s="38"/>
      <c r="F953" s="39"/>
      <c r="G953" s="39"/>
      <c r="H953" s="38"/>
      <c r="I953" s="37"/>
      <c r="J953" s="38"/>
    </row>
    <row r="954" customFormat="false" ht="25.5" hidden="false" customHeight="true" outlineLevel="0" collapsed="false">
      <c r="A954" s="36"/>
      <c r="B954" s="37"/>
      <c r="C954" s="38"/>
      <c r="D954" s="38"/>
      <c r="E954" s="38"/>
      <c r="F954" s="39"/>
      <c r="G954" s="39"/>
      <c r="H954" s="38"/>
      <c r="I954" s="37"/>
      <c r="J954" s="38"/>
    </row>
    <row r="955" customFormat="false" ht="25.5" hidden="false" customHeight="true" outlineLevel="0" collapsed="false">
      <c r="A955" s="36"/>
      <c r="B955" s="37"/>
      <c r="C955" s="38"/>
      <c r="D955" s="38"/>
      <c r="E955" s="38"/>
      <c r="F955" s="39"/>
      <c r="G955" s="39"/>
      <c r="H955" s="38"/>
      <c r="I955" s="37"/>
      <c r="J955" s="38"/>
    </row>
    <row r="956" customFormat="false" ht="25.5" hidden="false" customHeight="true" outlineLevel="0" collapsed="false">
      <c r="A956" s="36"/>
      <c r="B956" s="37"/>
      <c r="C956" s="38"/>
      <c r="D956" s="38"/>
      <c r="E956" s="38"/>
      <c r="F956" s="39"/>
      <c r="G956" s="39"/>
      <c r="H956" s="38"/>
      <c r="I956" s="37"/>
      <c r="J956" s="38"/>
    </row>
    <row r="957" customFormat="false" ht="25.5" hidden="false" customHeight="true" outlineLevel="0" collapsed="false">
      <c r="A957" s="36"/>
      <c r="B957" s="37"/>
      <c r="C957" s="38"/>
      <c r="D957" s="38"/>
      <c r="E957" s="38"/>
      <c r="F957" s="39"/>
      <c r="G957" s="39"/>
      <c r="H957" s="38"/>
      <c r="I957" s="37"/>
      <c r="J957" s="38"/>
    </row>
    <row r="958" customFormat="false" ht="25.5" hidden="false" customHeight="true" outlineLevel="0" collapsed="false">
      <c r="A958" s="36"/>
      <c r="B958" s="37"/>
      <c r="C958" s="38"/>
      <c r="D958" s="38"/>
      <c r="E958" s="38"/>
      <c r="F958" s="39"/>
      <c r="G958" s="39"/>
      <c r="H958" s="38"/>
      <c r="I958" s="37"/>
      <c r="J958" s="38"/>
    </row>
    <row r="959" customFormat="false" ht="25.5" hidden="false" customHeight="true" outlineLevel="0" collapsed="false">
      <c r="A959" s="36"/>
      <c r="B959" s="37"/>
      <c r="C959" s="38"/>
      <c r="D959" s="38"/>
      <c r="E959" s="38"/>
      <c r="F959" s="39"/>
      <c r="G959" s="39"/>
      <c r="H959" s="38"/>
      <c r="I959" s="37"/>
      <c r="J959" s="38"/>
    </row>
    <row r="960" customFormat="false" ht="25.5" hidden="false" customHeight="true" outlineLevel="0" collapsed="false">
      <c r="A960" s="36"/>
      <c r="B960" s="37"/>
      <c r="C960" s="38"/>
      <c r="D960" s="38"/>
      <c r="E960" s="38"/>
      <c r="F960" s="39"/>
      <c r="G960" s="39"/>
      <c r="H960" s="38"/>
      <c r="I960" s="37"/>
      <c r="J960" s="38"/>
    </row>
    <row r="961" customFormat="false" ht="25.5" hidden="false" customHeight="true" outlineLevel="0" collapsed="false">
      <c r="A961" s="36"/>
      <c r="B961" s="37"/>
      <c r="C961" s="38"/>
      <c r="D961" s="38"/>
      <c r="E961" s="38"/>
      <c r="F961" s="39"/>
      <c r="G961" s="39"/>
      <c r="H961" s="38"/>
      <c r="I961" s="37"/>
      <c r="J961" s="38"/>
    </row>
    <row r="962" customFormat="false" ht="25.5" hidden="false" customHeight="true" outlineLevel="0" collapsed="false">
      <c r="A962" s="36"/>
      <c r="B962" s="37"/>
      <c r="C962" s="38"/>
      <c r="D962" s="38"/>
      <c r="E962" s="38"/>
      <c r="F962" s="39"/>
      <c r="G962" s="39"/>
      <c r="H962" s="38"/>
      <c r="I962" s="37"/>
      <c r="J962" s="38"/>
    </row>
    <row r="963" customFormat="false" ht="25.5" hidden="false" customHeight="true" outlineLevel="0" collapsed="false">
      <c r="A963" s="36"/>
      <c r="B963" s="37"/>
      <c r="C963" s="38"/>
      <c r="D963" s="38"/>
      <c r="E963" s="38"/>
      <c r="F963" s="39"/>
      <c r="G963" s="39"/>
      <c r="H963" s="38"/>
      <c r="I963" s="37"/>
      <c r="J963" s="38"/>
    </row>
    <row r="964" customFormat="false" ht="25.5" hidden="false" customHeight="true" outlineLevel="0" collapsed="false">
      <c r="A964" s="36"/>
      <c r="B964" s="37"/>
      <c r="C964" s="38"/>
      <c r="D964" s="38"/>
      <c r="E964" s="38"/>
      <c r="F964" s="39"/>
      <c r="G964" s="39"/>
      <c r="H964" s="38"/>
      <c r="I964" s="37"/>
      <c r="J964" s="38"/>
    </row>
    <row r="965" customFormat="false" ht="25.5" hidden="false" customHeight="true" outlineLevel="0" collapsed="false">
      <c r="A965" s="36"/>
      <c r="B965" s="37"/>
      <c r="C965" s="38"/>
      <c r="D965" s="38"/>
      <c r="E965" s="38"/>
      <c r="F965" s="39"/>
      <c r="G965" s="39"/>
      <c r="H965" s="38"/>
      <c r="I965" s="37"/>
      <c r="J965" s="38"/>
    </row>
    <row r="966" customFormat="false" ht="25.5" hidden="false" customHeight="true" outlineLevel="0" collapsed="false">
      <c r="A966" s="36"/>
      <c r="B966" s="37"/>
      <c r="C966" s="38"/>
      <c r="D966" s="38"/>
      <c r="E966" s="38"/>
      <c r="F966" s="39"/>
      <c r="G966" s="39"/>
      <c r="H966" s="38"/>
      <c r="I966" s="37"/>
      <c r="J966" s="38"/>
    </row>
    <row r="967" customFormat="false" ht="25.5" hidden="false" customHeight="true" outlineLevel="0" collapsed="false">
      <c r="A967" s="36"/>
      <c r="B967" s="37"/>
      <c r="C967" s="38"/>
      <c r="D967" s="38"/>
      <c r="E967" s="38"/>
      <c r="F967" s="39"/>
      <c r="G967" s="39"/>
      <c r="H967" s="38"/>
      <c r="I967" s="37"/>
      <c r="J967" s="38"/>
    </row>
    <row r="968" customFormat="false" ht="25.5" hidden="false" customHeight="true" outlineLevel="0" collapsed="false">
      <c r="A968" s="36"/>
      <c r="B968" s="37"/>
      <c r="C968" s="38"/>
      <c r="D968" s="38"/>
      <c r="E968" s="38"/>
      <c r="F968" s="39"/>
      <c r="G968" s="39"/>
      <c r="H968" s="38"/>
      <c r="I968" s="37"/>
      <c r="J968" s="38"/>
    </row>
    <row r="969" customFormat="false" ht="25.5" hidden="false" customHeight="true" outlineLevel="0" collapsed="false">
      <c r="A969" s="36"/>
      <c r="B969" s="37"/>
      <c r="C969" s="38"/>
      <c r="D969" s="38"/>
      <c r="E969" s="38"/>
      <c r="F969" s="39"/>
      <c r="G969" s="39"/>
      <c r="H969" s="38"/>
      <c r="I969" s="37"/>
      <c r="J969" s="38"/>
    </row>
    <row r="970" customFormat="false" ht="25.5" hidden="false" customHeight="true" outlineLevel="0" collapsed="false">
      <c r="A970" s="36"/>
      <c r="B970" s="37"/>
      <c r="C970" s="38"/>
      <c r="D970" s="38"/>
      <c r="E970" s="38"/>
      <c r="F970" s="39"/>
      <c r="G970" s="39"/>
      <c r="H970" s="38"/>
      <c r="I970" s="37"/>
      <c r="J970" s="38"/>
    </row>
    <row r="971" customFormat="false" ht="25.5" hidden="false" customHeight="true" outlineLevel="0" collapsed="false">
      <c r="A971" s="36"/>
      <c r="B971" s="37"/>
      <c r="C971" s="38"/>
      <c r="D971" s="38"/>
      <c r="E971" s="38"/>
      <c r="F971" s="39"/>
      <c r="G971" s="39"/>
      <c r="H971" s="38"/>
      <c r="I971" s="37"/>
      <c r="J971" s="38"/>
    </row>
    <row r="972" customFormat="false" ht="25.5" hidden="false" customHeight="true" outlineLevel="0" collapsed="false">
      <c r="A972" s="36"/>
      <c r="B972" s="37"/>
      <c r="C972" s="38"/>
      <c r="D972" s="38"/>
      <c r="E972" s="38"/>
      <c r="F972" s="39"/>
      <c r="G972" s="39"/>
      <c r="H972" s="38"/>
      <c r="I972" s="37"/>
      <c r="J972" s="38"/>
    </row>
    <row r="973" customFormat="false" ht="25.5" hidden="false" customHeight="true" outlineLevel="0" collapsed="false">
      <c r="A973" s="36"/>
      <c r="B973" s="37"/>
      <c r="C973" s="38"/>
      <c r="D973" s="38"/>
      <c r="E973" s="38"/>
      <c r="F973" s="39"/>
      <c r="G973" s="39"/>
      <c r="H973" s="38"/>
      <c r="I973" s="37"/>
      <c r="J973" s="38"/>
    </row>
    <row r="974" customFormat="false" ht="25.5" hidden="false" customHeight="true" outlineLevel="0" collapsed="false">
      <c r="A974" s="36"/>
      <c r="B974" s="37"/>
      <c r="C974" s="38"/>
      <c r="D974" s="38"/>
      <c r="E974" s="38"/>
      <c r="F974" s="39"/>
      <c r="G974" s="39"/>
      <c r="H974" s="38"/>
      <c r="I974" s="37"/>
      <c r="J974" s="38"/>
    </row>
    <row r="975" customFormat="false" ht="25.5" hidden="false" customHeight="true" outlineLevel="0" collapsed="false">
      <c r="A975" s="36"/>
      <c r="B975" s="37"/>
      <c r="C975" s="38"/>
      <c r="D975" s="38"/>
      <c r="E975" s="38"/>
      <c r="F975" s="39"/>
      <c r="G975" s="39"/>
      <c r="H975" s="38"/>
      <c r="I975" s="37"/>
      <c r="J975" s="38"/>
    </row>
    <row r="976" customFormat="false" ht="25.5" hidden="false" customHeight="true" outlineLevel="0" collapsed="false">
      <c r="A976" s="36"/>
      <c r="B976" s="37"/>
      <c r="C976" s="38"/>
      <c r="D976" s="38"/>
      <c r="E976" s="38"/>
      <c r="F976" s="39"/>
      <c r="G976" s="39"/>
      <c r="H976" s="38"/>
      <c r="I976" s="37"/>
      <c r="J976" s="38"/>
    </row>
    <row r="977" customFormat="false" ht="25.5" hidden="false" customHeight="true" outlineLevel="0" collapsed="false">
      <c r="A977" s="36"/>
      <c r="B977" s="37"/>
      <c r="C977" s="38"/>
      <c r="D977" s="38"/>
      <c r="E977" s="38"/>
      <c r="F977" s="39"/>
      <c r="G977" s="39"/>
      <c r="H977" s="38"/>
      <c r="I977" s="37"/>
      <c r="J977" s="38"/>
    </row>
    <row r="978" customFormat="false" ht="25.5" hidden="false" customHeight="true" outlineLevel="0" collapsed="false">
      <c r="A978" s="36"/>
      <c r="B978" s="37"/>
      <c r="C978" s="38"/>
      <c r="D978" s="38"/>
      <c r="E978" s="38"/>
      <c r="F978" s="39"/>
      <c r="G978" s="39"/>
      <c r="H978" s="38"/>
      <c r="I978" s="37"/>
      <c r="J978" s="38"/>
    </row>
    <row r="979" customFormat="false" ht="25.5" hidden="false" customHeight="true" outlineLevel="0" collapsed="false">
      <c r="A979" s="36"/>
      <c r="B979" s="37"/>
      <c r="C979" s="38"/>
      <c r="D979" s="38"/>
      <c r="E979" s="38"/>
      <c r="F979" s="39"/>
      <c r="G979" s="39"/>
      <c r="H979" s="38"/>
      <c r="I979" s="37"/>
      <c r="J979" s="38"/>
    </row>
    <row r="980" customFormat="false" ht="25.5" hidden="false" customHeight="true" outlineLevel="0" collapsed="false">
      <c r="A980" s="36"/>
      <c r="B980" s="37"/>
      <c r="C980" s="38"/>
      <c r="D980" s="38"/>
      <c r="E980" s="38"/>
      <c r="F980" s="39"/>
      <c r="G980" s="39"/>
      <c r="H980" s="38"/>
      <c r="I980" s="37"/>
      <c r="J980" s="38"/>
    </row>
    <row r="981" customFormat="false" ht="25.5" hidden="false" customHeight="true" outlineLevel="0" collapsed="false">
      <c r="A981" s="36"/>
      <c r="B981" s="37"/>
      <c r="C981" s="38"/>
      <c r="D981" s="38"/>
      <c r="E981" s="38"/>
      <c r="F981" s="39"/>
      <c r="G981" s="39"/>
      <c r="H981" s="38"/>
      <c r="I981" s="37"/>
      <c r="J981" s="38"/>
    </row>
    <row r="982" customFormat="false" ht="25.5" hidden="false" customHeight="true" outlineLevel="0" collapsed="false">
      <c r="A982" s="36"/>
      <c r="B982" s="37"/>
      <c r="C982" s="38"/>
      <c r="D982" s="38"/>
      <c r="E982" s="38"/>
      <c r="F982" s="39"/>
      <c r="G982" s="39"/>
      <c r="H982" s="38"/>
      <c r="I982" s="37"/>
      <c r="J982" s="38"/>
    </row>
    <row r="983" customFormat="false" ht="25.5" hidden="false" customHeight="true" outlineLevel="0" collapsed="false">
      <c r="A983" s="36"/>
      <c r="B983" s="37"/>
      <c r="C983" s="38"/>
      <c r="D983" s="38"/>
      <c r="E983" s="38"/>
      <c r="F983" s="39"/>
      <c r="G983" s="39"/>
      <c r="H983" s="38"/>
      <c r="I983" s="37"/>
      <c r="J983" s="38"/>
    </row>
    <row r="984" customFormat="false" ht="25.5" hidden="false" customHeight="true" outlineLevel="0" collapsed="false">
      <c r="A984" s="36"/>
      <c r="B984" s="37"/>
      <c r="C984" s="38"/>
      <c r="D984" s="38"/>
      <c r="E984" s="38"/>
      <c r="F984" s="39"/>
      <c r="G984" s="39"/>
      <c r="H984" s="38"/>
      <c r="I984" s="37"/>
      <c r="J984" s="38"/>
    </row>
    <row r="985" customFormat="false" ht="25.5" hidden="false" customHeight="true" outlineLevel="0" collapsed="false">
      <c r="A985" s="36"/>
      <c r="B985" s="37"/>
      <c r="C985" s="38"/>
      <c r="D985" s="38"/>
      <c r="E985" s="38"/>
      <c r="F985" s="39"/>
      <c r="G985" s="39"/>
      <c r="H985" s="38"/>
      <c r="I985" s="37"/>
      <c r="J985" s="38"/>
    </row>
    <row r="986" customFormat="false" ht="25.5" hidden="false" customHeight="true" outlineLevel="0" collapsed="false">
      <c r="A986" s="36"/>
      <c r="B986" s="37"/>
      <c r="C986" s="38"/>
      <c r="D986" s="38"/>
      <c r="E986" s="38"/>
      <c r="F986" s="39"/>
      <c r="G986" s="39"/>
      <c r="H986" s="38"/>
      <c r="I986" s="37"/>
      <c r="J986" s="38"/>
    </row>
    <row r="987" customFormat="false" ht="25.5" hidden="false" customHeight="true" outlineLevel="0" collapsed="false">
      <c r="A987" s="36"/>
      <c r="B987" s="37"/>
      <c r="C987" s="38"/>
      <c r="D987" s="38"/>
      <c r="E987" s="38"/>
      <c r="F987" s="39"/>
      <c r="G987" s="39"/>
      <c r="H987" s="38"/>
      <c r="I987" s="37"/>
      <c r="J987" s="38"/>
    </row>
    <row r="988" customFormat="false" ht="25.5" hidden="false" customHeight="true" outlineLevel="0" collapsed="false">
      <c r="A988" s="36"/>
      <c r="B988" s="37"/>
      <c r="C988" s="38"/>
      <c r="D988" s="38"/>
      <c r="E988" s="38"/>
      <c r="F988" s="39"/>
      <c r="G988" s="39"/>
      <c r="H988" s="38"/>
      <c r="I988" s="37"/>
      <c r="J988" s="38"/>
    </row>
    <row r="989" customFormat="false" ht="25.5" hidden="false" customHeight="true" outlineLevel="0" collapsed="false">
      <c r="A989" s="36"/>
      <c r="B989" s="37"/>
      <c r="C989" s="38"/>
      <c r="D989" s="38"/>
      <c r="E989" s="38"/>
      <c r="F989" s="39"/>
      <c r="G989" s="39"/>
      <c r="H989" s="38"/>
      <c r="I989" s="37"/>
      <c r="J989" s="38"/>
    </row>
    <row r="990" customFormat="false" ht="25.5" hidden="false" customHeight="true" outlineLevel="0" collapsed="false">
      <c r="A990" s="36"/>
      <c r="B990" s="37"/>
      <c r="C990" s="38"/>
      <c r="D990" s="38"/>
      <c r="E990" s="38"/>
      <c r="F990" s="39"/>
      <c r="G990" s="39"/>
      <c r="H990" s="38"/>
      <c r="I990" s="37"/>
      <c r="J990" s="38"/>
    </row>
    <row r="991" customFormat="false" ht="25.5" hidden="false" customHeight="true" outlineLevel="0" collapsed="false">
      <c r="A991" s="36"/>
      <c r="B991" s="37"/>
      <c r="C991" s="38"/>
      <c r="D991" s="38"/>
      <c r="E991" s="38"/>
      <c r="F991" s="39"/>
      <c r="G991" s="39"/>
      <c r="H991" s="38"/>
      <c r="I991" s="37"/>
      <c r="J991" s="38"/>
    </row>
    <row r="992" customFormat="false" ht="25.5" hidden="false" customHeight="true" outlineLevel="0" collapsed="false">
      <c r="A992" s="36"/>
      <c r="B992" s="37"/>
      <c r="C992" s="38"/>
      <c r="D992" s="38"/>
      <c r="E992" s="38"/>
      <c r="F992" s="39"/>
      <c r="G992" s="39"/>
      <c r="H992" s="38"/>
      <c r="I992" s="37"/>
      <c r="J992" s="38"/>
    </row>
    <row r="993" customFormat="false" ht="25.5" hidden="false" customHeight="true" outlineLevel="0" collapsed="false">
      <c r="A993" s="36"/>
      <c r="B993" s="37"/>
      <c r="C993" s="38"/>
      <c r="D993" s="38"/>
      <c r="E993" s="38"/>
      <c r="F993" s="39"/>
      <c r="G993" s="39"/>
      <c r="H993" s="38"/>
      <c r="I993" s="37"/>
      <c r="J993" s="38"/>
    </row>
    <row r="994" customFormat="false" ht="25.5" hidden="false" customHeight="true" outlineLevel="0" collapsed="false">
      <c r="A994" s="36"/>
      <c r="B994" s="37"/>
      <c r="C994" s="38"/>
      <c r="D994" s="38"/>
      <c r="E994" s="38"/>
      <c r="F994" s="39"/>
      <c r="G994" s="39"/>
      <c r="H994" s="38"/>
      <c r="I994" s="37"/>
      <c r="J994" s="38"/>
    </row>
    <row r="995" customFormat="false" ht="25.5" hidden="false" customHeight="true" outlineLevel="0" collapsed="false">
      <c r="A995" s="36"/>
      <c r="B995" s="37"/>
      <c r="C995" s="38"/>
      <c r="D995" s="38"/>
      <c r="E995" s="38"/>
      <c r="F995" s="39"/>
      <c r="G995" s="39"/>
      <c r="H995" s="38"/>
      <c r="I995" s="37"/>
      <c r="J995" s="38"/>
    </row>
    <row r="996" customFormat="false" ht="25.5" hidden="false" customHeight="true" outlineLevel="0" collapsed="false">
      <c r="A996" s="36"/>
      <c r="B996" s="37"/>
      <c r="C996" s="38"/>
      <c r="D996" s="38"/>
      <c r="E996" s="38"/>
      <c r="F996" s="39"/>
      <c r="G996" s="39"/>
      <c r="H996" s="38"/>
      <c r="I996" s="37"/>
      <c r="J996" s="38"/>
    </row>
    <row r="997" customFormat="false" ht="25.5" hidden="false" customHeight="true" outlineLevel="0" collapsed="false">
      <c r="A997" s="36"/>
      <c r="B997" s="37"/>
      <c r="C997" s="38"/>
      <c r="D997" s="38"/>
      <c r="E997" s="38"/>
      <c r="F997" s="39"/>
      <c r="G997" s="39"/>
      <c r="H997" s="38"/>
      <c r="I997" s="37"/>
      <c r="J997" s="38"/>
    </row>
    <row r="998" customFormat="false" ht="25.5" hidden="false" customHeight="true" outlineLevel="0" collapsed="false">
      <c r="A998" s="36"/>
      <c r="B998" s="37"/>
      <c r="C998" s="38"/>
      <c r="D998" s="38"/>
      <c r="E998" s="38"/>
      <c r="F998" s="39"/>
      <c r="G998" s="39"/>
      <c r="H998" s="38"/>
      <c r="I998" s="37"/>
      <c r="J998" s="38"/>
    </row>
    <row r="999" customFormat="false" ht="25.5" hidden="false" customHeight="true" outlineLevel="0" collapsed="false">
      <c r="A999" s="36"/>
      <c r="B999" s="37"/>
      <c r="C999" s="38"/>
      <c r="D999" s="38"/>
      <c r="E999" s="38"/>
      <c r="F999" s="39"/>
      <c r="G999" s="39"/>
      <c r="H999" s="38"/>
      <c r="I999" s="37"/>
      <c r="J999" s="38"/>
    </row>
    <row r="1000" customFormat="false" ht="25.5" hidden="false" customHeight="true" outlineLevel="0" collapsed="false">
      <c r="A1000" s="36"/>
      <c r="B1000" s="37"/>
      <c r="C1000" s="38"/>
      <c r="D1000" s="38"/>
      <c r="E1000" s="38"/>
      <c r="F1000" s="39"/>
      <c r="G1000" s="39"/>
      <c r="H1000" s="38"/>
      <c r="I1000" s="37"/>
      <c r="J1000" s="38"/>
    </row>
    <row r="1001" customFormat="false" ht="25.5" hidden="false" customHeight="true" outlineLevel="0" collapsed="false">
      <c r="A1001" s="36"/>
      <c r="B1001" s="37"/>
      <c r="C1001" s="38"/>
      <c r="D1001" s="38"/>
      <c r="E1001" s="38"/>
      <c r="F1001" s="39"/>
      <c r="G1001" s="39"/>
      <c r="H1001" s="38"/>
      <c r="I1001" s="37"/>
      <c r="J1001" s="38"/>
    </row>
    <row r="1002" customFormat="false" ht="25.5" hidden="false" customHeight="true" outlineLevel="0" collapsed="false">
      <c r="A1002" s="36"/>
      <c r="B1002" s="37"/>
      <c r="C1002" s="38"/>
      <c r="D1002" s="38"/>
      <c r="E1002" s="38"/>
      <c r="F1002" s="39"/>
      <c r="G1002" s="39"/>
      <c r="H1002" s="38"/>
      <c r="I1002" s="37"/>
      <c r="J1002" s="38"/>
    </row>
    <row r="1003" customFormat="false" ht="25.5" hidden="false" customHeight="true" outlineLevel="0" collapsed="false">
      <c r="A1003" s="36"/>
      <c r="B1003" s="37"/>
      <c r="C1003" s="38"/>
      <c r="D1003" s="38"/>
      <c r="E1003" s="38"/>
      <c r="F1003" s="39"/>
      <c r="G1003" s="39"/>
      <c r="H1003" s="38"/>
      <c r="I1003" s="37"/>
      <c r="J1003" s="38"/>
    </row>
    <row r="1004" customFormat="false" ht="25.5" hidden="false" customHeight="true" outlineLevel="0" collapsed="false">
      <c r="A1004" s="36"/>
      <c r="B1004" s="37"/>
      <c r="C1004" s="38"/>
      <c r="D1004" s="38"/>
      <c r="E1004" s="38"/>
      <c r="F1004" s="39"/>
      <c r="G1004" s="39"/>
      <c r="H1004" s="38"/>
      <c r="I1004" s="37"/>
      <c r="J1004" s="38"/>
    </row>
    <row r="1005" customFormat="false" ht="25.5" hidden="false" customHeight="true" outlineLevel="0" collapsed="false">
      <c r="A1005" s="36"/>
      <c r="B1005" s="37"/>
      <c r="C1005" s="38"/>
      <c r="D1005" s="38"/>
      <c r="E1005" s="38"/>
      <c r="F1005" s="39"/>
      <c r="G1005" s="39"/>
      <c r="H1005" s="38"/>
      <c r="I1005" s="37"/>
      <c r="J1005" s="38"/>
    </row>
    <row r="1006" customFormat="false" ht="25.5" hidden="false" customHeight="true" outlineLevel="0" collapsed="false">
      <c r="A1006" s="36"/>
      <c r="B1006" s="37"/>
      <c r="C1006" s="38"/>
      <c r="D1006" s="38"/>
      <c r="E1006" s="38"/>
      <c r="F1006" s="39"/>
      <c r="G1006" s="39"/>
      <c r="H1006" s="38"/>
      <c r="I1006" s="37"/>
      <c r="J1006" s="38"/>
    </row>
    <row r="1007" customFormat="false" ht="25.5" hidden="false" customHeight="true" outlineLevel="0" collapsed="false"/>
    <row r="1008" customFormat="false" ht="25.5" hidden="false" customHeight="true" outlineLevel="0" collapsed="false"/>
    <row r="1009" customFormat="false" ht="25.5" hidden="false" customHeight="true" outlineLevel="0" collapsed="false"/>
    <row r="1010" customFormat="false" ht="25.5" hidden="false" customHeight="true" outlineLevel="0" collapsed="false"/>
    <row r="1011" customFormat="false" ht="25.5" hidden="false" customHeight="true" outlineLevel="0" collapsed="false"/>
    <row r="1012" customFormat="false" ht="25.5" hidden="false" customHeight="true" outlineLevel="0" collapsed="false"/>
    <row r="1013" customFormat="false" ht="25.5" hidden="false" customHeight="true" outlineLevel="0" collapsed="false"/>
    <row r="1014" customFormat="false" ht="25.5" hidden="false" customHeight="true" outlineLevel="0" collapsed="false"/>
    <row r="1015" customFormat="false" ht="25.5" hidden="false" customHeight="true" outlineLevel="0" collapsed="false"/>
    <row r="1016" customFormat="false" ht="25.5" hidden="false" customHeight="true" outlineLevel="0" collapsed="false"/>
    <row r="1017" customFormat="false" ht="25.5" hidden="false" customHeight="true" outlineLevel="0" collapsed="false"/>
    <row r="1018" customFormat="false" ht="25.5" hidden="false" customHeight="true" outlineLevel="0" collapsed="false"/>
    <row r="1019" customFormat="false" ht="25.5" hidden="false" customHeight="true" outlineLevel="0" collapsed="false"/>
    <row r="1020" customFormat="false" ht="25.5" hidden="false" customHeight="true" outlineLevel="0" collapsed="false"/>
    <row r="1021" customFormat="false" ht="25.5" hidden="false" customHeight="true" outlineLevel="0" collapsed="false"/>
    <row r="1022" customFormat="false" ht="25.5" hidden="false" customHeight="true" outlineLevel="0" collapsed="false"/>
    <row r="1023" customFormat="false" ht="25.5" hidden="false" customHeight="true" outlineLevel="0" collapsed="false"/>
    <row r="1024" customFormat="false" ht="25.5" hidden="false" customHeight="true" outlineLevel="0" collapsed="false"/>
    <row r="1025" customFormat="false" ht="25.5" hidden="false" customHeight="true" outlineLevel="0" collapsed="false"/>
    <row r="1026" customFormat="false" ht="25.5" hidden="false" customHeight="true" outlineLevel="0" collapsed="false"/>
    <row r="1027" customFormat="false" ht="25.5" hidden="false" customHeight="true" outlineLevel="0" collapsed="false"/>
    <row r="1028" customFormat="false" ht="25.5" hidden="false" customHeight="true" outlineLevel="0" collapsed="false"/>
    <row r="1029" customFormat="false" ht="25.5" hidden="false" customHeight="true" outlineLevel="0" collapsed="false"/>
    <row r="1030" customFormat="false" ht="25.5" hidden="false" customHeight="true" outlineLevel="0" collapsed="false"/>
    <row r="1031" customFormat="false" ht="25.5" hidden="false" customHeight="true" outlineLevel="0" collapsed="false"/>
    <row r="1032" customFormat="false" ht="25.5" hidden="false" customHeight="true" outlineLevel="0" collapsed="false"/>
    <row r="1033" customFormat="false" ht="25.5" hidden="false" customHeight="true" outlineLevel="0" collapsed="false"/>
    <row r="1034" customFormat="false" ht="25.5" hidden="false" customHeight="true" outlineLevel="0" collapsed="false"/>
    <row r="1035" customFormat="false" ht="25.5" hidden="false" customHeight="true" outlineLevel="0" collapsed="false"/>
    <row r="1036" customFormat="false" ht="25.5" hidden="false" customHeight="true" outlineLevel="0" collapsed="false"/>
    <row r="1037" customFormat="false" ht="25.5" hidden="false" customHeight="true" outlineLevel="0" collapsed="false"/>
    <row r="1038" customFormat="false" ht="25.5" hidden="false" customHeight="true" outlineLevel="0" collapsed="false"/>
    <row r="1039" customFormat="false" ht="25.5" hidden="false" customHeight="true" outlineLevel="0" collapsed="false"/>
    <row r="1040" customFormat="false" ht="25.5" hidden="false" customHeight="true" outlineLevel="0" collapsed="false"/>
    <row r="1041" customFormat="false" ht="25.5" hidden="false" customHeight="true" outlineLevel="0" collapsed="false"/>
    <row r="1042" customFormat="false" ht="25.5" hidden="false" customHeight="true" outlineLevel="0" collapsed="false"/>
    <row r="1043" customFormat="false" ht="25.5" hidden="false" customHeight="true" outlineLevel="0" collapsed="false"/>
    <row r="1044" customFormat="false" ht="25.5" hidden="false" customHeight="true" outlineLevel="0" collapsed="false"/>
    <row r="1045" customFormat="false" ht="25.5" hidden="false" customHeight="true" outlineLevel="0" collapsed="false"/>
    <row r="1046" customFormat="false" ht="25.5" hidden="false" customHeight="true" outlineLevel="0" collapsed="false"/>
    <row r="1047" customFormat="false" ht="25.5" hidden="false" customHeight="true" outlineLevel="0" collapsed="false"/>
    <row r="1048" customFormat="false" ht="25.5" hidden="false" customHeight="true" outlineLevel="0" collapsed="false"/>
    <row r="1049" customFormat="false" ht="25.5" hidden="false" customHeight="true" outlineLevel="0" collapsed="false"/>
    <row r="1050" customFormat="false" ht="25.5" hidden="false" customHeight="true" outlineLevel="0" collapsed="false"/>
    <row r="1051" customFormat="false" ht="25.5" hidden="false" customHeight="true" outlineLevel="0" collapsed="false"/>
    <row r="1052" customFormat="false" ht="25.5" hidden="false" customHeight="true" outlineLevel="0" collapsed="false"/>
    <row r="1053" customFormat="false" ht="25.5" hidden="false" customHeight="true" outlineLevel="0" collapsed="false"/>
    <row r="1054" customFormat="false" ht="25.5" hidden="false" customHeight="true" outlineLevel="0" collapsed="false"/>
    <row r="1055" customFormat="false" ht="25.5" hidden="false" customHeight="true" outlineLevel="0" collapsed="false"/>
    <row r="1056" customFormat="false" ht="25.5" hidden="false" customHeight="true" outlineLevel="0" collapsed="false"/>
    <row r="1057" customFormat="false" ht="25.5" hidden="false" customHeight="true" outlineLevel="0" collapsed="false"/>
    <row r="1058" customFormat="false" ht="25.5" hidden="false" customHeight="true" outlineLevel="0" collapsed="false"/>
    <row r="1059" customFormat="false" ht="25.5" hidden="false" customHeight="true" outlineLevel="0" collapsed="false"/>
    <row r="1060" customFormat="false" ht="25.5" hidden="false" customHeight="true" outlineLevel="0" collapsed="false"/>
    <row r="1061" customFormat="false" ht="25.5" hidden="false" customHeight="true" outlineLevel="0" collapsed="false"/>
    <row r="1062" customFormat="false" ht="25.5" hidden="false" customHeight="true" outlineLevel="0" collapsed="false"/>
    <row r="1063" customFormat="false" ht="25.5" hidden="false" customHeight="true" outlineLevel="0" collapsed="false"/>
    <row r="1064" customFormat="false" ht="25.5" hidden="false" customHeight="true" outlineLevel="0" collapsed="false"/>
    <row r="1065" customFormat="false" ht="25.5" hidden="false" customHeight="true" outlineLevel="0" collapsed="false"/>
    <row r="1066" customFormat="false" ht="25.5" hidden="false" customHeight="true" outlineLevel="0" collapsed="false"/>
    <row r="1067" customFormat="false" ht="25.5" hidden="false" customHeight="true" outlineLevel="0" collapsed="false"/>
    <row r="1068" customFormat="false" ht="25.5" hidden="false" customHeight="true" outlineLevel="0" collapsed="false"/>
    <row r="1069" customFormat="false" ht="25.5" hidden="false" customHeight="true" outlineLevel="0" collapsed="false"/>
    <row r="1070" customFormat="false" ht="25.5" hidden="false" customHeight="true" outlineLevel="0" collapsed="false"/>
    <row r="1071" customFormat="false" ht="25.5" hidden="false" customHeight="true" outlineLevel="0" collapsed="false"/>
    <row r="1072" customFormat="false" ht="25.5" hidden="false" customHeight="true" outlineLevel="0" collapsed="false"/>
    <row r="1073" customFormat="false" ht="25.5" hidden="false" customHeight="true" outlineLevel="0" collapsed="false"/>
    <row r="1074" customFormat="false" ht="25.5" hidden="false" customHeight="true" outlineLevel="0" collapsed="false"/>
    <row r="1075" customFormat="false" ht="25.5" hidden="false" customHeight="true" outlineLevel="0" collapsed="false"/>
    <row r="1076" customFormat="false" ht="25.5" hidden="false" customHeight="true" outlineLevel="0" collapsed="false"/>
    <row r="1077" customFormat="false" ht="25.5" hidden="false" customHeight="true" outlineLevel="0" collapsed="false"/>
    <row r="1078" customFormat="false" ht="25.5" hidden="false" customHeight="true" outlineLevel="0" collapsed="false"/>
    <row r="1079" customFormat="false" ht="25.5" hidden="false" customHeight="true" outlineLevel="0" collapsed="false"/>
    <row r="1080" customFormat="false" ht="25.5" hidden="false" customHeight="true" outlineLevel="0" collapsed="false"/>
    <row r="1081" customFormat="false" ht="25.5" hidden="false" customHeight="true" outlineLevel="0" collapsed="false"/>
    <row r="1082" customFormat="false" ht="25.5" hidden="false" customHeight="true" outlineLevel="0" collapsed="false"/>
    <row r="1083" customFormat="false" ht="25.5" hidden="false" customHeight="true" outlineLevel="0" collapsed="false"/>
    <row r="1084" customFormat="false" ht="25.5" hidden="false" customHeight="true" outlineLevel="0" collapsed="false"/>
    <row r="1085" customFormat="false" ht="25.5" hidden="false" customHeight="true" outlineLevel="0" collapsed="false"/>
    <row r="1086" customFormat="false" ht="25.5" hidden="false" customHeight="true" outlineLevel="0" collapsed="false"/>
    <row r="1087" customFormat="false" ht="25.5" hidden="false" customHeight="true" outlineLevel="0" collapsed="false"/>
    <row r="1088" customFormat="false" ht="25.5" hidden="false" customHeight="true" outlineLevel="0" collapsed="false"/>
    <row r="1089" customFormat="false" ht="25.5" hidden="false" customHeight="true" outlineLevel="0" collapsed="false"/>
    <row r="1090" customFormat="false" ht="25.5" hidden="false" customHeight="true" outlineLevel="0" collapsed="false"/>
    <row r="1091" customFormat="false" ht="25.5" hidden="false" customHeight="true" outlineLevel="0" collapsed="false"/>
    <row r="1092" customFormat="false" ht="25.5" hidden="false" customHeight="true" outlineLevel="0" collapsed="false"/>
    <row r="1093" customFormat="false" ht="25.5" hidden="false" customHeight="true" outlineLevel="0" collapsed="false"/>
    <row r="1094" customFormat="false" ht="25.5" hidden="false" customHeight="true" outlineLevel="0" collapsed="false"/>
    <row r="1095" customFormat="false" ht="25.5" hidden="false" customHeight="true" outlineLevel="0" collapsed="false"/>
    <row r="1096" customFormat="false" ht="25.5" hidden="false" customHeight="true" outlineLevel="0" collapsed="false"/>
    <row r="1097" customFormat="false" ht="25.5" hidden="false" customHeight="true" outlineLevel="0" collapsed="false"/>
    <row r="1098" customFormat="false" ht="25.5" hidden="false" customHeight="true" outlineLevel="0" collapsed="false"/>
    <row r="1099" customFormat="false" ht="25.5" hidden="false" customHeight="true" outlineLevel="0" collapsed="false"/>
    <row r="1100" customFormat="false" ht="25.5" hidden="false" customHeight="true" outlineLevel="0" collapsed="false"/>
    <row r="1101" customFormat="false" ht="25.5" hidden="false" customHeight="true" outlineLevel="0" collapsed="false"/>
    <row r="1102" customFormat="false" ht="25.5" hidden="false" customHeight="true" outlineLevel="0" collapsed="false"/>
    <row r="1103" customFormat="false" ht="25.5" hidden="false" customHeight="true" outlineLevel="0" collapsed="false"/>
    <row r="1104" customFormat="false" ht="25.5" hidden="false" customHeight="true" outlineLevel="0" collapsed="false"/>
    <row r="1105" customFormat="false" ht="25.5" hidden="false" customHeight="true" outlineLevel="0" collapsed="false"/>
    <row r="1106" customFormat="false" ht="25.5" hidden="false" customHeight="true" outlineLevel="0" collapsed="false"/>
    <row r="1107" customFormat="false" ht="25.5" hidden="false" customHeight="true" outlineLevel="0" collapsed="false"/>
    <row r="1108" customFormat="false" ht="25.5" hidden="false" customHeight="true" outlineLevel="0" collapsed="false"/>
    <row r="1109" customFormat="false" ht="25.5" hidden="false" customHeight="true" outlineLevel="0" collapsed="false"/>
    <row r="1110" customFormat="false" ht="25.5" hidden="false" customHeight="true" outlineLevel="0" collapsed="false"/>
    <row r="1111" customFormat="false" ht="25.5" hidden="false" customHeight="true" outlineLevel="0" collapsed="false"/>
    <row r="1112" customFormat="false" ht="25.5" hidden="false" customHeight="true" outlineLevel="0" collapsed="false"/>
    <row r="1113" customFormat="false" ht="25.5" hidden="false" customHeight="true" outlineLevel="0" collapsed="false"/>
    <row r="1114" customFormat="false" ht="25.5" hidden="false" customHeight="true" outlineLevel="0" collapsed="false"/>
    <row r="1115" customFormat="false" ht="25.5" hidden="false" customHeight="true" outlineLevel="0" collapsed="false"/>
    <row r="1116" customFormat="false" ht="25.5" hidden="false" customHeight="true" outlineLevel="0" collapsed="false"/>
    <row r="1117" customFormat="false" ht="25.5" hidden="false" customHeight="true" outlineLevel="0" collapsed="false"/>
    <row r="1118" customFormat="false" ht="25.5" hidden="false" customHeight="true" outlineLevel="0" collapsed="false"/>
    <row r="1119" customFormat="false" ht="25.5" hidden="false" customHeight="true" outlineLevel="0" collapsed="false"/>
    <row r="1120" customFormat="false" ht="25.5" hidden="false" customHeight="true" outlineLevel="0" collapsed="false"/>
    <row r="1121" customFormat="false" ht="25.5" hidden="false" customHeight="true" outlineLevel="0" collapsed="false"/>
    <row r="1122" customFormat="false" ht="25.5" hidden="false" customHeight="true" outlineLevel="0" collapsed="false"/>
    <row r="1123" customFormat="false" ht="25.5" hidden="false" customHeight="true" outlineLevel="0" collapsed="false"/>
    <row r="1124" customFormat="false" ht="25.5" hidden="false" customHeight="true" outlineLevel="0" collapsed="false"/>
    <row r="1125" customFormat="false" ht="25.5" hidden="false" customHeight="true" outlineLevel="0" collapsed="false"/>
    <row r="1126" customFormat="false" ht="25.5" hidden="false" customHeight="true" outlineLevel="0" collapsed="false"/>
    <row r="1127" customFormat="false" ht="25.5" hidden="false" customHeight="true" outlineLevel="0" collapsed="false"/>
    <row r="1128" customFormat="false" ht="25.5" hidden="false" customHeight="true" outlineLevel="0" collapsed="false"/>
    <row r="1129" customFormat="false" ht="25.5" hidden="false" customHeight="true" outlineLevel="0" collapsed="false"/>
    <row r="1130" customFormat="false" ht="25.5" hidden="false" customHeight="true" outlineLevel="0" collapsed="false"/>
    <row r="1131" customFormat="false" ht="25.5" hidden="false" customHeight="true" outlineLevel="0" collapsed="false"/>
    <row r="1132" customFormat="false" ht="25.5" hidden="false" customHeight="true" outlineLevel="0" collapsed="false"/>
    <row r="1133" customFormat="false" ht="25.5" hidden="false" customHeight="true" outlineLevel="0" collapsed="false"/>
    <row r="1134" customFormat="false" ht="25.5" hidden="false" customHeight="true" outlineLevel="0" collapsed="false"/>
    <row r="1135" customFormat="false" ht="25.5" hidden="false" customHeight="true" outlineLevel="0" collapsed="false"/>
    <row r="1136" customFormat="false" ht="25.5" hidden="false" customHeight="true" outlineLevel="0" collapsed="false"/>
    <row r="1137" customFormat="false" ht="25.5" hidden="false" customHeight="true" outlineLevel="0" collapsed="false"/>
    <row r="1138" customFormat="false" ht="25.5" hidden="false" customHeight="true" outlineLevel="0" collapsed="false"/>
    <row r="1139" customFormat="false" ht="25.5" hidden="false" customHeight="true" outlineLevel="0" collapsed="false"/>
    <row r="1140" customFormat="false" ht="25.5" hidden="false" customHeight="true" outlineLevel="0" collapsed="false"/>
    <row r="1141" customFormat="false" ht="25.5" hidden="false" customHeight="true" outlineLevel="0" collapsed="false"/>
    <row r="1142" customFormat="false" ht="25.5" hidden="false" customHeight="true" outlineLevel="0" collapsed="false"/>
    <row r="1143" customFormat="false" ht="25.5" hidden="false" customHeight="true" outlineLevel="0" collapsed="false"/>
    <row r="1144" customFormat="false" ht="25.5" hidden="false" customHeight="true" outlineLevel="0" collapsed="false"/>
    <row r="1145" customFormat="false" ht="25.5" hidden="false" customHeight="true" outlineLevel="0" collapsed="false"/>
    <row r="1146" customFormat="false" ht="25.5" hidden="false" customHeight="true" outlineLevel="0" collapsed="false"/>
    <row r="1147" customFormat="false" ht="25.5" hidden="false" customHeight="true" outlineLevel="0" collapsed="false"/>
    <row r="1148" customFormat="false" ht="25.5" hidden="false" customHeight="true" outlineLevel="0" collapsed="false"/>
    <row r="1149" customFormat="false" ht="25.5" hidden="false" customHeight="true" outlineLevel="0" collapsed="false"/>
    <row r="1150" customFormat="false" ht="25.5" hidden="false" customHeight="true" outlineLevel="0" collapsed="false"/>
    <row r="1151" customFormat="false" ht="25.5" hidden="false" customHeight="true" outlineLevel="0" collapsed="false"/>
    <row r="1152" customFormat="false" ht="25.5" hidden="false" customHeight="true" outlineLevel="0" collapsed="false"/>
    <row r="1153" customFormat="false" ht="25.5" hidden="false" customHeight="true" outlineLevel="0" collapsed="false"/>
    <row r="1154" customFormat="false" ht="25.5" hidden="false" customHeight="true" outlineLevel="0" collapsed="false"/>
    <row r="1155" customFormat="false" ht="25.5" hidden="false" customHeight="true" outlineLevel="0" collapsed="false"/>
    <row r="1156" customFormat="false" ht="25.5" hidden="false" customHeight="true" outlineLevel="0" collapsed="false"/>
    <row r="1157" customFormat="false" ht="25.5" hidden="false" customHeight="true" outlineLevel="0" collapsed="false"/>
    <row r="1158" customFormat="false" ht="25.5" hidden="false" customHeight="true" outlineLevel="0" collapsed="false"/>
    <row r="1159" customFormat="false" ht="25.5" hidden="false" customHeight="true" outlineLevel="0" collapsed="false"/>
    <row r="1160" customFormat="false" ht="25.5" hidden="false" customHeight="true" outlineLevel="0" collapsed="false"/>
    <row r="1161" customFormat="false" ht="25.5" hidden="false" customHeight="true" outlineLevel="0" collapsed="false"/>
    <row r="1162" customFormat="false" ht="25.5" hidden="false" customHeight="true" outlineLevel="0" collapsed="false"/>
    <row r="1163" customFormat="false" ht="25.5" hidden="false" customHeight="true" outlineLevel="0" collapsed="false"/>
    <row r="1164" customFormat="false" ht="25.5" hidden="false" customHeight="true" outlineLevel="0" collapsed="false"/>
    <row r="1165" customFormat="false" ht="25.5" hidden="false" customHeight="true" outlineLevel="0" collapsed="false"/>
    <row r="1166" customFormat="false" ht="25.5" hidden="false" customHeight="true" outlineLevel="0" collapsed="false"/>
    <row r="1167" customFormat="false" ht="25.5" hidden="false" customHeight="true" outlineLevel="0" collapsed="false"/>
    <row r="1168" customFormat="false" ht="25.5" hidden="false" customHeight="true" outlineLevel="0" collapsed="false"/>
    <row r="1169" customFormat="false" ht="25.5" hidden="false" customHeight="true" outlineLevel="0" collapsed="false"/>
    <row r="1170" customFormat="false" ht="25.5" hidden="false" customHeight="true" outlineLevel="0" collapsed="false"/>
    <row r="1171" customFormat="false" ht="25.5" hidden="false" customHeight="true" outlineLevel="0" collapsed="false"/>
    <row r="1172" customFormat="false" ht="25.5" hidden="false" customHeight="true" outlineLevel="0" collapsed="false"/>
    <row r="1173" customFormat="false" ht="25.5" hidden="false" customHeight="true" outlineLevel="0" collapsed="false"/>
    <row r="1174" customFormat="false" ht="25.5" hidden="false" customHeight="true" outlineLevel="0" collapsed="false"/>
    <row r="1175" customFormat="false" ht="25.5" hidden="false" customHeight="true" outlineLevel="0" collapsed="false"/>
    <row r="1176" customFormat="false" ht="25.5" hidden="false" customHeight="true" outlineLevel="0" collapsed="false"/>
    <row r="1177" customFormat="false" ht="25.5" hidden="false" customHeight="true" outlineLevel="0" collapsed="false"/>
    <row r="1178" customFormat="false" ht="25.5" hidden="false" customHeight="true" outlineLevel="0" collapsed="false"/>
    <row r="1179" customFormat="false" ht="25.5" hidden="false" customHeight="true" outlineLevel="0" collapsed="false"/>
    <row r="1180" customFormat="false" ht="25.5" hidden="false" customHeight="true" outlineLevel="0" collapsed="false"/>
    <row r="1181" customFormat="false" ht="25.5" hidden="false" customHeight="true" outlineLevel="0" collapsed="false"/>
    <row r="1182" customFormat="false" ht="25.5" hidden="false" customHeight="true" outlineLevel="0" collapsed="false"/>
    <row r="1183" customFormat="false" ht="25.5" hidden="false" customHeight="true" outlineLevel="0" collapsed="false"/>
    <row r="1184" customFormat="false" ht="25.5" hidden="false" customHeight="true" outlineLevel="0" collapsed="false"/>
    <row r="1185" customFormat="false" ht="25.5" hidden="false" customHeight="true" outlineLevel="0" collapsed="false"/>
    <row r="1186" customFormat="false" ht="25.5" hidden="false" customHeight="true" outlineLevel="0" collapsed="false"/>
    <row r="1187" customFormat="false" ht="25.5" hidden="false" customHeight="true" outlineLevel="0" collapsed="false"/>
    <row r="1188" customFormat="false" ht="25.5" hidden="false" customHeight="true" outlineLevel="0" collapsed="false"/>
    <row r="1189" customFormat="false" ht="25.5" hidden="false" customHeight="true" outlineLevel="0" collapsed="false"/>
    <row r="1190" customFormat="false" ht="25.5" hidden="false" customHeight="true" outlineLevel="0" collapsed="false"/>
    <row r="1191" customFormat="false" ht="25.5" hidden="false" customHeight="true" outlineLevel="0" collapsed="false"/>
    <row r="1192" customFormat="false" ht="25.5" hidden="false" customHeight="true" outlineLevel="0" collapsed="false"/>
    <row r="1193" customFormat="false" ht="25.5" hidden="false" customHeight="true" outlineLevel="0" collapsed="false"/>
    <row r="1194" customFormat="false" ht="25.5" hidden="false" customHeight="true" outlineLevel="0" collapsed="false"/>
    <row r="1195" customFormat="false" ht="25.5" hidden="false" customHeight="true" outlineLevel="0" collapsed="false"/>
    <row r="1196" customFormat="false" ht="25.5" hidden="false" customHeight="true" outlineLevel="0" collapsed="false"/>
    <row r="1197" customFormat="false" ht="25.5" hidden="false" customHeight="true" outlineLevel="0" collapsed="false"/>
    <row r="1198" customFormat="false" ht="25.5" hidden="false" customHeight="true" outlineLevel="0" collapsed="false"/>
    <row r="1199" customFormat="false" ht="25.5" hidden="false" customHeight="true" outlineLevel="0" collapsed="false"/>
    <row r="1200" customFormat="false" ht="25.5" hidden="false" customHeight="true" outlineLevel="0" collapsed="false"/>
    <row r="1201" customFormat="false" ht="25.5" hidden="false" customHeight="true" outlineLevel="0" collapsed="false"/>
    <row r="1202" customFormat="false" ht="25.5" hidden="false" customHeight="true" outlineLevel="0" collapsed="false"/>
    <row r="1203" customFormat="false" ht="25.5" hidden="false" customHeight="true" outlineLevel="0" collapsed="false"/>
  </sheetData>
  <autoFilter ref="A3:J1203"/>
  <mergeCells count="2">
    <mergeCell ref="A1:J1"/>
    <mergeCell ref="A2:J2"/>
  </mergeCells>
  <conditionalFormatting sqref="I4:I1203">
    <cfRule type="cellIs" priority="2" operator="equal" aboveAverage="0" equalAverage="0" bottom="0" percent="0" rank="0" text="" dxfId="6">
      <formula>"Blocked"</formula>
    </cfRule>
    <cfRule type="cellIs" priority="3" operator="equal" aboveAverage="0" equalAverage="0" bottom="0" percent="0" rank="0" text="" dxfId="7">
      <formula>"Meeting booked"</formula>
    </cfRule>
    <cfRule type="cellIs" priority="4" operator="equal" aboveAverage="0" equalAverage="0" bottom="0" percent="0" rank="0" text="" dxfId="7">
      <formula>"Positive reply"</formula>
    </cfRule>
  </conditionalFormatting>
  <dataValidations count="4">
    <dataValidation allowBlank="true" error="Pick a name from the team roster on the START HERE tab." errorStyle="stop" errorTitle="Name not on the roster" operator="between" prompt="Choose the team member" showDropDown="false" showErrorMessage="false" showInputMessage="false" sqref="B4:B1006" type="list">
      <formula1>'START HERE'!$B$55:$B$64</formula1>
      <formula2>0</formula2>
    </dataValidation>
    <dataValidation allowBlank="true" error="Please choose a value from the dropdown list." errorStyle="stop" errorTitle="Value not in list" operator="between" prompt="Choose from the Platform list" showDropDown="false" showErrorMessage="false" showInputMessage="false" sqref="C4:C1006" type="list">
      <formula1>Lists!$J$4:$J$52</formula1>
      <formula2>0</formula2>
    </dataValidation>
    <dataValidation allowBlank="true" error="Please choose a value from the dropdown list." errorStyle="stop" errorTitle="Value not in list" operator="between" prompt="Choose from the Activity type list" showDropDown="false" showErrorMessage="false" showInputMessage="false" sqref="D4:D1006" type="list">
      <formula1>Lists!$P$4:$P$14</formula1>
      <formula2>0</formula2>
    </dataValidation>
    <dataValidation allowBlank="true" error="Please choose a value from the dropdown list." errorStyle="stop" errorTitle="Value not in list" operator="between" prompt="Choose from the Result list" showDropDown="false" showErrorMessage="false" showInputMessage="false" sqref="I4:I1006" type="list">
      <formula1>Lists!$Q$4:$Q$11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EB"/>
    <pageSetUpPr fitToPage="true"/>
  </sheetPr>
  <dimension ref="A1:AC1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4"/>
    <col collapsed="false" customWidth="true" hidden="false" outlineLevel="0" max="3" min="3" style="1" width="20"/>
    <col collapsed="false" customWidth="true" hidden="false" outlineLevel="0" max="4" min="4" style="1" width="34"/>
    <col collapsed="false" customWidth="true" hidden="false" outlineLevel="0" max="5" min="5" style="1" width="22"/>
    <col collapsed="false" customWidth="true" hidden="false" outlineLevel="0" max="6" min="6" style="1" width="24"/>
    <col collapsed="false" customWidth="true" hidden="false" outlineLevel="0" max="7" min="7" style="1" width="13"/>
    <col collapsed="false" customWidth="true" hidden="false" outlineLevel="0" max="8" min="8" style="1" width="22"/>
    <col collapsed="false" customWidth="true" hidden="false" outlineLevel="0" max="9" min="9" style="1" width="18"/>
    <col collapsed="false" customWidth="true" hidden="false" outlineLevel="0" max="10" min="10" style="1" width="9"/>
    <col collapsed="false" customWidth="true" hidden="false" outlineLevel="0" max="11" min="11" style="1" width="10"/>
    <col collapsed="false" customWidth="true" hidden="false" outlineLevel="0" max="12" min="12" style="1" width="40"/>
    <col collapsed="false" customWidth="true" hidden="false" outlineLevel="0" max="13" min="13" style="1" width="12"/>
    <col collapsed="false" customWidth="true" hidden="false" outlineLevel="0" max="14" min="14" style="1" width="10"/>
    <col collapsed="false" customWidth="true" hidden="false" outlineLevel="0" max="15" min="15" style="1" width="18"/>
    <col collapsed="false" customWidth="true" hidden="false" outlineLevel="0" max="16" min="16" style="1" width="56"/>
    <col collapsed="false" customWidth="true" hidden="false" outlineLevel="0" max="17" min="17" style="1" width="8"/>
    <col collapsed="false" customWidth="true" hidden="false" outlineLevel="0" max="18" min="18" style="1" width="11"/>
    <col collapsed="false" customWidth="true" hidden="false" outlineLevel="0" max="19" min="19" style="1" width="18"/>
    <col collapsed="false" customWidth="true" hidden="false" outlineLevel="0" max="20" min="20" style="1" width="32"/>
    <col collapsed="false" customWidth="true" hidden="false" outlineLevel="0" max="21" min="21" style="1" width="12"/>
    <col collapsed="false" customWidth="true" hidden="false" outlineLevel="0" max="22" min="22" style="1" width="11"/>
    <col collapsed="false" customWidth="true" hidden="false" outlineLevel="0" max="23" min="23" style="1" width="24"/>
    <col collapsed="false" customWidth="true" hidden="false" outlineLevel="0" max="24" min="24" style="1" width="26"/>
    <col collapsed="false" customWidth="true" hidden="false" outlineLevel="0" max="25" min="25" style="1" width="13"/>
    <col collapsed="false" customWidth="true" hidden="false" outlineLevel="0" max="26" min="26" style="1" width="14"/>
    <col collapsed="false" customWidth="true" hidden="false" outlineLevel="0" max="28" min="27" style="1" width="12"/>
    <col collapsed="false" customWidth="true" hidden="false" outlineLevel="0" max="29" min="29" style="1" width="32"/>
  </cols>
  <sheetData>
    <row r="1" customFormat="false" ht="25.5" hidden="false" customHeight="true" outlineLevel="0" collapsed="false">
      <c r="A1" s="2" t="s">
        <v>138</v>
      </c>
      <c r="B1" s="2"/>
      <c r="C1" s="2"/>
      <c r="D1" s="2"/>
      <c r="E1" s="2"/>
      <c r="F1" s="2"/>
      <c r="G1" s="2"/>
      <c r="H1" s="2"/>
      <c r="I1" s="2"/>
      <c r="J1" s="2"/>
      <c r="K1" s="2"/>
      <c r="L1" s="2"/>
      <c r="M1" s="2"/>
      <c r="N1" s="2"/>
      <c r="O1" s="2"/>
      <c r="P1" s="2"/>
      <c r="Q1" s="2"/>
      <c r="R1" s="2"/>
      <c r="S1" s="2"/>
      <c r="T1" s="2"/>
      <c r="U1" s="2"/>
      <c r="V1" s="2"/>
      <c r="W1" s="2"/>
      <c r="X1" s="2"/>
    </row>
    <row r="2" customFormat="false" ht="18" hidden="false" customHeight="true" outlineLevel="0" collapsed="false">
      <c r="A2" s="3" t="s">
        <v>139</v>
      </c>
      <c r="B2" s="3"/>
      <c r="C2" s="3"/>
      <c r="D2" s="3"/>
      <c r="E2" s="3"/>
      <c r="F2" s="3"/>
      <c r="G2" s="3"/>
      <c r="H2" s="3"/>
      <c r="I2" s="3"/>
      <c r="J2" s="3"/>
      <c r="K2" s="3"/>
      <c r="L2" s="3"/>
      <c r="M2" s="3"/>
      <c r="N2" s="3"/>
      <c r="O2" s="3"/>
      <c r="P2" s="3"/>
      <c r="Q2" s="3"/>
      <c r="R2" s="3"/>
      <c r="S2" s="3"/>
      <c r="T2" s="3"/>
      <c r="U2" s="3"/>
      <c r="V2" s="3"/>
      <c r="W2" s="3"/>
      <c r="X2" s="3"/>
    </row>
    <row r="3" customFormat="false" ht="43.5" hidden="false" customHeight="true" outlineLevel="0" collapsed="false">
      <c r="A3" s="31" t="s">
        <v>113</v>
      </c>
      <c r="B3" s="31" t="s">
        <v>140</v>
      </c>
      <c r="C3" s="31" t="s">
        <v>141</v>
      </c>
      <c r="D3" s="31" t="s">
        <v>142</v>
      </c>
      <c r="E3" s="31" t="s">
        <v>143</v>
      </c>
      <c r="F3" s="31" t="s">
        <v>144</v>
      </c>
      <c r="G3" s="31" t="s">
        <v>145</v>
      </c>
      <c r="H3" s="31" t="s">
        <v>146</v>
      </c>
      <c r="I3" s="31" t="s">
        <v>147</v>
      </c>
      <c r="J3" s="31" t="s">
        <v>148</v>
      </c>
      <c r="K3" s="31" t="s">
        <v>149</v>
      </c>
      <c r="L3" s="31" t="s">
        <v>150</v>
      </c>
      <c r="M3" s="31" t="s">
        <v>151</v>
      </c>
      <c r="N3" s="31" t="s">
        <v>152</v>
      </c>
      <c r="O3" s="31" t="s">
        <v>153</v>
      </c>
      <c r="P3" s="31" t="s">
        <v>154</v>
      </c>
      <c r="Q3" s="31" t="s">
        <v>155</v>
      </c>
      <c r="R3" s="31" t="s">
        <v>156</v>
      </c>
      <c r="S3" s="31" t="s">
        <v>157</v>
      </c>
      <c r="T3" s="31" t="s">
        <v>158</v>
      </c>
      <c r="U3" s="31" t="s">
        <v>159</v>
      </c>
      <c r="V3" s="31" t="s">
        <v>160</v>
      </c>
      <c r="W3" s="31" t="s">
        <v>161</v>
      </c>
      <c r="X3" s="31" t="s">
        <v>162</v>
      </c>
      <c r="Y3" s="31" t="s">
        <v>163</v>
      </c>
      <c r="Z3" s="31" t="s">
        <v>164</v>
      </c>
      <c r="AA3" s="31" t="s">
        <v>165</v>
      </c>
      <c r="AB3" s="31" t="s">
        <v>166</v>
      </c>
      <c r="AC3" s="31" t="s">
        <v>167</v>
      </c>
    </row>
    <row r="4" customFormat="false" ht="30" hidden="false" customHeight="true" outlineLevel="0" collapsed="false">
      <c r="A4" s="32" t="n">
        <v>46251</v>
      </c>
      <c r="B4" s="33" t="s">
        <v>168</v>
      </c>
      <c r="C4" s="33" t="s">
        <v>169</v>
      </c>
      <c r="D4" s="33" t="s">
        <v>170</v>
      </c>
      <c r="E4" s="33" t="s">
        <v>171</v>
      </c>
      <c r="F4" s="33" t="s">
        <v>172</v>
      </c>
      <c r="G4" s="33" t="s">
        <v>173</v>
      </c>
      <c r="H4" s="33" t="s">
        <v>174</v>
      </c>
      <c r="I4" s="33" t="s">
        <v>175</v>
      </c>
      <c r="J4" s="40" t="n">
        <v>14</v>
      </c>
      <c r="K4" s="41" t="str">
        <f aca="false">IF(J4="","",IF(J4&gt;=8,"Yes","Check"))</f>
        <v>Yes</v>
      </c>
      <c r="L4" s="34" t="s">
        <v>176</v>
      </c>
      <c r="M4" s="40" t="s">
        <v>177</v>
      </c>
      <c r="N4" s="40" t="s">
        <v>177</v>
      </c>
      <c r="O4" s="33" t="s">
        <v>178</v>
      </c>
      <c r="P4" s="34" t="s">
        <v>179</v>
      </c>
      <c r="Q4" s="42" t="n">
        <f aca="false">IF(P4="","",LEN(P4))</f>
        <v>285</v>
      </c>
      <c r="R4" s="40" t="s">
        <v>177</v>
      </c>
      <c r="S4" s="33" t="s">
        <v>180</v>
      </c>
      <c r="T4" s="34" t="s">
        <v>181</v>
      </c>
      <c r="U4" s="43" t="n">
        <f aca="false">IF(OR(R4&lt;&gt;"Yes",A4=""),"",A4+4)</f>
        <v>46255</v>
      </c>
      <c r="V4" s="40" t="n">
        <v>0</v>
      </c>
      <c r="W4" s="34" t="s">
        <v>182</v>
      </c>
      <c r="X4" s="34" t="s">
        <v>183</v>
      </c>
      <c r="Y4" s="44"/>
      <c r="Z4" s="44"/>
      <c r="AA4" s="45" t="str">
        <f aca="false">IF(AND($Y4="",$Z4=""),"",ROUND(IFERROR(VALUE(LEFT($Y4,1)),0)*12+IFERROR(VALUE(LEFT($Z4,1)),0)*8,0))</f>
        <v/>
      </c>
      <c r="AB4" s="45" t="str">
        <f aca="false">IF($AA4="","",IF($AA4&gt;=80,"A - call first",IF($AA4&gt;=60,"B - worth pursuing",IF($AA4&gt;=40,"C - nurture","D - do not spend time here"))))</f>
        <v/>
      </c>
      <c r="AC4" s="46" t="str">
        <f aca="false">IF($C4="","",IF($S4="Converted","7 Certification / Enterprise opportunity",IF($S4="Application Started","7 Certification / Enterprise opportunity",IF($S4="Meeting Booked","6 Meeting / Application",IF(OR($S4="Interested",$S4="Info Requested"),"5 Interested",IF(OR($S4="Declined",$S4="Not Relevant"),"0 Closed - no",IF($R4="Yes","4 Contacted",IF($N4="Yes","2 Engaged",IF($M4="Yes","1 Awareness",IF($AA4&gt;=60,"3 Qualified","1 Awareness"))))))))))</f>
        <v>5 Interested</v>
      </c>
    </row>
    <row r="5" customFormat="false" ht="30" hidden="false" customHeight="true" outlineLevel="0" collapsed="false">
      <c r="A5" s="36"/>
      <c r="B5" s="37"/>
      <c r="C5" s="37"/>
      <c r="D5" s="37"/>
      <c r="E5" s="37"/>
      <c r="F5" s="37"/>
      <c r="G5" s="37"/>
      <c r="H5" s="37"/>
      <c r="I5" s="37"/>
      <c r="J5" s="47"/>
      <c r="K5" s="41" t="str">
        <f aca="false">IF(J5="","",IF(J5&gt;=8,"Yes","Check"))</f>
        <v/>
      </c>
      <c r="L5" s="38"/>
      <c r="M5" s="47"/>
      <c r="N5" s="47"/>
      <c r="O5" s="37"/>
      <c r="P5" s="38"/>
      <c r="Q5" s="42" t="str">
        <f aca="false">IF(P5="","",LEN(P5))</f>
        <v/>
      </c>
      <c r="R5" s="47"/>
      <c r="S5" s="37"/>
      <c r="T5" s="38"/>
      <c r="U5" s="43" t="str">
        <f aca="false">IF(OR(R5&lt;&gt;"Yes",A5=""),"",A5+4)</f>
        <v/>
      </c>
      <c r="V5" s="47"/>
      <c r="W5" s="38"/>
      <c r="X5" s="38"/>
      <c r="Y5" s="44"/>
      <c r="Z5" s="44"/>
      <c r="AA5" s="45" t="str">
        <f aca="false">IF(AND($Y5="",$Z5=""),"",ROUND(IFERROR(VALUE(LEFT($Y5,1)),0)*12+IFERROR(VALUE(LEFT($Z5,1)),0)*8,0))</f>
        <v/>
      </c>
      <c r="AB5" s="45" t="str">
        <f aca="false">IF($AA5="","",IF($AA5&gt;=80,"A - call first",IF($AA5&gt;=60,"B - worth pursuing",IF($AA5&gt;=40,"C - nurture","D - do not spend time here"))))</f>
        <v/>
      </c>
      <c r="AC5" s="46" t="str">
        <f aca="false">IF($C5="","",IF($S5="Converted","7 Certification / Enterprise opportunity",IF($S5="Application Started","7 Certification / Enterprise opportunity",IF($S5="Meeting Booked","6 Meeting / Application",IF(OR($S5="Interested",$S5="Info Requested"),"5 Interested",IF(OR($S5="Declined",$S5="Not Relevant"),"0 Closed - no",IF($R5="Yes","4 Contacted",IF($N5="Yes","2 Engaged",IF($M5="Yes","1 Awareness",IF($AA5&gt;=60,"3 Qualified","1 Awareness"))))))))))</f>
        <v/>
      </c>
    </row>
    <row r="6" customFormat="false" ht="30" hidden="false" customHeight="true" outlineLevel="0" collapsed="false">
      <c r="A6" s="36"/>
      <c r="B6" s="37"/>
      <c r="C6" s="37"/>
      <c r="D6" s="37"/>
      <c r="E6" s="37"/>
      <c r="F6" s="37"/>
      <c r="G6" s="37"/>
      <c r="H6" s="37"/>
      <c r="I6" s="37"/>
      <c r="J6" s="47"/>
      <c r="K6" s="41" t="str">
        <f aca="false">IF(J6="","",IF(J6&gt;=8,"Yes","Check"))</f>
        <v/>
      </c>
      <c r="L6" s="38"/>
      <c r="M6" s="47"/>
      <c r="N6" s="47"/>
      <c r="O6" s="37"/>
      <c r="P6" s="38"/>
      <c r="Q6" s="42" t="str">
        <f aca="false">IF(P6="","",LEN(P6))</f>
        <v/>
      </c>
      <c r="R6" s="47"/>
      <c r="S6" s="37"/>
      <c r="T6" s="38"/>
      <c r="U6" s="43" t="str">
        <f aca="false">IF(OR(R6&lt;&gt;"Yes",A6=""),"",A6+4)</f>
        <v/>
      </c>
      <c r="V6" s="47"/>
      <c r="W6" s="38"/>
      <c r="X6" s="38"/>
      <c r="Y6" s="44"/>
      <c r="Z6" s="44"/>
      <c r="AA6" s="45" t="str">
        <f aca="false">IF(AND($Y6="",$Z6=""),"",ROUND(IFERROR(VALUE(LEFT($Y6,1)),0)*12+IFERROR(VALUE(LEFT($Z6,1)),0)*8,0))</f>
        <v/>
      </c>
      <c r="AB6" s="45" t="str">
        <f aca="false">IF($AA6="","",IF($AA6&gt;=80,"A - call first",IF($AA6&gt;=60,"B - worth pursuing",IF($AA6&gt;=40,"C - nurture","D - do not spend time here"))))</f>
        <v/>
      </c>
      <c r="AC6" s="46" t="str">
        <f aca="false">IF($C6="","",IF($S6="Converted","7 Certification / Enterprise opportunity",IF($S6="Application Started","7 Certification / Enterprise opportunity",IF($S6="Meeting Booked","6 Meeting / Application",IF(OR($S6="Interested",$S6="Info Requested"),"5 Interested",IF(OR($S6="Declined",$S6="Not Relevant"),"0 Closed - no",IF($R6="Yes","4 Contacted",IF($N6="Yes","2 Engaged",IF($M6="Yes","1 Awareness",IF($AA6&gt;=60,"3 Qualified","1 Awareness"))))))))))</f>
        <v/>
      </c>
    </row>
    <row r="7" customFormat="false" ht="30" hidden="false" customHeight="true" outlineLevel="0" collapsed="false">
      <c r="A7" s="36"/>
      <c r="B7" s="37"/>
      <c r="C7" s="37"/>
      <c r="D7" s="37"/>
      <c r="E7" s="37"/>
      <c r="F7" s="37"/>
      <c r="G7" s="37"/>
      <c r="H7" s="37"/>
      <c r="I7" s="37"/>
      <c r="J7" s="47"/>
      <c r="K7" s="41" t="str">
        <f aca="false">IF(J7="","",IF(J7&gt;=8,"Yes","Check"))</f>
        <v/>
      </c>
      <c r="L7" s="38"/>
      <c r="M7" s="47"/>
      <c r="N7" s="47"/>
      <c r="O7" s="37"/>
      <c r="P7" s="38"/>
      <c r="Q7" s="42" t="str">
        <f aca="false">IF(P7="","",LEN(P7))</f>
        <v/>
      </c>
      <c r="R7" s="47"/>
      <c r="S7" s="37"/>
      <c r="T7" s="38"/>
      <c r="U7" s="43" t="str">
        <f aca="false">IF(OR(R7&lt;&gt;"Yes",A7=""),"",A7+4)</f>
        <v/>
      </c>
      <c r="V7" s="47"/>
      <c r="W7" s="38"/>
      <c r="X7" s="38"/>
      <c r="Y7" s="44"/>
      <c r="Z7" s="44"/>
      <c r="AA7" s="45" t="str">
        <f aca="false">IF(AND($Y7="",$Z7=""),"",ROUND(IFERROR(VALUE(LEFT($Y7,1)),0)*12+IFERROR(VALUE(LEFT($Z7,1)),0)*8,0))</f>
        <v/>
      </c>
      <c r="AB7" s="45" t="str">
        <f aca="false">IF($AA7="","",IF($AA7&gt;=80,"A - call first",IF($AA7&gt;=60,"B - worth pursuing",IF($AA7&gt;=40,"C - nurture","D - do not spend time here"))))</f>
        <v/>
      </c>
      <c r="AC7" s="46" t="str">
        <f aca="false">IF($C7="","",IF($S7="Converted","7 Certification / Enterprise opportunity",IF($S7="Application Started","7 Certification / Enterprise opportunity",IF($S7="Meeting Booked","6 Meeting / Application",IF(OR($S7="Interested",$S7="Info Requested"),"5 Interested",IF(OR($S7="Declined",$S7="Not Relevant"),"0 Closed - no",IF($R7="Yes","4 Contacted",IF($N7="Yes","2 Engaged",IF($M7="Yes","1 Awareness",IF($AA7&gt;=60,"3 Qualified","1 Awareness"))))))))))</f>
        <v/>
      </c>
    </row>
    <row r="8" customFormat="false" ht="30" hidden="false" customHeight="true" outlineLevel="0" collapsed="false">
      <c r="A8" s="36"/>
      <c r="B8" s="37"/>
      <c r="C8" s="37"/>
      <c r="D8" s="37"/>
      <c r="E8" s="37"/>
      <c r="F8" s="37"/>
      <c r="G8" s="37"/>
      <c r="H8" s="37"/>
      <c r="I8" s="37"/>
      <c r="J8" s="47"/>
      <c r="K8" s="41" t="str">
        <f aca="false">IF(J8="","",IF(J8&gt;=8,"Yes","Check"))</f>
        <v/>
      </c>
      <c r="L8" s="38"/>
      <c r="M8" s="47"/>
      <c r="N8" s="47"/>
      <c r="O8" s="37"/>
      <c r="P8" s="38"/>
      <c r="Q8" s="42" t="str">
        <f aca="false">IF(P8="","",LEN(P8))</f>
        <v/>
      </c>
      <c r="R8" s="47"/>
      <c r="S8" s="37"/>
      <c r="T8" s="38"/>
      <c r="U8" s="43" t="str">
        <f aca="false">IF(OR(R8&lt;&gt;"Yes",A8=""),"",A8+4)</f>
        <v/>
      </c>
      <c r="V8" s="47"/>
      <c r="W8" s="38"/>
      <c r="X8" s="38"/>
      <c r="Y8" s="44"/>
      <c r="Z8" s="44"/>
      <c r="AA8" s="45" t="str">
        <f aca="false">IF(AND($Y8="",$Z8=""),"",ROUND(IFERROR(VALUE(LEFT($Y8,1)),0)*12+IFERROR(VALUE(LEFT($Z8,1)),0)*8,0))</f>
        <v/>
      </c>
      <c r="AB8" s="45" t="str">
        <f aca="false">IF($AA8="","",IF($AA8&gt;=80,"A - call first",IF($AA8&gt;=60,"B - worth pursuing",IF($AA8&gt;=40,"C - nurture","D - do not spend time here"))))</f>
        <v/>
      </c>
      <c r="AC8" s="46" t="str">
        <f aca="false">IF($C8="","",IF($S8="Converted","7 Certification / Enterprise opportunity",IF($S8="Application Started","7 Certification / Enterprise opportunity",IF($S8="Meeting Booked","6 Meeting / Application",IF(OR($S8="Interested",$S8="Info Requested"),"5 Interested",IF(OR($S8="Declined",$S8="Not Relevant"),"0 Closed - no",IF($R8="Yes","4 Contacted",IF($N8="Yes","2 Engaged",IF($M8="Yes","1 Awareness",IF($AA8&gt;=60,"3 Qualified","1 Awareness"))))))))))</f>
        <v/>
      </c>
    </row>
    <row r="9" customFormat="false" ht="30" hidden="false" customHeight="true" outlineLevel="0" collapsed="false">
      <c r="A9" s="36"/>
      <c r="B9" s="37"/>
      <c r="C9" s="37"/>
      <c r="D9" s="37"/>
      <c r="E9" s="37"/>
      <c r="F9" s="37"/>
      <c r="G9" s="37"/>
      <c r="H9" s="37"/>
      <c r="I9" s="37"/>
      <c r="J9" s="47"/>
      <c r="K9" s="41" t="str">
        <f aca="false">IF(J9="","",IF(J9&gt;=8,"Yes","Check"))</f>
        <v/>
      </c>
      <c r="L9" s="38"/>
      <c r="M9" s="47"/>
      <c r="N9" s="47"/>
      <c r="O9" s="37"/>
      <c r="P9" s="38"/>
      <c r="Q9" s="42" t="str">
        <f aca="false">IF(P9="","",LEN(P9))</f>
        <v/>
      </c>
      <c r="R9" s="47"/>
      <c r="S9" s="37"/>
      <c r="T9" s="38"/>
      <c r="U9" s="43" t="str">
        <f aca="false">IF(OR(R9&lt;&gt;"Yes",A9=""),"",A9+4)</f>
        <v/>
      </c>
      <c r="V9" s="47"/>
      <c r="W9" s="38"/>
      <c r="X9" s="38"/>
      <c r="Y9" s="44"/>
      <c r="Z9" s="44"/>
      <c r="AA9" s="45" t="str">
        <f aca="false">IF(AND($Y9="",$Z9=""),"",ROUND(IFERROR(VALUE(LEFT($Y9,1)),0)*12+IFERROR(VALUE(LEFT($Z9,1)),0)*8,0))</f>
        <v/>
      </c>
      <c r="AB9" s="45" t="str">
        <f aca="false">IF($AA9="","",IF($AA9&gt;=80,"A - call first",IF($AA9&gt;=60,"B - worth pursuing",IF($AA9&gt;=40,"C - nurture","D - do not spend time here"))))</f>
        <v/>
      </c>
      <c r="AC9" s="46" t="str">
        <f aca="false">IF($C9="","",IF($S9="Converted","7 Certification / Enterprise opportunity",IF($S9="Application Started","7 Certification / Enterprise opportunity",IF($S9="Meeting Booked","6 Meeting / Application",IF(OR($S9="Interested",$S9="Info Requested"),"5 Interested",IF(OR($S9="Declined",$S9="Not Relevant"),"0 Closed - no",IF($R9="Yes","4 Contacted",IF($N9="Yes","2 Engaged",IF($M9="Yes","1 Awareness",IF($AA9&gt;=60,"3 Qualified","1 Awareness"))))))))))</f>
        <v/>
      </c>
    </row>
    <row r="10" customFormat="false" ht="30" hidden="false" customHeight="true" outlineLevel="0" collapsed="false">
      <c r="A10" s="36"/>
      <c r="B10" s="37"/>
      <c r="C10" s="37"/>
      <c r="D10" s="37"/>
      <c r="E10" s="37"/>
      <c r="F10" s="37"/>
      <c r="G10" s="37"/>
      <c r="H10" s="37"/>
      <c r="I10" s="37"/>
      <c r="J10" s="47"/>
      <c r="K10" s="41" t="str">
        <f aca="false">IF(J10="","",IF(J10&gt;=8,"Yes","Check"))</f>
        <v/>
      </c>
      <c r="L10" s="38"/>
      <c r="M10" s="47"/>
      <c r="N10" s="47"/>
      <c r="O10" s="37"/>
      <c r="P10" s="38"/>
      <c r="Q10" s="42" t="str">
        <f aca="false">IF(P10="","",LEN(P10))</f>
        <v/>
      </c>
      <c r="R10" s="47"/>
      <c r="S10" s="37"/>
      <c r="T10" s="38"/>
      <c r="U10" s="43" t="str">
        <f aca="false">IF(OR(R10&lt;&gt;"Yes",A10=""),"",A10+4)</f>
        <v/>
      </c>
      <c r="V10" s="47"/>
      <c r="W10" s="38"/>
      <c r="X10" s="38"/>
      <c r="Y10" s="44"/>
      <c r="Z10" s="44"/>
      <c r="AA10" s="45" t="str">
        <f aca="false">IF(AND($Y10="",$Z10=""),"",ROUND(IFERROR(VALUE(LEFT($Y10,1)),0)*12+IFERROR(VALUE(LEFT($Z10,1)),0)*8,0))</f>
        <v/>
      </c>
      <c r="AB10" s="45" t="str">
        <f aca="false">IF($AA10="","",IF($AA10&gt;=80,"A - call first",IF($AA10&gt;=60,"B - worth pursuing",IF($AA10&gt;=40,"C - nurture","D - do not spend time here"))))</f>
        <v/>
      </c>
      <c r="AC10" s="46" t="str">
        <f aca="false">IF($C10="","",IF($S10="Converted","7 Certification / Enterprise opportunity",IF($S10="Application Started","7 Certification / Enterprise opportunity",IF($S10="Meeting Booked","6 Meeting / Application",IF(OR($S10="Interested",$S10="Info Requested"),"5 Interested",IF(OR($S10="Declined",$S10="Not Relevant"),"0 Closed - no",IF($R10="Yes","4 Contacted",IF($N10="Yes","2 Engaged",IF($M10="Yes","1 Awareness",IF($AA10&gt;=60,"3 Qualified","1 Awareness"))))))))))</f>
        <v/>
      </c>
    </row>
    <row r="11" customFormat="false" ht="30" hidden="false" customHeight="true" outlineLevel="0" collapsed="false">
      <c r="A11" s="36"/>
      <c r="B11" s="37"/>
      <c r="C11" s="37"/>
      <c r="D11" s="37"/>
      <c r="E11" s="37"/>
      <c r="F11" s="37"/>
      <c r="G11" s="37"/>
      <c r="H11" s="37"/>
      <c r="I11" s="37"/>
      <c r="J11" s="47"/>
      <c r="K11" s="41" t="str">
        <f aca="false">IF(J11="","",IF(J11&gt;=8,"Yes","Check"))</f>
        <v/>
      </c>
      <c r="L11" s="38"/>
      <c r="M11" s="47"/>
      <c r="N11" s="47"/>
      <c r="O11" s="37"/>
      <c r="P11" s="38"/>
      <c r="Q11" s="42" t="str">
        <f aca="false">IF(P11="","",LEN(P11))</f>
        <v/>
      </c>
      <c r="R11" s="47"/>
      <c r="S11" s="37"/>
      <c r="T11" s="38"/>
      <c r="U11" s="43" t="str">
        <f aca="false">IF(OR(R11&lt;&gt;"Yes",A11=""),"",A11+4)</f>
        <v/>
      </c>
      <c r="V11" s="47"/>
      <c r="W11" s="38"/>
      <c r="X11" s="38"/>
      <c r="Y11" s="44"/>
      <c r="Z11" s="44"/>
      <c r="AA11" s="45" t="str">
        <f aca="false">IF(AND($Y11="",$Z11=""),"",ROUND(IFERROR(VALUE(LEFT($Y11,1)),0)*12+IFERROR(VALUE(LEFT($Z11,1)),0)*8,0))</f>
        <v/>
      </c>
      <c r="AB11" s="45" t="str">
        <f aca="false">IF($AA11="","",IF($AA11&gt;=80,"A - call first",IF($AA11&gt;=60,"B - worth pursuing",IF($AA11&gt;=40,"C - nurture","D - do not spend time here"))))</f>
        <v/>
      </c>
      <c r="AC11" s="46" t="str">
        <f aca="false">IF($C11="","",IF($S11="Converted","7 Certification / Enterprise opportunity",IF($S11="Application Started","7 Certification / Enterprise opportunity",IF($S11="Meeting Booked","6 Meeting / Application",IF(OR($S11="Interested",$S11="Info Requested"),"5 Interested",IF(OR($S11="Declined",$S11="Not Relevant"),"0 Closed - no",IF($R11="Yes","4 Contacted",IF($N11="Yes","2 Engaged",IF($M11="Yes","1 Awareness",IF($AA11&gt;=60,"3 Qualified","1 Awareness"))))))))))</f>
        <v/>
      </c>
    </row>
    <row r="12" customFormat="false" ht="30" hidden="false" customHeight="true" outlineLevel="0" collapsed="false">
      <c r="A12" s="36"/>
      <c r="B12" s="37"/>
      <c r="C12" s="37"/>
      <c r="D12" s="37"/>
      <c r="E12" s="37"/>
      <c r="F12" s="37"/>
      <c r="G12" s="37"/>
      <c r="H12" s="37"/>
      <c r="I12" s="37"/>
      <c r="J12" s="47"/>
      <c r="K12" s="41" t="str">
        <f aca="false">IF(J12="","",IF(J12&gt;=8,"Yes","Check"))</f>
        <v/>
      </c>
      <c r="L12" s="38"/>
      <c r="M12" s="47"/>
      <c r="N12" s="47"/>
      <c r="O12" s="37"/>
      <c r="P12" s="38"/>
      <c r="Q12" s="42" t="str">
        <f aca="false">IF(P12="","",LEN(P12))</f>
        <v/>
      </c>
      <c r="R12" s="47"/>
      <c r="S12" s="37"/>
      <c r="T12" s="38"/>
      <c r="U12" s="43" t="str">
        <f aca="false">IF(OR(R12&lt;&gt;"Yes",A12=""),"",A12+4)</f>
        <v/>
      </c>
      <c r="V12" s="47"/>
      <c r="W12" s="38"/>
      <c r="X12" s="38"/>
      <c r="Y12" s="44"/>
      <c r="Z12" s="44"/>
      <c r="AA12" s="45" t="str">
        <f aca="false">IF(AND($Y12="",$Z12=""),"",ROUND(IFERROR(VALUE(LEFT($Y12,1)),0)*12+IFERROR(VALUE(LEFT($Z12,1)),0)*8,0))</f>
        <v/>
      </c>
      <c r="AB12" s="45" t="str">
        <f aca="false">IF($AA12="","",IF($AA12&gt;=80,"A - call first",IF($AA12&gt;=60,"B - worth pursuing",IF($AA12&gt;=40,"C - nurture","D - do not spend time here"))))</f>
        <v/>
      </c>
      <c r="AC12" s="46" t="str">
        <f aca="false">IF($C12="","",IF($S12="Converted","7 Certification / Enterprise opportunity",IF($S12="Application Started","7 Certification / Enterprise opportunity",IF($S12="Meeting Booked","6 Meeting / Application",IF(OR($S12="Interested",$S12="Info Requested"),"5 Interested",IF(OR($S12="Declined",$S12="Not Relevant"),"0 Closed - no",IF($R12="Yes","4 Contacted",IF($N12="Yes","2 Engaged",IF($M12="Yes","1 Awareness",IF($AA12&gt;=60,"3 Qualified","1 Awareness"))))))))))</f>
        <v/>
      </c>
    </row>
    <row r="13" customFormat="false" ht="30" hidden="false" customHeight="true" outlineLevel="0" collapsed="false">
      <c r="A13" s="36"/>
      <c r="B13" s="37"/>
      <c r="C13" s="37"/>
      <c r="D13" s="37"/>
      <c r="E13" s="37"/>
      <c r="F13" s="37"/>
      <c r="G13" s="37"/>
      <c r="H13" s="37"/>
      <c r="I13" s="37"/>
      <c r="J13" s="47"/>
      <c r="K13" s="41" t="str">
        <f aca="false">IF(J13="","",IF(J13&gt;=8,"Yes","Check"))</f>
        <v/>
      </c>
      <c r="L13" s="38"/>
      <c r="M13" s="47"/>
      <c r="N13" s="47"/>
      <c r="O13" s="37"/>
      <c r="P13" s="38"/>
      <c r="Q13" s="42" t="str">
        <f aca="false">IF(P13="","",LEN(P13))</f>
        <v/>
      </c>
      <c r="R13" s="47"/>
      <c r="S13" s="37"/>
      <c r="T13" s="38"/>
      <c r="U13" s="43" t="str">
        <f aca="false">IF(OR(R13&lt;&gt;"Yes",A13=""),"",A13+4)</f>
        <v/>
      </c>
      <c r="V13" s="47"/>
      <c r="W13" s="38"/>
      <c r="X13" s="38"/>
      <c r="Y13" s="44"/>
      <c r="Z13" s="44"/>
      <c r="AA13" s="45" t="str">
        <f aca="false">IF(AND($Y13="",$Z13=""),"",ROUND(IFERROR(VALUE(LEFT($Y13,1)),0)*12+IFERROR(VALUE(LEFT($Z13,1)),0)*8,0))</f>
        <v/>
      </c>
      <c r="AB13" s="45" t="str">
        <f aca="false">IF($AA13="","",IF($AA13&gt;=80,"A - call first",IF($AA13&gt;=60,"B - worth pursuing",IF($AA13&gt;=40,"C - nurture","D - do not spend time here"))))</f>
        <v/>
      </c>
      <c r="AC13" s="46" t="str">
        <f aca="false">IF($C13="","",IF($S13="Converted","7 Certification / Enterprise opportunity",IF($S13="Application Started","7 Certification / Enterprise opportunity",IF($S13="Meeting Booked","6 Meeting / Application",IF(OR($S13="Interested",$S13="Info Requested"),"5 Interested",IF(OR($S13="Declined",$S13="Not Relevant"),"0 Closed - no",IF($R13="Yes","4 Contacted",IF($N13="Yes","2 Engaged",IF($M13="Yes","1 Awareness",IF($AA13&gt;=60,"3 Qualified","1 Awareness"))))))))))</f>
        <v/>
      </c>
    </row>
    <row r="14" customFormat="false" ht="30" hidden="false" customHeight="true" outlineLevel="0" collapsed="false">
      <c r="A14" s="36"/>
      <c r="B14" s="37"/>
      <c r="C14" s="37"/>
      <c r="D14" s="37"/>
      <c r="E14" s="37"/>
      <c r="F14" s="37"/>
      <c r="G14" s="37"/>
      <c r="H14" s="37"/>
      <c r="I14" s="37"/>
      <c r="J14" s="47"/>
      <c r="K14" s="41" t="str">
        <f aca="false">IF(J14="","",IF(J14&gt;=8,"Yes","Check"))</f>
        <v/>
      </c>
      <c r="L14" s="38"/>
      <c r="M14" s="47"/>
      <c r="N14" s="47"/>
      <c r="O14" s="37"/>
      <c r="P14" s="38"/>
      <c r="Q14" s="42" t="str">
        <f aca="false">IF(P14="","",LEN(P14))</f>
        <v/>
      </c>
      <c r="R14" s="47"/>
      <c r="S14" s="37"/>
      <c r="T14" s="38"/>
      <c r="U14" s="43" t="str">
        <f aca="false">IF(OR(R14&lt;&gt;"Yes",A14=""),"",A14+4)</f>
        <v/>
      </c>
      <c r="V14" s="47"/>
      <c r="W14" s="38"/>
      <c r="X14" s="38"/>
      <c r="Y14" s="44"/>
      <c r="Z14" s="44"/>
      <c r="AA14" s="45" t="str">
        <f aca="false">IF(AND($Y14="",$Z14=""),"",ROUND(IFERROR(VALUE(LEFT($Y14,1)),0)*12+IFERROR(VALUE(LEFT($Z14,1)),0)*8,0))</f>
        <v/>
      </c>
      <c r="AB14" s="45" t="str">
        <f aca="false">IF($AA14="","",IF($AA14&gt;=80,"A - call first",IF($AA14&gt;=60,"B - worth pursuing",IF($AA14&gt;=40,"C - nurture","D - do not spend time here"))))</f>
        <v/>
      </c>
      <c r="AC14" s="46" t="str">
        <f aca="false">IF($C14="","",IF($S14="Converted","7 Certification / Enterprise opportunity",IF($S14="Application Started","7 Certification / Enterprise opportunity",IF($S14="Meeting Booked","6 Meeting / Application",IF(OR($S14="Interested",$S14="Info Requested"),"5 Interested",IF(OR($S14="Declined",$S14="Not Relevant"),"0 Closed - no",IF($R14="Yes","4 Contacted",IF($N14="Yes","2 Engaged",IF($M14="Yes","1 Awareness",IF($AA14&gt;=60,"3 Qualified","1 Awareness"))))))))))</f>
        <v/>
      </c>
    </row>
    <row r="15" customFormat="false" ht="30" hidden="false" customHeight="true" outlineLevel="0" collapsed="false">
      <c r="A15" s="36"/>
      <c r="B15" s="37"/>
      <c r="C15" s="37"/>
      <c r="D15" s="37"/>
      <c r="E15" s="37"/>
      <c r="F15" s="37"/>
      <c r="G15" s="37"/>
      <c r="H15" s="37"/>
      <c r="I15" s="37"/>
      <c r="J15" s="47"/>
      <c r="K15" s="41" t="str">
        <f aca="false">IF(J15="","",IF(J15&gt;=8,"Yes","Check"))</f>
        <v/>
      </c>
      <c r="L15" s="38"/>
      <c r="M15" s="47"/>
      <c r="N15" s="47"/>
      <c r="O15" s="37"/>
      <c r="P15" s="38"/>
      <c r="Q15" s="42" t="str">
        <f aca="false">IF(P15="","",LEN(P15))</f>
        <v/>
      </c>
      <c r="R15" s="47"/>
      <c r="S15" s="37"/>
      <c r="T15" s="38"/>
      <c r="U15" s="43" t="str">
        <f aca="false">IF(OR(R15&lt;&gt;"Yes",A15=""),"",A15+4)</f>
        <v/>
      </c>
      <c r="V15" s="47"/>
      <c r="W15" s="38"/>
      <c r="X15" s="38"/>
      <c r="Y15" s="44"/>
      <c r="Z15" s="44"/>
      <c r="AA15" s="45" t="str">
        <f aca="false">IF(AND($Y15="",$Z15=""),"",ROUND(IFERROR(VALUE(LEFT($Y15,1)),0)*12+IFERROR(VALUE(LEFT($Z15,1)),0)*8,0))</f>
        <v/>
      </c>
      <c r="AB15" s="45" t="str">
        <f aca="false">IF($AA15="","",IF($AA15&gt;=80,"A - call first",IF($AA15&gt;=60,"B - worth pursuing",IF($AA15&gt;=40,"C - nurture","D - do not spend time here"))))</f>
        <v/>
      </c>
      <c r="AC15" s="46" t="str">
        <f aca="false">IF($C15="","",IF($S15="Converted","7 Certification / Enterprise opportunity",IF($S15="Application Started","7 Certification / Enterprise opportunity",IF($S15="Meeting Booked","6 Meeting / Application",IF(OR($S15="Interested",$S15="Info Requested"),"5 Interested",IF(OR($S15="Declined",$S15="Not Relevant"),"0 Closed - no",IF($R15="Yes","4 Contacted",IF($N15="Yes","2 Engaged",IF($M15="Yes","1 Awareness",IF($AA15&gt;=60,"3 Qualified","1 Awareness"))))))))))</f>
        <v/>
      </c>
    </row>
    <row r="16" customFormat="false" ht="30" hidden="false" customHeight="true" outlineLevel="0" collapsed="false">
      <c r="A16" s="36"/>
      <c r="B16" s="37"/>
      <c r="C16" s="37"/>
      <c r="D16" s="37"/>
      <c r="E16" s="37"/>
      <c r="F16" s="37"/>
      <c r="G16" s="37"/>
      <c r="H16" s="37"/>
      <c r="I16" s="37"/>
      <c r="J16" s="47"/>
      <c r="K16" s="41" t="str">
        <f aca="false">IF(J16="","",IF(J16&gt;=8,"Yes","Check"))</f>
        <v/>
      </c>
      <c r="L16" s="38"/>
      <c r="M16" s="47"/>
      <c r="N16" s="47"/>
      <c r="O16" s="37"/>
      <c r="P16" s="38"/>
      <c r="Q16" s="42" t="str">
        <f aca="false">IF(P16="","",LEN(P16))</f>
        <v/>
      </c>
      <c r="R16" s="47"/>
      <c r="S16" s="37"/>
      <c r="T16" s="38"/>
      <c r="U16" s="43" t="str">
        <f aca="false">IF(OR(R16&lt;&gt;"Yes",A16=""),"",A16+4)</f>
        <v/>
      </c>
      <c r="V16" s="47"/>
      <c r="W16" s="38"/>
      <c r="X16" s="38"/>
      <c r="Y16" s="44"/>
      <c r="Z16" s="44"/>
      <c r="AA16" s="45" t="str">
        <f aca="false">IF(AND($Y16="",$Z16=""),"",ROUND(IFERROR(VALUE(LEFT($Y16,1)),0)*12+IFERROR(VALUE(LEFT($Z16,1)),0)*8,0))</f>
        <v/>
      </c>
      <c r="AB16" s="45" t="str">
        <f aca="false">IF($AA16="","",IF($AA16&gt;=80,"A - call first",IF($AA16&gt;=60,"B - worth pursuing",IF($AA16&gt;=40,"C - nurture","D - do not spend time here"))))</f>
        <v/>
      </c>
      <c r="AC16" s="46" t="str">
        <f aca="false">IF($C16="","",IF($S16="Converted","7 Certification / Enterprise opportunity",IF($S16="Application Started","7 Certification / Enterprise opportunity",IF($S16="Meeting Booked","6 Meeting / Application",IF(OR($S16="Interested",$S16="Info Requested"),"5 Interested",IF(OR($S16="Declined",$S16="Not Relevant"),"0 Closed - no",IF($R16="Yes","4 Contacted",IF($N16="Yes","2 Engaged",IF($M16="Yes","1 Awareness",IF($AA16&gt;=60,"3 Qualified","1 Awareness"))))))))))</f>
        <v/>
      </c>
    </row>
    <row r="17" customFormat="false" ht="30" hidden="false" customHeight="true" outlineLevel="0" collapsed="false">
      <c r="A17" s="36"/>
      <c r="B17" s="37"/>
      <c r="C17" s="37"/>
      <c r="D17" s="37"/>
      <c r="E17" s="37"/>
      <c r="F17" s="37"/>
      <c r="G17" s="37"/>
      <c r="H17" s="37"/>
      <c r="I17" s="37"/>
      <c r="J17" s="47"/>
      <c r="K17" s="41" t="str">
        <f aca="false">IF(J17="","",IF(J17&gt;=8,"Yes","Check"))</f>
        <v/>
      </c>
      <c r="L17" s="38"/>
      <c r="M17" s="47"/>
      <c r="N17" s="47"/>
      <c r="O17" s="37"/>
      <c r="P17" s="38"/>
      <c r="Q17" s="42" t="str">
        <f aca="false">IF(P17="","",LEN(P17))</f>
        <v/>
      </c>
      <c r="R17" s="47"/>
      <c r="S17" s="37"/>
      <c r="T17" s="38"/>
      <c r="U17" s="43" t="str">
        <f aca="false">IF(OR(R17&lt;&gt;"Yes",A17=""),"",A17+4)</f>
        <v/>
      </c>
      <c r="V17" s="47"/>
      <c r="W17" s="38"/>
      <c r="X17" s="38"/>
      <c r="Y17" s="44"/>
      <c r="Z17" s="44"/>
      <c r="AA17" s="45" t="str">
        <f aca="false">IF(AND($Y17="",$Z17=""),"",ROUND(IFERROR(VALUE(LEFT($Y17,1)),0)*12+IFERROR(VALUE(LEFT($Z17,1)),0)*8,0))</f>
        <v/>
      </c>
      <c r="AB17" s="45" t="str">
        <f aca="false">IF($AA17="","",IF($AA17&gt;=80,"A - call first",IF($AA17&gt;=60,"B - worth pursuing",IF($AA17&gt;=40,"C - nurture","D - do not spend time here"))))</f>
        <v/>
      </c>
      <c r="AC17" s="46" t="str">
        <f aca="false">IF($C17="","",IF($S17="Converted","7 Certification / Enterprise opportunity",IF($S17="Application Started","7 Certification / Enterprise opportunity",IF($S17="Meeting Booked","6 Meeting / Application",IF(OR($S17="Interested",$S17="Info Requested"),"5 Interested",IF(OR($S17="Declined",$S17="Not Relevant"),"0 Closed - no",IF($R17="Yes","4 Contacted",IF($N17="Yes","2 Engaged",IF($M17="Yes","1 Awareness",IF($AA17&gt;=60,"3 Qualified","1 Awareness"))))))))))</f>
        <v/>
      </c>
    </row>
    <row r="18" customFormat="false" ht="30" hidden="false" customHeight="true" outlineLevel="0" collapsed="false">
      <c r="A18" s="36"/>
      <c r="B18" s="37"/>
      <c r="C18" s="37"/>
      <c r="D18" s="37"/>
      <c r="E18" s="37"/>
      <c r="F18" s="37"/>
      <c r="G18" s="37"/>
      <c r="H18" s="37"/>
      <c r="I18" s="37"/>
      <c r="J18" s="47"/>
      <c r="K18" s="41" t="str">
        <f aca="false">IF(J18="","",IF(J18&gt;=8,"Yes","Check"))</f>
        <v/>
      </c>
      <c r="L18" s="38"/>
      <c r="M18" s="47"/>
      <c r="N18" s="47"/>
      <c r="O18" s="37"/>
      <c r="P18" s="38"/>
      <c r="Q18" s="42" t="str">
        <f aca="false">IF(P18="","",LEN(P18))</f>
        <v/>
      </c>
      <c r="R18" s="47"/>
      <c r="S18" s="37"/>
      <c r="T18" s="38"/>
      <c r="U18" s="43" t="str">
        <f aca="false">IF(OR(R18&lt;&gt;"Yes",A18=""),"",A18+4)</f>
        <v/>
      </c>
      <c r="V18" s="47"/>
      <c r="W18" s="38"/>
      <c r="X18" s="38"/>
      <c r="Y18" s="44"/>
      <c r="Z18" s="44"/>
      <c r="AA18" s="45" t="str">
        <f aca="false">IF(AND($Y18="",$Z18=""),"",ROUND(IFERROR(VALUE(LEFT($Y18,1)),0)*12+IFERROR(VALUE(LEFT($Z18,1)),0)*8,0))</f>
        <v/>
      </c>
      <c r="AB18" s="45" t="str">
        <f aca="false">IF($AA18="","",IF($AA18&gt;=80,"A - call first",IF($AA18&gt;=60,"B - worth pursuing",IF($AA18&gt;=40,"C - nurture","D - do not spend time here"))))</f>
        <v/>
      </c>
      <c r="AC18" s="46" t="str">
        <f aca="false">IF($C18="","",IF($S18="Converted","7 Certification / Enterprise opportunity",IF($S18="Application Started","7 Certification / Enterprise opportunity",IF($S18="Meeting Booked","6 Meeting / Application",IF(OR($S18="Interested",$S18="Info Requested"),"5 Interested",IF(OR($S18="Declined",$S18="Not Relevant"),"0 Closed - no",IF($R18="Yes","4 Contacted",IF($N18="Yes","2 Engaged",IF($M18="Yes","1 Awareness",IF($AA18&gt;=60,"3 Qualified","1 Awareness"))))))))))</f>
        <v/>
      </c>
    </row>
    <row r="19" customFormat="false" ht="30" hidden="false" customHeight="true" outlineLevel="0" collapsed="false">
      <c r="A19" s="36"/>
      <c r="B19" s="37"/>
      <c r="C19" s="37"/>
      <c r="D19" s="37"/>
      <c r="E19" s="37"/>
      <c r="F19" s="37"/>
      <c r="G19" s="37"/>
      <c r="H19" s="37"/>
      <c r="I19" s="37"/>
      <c r="J19" s="47"/>
      <c r="K19" s="41" t="str">
        <f aca="false">IF(J19="","",IF(J19&gt;=8,"Yes","Check"))</f>
        <v/>
      </c>
      <c r="L19" s="38"/>
      <c r="M19" s="47"/>
      <c r="N19" s="47"/>
      <c r="O19" s="37"/>
      <c r="P19" s="38"/>
      <c r="Q19" s="42" t="str">
        <f aca="false">IF(P19="","",LEN(P19))</f>
        <v/>
      </c>
      <c r="R19" s="47"/>
      <c r="S19" s="37"/>
      <c r="T19" s="38"/>
      <c r="U19" s="43" t="str">
        <f aca="false">IF(OR(R19&lt;&gt;"Yes",A19=""),"",A19+4)</f>
        <v/>
      </c>
      <c r="V19" s="47"/>
      <c r="W19" s="38"/>
      <c r="X19" s="38"/>
      <c r="Y19" s="44"/>
      <c r="Z19" s="44"/>
      <c r="AA19" s="45" t="str">
        <f aca="false">IF(AND($Y19="",$Z19=""),"",ROUND(IFERROR(VALUE(LEFT($Y19,1)),0)*12+IFERROR(VALUE(LEFT($Z19,1)),0)*8,0))</f>
        <v/>
      </c>
      <c r="AB19" s="45" t="str">
        <f aca="false">IF($AA19="","",IF($AA19&gt;=80,"A - call first",IF($AA19&gt;=60,"B - worth pursuing",IF($AA19&gt;=40,"C - nurture","D - do not spend time here"))))</f>
        <v/>
      </c>
      <c r="AC19" s="46" t="str">
        <f aca="false">IF($C19="","",IF($S19="Converted","7 Certification / Enterprise opportunity",IF($S19="Application Started","7 Certification / Enterprise opportunity",IF($S19="Meeting Booked","6 Meeting / Application",IF(OR($S19="Interested",$S19="Info Requested"),"5 Interested",IF(OR($S19="Declined",$S19="Not Relevant"),"0 Closed - no",IF($R19="Yes","4 Contacted",IF($N19="Yes","2 Engaged",IF($M19="Yes","1 Awareness",IF($AA19&gt;=60,"3 Qualified","1 Awareness"))))))))))</f>
        <v/>
      </c>
    </row>
    <row r="20" customFormat="false" ht="30" hidden="false" customHeight="true" outlineLevel="0" collapsed="false">
      <c r="A20" s="36"/>
      <c r="B20" s="37"/>
      <c r="C20" s="37"/>
      <c r="D20" s="37"/>
      <c r="E20" s="37"/>
      <c r="F20" s="37"/>
      <c r="G20" s="37"/>
      <c r="H20" s="37"/>
      <c r="I20" s="37"/>
      <c r="J20" s="47"/>
      <c r="K20" s="41" t="str">
        <f aca="false">IF(J20="","",IF(J20&gt;=8,"Yes","Check"))</f>
        <v/>
      </c>
      <c r="L20" s="38"/>
      <c r="M20" s="47"/>
      <c r="N20" s="47"/>
      <c r="O20" s="37"/>
      <c r="P20" s="38"/>
      <c r="Q20" s="42" t="str">
        <f aca="false">IF(P20="","",LEN(P20))</f>
        <v/>
      </c>
      <c r="R20" s="47"/>
      <c r="S20" s="37"/>
      <c r="T20" s="38"/>
      <c r="U20" s="43" t="str">
        <f aca="false">IF(OR(R20&lt;&gt;"Yes",A20=""),"",A20+4)</f>
        <v/>
      </c>
      <c r="V20" s="47"/>
      <c r="W20" s="38"/>
      <c r="X20" s="38"/>
      <c r="Y20" s="44"/>
      <c r="Z20" s="44"/>
      <c r="AA20" s="45" t="str">
        <f aca="false">IF(AND($Y20="",$Z20=""),"",ROUND(IFERROR(VALUE(LEFT($Y20,1)),0)*12+IFERROR(VALUE(LEFT($Z20,1)),0)*8,0))</f>
        <v/>
      </c>
      <c r="AB20" s="45" t="str">
        <f aca="false">IF($AA20="","",IF($AA20&gt;=80,"A - call first",IF($AA20&gt;=60,"B - worth pursuing",IF($AA20&gt;=40,"C - nurture","D - do not spend time here"))))</f>
        <v/>
      </c>
      <c r="AC20" s="46" t="str">
        <f aca="false">IF($C20="","",IF($S20="Converted","7 Certification / Enterprise opportunity",IF($S20="Application Started","7 Certification / Enterprise opportunity",IF($S20="Meeting Booked","6 Meeting / Application",IF(OR($S20="Interested",$S20="Info Requested"),"5 Interested",IF(OR($S20="Declined",$S20="Not Relevant"),"0 Closed - no",IF($R20="Yes","4 Contacted",IF($N20="Yes","2 Engaged",IF($M20="Yes","1 Awareness",IF($AA20&gt;=60,"3 Qualified","1 Awareness"))))))))))</f>
        <v/>
      </c>
    </row>
    <row r="21" customFormat="false" ht="30" hidden="false" customHeight="true" outlineLevel="0" collapsed="false">
      <c r="A21" s="36"/>
      <c r="B21" s="37"/>
      <c r="C21" s="37"/>
      <c r="D21" s="37"/>
      <c r="E21" s="37"/>
      <c r="F21" s="37"/>
      <c r="G21" s="37"/>
      <c r="H21" s="37"/>
      <c r="I21" s="37"/>
      <c r="J21" s="47"/>
      <c r="K21" s="41" t="str">
        <f aca="false">IF(J21="","",IF(J21&gt;=8,"Yes","Check"))</f>
        <v/>
      </c>
      <c r="L21" s="38"/>
      <c r="M21" s="47"/>
      <c r="N21" s="47"/>
      <c r="O21" s="37"/>
      <c r="P21" s="38"/>
      <c r="Q21" s="42" t="str">
        <f aca="false">IF(P21="","",LEN(P21))</f>
        <v/>
      </c>
      <c r="R21" s="47"/>
      <c r="S21" s="37"/>
      <c r="T21" s="38"/>
      <c r="U21" s="43" t="str">
        <f aca="false">IF(OR(R21&lt;&gt;"Yes",A21=""),"",A21+4)</f>
        <v/>
      </c>
      <c r="V21" s="47"/>
      <c r="W21" s="38"/>
      <c r="X21" s="38"/>
      <c r="Y21" s="44"/>
      <c r="Z21" s="44"/>
      <c r="AA21" s="45" t="str">
        <f aca="false">IF(AND($Y21="",$Z21=""),"",ROUND(IFERROR(VALUE(LEFT($Y21,1)),0)*12+IFERROR(VALUE(LEFT($Z21,1)),0)*8,0))</f>
        <v/>
      </c>
      <c r="AB21" s="45" t="str">
        <f aca="false">IF($AA21="","",IF($AA21&gt;=80,"A - call first",IF($AA21&gt;=60,"B - worth pursuing",IF($AA21&gt;=40,"C - nurture","D - do not spend time here"))))</f>
        <v/>
      </c>
      <c r="AC21" s="46" t="str">
        <f aca="false">IF($C21="","",IF($S21="Converted","7 Certification / Enterprise opportunity",IF($S21="Application Started","7 Certification / Enterprise opportunity",IF($S21="Meeting Booked","6 Meeting / Application",IF(OR($S21="Interested",$S21="Info Requested"),"5 Interested",IF(OR($S21="Declined",$S21="Not Relevant"),"0 Closed - no",IF($R21="Yes","4 Contacted",IF($N21="Yes","2 Engaged",IF($M21="Yes","1 Awareness",IF($AA21&gt;=60,"3 Qualified","1 Awareness"))))))))))</f>
        <v/>
      </c>
    </row>
    <row r="22" customFormat="false" ht="30" hidden="false" customHeight="true" outlineLevel="0" collapsed="false">
      <c r="A22" s="36"/>
      <c r="B22" s="37"/>
      <c r="C22" s="37"/>
      <c r="D22" s="37"/>
      <c r="E22" s="37"/>
      <c r="F22" s="37"/>
      <c r="G22" s="37"/>
      <c r="H22" s="37"/>
      <c r="I22" s="37"/>
      <c r="J22" s="47"/>
      <c r="K22" s="41" t="str">
        <f aca="false">IF(J22="","",IF(J22&gt;=8,"Yes","Check"))</f>
        <v/>
      </c>
      <c r="L22" s="38"/>
      <c r="M22" s="47"/>
      <c r="N22" s="47"/>
      <c r="O22" s="37"/>
      <c r="P22" s="38"/>
      <c r="Q22" s="42" t="str">
        <f aca="false">IF(P22="","",LEN(P22))</f>
        <v/>
      </c>
      <c r="R22" s="47"/>
      <c r="S22" s="37"/>
      <c r="T22" s="38"/>
      <c r="U22" s="43" t="str">
        <f aca="false">IF(OR(R22&lt;&gt;"Yes",A22=""),"",A22+4)</f>
        <v/>
      </c>
      <c r="V22" s="47"/>
      <c r="W22" s="38"/>
      <c r="X22" s="38"/>
      <c r="Y22" s="44"/>
      <c r="Z22" s="44"/>
      <c r="AA22" s="45" t="str">
        <f aca="false">IF(AND($Y22="",$Z22=""),"",ROUND(IFERROR(VALUE(LEFT($Y22,1)),0)*12+IFERROR(VALUE(LEFT($Z22,1)),0)*8,0))</f>
        <v/>
      </c>
      <c r="AB22" s="45" t="str">
        <f aca="false">IF($AA22="","",IF($AA22&gt;=80,"A - call first",IF($AA22&gt;=60,"B - worth pursuing",IF($AA22&gt;=40,"C - nurture","D - do not spend time here"))))</f>
        <v/>
      </c>
      <c r="AC22" s="46" t="str">
        <f aca="false">IF($C22="","",IF($S22="Converted","7 Certification / Enterprise opportunity",IF($S22="Application Started","7 Certification / Enterprise opportunity",IF($S22="Meeting Booked","6 Meeting / Application",IF(OR($S22="Interested",$S22="Info Requested"),"5 Interested",IF(OR($S22="Declined",$S22="Not Relevant"),"0 Closed - no",IF($R22="Yes","4 Contacted",IF($N22="Yes","2 Engaged",IF($M22="Yes","1 Awareness",IF($AA22&gt;=60,"3 Qualified","1 Awareness"))))))))))</f>
        <v/>
      </c>
    </row>
    <row r="23" customFormat="false" ht="30" hidden="false" customHeight="true" outlineLevel="0" collapsed="false">
      <c r="A23" s="36"/>
      <c r="B23" s="37"/>
      <c r="C23" s="37"/>
      <c r="D23" s="37"/>
      <c r="E23" s="37"/>
      <c r="F23" s="37"/>
      <c r="G23" s="37"/>
      <c r="H23" s="37"/>
      <c r="I23" s="37"/>
      <c r="J23" s="47"/>
      <c r="K23" s="41" t="str">
        <f aca="false">IF(J23="","",IF(J23&gt;=8,"Yes","Check"))</f>
        <v/>
      </c>
      <c r="L23" s="38"/>
      <c r="M23" s="47"/>
      <c r="N23" s="47"/>
      <c r="O23" s="37"/>
      <c r="P23" s="38"/>
      <c r="Q23" s="42" t="str">
        <f aca="false">IF(P23="","",LEN(P23))</f>
        <v/>
      </c>
      <c r="R23" s="47"/>
      <c r="S23" s="37"/>
      <c r="T23" s="38"/>
      <c r="U23" s="43" t="str">
        <f aca="false">IF(OR(R23&lt;&gt;"Yes",A23=""),"",A23+4)</f>
        <v/>
      </c>
      <c r="V23" s="47"/>
      <c r="W23" s="38"/>
      <c r="X23" s="38"/>
      <c r="Y23" s="44"/>
      <c r="Z23" s="44"/>
      <c r="AA23" s="45" t="str">
        <f aca="false">IF(AND($Y23="",$Z23=""),"",ROUND(IFERROR(VALUE(LEFT($Y23,1)),0)*12+IFERROR(VALUE(LEFT($Z23,1)),0)*8,0))</f>
        <v/>
      </c>
      <c r="AB23" s="45" t="str">
        <f aca="false">IF($AA23="","",IF($AA23&gt;=80,"A - call first",IF($AA23&gt;=60,"B - worth pursuing",IF($AA23&gt;=40,"C - nurture","D - do not spend time here"))))</f>
        <v/>
      </c>
      <c r="AC23" s="46" t="str">
        <f aca="false">IF($C23="","",IF($S23="Converted","7 Certification / Enterprise opportunity",IF($S23="Application Started","7 Certification / Enterprise opportunity",IF($S23="Meeting Booked","6 Meeting / Application",IF(OR($S23="Interested",$S23="Info Requested"),"5 Interested",IF(OR($S23="Declined",$S23="Not Relevant"),"0 Closed - no",IF($R23="Yes","4 Contacted",IF($N23="Yes","2 Engaged",IF($M23="Yes","1 Awareness",IF($AA23&gt;=60,"3 Qualified","1 Awareness"))))))))))</f>
        <v/>
      </c>
    </row>
    <row r="24" customFormat="false" ht="30" hidden="false" customHeight="true" outlineLevel="0" collapsed="false">
      <c r="A24" s="36"/>
      <c r="B24" s="37"/>
      <c r="C24" s="37"/>
      <c r="D24" s="37"/>
      <c r="E24" s="37"/>
      <c r="F24" s="37"/>
      <c r="G24" s="37"/>
      <c r="H24" s="37"/>
      <c r="I24" s="37"/>
      <c r="J24" s="47"/>
      <c r="K24" s="41" t="str">
        <f aca="false">IF(J24="","",IF(J24&gt;=8,"Yes","Check"))</f>
        <v/>
      </c>
      <c r="L24" s="38"/>
      <c r="M24" s="47"/>
      <c r="N24" s="47"/>
      <c r="O24" s="37"/>
      <c r="P24" s="38"/>
      <c r="Q24" s="42" t="str">
        <f aca="false">IF(P24="","",LEN(P24))</f>
        <v/>
      </c>
      <c r="R24" s="47"/>
      <c r="S24" s="37"/>
      <c r="T24" s="38"/>
      <c r="U24" s="43" t="str">
        <f aca="false">IF(OR(R24&lt;&gt;"Yes",A24=""),"",A24+4)</f>
        <v/>
      </c>
      <c r="V24" s="47"/>
      <c r="W24" s="38"/>
      <c r="X24" s="38"/>
      <c r="Y24" s="44"/>
      <c r="Z24" s="44"/>
      <c r="AA24" s="45" t="str">
        <f aca="false">IF(AND($Y24="",$Z24=""),"",ROUND(IFERROR(VALUE(LEFT($Y24,1)),0)*12+IFERROR(VALUE(LEFT($Z24,1)),0)*8,0))</f>
        <v/>
      </c>
      <c r="AB24" s="45" t="str">
        <f aca="false">IF($AA24="","",IF($AA24&gt;=80,"A - call first",IF($AA24&gt;=60,"B - worth pursuing",IF($AA24&gt;=40,"C - nurture","D - do not spend time here"))))</f>
        <v/>
      </c>
      <c r="AC24" s="46" t="str">
        <f aca="false">IF($C24="","",IF($S24="Converted","7 Certification / Enterprise opportunity",IF($S24="Application Started","7 Certification / Enterprise opportunity",IF($S24="Meeting Booked","6 Meeting / Application",IF(OR($S24="Interested",$S24="Info Requested"),"5 Interested",IF(OR($S24="Declined",$S24="Not Relevant"),"0 Closed - no",IF($R24="Yes","4 Contacted",IF($N24="Yes","2 Engaged",IF($M24="Yes","1 Awareness",IF($AA24&gt;=60,"3 Qualified","1 Awareness"))))))))))</f>
        <v/>
      </c>
    </row>
    <row r="25" customFormat="false" ht="30" hidden="false" customHeight="true" outlineLevel="0" collapsed="false">
      <c r="A25" s="36"/>
      <c r="B25" s="37"/>
      <c r="C25" s="37"/>
      <c r="D25" s="37"/>
      <c r="E25" s="37"/>
      <c r="F25" s="37"/>
      <c r="G25" s="37"/>
      <c r="H25" s="37"/>
      <c r="I25" s="37"/>
      <c r="J25" s="47"/>
      <c r="K25" s="41" t="str">
        <f aca="false">IF(J25="","",IF(J25&gt;=8,"Yes","Check"))</f>
        <v/>
      </c>
      <c r="L25" s="38"/>
      <c r="M25" s="47"/>
      <c r="N25" s="47"/>
      <c r="O25" s="37"/>
      <c r="P25" s="38"/>
      <c r="Q25" s="42" t="str">
        <f aca="false">IF(P25="","",LEN(P25))</f>
        <v/>
      </c>
      <c r="R25" s="47"/>
      <c r="S25" s="37"/>
      <c r="T25" s="38"/>
      <c r="U25" s="43" t="str">
        <f aca="false">IF(OR(R25&lt;&gt;"Yes",A25=""),"",A25+4)</f>
        <v/>
      </c>
      <c r="V25" s="47"/>
      <c r="W25" s="38"/>
      <c r="X25" s="38"/>
      <c r="Y25" s="44"/>
      <c r="Z25" s="44"/>
      <c r="AA25" s="45" t="str">
        <f aca="false">IF(AND($Y25="",$Z25=""),"",ROUND(IFERROR(VALUE(LEFT($Y25,1)),0)*12+IFERROR(VALUE(LEFT($Z25,1)),0)*8,0))</f>
        <v/>
      </c>
      <c r="AB25" s="45" t="str">
        <f aca="false">IF($AA25="","",IF($AA25&gt;=80,"A - call first",IF($AA25&gt;=60,"B - worth pursuing",IF($AA25&gt;=40,"C - nurture","D - do not spend time here"))))</f>
        <v/>
      </c>
      <c r="AC25" s="46" t="str">
        <f aca="false">IF($C25="","",IF($S25="Converted","7 Certification / Enterprise opportunity",IF($S25="Application Started","7 Certification / Enterprise opportunity",IF($S25="Meeting Booked","6 Meeting / Application",IF(OR($S25="Interested",$S25="Info Requested"),"5 Interested",IF(OR($S25="Declined",$S25="Not Relevant"),"0 Closed - no",IF($R25="Yes","4 Contacted",IF($N25="Yes","2 Engaged",IF($M25="Yes","1 Awareness",IF($AA25&gt;=60,"3 Qualified","1 Awareness"))))))))))</f>
        <v/>
      </c>
    </row>
    <row r="26" customFormat="false" ht="30" hidden="false" customHeight="true" outlineLevel="0" collapsed="false">
      <c r="A26" s="36"/>
      <c r="B26" s="37"/>
      <c r="C26" s="37"/>
      <c r="D26" s="37"/>
      <c r="E26" s="37"/>
      <c r="F26" s="37"/>
      <c r="G26" s="37"/>
      <c r="H26" s="37"/>
      <c r="I26" s="37"/>
      <c r="J26" s="47"/>
      <c r="K26" s="41" t="str">
        <f aca="false">IF(J26="","",IF(J26&gt;=8,"Yes","Check"))</f>
        <v/>
      </c>
      <c r="L26" s="38"/>
      <c r="M26" s="47"/>
      <c r="N26" s="47"/>
      <c r="O26" s="37"/>
      <c r="P26" s="38"/>
      <c r="Q26" s="42" t="str">
        <f aca="false">IF(P26="","",LEN(P26))</f>
        <v/>
      </c>
      <c r="R26" s="47"/>
      <c r="S26" s="37"/>
      <c r="T26" s="38"/>
      <c r="U26" s="43" t="str">
        <f aca="false">IF(OR(R26&lt;&gt;"Yes",A26=""),"",A26+4)</f>
        <v/>
      </c>
      <c r="V26" s="47"/>
      <c r="W26" s="38"/>
      <c r="X26" s="38"/>
      <c r="Y26" s="44"/>
      <c r="Z26" s="44"/>
      <c r="AA26" s="45" t="str">
        <f aca="false">IF(AND($Y26="",$Z26=""),"",ROUND(IFERROR(VALUE(LEFT($Y26,1)),0)*12+IFERROR(VALUE(LEFT($Z26,1)),0)*8,0))</f>
        <v/>
      </c>
      <c r="AB26" s="45" t="str">
        <f aca="false">IF($AA26="","",IF($AA26&gt;=80,"A - call first",IF($AA26&gt;=60,"B - worth pursuing",IF($AA26&gt;=40,"C - nurture","D - do not spend time here"))))</f>
        <v/>
      </c>
      <c r="AC26" s="46" t="str">
        <f aca="false">IF($C26="","",IF($S26="Converted","7 Certification / Enterprise opportunity",IF($S26="Application Started","7 Certification / Enterprise opportunity",IF($S26="Meeting Booked","6 Meeting / Application",IF(OR($S26="Interested",$S26="Info Requested"),"5 Interested",IF(OR($S26="Declined",$S26="Not Relevant"),"0 Closed - no",IF($R26="Yes","4 Contacted",IF($N26="Yes","2 Engaged",IF($M26="Yes","1 Awareness",IF($AA26&gt;=60,"3 Qualified","1 Awareness"))))))))))</f>
        <v/>
      </c>
    </row>
    <row r="27" customFormat="false" ht="30" hidden="false" customHeight="true" outlineLevel="0" collapsed="false">
      <c r="A27" s="36"/>
      <c r="B27" s="37"/>
      <c r="C27" s="37"/>
      <c r="D27" s="37"/>
      <c r="E27" s="37"/>
      <c r="F27" s="37"/>
      <c r="G27" s="37"/>
      <c r="H27" s="37"/>
      <c r="I27" s="37"/>
      <c r="J27" s="47"/>
      <c r="K27" s="41" t="str">
        <f aca="false">IF(J27="","",IF(J27&gt;=8,"Yes","Check"))</f>
        <v/>
      </c>
      <c r="L27" s="38"/>
      <c r="M27" s="47"/>
      <c r="N27" s="47"/>
      <c r="O27" s="37"/>
      <c r="P27" s="38"/>
      <c r="Q27" s="42" t="str">
        <f aca="false">IF(P27="","",LEN(P27))</f>
        <v/>
      </c>
      <c r="R27" s="47"/>
      <c r="S27" s="37"/>
      <c r="T27" s="38"/>
      <c r="U27" s="43" t="str">
        <f aca="false">IF(OR(R27&lt;&gt;"Yes",A27=""),"",A27+4)</f>
        <v/>
      </c>
      <c r="V27" s="47"/>
      <c r="W27" s="38"/>
      <c r="X27" s="38"/>
      <c r="Y27" s="44"/>
      <c r="Z27" s="44"/>
      <c r="AA27" s="45" t="str">
        <f aca="false">IF(AND($Y27="",$Z27=""),"",ROUND(IFERROR(VALUE(LEFT($Y27,1)),0)*12+IFERROR(VALUE(LEFT($Z27,1)),0)*8,0))</f>
        <v/>
      </c>
      <c r="AB27" s="45" t="str">
        <f aca="false">IF($AA27="","",IF($AA27&gt;=80,"A - call first",IF($AA27&gt;=60,"B - worth pursuing",IF($AA27&gt;=40,"C - nurture","D - do not spend time here"))))</f>
        <v/>
      </c>
      <c r="AC27" s="46" t="str">
        <f aca="false">IF($C27="","",IF($S27="Converted","7 Certification / Enterprise opportunity",IF($S27="Application Started","7 Certification / Enterprise opportunity",IF($S27="Meeting Booked","6 Meeting / Application",IF(OR($S27="Interested",$S27="Info Requested"),"5 Interested",IF(OR($S27="Declined",$S27="Not Relevant"),"0 Closed - no",IF($R27="Yes","4 Contacted",IF($N27="Yes","2 Engaged",IF($M27="Yes","1 Awareness",IF($AA27&gt;=60,"3 Qualified","1 Awareness"))))))))))</f>
        <v/>
      </c>
    </row>
    <row r="28" customFormat="false" ht="30" hidden="false" customHeight="true" outlineLevel="0" collapsed="false">
      <c r="A28" s="36"/>
      <c r="B28" s="37"/>
      <c r="C28" s="37"/>
      <c r="D28" s="37"/>
      <c r="E28" s="37"/>
      <c r="F28" s="37"/>
      <c r="G28" s="37"/>
      <c r="H28" s="37"/>
      <c r="I28" s="37"/>
      <c r="J28" s="47"/>
      <c r="K28" s="41" t="str">
        <f aca="false">IF(J28="","",IF(J28&gt;=8,"Yes","Check"))</f>
        <v/>
      </c>
      <c r="L28" s="38"/>
      <c r="M28" s="47"/>
      <c r="N28" s="47"/>
      <c r="O28" s="37"/>
      <c r="P28" s="38"/>
      <c r="Q28" s="42" t="str">
        <f aca="false">IF(P28="","",LEN(P28))</f>
        <v/>
      </c>
      <c r="R28" s="47"/>
      <c r="S28" s="37"/>
      <c r="T28" s="38"/>
      <c r="U28" s="43" t="str">
        <f aca="false">IF(OR(R28&lt;&gt;"Yes",A28=""),"",A28+4)</f>
        <v/>
      </c>
      <c r="V28" s="47"/>
      <c r="W28" s="38"/>
      <c r="X28" s="38"/>
      <c r="Y28" s="44"/>
      <c r="Z28" s="44"/>
      <c r="AA28" s="45" t="str">
        <f aca="false">IF(AND($Y28="",$Z28=""),"",ROUND(IFERROR(VALUE(LEFT($Y28,1)),0)*12+IFERROR(VALUE(LEFT($Z28,1)),0)*8,0))</f>
        <v/>
      </c>
      <c r="AB28" s="45" t="str">
        <f aca="false">IF($AA28="","",IF($AA28&gt;=80,"A - call first",IF($AA28&gt;=60,"B - worth pursuing",IF($AA28&gt;=40,"C - nurture","D - do not spend time here"))))</f>
        <v/>
      </c>
      <c r="AC28" s="46" t="str">
        <f aca="false">IF($C28="","",IF($S28="Converted","7 Certification / Enterprise opportunity",IF($S28="Application Started","7 Certification / Enterprise opportunity",IF($S28="Meeting Booked","6 Meeting / Application",IF(OR($S28="Interested",$S28="Info Requested"),"5 Interested",IF(OR($S28="Declined",$S28="Not Relevant"),"0 Closed - no",IF($R28="Yes","4 Contacted",IF($N28="Yes","2 Engaged",IF($M28="Yes","1 Awareness",IF($AA28&gt;=60,"3 Qualified","1 Awareness"))))))))))</f>
        <v/>
      </c>
    </row>
    <row r="29" customFormat="false" ht="30" hidden="false" customHeight="true" outlineLevel="0" collapsed="false">
      <c r="A29" s="36"/>
      <c r="B29" s="37"/>
      <c r="C29" s="37"/>
      <c r="D29" s="37"/>
      <c r="E29" s="37"/>
      <c r="F29" s="37"/>
      <c r="G29" s="37"/>
      <c r="H29" s="37"/>
      <c r="I29" s="37"/>
      <c r="J29" s="47"/>
      <c r="K29" s="41" t="str">
        <f aca="false">IF(J29="","",IF(J29&gt;=8,"Yes","Check"))</f>
        <v/>
      </c>
      <c r="L29" s="38"/>
      <c r="M29" s="47"/>
      <c r="N29" s="47"/>
      <c r="O29" s="37"/>
      <c r="P29" s="38"/>
      <c r="Q29" s="42" t="str">
        <f aca="false">IF(P29="","",LEN(P29))</f>
        <v/>
      </c>
      <c r="R29" s="47"/>
      <c r="S29" s="37"/>
      <c r="T29" s="38"/>
      <c r="U29" s="43" t="str">
        <f aca="false">IF(OR(R29&lt;&gt;"Yes",A29=""),"",A29+4)</f>
        <v/>
      </c>
      <c r="V29" s="47"/>
      <c r="W29" s="38"/>
      <c r="X29" s="38"/>
      <c r="Y29" s="44"/>
      <c r="Z29" s="44"/>
      <c r="AA29" s="45" t="str">
        <f aca="false">IF(AND($Y29="",$Z29=""),"",ROUND(IFERROR(VALUE(LEFT($Y29,1)),0)*12+IFERROR(VALUE(LEFT($Z29,1)),0)*8,0))</f>
        <v/>
      </c>
      <c r="AB29" s="45" t="str">
        <f aca="false">IF($AA29="","",IF($AA29&gt;=80,"A - call first",IF($AA29&gt;=60,"B - worth pursuing",IF($AA29&gt;=40,"C - nurture","D - do not spend time here"))))</f>
        <v/>
      </c>
      <c r="AC29" s="46" t="str">
        <f aca="false">IF($C29="","",IF($S29="Converted","7 Certification / Enterprise opportunity",IF($S29="Application Started","7 Certification / Enterprise opportunity",IF($S29="Meeting Booked","6 Meeting / Application",IF(OR($S29="Interested",$S29="Info Requested"),"5 Interested",IF(OR($S29="Declined",$S29="Not Relevant"),"0 Closed - no",IF($R29="Yes","4 Contacted",IF($N29="Yes","2 Engaged",IF($M29="Yes","1 Awareness",IF($AA29&gt;=60,"3 Qualified","1 Awareness"))))))))))</f>
        <v/>
      </c>
    </row>
    <row r="30" customFormat="false" ht="30" hidden="false" customHeight="true" outlineLevel="0" collapsed="false">
      <c r="A30" s="36"/>
      <c r="B30" s="37"/>
      <c r="C30" s="37"/>
      <c r="D30" s="37"/>
      <c r="E30" s="37"/>
      <c r="F30" s="37"/>
      <c r="G30" s="37"/>
      <c r="H30" s="37"/>
      <c r="I30" s="37"/>
      <c r="J30" s="47"/>
      <c r="K30" s="41" t="str">
        <f aca="false">IF(J30="","",IF(J30&gt;=8,"Yes","Check"))</f>
        <v/>
      </c>
      <c r="L30" s="38"/>
      <c r="M30" s="47"/>
      <c r="N30" s="47"/>
      <c r="O30" s="37"/>
      <c r="P30" s="38"/>
      <c r="Q30" s="42" t="str">
        <f aca="false">IF(P30="","",LEN(P30))</f>
        <v/>
      </c>
      <c r="R30" s="47"/>
      <c r="S30" s="37"/>
      <c r="T30" s="38"/>
      <c r="U30" s="43" t="str">
        <f aca="false">IF(OR(R30&lt;&gt;"Yes",A30=""),"",A30+4)</f>
        <v/>
      </c>
      <c r="V30" s="47"/>
      <c r="W30" s="38"/>
      <c r="X30" s="38"/>
      <c r="Y30" s="44"/>
      <c r="Z30" s="44"/>
      <c r="AA30" s="45" t="str">
        <f aca="false">IF(AND($Y30="",$Z30=""),"",ROUND(IFERROR(VALUE(LEFT($Y30,1)),0)*12+IFERROR(VALUE(LEFT($Z30,1)),0)*8,0))</f>
        <v/>
      </c>
      <c r="AB30" s="45" t="str">
        <f aca="false">IF($AA30="","",IF($AA30&gt;=80,"A - call first",IF($AA30&gt;=60,"B - worth pursuing",IF($AA30&gt;=40,"C - nurture","D - do not spend time here"))))</f>
        <v/>
      </c>
      <c r="AC30" s="46" t="str">
        <f aca="false">IF($C30="","",IF($S30="Converted","7 Certification / Enterprise opportunity",IF($S30="Application Started","7 Certification / Enterprise opportunity",IF($S30="Meeting Booked","6 Meeting / Application",IF(OR($S30="Interested",$S30="Info Requested"),"5 Interested",IF(OR($S30="Declined",$S30="Not Relevant"),"0 Closed - no",IF($R30="Yes","4 Contacted",IF($N30="Yes","2 Engaged",IF($M30="Yes","1 Awareness",IF($AA30&gt;=60,"3 Qualified","1 Awareness"))))))))))</f>
        <v/>
      </c>
    </row>
    <row r="31" customFormat="false" ht="30" hidden="false" customHeight="true" outlineLevel="0" collapsed="false">
      <c r="A31" s="36"/>
      <c r="B31" s="37"/>
      <c r="C31" s="37"/>
      <c r="D31" s="37"/>
      <c r="E31" s="37"/>
      <c r="F31" s="37"/>
      <c r="G31" s="37"/>
      <c r="H31" s="37"/>
      <c r="I31" s="37"/>
      <c r="J31" s="47"/>
      <c r="K31" s="41" t="str">
        <f aca="false">IF(J31="","",IF(J31&gt;=8,"Yes","Check"))</f>
        <v/>
      </c>
      <c r="L31" s="38"/>
      <c r="M31" s="47"/>
      <c r="N31" s="47"/>
      <c r="O31" s="37"/>
      <c r="P31" s="38"/>
      <c r="Q31" s="42" t="str">
        <f aca="false">IF(P31="","",LEN(P31))</f>
        <v/>
      </c>
      <c r="R31" s="47"/>
      <c r="S31" s="37"/>
      <c r="T31" s="38"/>
      <c r="U31" s="43" t="str">
        <f aca="false">IF(OR(R31&lt;&gt;"Yes",A31=""),"",A31+4)</f>
        <v/>
      </c>
      <c r="V31" s="47"/>
      <c r="W31" s="38"/>
      <c r="X31" s="38"/>
      <c r="Y31" s="44"/>
      <c r="Z31" s="44"/>
      <c r="AA31" s="45" t="str">
        <f aca="false">IF(AND($Y31="",$Z31=""),"",ROUND(IFERROR(VALUE(LEFT($Y31,1)),0)*12+IFERROR(VALUE(LEFT($Z31,1)),0)*8,0))</f>
        <v/>
      </c>
      <c r="AB31" s="45" t="str">
        <f aca="false">IF($AA31="","",IF($AA31&gt;=80,"A - call first",IF($AA31&gt;=60,"B - worth pursuing",IF($AA31&gt;=40,"C - nurture","D - do not spend time here"))))</f>
        <v/>
      </c>
      <c r="AC31" s="46" t="str">
        <f aca="false">IF($C31="","",IF($S31="Converted","7 Certification / Enterprise opportunity",IF($S31="Application Started","7 Certification / Enterprise opportunity",IF($S31="Meeting Booked","6 Meeting / Application",IF(OR($S31="Interested",$S31="Info Requested"),"5 Interested",IF(OR($S31="Declined",$S31="Not Relevant"),"0 Closed - no",IF($R31="Yes","4 Contacted",IF($N31="Yes","2 Engaged",IF($M31="Yes","1 Awareness",IF($AA31&gt;=60,"3 Qualified","1 Awareness"))))))))))</f>
        <v/>
      </c>
    </row>
    <row r="32" customFormat="false" ht="30" hidden="false" customHeight="true" outlineLevel="0" collapsed="false">
      <c r="A32" s="36"/>
      <c r="B32" s="37"/>
      <c r="C32" s="37"/>
      <c r="D32" s="37"/>
      <c r="E32" s="37"/>
      <c r="F32" s="37"/>
      <c r="G32" s="37"/>
      <c r="H32" s="37"/>
      <c r="I32" s="37"/>
      <c r="J32" s="47"/>
      <c r="K32" s="41" t="str">
        <f aca="false">IF(J32="","",IF(J32&gt;=8,"Yes","Check"))</f>
        <v/>
      </c>
      <c r="L32" s="38"/>
      <c r="M32" s="47"/>
      <c r="N32" s="47"/>
      <c r="O32" s="37"/>
      <c r="P32" s="38"/>
      <c r="Q32" s="42" t="str">
        <f aca="false">IF(P32="","",LEN(P32))</f>
        <v/>
      </c>
      <c r="R32" s="47"/>
      <c r="S32" s="37"/>
      <c r="T32" s="38"/>
      <c r="U32" s="43" t="str">
        <f aca="false">IF(OR(R32&lt;&gt;"Yes",A32=""),"",A32+4)</f>
        <v/>
      </c>
      <c r="V32" s="47"/>
      <c r="W32" s="38"/>
      <c r="X32" s="38"/>
      <c r="Y32" s="44"/>
      <c r="Z32" s="44"/>
      <c r="AA32" s="45" t="str">
        <f aca="false">IF(AND($Y32="",$Z32=""),"",ROUND(IFERROR(VALUE(LEFT($Y32,1)),0)*12+IFERROR(VALUE(LEFT($Z32,1)),0)*8,0))</f>
        <v/>
      </c>
      <c r="AB32" s="45" t="str">
        <f aca="false">IF($AA32="","",IF($AA32&gt;=80,"A - call first",IF($AA32&gt;=60,"B - worth pursuing",IF($AA32&gt;=40,"C - nurture","D - do not spend time here"))))</f>
        <v/>
      </c>
      <c r="AC32" s="46" t="str">
        <f aca="false">IF($C32="","",IF($S32="Converted","7 Certification / Enterprise opportunity",IF($S32="Application Started","7 Certification / Enterprise opportunity",IF($S32="Meeting Booked","6 Meeting / Application",IF(OR($S32="Interested",$S32="Info Requested"),"5 Interested",IF(OR($S32="Declined",$S32="Not Relevant"),"0 Closed - no",IF($R32="Yes","4 Contacted",IF($N32="Yes","2 Engaged",IF($M32="Yes","1 Awareness",IF($AA32&gt;=60,"3 Qualified","1 Awareness"))))))))))</f>
        <v/>
      </c>
    </row>
    <row r="33" customFormat="false" ht="30" hidden="false" customHeight="true" outlineLevel="0" collapsed="false">
      <c r="A33" s="36"/>
      <c r="B33" s="37"/>
      <c r="C33" s="37"/>
      <c r="D33" s="37"/>
      <c r="E33" s="37"/>
      <c r="F33" s="37"/>
      <c r="G33" s="37"/>
      <c r="H33" s="37"/>
      <c r="I33" s="37"/>
      <c r="J33" s="47"/>
      <c r="K33" s="41" t="str">
        <f aca="false">IF(J33="","",IF(J33&gt;=8,"Yes","Check"))</f>
        <v/>
      </c>
      <c r="L33" s="38"/>
      <c r="M33" s="47"/>
      <c r="N33" s="47"/>
      <c r="O33" s="37"/>
      <c r="P33" s="38"/>
      <c r="Q33" s="42" t="str">
        <f aca="false">IF(P33="","",LEN(P33))</f>
        <v/>
      </c>
      <c r="R33" s="47"/>
      <c r="S33" s="37"/>
      <c r="T33" s="38"/>
      <c r="U33" s="43" t="str">
        <f aca="false">IF(OR(R33&lt;&gt;"Yes",A33=""),"",A33+4)</f>
        <v/>
      </c>
      <c r="V33" s="47"/>
      <c r="W33" s="38"/>
      <c r="X33" s="38"/>
      <c r="Y33" s="44"/>
      <c r="Z33" s="44"/>
      <c r="AA33" s="45" t="str">
        <f aca="false">IF(AND($Y33="",$Z33=""),"",ROUND(IFERROR(VALUE(LEFT($Y33,1)),0)*12+IFERROR(VALUE(LEFT($Z33,1)),0)*8,0))</f>
        <v/>
      </c>
      <c r="AB33" s="45" t="str">
        <f aca="false">IF($AA33="","",IF($AA33&gt;=80,"A - call first",IF($AA33&gt;=60,"B - worth pursuing",IF($AA33&gt;=40,"C - nurture","D - do not spend time here"))))</f>
        <v/>
      </c>
      <c r="AC33" s="46" t="str">
        <f aca="false">IF($C33="","",IF($S33="Converted","7 Certification / Enterprise opportunity",IF($S33="Application Started","7 Certification / Enterprise opportunity",IF($S33="Meeting Booked","6 Meeting / Application",IF(OR($S33="Interested",$S33="Info Requested"),"5 Interested",IF(OR($S33="Declined",$S33="Not Relevant"),"0 Closed - no",IF($R33="Yes","4 Contacted",IF($N33="Yes","2 Engaged",IF($M33="Yes","1 Awareness",IF($AA33&gt;=60,"3 Qualified","1 Awareness"))))))))))</f>
        <v/>
      </c>
    </row>
    <row r="34" customFormat="false" ht="30" hidden="false" customHeight="true" outlineLevel="0" collapsed="false">
      <c r="A34" s="36"/>
      <c r="B34" s="37"/>
      <c r="C34" s="37"/>
      <c r="D34" s="37"/>
      <c r="E34" s="37"/>
      <c r="F34" s="37"/>
      <c r="G34" s="37"/>
      <c r="H34" s="37"/>
      <c r="I34" s="37"/>
      <c r="J34" s="47"/>
      <c r="K34" s="41" t="str">
        <f aca="false">IF(J34="","",IF(J34&gt;=8,"Yes","Check"))</f>
        <v/>
      </c>
      <c r="L34" s="38"/>
      <c r="M34" s="47"/>
      <c r="N34" s="47"/>
      <c r="O34" s="37"/>
      <c r="P34" s="38"/>
      <c r="Q34" s="42" t="str">
        <f aca="false">IF(P34="","",LEN(P34))</f>
        <v/>
      </c>
      <c r="R34" s="47"/>
      <c r="S34" s="37"/>
      <c r="T34" s="38"/>
      <c r="U34" s="43" t="str">
        <f aca="false">IF(OR(R34&lt;&gt;"Yes",A34=""),"",A34+4)</f>
        <v/>
      </c>
      <c r="V34" s="47"/>
      <c r="W34" s="38"/>
      <c r="X34" s="38"/>
      <c r="Y34" s="44"/>
      <c r="Z34" s="44"/>
      <c r="AA34" s="45" t="str">
        <f aca="false">IF(AND($Y34="",$Z34=""),"",ROUND(IFERROR(VALUE(LEFT($Y34,1)),0)*12+IFERROR(VALUE(LEFT($Z34,1)),0)*8,0))</f>
        <v/>
      </c>
      <c r="AB34" s="45" t="str">
        <f aca="false">IF($AA34="","",IF($AA34&gt;=80,"A - call first",IF($AA34&gt;=60,"B - worth pursuing",IF($AA34&gt;=40,"C - nurture","D - do not spend time here"))))</f>
        <v/>
      </c>
      <c r="AC34" s="46" t="str">
        <f aca="false">IF($C34="","",IF($S34="Converted","7 Certification / Enterprise opportunity",IF($S34="Application Started","7 Certification / Enterprise opportunity",IF($S34="Meeting Booked","6 Meeting / Application",IF(OR($S34="Interested",$S34="Info Requested"),"5 Interested",IF(OR($S34="Declined",$S34="Not Relevant"),"0 Closed - no",IF($R34="Yes","4 Contacted",IF($N34="Yes","2 Engaged",IF($M34="Yes","1 Awareness",IF($AA34&gt;=60,"3 Qualified","1 Awareness"))))))))))</f>
        <v/>
      </c>
    </row>
    <row r="35" customFormat="false" ht="30" hidden="false" customHeight="true" outlineLevel="0" collapsed="false">
      <c r="A35" s="36"/>
      <c r="B35" s="37"/>
      <c r="C35" s="37"/>
      <c r="D35" s="37"/>
      <c r="E35" s="37"/>
      <c r="F35" s="37"/>
      <c r="G35" s="37"/>
      <c r="H35" s="37"/>
      <c r="I35" s="37"/>
      <c r="J35" s="47"/>
      <c r="K35" s="41" t="str">
        <f aca="false">IF(J35="","",IF(J35&gt;=8,"Yes","Check"))</f>
        <v/>
      </c>
      <c r="L35" s="38"/>
      <c r="M35" s="47"/>
      <c r="N35" s="47"/>
      <c r="O35" s="37"/>
      <c r="P35" s="38"/>
      <c r="Q35" s="42" t="str">
        <f aca="false">IF(P35="","",LEN(P35))</f>
        <v/>
      </c>
      <c r="R35" s="47"/>
      <c r="S35" s="37"/>
      <c r="T35" s="38"/>
      <c r="U35" s="43" t="str">
        <f aca="false">IF(OR(R35&lt;&gt;"Yes",A35=""),"",A35+4)</f>
        <v/>
      </c>
      <c r="V35" s="47"/>
      <c r="W35" s="38"/>
      <c r="X35" s="38"/>
      <c r="Y35" s="44"/>
      <c r="Z35" s="44"/>
      <c r="AA35" s="45" t="str">
        <f aca="false">IF(AND($Y35="",$Z35=""),"",ROUND(IFERROR(VALUE(LEFT($Y35,1)),0)*12+IFERROR(VALUE(LEFT($Z35,1)),0)*8,0))</f>
        <v/>
      </c>
      <c r="AB35" s="45" t="str">
        <f aca="false">IF($AA35="","",IF($AA35&gt;=80,"A - call first",IF($AA35&gt;=60,"B - worth pursuing",IF($AA35&gt;=40,"C - nurture","D - do not spend time here"))))</f>
        <v/>
      </c>
      <c r="AC35" s="46" t="str">
        <f aca="false">IF($C35="","",IF($S35="Converted","7 Certification / Enterprise opportunity",IF($S35="Application Started","7 Certification / Enterprise opportunity",IF($S35="Meeting Booked","6 Meeting / Application",IF(OR($S35="Interested",$S35="Info Requested"),"5 Interested",IF(OR($S35="Declined",$S35="Not Relevant"),"0 Closed - no",IF($R35="Yes","4 Contacted",IF($N35="Yes","2 Engaged",IF($M35="Yes","1 Awareness",IF($AA35&gt;=60,"3 Qualified","1 Awareness"))))))))))</f>
        <v/>
      </c>
    </row>
    <row r="36" customFormat="false" ht="30" hidden="false" customHeight="true" outlineLevel="0" collapsed="false">
      <c r="A36" s="36"/>
      <c r="B36" s="37"/>
      <c r="C36" s="37"/>
      <c r="D36" s="37"/>
      <c r="E36" s="37"/>
      <c r="F36" s="37"/>
      <c r="G36" s="37"/>
      <c r="H36" s="37"/>
      <c r="I36" s="37"/>
      <c r="J36" s="47"/>
      <c r="K36" s="41" t="str">
        <f aca="false">IF(J36="","",IF(J36&gt;=8,"Yes","Check"))</f>
        <v/>
      </c>
      <c r="L36" s="38"/>
      <c r="M36" s="47"/>
      <c r="N36" s="47"/>
      <c r="O36" s="37"/>
      <c r="P36" s="38"/>
      <c r="Q36" s="42" t="str">
        <f aca="false">IF(P36="","",LEN(P36))</f>
        <v/>
      </c>
      <c r="R36" s="47"/>
      <c r="S36" s="37"/>
      <c r="T36" s="38"/>
      <c r="U36" s="43" t="str">
        <f aca="false">IF(OR(R36&lt;&gt;"Yes",A36=""),"",A36+4)</f>
        <v/>
      </c>
      <c r="V36" s="47"/>
      <c r="W36" s="38"/>
      <c r="X36" s="38"/>
      <c r="Y36" s="44"/>
      <c r="Z36" s="44"/>
      <c r="AA36" s="45" t="str">
        <f aca="false">IF(AND($Y36="",$Z36=""),"",ROUND(IFERROR(VALUE(LEFT($Y36,1)),0)*12+IFERROR(VALUE(LEFT($Z36,1)),0)*8,0))</f>
        <v/>
      </c>
      <c r="AB36" s="45" t="str">
        <f aca="false">IF($AA36="","",IF($AA36&gt;=80,"A - call first",IF($AA36&gt;=60,"B - worth pursuing",IF($AA36&gt;=40,"C - nurture","D - do not spend time here"))))</f>
        <v/>
      </c>
      <c r="AC36" s="46" t="str">
        <f aca="false">IF($C36="","",IF($S36="Converted","7 Certification / Enterprise opportunity",IF($S36="Application Started","7 Certification / Enterprise opportunity",IF($S36="Meeting Booked","6 Meeting / Application",IF(OR($S36="Interested",$S36="Info Requested"),"5 Interested",IF(OR($S36="Declined",$S36="Not Relevant"),"0 Closed - no",IF($R36="Yes","4 Contacted",IF($N36="Yes","2 Engaged",IF($M36="Yes","1 Awareness",IF($AA36&gt;=60,"3 Qualified","1 Awareness"))))))))))</f>
        <v/>
      </c>
    </row>
    <row r="37" customFormat="false" ht="30" hidden="false" customHeight="true" outlineLevel="0" collapsed="false">
      <c r="A37" s="36"/>
      <c r="B37" s="37"/>
      <c r="C37" s="37"/>
      <c r="D37" s="37"/>
      <c r="E37" s="37"/>
      <c r="F37" s="37"/>
      <c r="G37" s="37"/>
      <c r="H37" s="37"/>
      <c r="I37" s="37"/>
      <c r="J37" s="47"/>
      <c r="K37" s="41" t="str">
        <f aca="false">IF(J37="","",IF(J37&gt;=8,"Yes","Check"))</f>
        <v/>
      </c>
      <c r="L37" s="38"/>
      <c r="M37" s="47"/>
      <c r="N37" s="47"/>
      <c r="O37" s="37"/>
      <c r="P37" s="38"/>
      <c r="Q37" s="42" t="str">
        <f aca="false">IF(P37="","",LEN(P37))</f>
        <v/>
      </c>
      <c r="R37" s="47"/>
      <c r="S37" s="37"/>
      <c r="T37" s="38"/>
      <c r="U37" s="43" t="str">
        <f aca="false">IF(OR(R37&lt;&gt;"Yes",A37=""),"",A37+4)</f>
        <v/>
      </c>
      <c r="V37" s="47"/>
      <c r="W37" s="38"/>
      <c r="X37" s="38"/>
      <c r="Y37" s="44"/>
      <c r="Z37" s="44"/>
      <c r="AA37" s="45" t="str">
        <f aca="false">IF(AND($Y37="",$Z37=""),"",ROUND(IFERROR(VALUE(LEFT($Y37,1)),0)*12+IFERROR(VALUE(LEFT($Z37,1)),0)*8,0))</f>
        <v/>
      </c>
      <c r="AB37" s="45" t="str">
        <f aca="false">IF($AA37="","",IF($AA37&gt;=80,"A - call first",IF($AA37&gt;=60,"B - worth pursuing",IF($AA37&gt;=40,"C - nurture","D - do not spend time here"))))</f>
        <v/>
      </c>
      <c r="AC37" s="46" t="str">
        <f aca="false">IF($C37="","",IF($S37="Converted","7 Certification / Enterprise opportunity",IF($S37="Application Started","7 Certification / Enterprise opportunity",IF($S37="Meeting Booked","6 Meeting / Application",IF(OR($S37="Interested",$S37="Info Requested"),"5 Interested",IF(OR($S37="Declined",$S37="Not Relevant"),"0 Closed - no",IF($R37="Yes","4 Contacted",IF($N37="Yes","2 Engaged",IF($M37="Yes","1 Awareness",IF($AA37&gt;=60,"3 Qualified","1 Awareness"))))))))))</f>
        <v/>
      </c>
    </row>
    <row r="38" customFormat="false" ht="30" hidden="false" customHeight="true" outlineLevel="0" collapsed="false">
      <c r="A38" s="36"/>
      <c r="B38" s="37"/>
      <c r="C38" s="37"/>
      <c r="D38" s="37"/>
      <c r="E38" s="37"/>
      <c r="F38" s="37"/>
      <c r="G38" s="37"/>
      <c r="H38" s="37"/>
      <c r="I38" s="37"/>
      <c r="J38" s="47"/>
      <c r="K38" s="41" t="str">
        <f aca="false">IF(J38="","",IF(J38&gt;=8,"Yes","Check"))</f>
        <v/>
      </c>
      <c r="L38" s="38"/>
      <c r="M38" s="47"/>
      <c r="N38" s="47"/>
      <c r="O38" s="37"/>
      <c r="P38" s="38"/>
      <c r="Q38" s="42" t="str">
        <f aca="false">IF(P38="","",LEN(P38))</f>
        <v/>
      </c>
      <c r="R38" s="47"/>
      <c r="S38" s="37"/>
      <c r="T38" s="38"/>
      <c r="U38" s="43" t="str">
        <f aca="false">IF(OR(R38&lt;&gt;"Yes",A38=""),"",A38+4)</f>
        <v/>
      </c>
      <c r="V38" s="47"/>
      <c r="W38" s="38"/>
      <c r="X38" s="38"/>
      <c r="Y38" s="44"/>
      <c r="Z38" s="44"/>
      <c r="AA38" s="45" t="str">
        <f aca="false">IF(AND($Y38="",$Z38=""),"",ROUND(IFERROR(VALUE(LEFT($Y38,1)),0)*12+IFERROR(VALUE(LEFT($Z38,1)),0)*8,0))</f>
        <v/>
      </c>
      <c r="AB38" s="45" t="str">
        <f aca="false">IF($AA38="","",IF($AA38&gt;=80,"A - call first",IF($AA38&gt;=60,"B - worth pursuing",IF($AA38&gt;=40,"C - nurture","D - do not spend time here"))))</f>
        <v/>
      </c>
      <c r="AC38" s="46" t="str">
        <f aca="false">IF($C38="","",IF($S38="Converted","7 Certification / Enterprise opportunity",IF($S38="Application Started","7 Certification / Enterprise opportunity",IF($S38="Meeting Booked","6 Meeting / Application",IF(OR($S38="Interested",$S38="Info Requested"),"5 Interested",IF(OR($S38="Declined",$S38="Not Relevant"),"0 Closed - no",IF($R38="Yes","4 Contacted",IF($N38="Yes","2 Engaged",IF($M38="Yes","1 Awareness",IF($AA38&gt;=60,"3 Qualified","1 Awareness"))))))))))</f>
        <v/>
      </c>
    </row>
    <row r="39" customFormat="false" ht="30" hidden="false" customHeight="true" outlineLevel="0" collapsed="false">
      <c r="A39" s="36"/>
      <c r="B39" s="37"/>
      <c r="C39" s="37"/>
      <c r="D39" s="37"/>
      <c r="E39" s="37"/>
      <c r="F39" s="37"/>
      <c r="G39" s="37"/>
      <c r="H39" s="37"/>
      <c r="I39" s="37"/>
      <c r="J39" s="47"/>
      <c r="K39" s="41" t="str">
        <f aca="false">IF(J39="","",IF(J39&gt;=8,"Yes","Check"))</f>
        <v/>
      </c>
      <c r="L39" s="38"/>
      <c r="M39" s="47"/>
      <c r="N39" s="47"/>
      <c r="O39" s="37"/>
      <c r="P39" s="38"/>
      <c r="Q39" s="42" t="str">
        <f aca="false">IF(P39="","",LEN(P39))</f>
        <v/>
      </c>
      <c r="R39" s="47"/>
      <c r="S39" s="37"/>
      <c r="T39" s="38"/>
      <c r="U39" s="43" t="str">
        <f aca="false">IF(OR(R39&lt;&gt;"Yes",A39=""),"",A39+4)</f>
        <v/>
      </c>
      <c r="V39" s="47"/>
      <c r="W39" s="38"/>
      <c r="X39" s="38"/>
      <c r="Y39" s="44"/>
      <c r="Z39" s="44"/>
      <c r="AA39" s="45" t="str">
        <f aca="false">IF(AND($Y39="",$Z39=""),"",ROUND(IFERROR(VALUE(LEFT($Y39,1)),0)*12+IFERROR(VALUE(LEFT($Z39,1)),0)*8,0))</f>
        <v/>
      </c>
      <c r="AB39" s="45" t="str">
        <f aca="false">IF($AA39="","",IF($AA39&gt;=80,"A - call first",IF($AA39&gt;=60,"B - worth pursuing",IF($AA39&gt;=40,"C - nurture","D - do not spend time here"))))</f>
        <v/>
      </c>
      <c r="AC39" s="46" t="str">
        <f aca="false">IF($C39="","",IF($S39="Converted","7 Certification / Enterprise opportunity",IF($S39="Application Started","7 Certification / Enterprise opportunity",IF($S39="Meeting Booked","6 Meeting / Application",IF(OR($S39="Interested",$S39="Info Requested"),"5 Interested",IF(OR($S39="Declined",$S39="Not Relevant"),"0 Closed - no",IF($R39="Yes","4 Contacted",IF($N39="Yes","2 Engaged",IF($M39="Yes","1 Awareness",IF($AA39&gt;=60,"3 Qualified","1 Awareness"))))))))))</f>
        <v/>
      </c>
    </row>
    <row r="40" customFormat="false" ht="30" hidden="false" customHeight="true" outlineLevel="0" collapsed="false">
      <c r="A40" s="36"/>
      <c r="B40" s="37"/>
      <c r="C40" s="37"/>
      <c r="D40" s="37"/>
      <c r="E40" s="37"/>
      <c r="F40" s="37"/>
      <c r="G40" s="37"/>
      <c r="H40" s="37"/>
      <c r="I40" s="37"/>
      <c r="J40" s="47"/>
      <c r="K40" s="41" t="str">
        <f aca="false">IF(J40="","",IF(J40&gt;=8,"Yes","Check"))</f>
        <v/>
      </c>
      <c r="L40" s="38"/>
      <c r="M40" s="47"/>
      <c r="N40" s="47"/>
      <c r="O40" s="37"/>
      <c r="P40" s="38"/>
      <c r="Q40" s="42" t="str">
        <f aca="false">IF(P40="","",LEN(P40))</f>
        <v/>
      </c>
      <c r="R40" s="47"/>
      <c r="S40" s="37"/>
      <c r="T40" s="38"/>
      <c r="U40" s="43" t="str">
        <f aca="false">IF(OR(R40&lt;&gt;"Yes",A40=""),"",A40+4)</f>
        <v/>
      </c>
      <c r="V40" s="47"/>
      <c r="W40" s="38"/>
      <c r="X40" s="38"/>
      <c r="Y40" s="44"/>
      <c r="Z40" s="44"/>
      <c r="AA40" s="45" t="str">
        <f aca="false">IF(AND($Y40="",$Z40=""),"",ROUND(IFERROR(VALUE(LEFT($Y40,1)),0)*12+IFERROR(VALUE(LEFT($Z40,1)),0)*8,0))</f>
        <v/>
      </c>
      <c r="AB40" s="45" t="str">
        <f aca="false">IF($AA40="","",IF($AA40&gt;=80,"A - call first",IF($AA40&gt;=60,"B - worth pursuing",IF($AA40&gt;=40,"C - nurture","D - do not spend time here"))))</f>
        <v/>
      </c>
      <c r="AC40" s="46" t="str">
        <f aca="false">IF($C40="","",IF($S40="Converted","7 Certification / Enterprise opportunity",IF($S40="Application Started","7 Certification / Enterprise opportunity",IF($S40="Meeting Booked","6 Meeting / Application",IF(OR($S40="Interested",$S40="Info Requested"),"5 Interested",IF(OR($S40="Declined",$S40="Not Relevant"),"0 Closed - no",IF($R40="Yes","4 Contacted",IF($N40="Yes","2 Engaged",IF($M40="Yes","1 Awareness",IF($AA40&gt;=60,"3 Qualified","1 Awareness"))))))))))</f>
        <v/>
      </c>
    </row>
    <row r="41" customFormat="false" ht="30" hidden="false" customHeight="true" outlineLevel="0" collapsed="false">
      <c r="A41" s="36"/>
      <c r="B41" s="37"/>
      <c r="C41" s="37"/>
      <c r="D41" s="37"/>
      <c r="E41" s="37"/>
      <c r="F41" s="37"/>
      <c r="G41" s="37"/>
      <c r="H41" s="37"/>
      <c r="I41" s="37"/>
      <c r="J41" s="47"/>
      <c r="K41" s="41" t="str">
        <f aca="false">IF(J41="","",IF(J41&gt;=8,"Yes","Check"))</f>
        <v/>
      </c>
      <c r="L41" s="38"/>
      <c r="M41" s="47"/>
      <c r="N41" s="47"/>
      <c r="O41" s="37"/>
      <c r="P41" s="38"/>
      <c r="Q41" s="42" t="str">
        <f aca="false">IF(P41="","",LEN(P41))</f>
        <v/>
      </c>
      <c r="R41" s="47"/>
      <c r="S41" s="37"/>
      <c r="T41" s="38"/>
      <c r="U41" s="43" t="str">
        <f aca="false">IF(OR(R41&lt;&gt;"Yes",A41=""),"",A41+4)</f>
        <v/>
      </c>
      <c r="V41" s="47"/>
      <c r="W41" s="38"/>
      <c r="X41" s="38"/>
      <c r="Y41" s="44"/>
      <c r="Z41" s="44"/>
      <c r="AA41" s="45" t="str">
        <f aca="false">IF(AND($Y41="",$Z41=""),"",ROUND(IFERROR(VALUE(LEFT($Y41,1)),0)*12+IFERROR(VALUE(LEFT($Z41,1)),0)*8,0))</f>
        <v/>
      </c>
      <c r="AB41" s="45" t="str">
        <f aca="false">IF($AA41="","",IF($AA41&gt;=80,"A - call first",IF($AA41&gt;=60,"B - worth pursuing",IF($AA41&gt;=40,"C - nurture","D - do not spend time here"))))</f>
        <v/>
      </c>
      <c r="AC41" s="46" t="str">
        <f aca="false">IF($C41="","",IF($S41="Converted","7 Certification / Enterprise opportunity",IF($S41="Application Started","7 Certification / Enterprise opportunity",IF($S41="Meeting Booked","6 Meeting / Application",IF(OR($S41="Interested",$S41="Info Requested"),"5 Interested",IF(OR($S41="Declined",$S41="Not Relevant"),"0 Closed - no",IF($R41="Yes","4 Contacted",IF($N41="Yes","2 Engaged",IF($M41="Yes","1 Awareness",IF($AA41&gt;=60,"3 Qualified","1 Awareness"))))))))))</f>
        <v/>
      </c>
    </row>
    <row r="42" customFormat="false" ht="30" hidden="false" customHeight="true" outlineLevel="0" collapsed="false">
      <c r="A42" s="36"/>
      <c r="B42" s="37"/>
      <c r="C42" s="37"/>
      <c r="D42" s="37"/>
      <c r="E42" s="37"/>
      <c r="F42" s="37"/>
      <c r="G42" s="37"/>
      <c r="H42" s="37"/>
      <c r="I42" s="37"/>
      <c r="J42" s="47"/>
      <c r="K42" s="41" t="str">
        <f aca="false">IF(J42="","",IF(J42&gt;=8,"Yes","Check"))</f>
        <v/>
      </c>
      <c r="L42" s="38"/>
      <c r="M42" s="47"/>
      <c r="N42" s="47"/>
      <c r="O42" s="37"/>
      <c r="P42" s="38"/>
      <c r="Q42" s="42" t="str">
        <f aca="false">IF(P42="","",LEN(P42))</f>
        <v/>
      </c>
      <c r="R42" s="47"/>
      <c r="S42" s="37"/>
      <c r="T42" s="38"/>
      <c r="U42" s="43" t="str">
        <f aca="false">IF(OR(R42&lt;&gt;"Yes",A42=""),"",A42+4)</f>
        <v/>
      </c>
      <c r="V42" s="47"/>
      <c r="W42" s="38"/>
      <c r="X42" s="38"/>
      <c r="Y42" s="44"/>
      <c r="Z42" s="44"/>
      <c r="AA42" s="45" t="str">
        <f aca="false">IF(AND($Y42="",$Z42=""),"",ROUND(IFERROR(VALUE(LEFT($Y42,1)),0)*12+IFERROR(VALUE(LEFT($Z42,1)),0)*8,0))</f>
        <v/>
      </c>
      <c r="AB42" s="45" t="str">
        <f aca="false">IF($AA42="","",IF($AA42&gt;=80,"A - call first",IF($AA42&gt;=60,"B - worth pursuing",IF($AA42&gt;=40,"C - nurture","D - do not spend time here"))))</f>
        <v/>
      </c>
      <c r="AC42" s="46" t="str">
        <f aca="false">IF($C42="","",IF($S42="Converted","7 Certification / Enterprise opportunity",IF($S42="Application Started","7 Certification / Enterprise opportunity",IF($S42="Meeting Booked","6 Meeting / Application",IF(OR($S42="Interested",$S42="Info Requested"),"5 Interested",IF(OR($S42="Declined",$S42="Not Relevant"),"0 Closed - no",IF($R42="Yes","4 Contacted",IF($N42="Yes","2 Engaged",IF($M42="Yes","1 Awareness",IF($AA42&gt;=60,"3 Qualified","1 Awareness"))))))))))</f>
        <v/>
      </c>
    </row>
    <row r="43" customFormat="false" ht="30" hidden="false" customHeight="true" outlineLevel="0" collapsed="false">
      <c r="A43" s="36"/>
      <c r="B43" s="37"/>
      <c r="C43" s="37"/>
      <c r="D43" s="37"/>
      <c r="E43" s="37"/>
      <c r="F43" s="37"/>
      <c r="G43" s="37"/>
      <c r="H43" s="37"/>
      <c r="I43" s="37"/>
      <c r="J43" s="47"/>
      <c r="K43" s="41" t="str">
        <f aca="false">IF(J43="","",IF(J43&gt;=8,"Yes","Check"))</f>
        <v/>
      </c>
      <c r="L43" s="38"/>
      <c r="M43" s="47"/>
      <c r="N43" s="47"/>
      <c r="O43" s="37"/>
      <c r="P43" s="38"/>
      <c r="Q43" s="42" t="str">
        <f aca="false">IF(P43="","",LEN(P43))</f>
        <v/>
      </c>
      <c r="R43" s="47"/>
      <c r="S43" s="37"/>
      <c r="T43" s="38"/>
      <c r="U43" s="43" t="str">
        <f aca="false">IF(OR(R43&lt;&gt;"Yes",A43=""),"",A43+4)</f>
        <v/>
      </c>
      <c r="V43" s="47"/>
      <c r="W43" s="38"/>
      <c r="X43" s="38"/>
      <c r="Y43" s="44"/>
      <c r="Z43" s="44"/>
      <c r="AA43" s="45" t="str">
        <f aca="false">IF(AND($Y43="",$Z43=""),"",ROUND(IFERROR(VALUE(LEFT($Y43,1)),0)*12+IFERROR(VALUE(LEFT($Z43,1)),0)*8,0))</f>
        <v/>
      </c>
      <c r="AB43" s="45" t="str">
        <f aca="false">IF($AA43="","",IF($AA43&gt;=80,"A - call first",IF($AA43&gt;=60,"B - worth pursuing",IF($AA43&gt;=40,"C - nurture","D - do not spend time here"))))</f>
        <v/>
      </c>
      <c r="AC43" s="46" t="str">
        <f aca="false">IF($C43="","",IF($S43="Converted","7 Certification / Enterprise opportunity",IF($S43="Application Started","7 Certification / Enterprise opportunity",IF($S43="Meeting Booked","6 Meeting / Application",IF(OR($S43="Interested",$S43="Info Requested"),"5 Interested",IF(OR($S43="Declined",$S43="Not Relevant"),"0 Closed - no",IF($R43="Yes","4 Contacted",IF($N43="Yes","2 Engaged",IF($M43="Yes","1 Awareness",IF($AA43&gt;=60,"3 Qualified","1 Awareness"))))))))))</f>
        <v/>
      </c>
    </row>
    <row r="44" customFormat="false" ht="30" hidden="false" customHeight="true" outlineLevel="0" collapsed="false">
      <c r="A44" s="36"/>
      <c r="B44" s="37"/>
      <c r="C44" s="37"/>
      <c r="D44" s="37"/>
      <c r="E44" s="37"/>
      <c r="F44" s="37"/>
      <c r="G44" s="37"/>
      <c r="H44" s="37"/>
      <c r="I44" s="37"/>
      <c r="J44" s="47"/>
      <c r="K44" s="41" t="str">
        <f aca="false">IF(J44="","",IF(J44&gt;=8,"Yes","Check"))</f>
        <v/>
      </c>
      <c r="L44" s="38"/>
      <c r="M44" s="47"/>
      <c r="N44" s="47"/>
      <c r="O44" s="37"/>
      <c r="P44" s="38"/>
      <c r="Q44" s="42" t="str">
        <f aca="false">IF(P44="","",LEN(P44))</f>
        <v/>
      </c>
      <c r="R44" s="47"/>
      <c r="S44" s="37"/>
      <c r="T44" s="38"/>
      <c r="U44" s="43" t="str">
        <f aca="false">IF(OR(R44&lt;&gt;"Yes",A44=""),"",A44+4)</f>
        <v/>
      </c>
      <c r="V44" s="47"/>
      <c r="W44" s="38"/>
      <c r="X44" s="38"/>
      <c r="Y44" s="44"/>
      <c r="Z44" s="44"/>
      <c r="AA44" s="45" t="str">
        <f aca="false">IF(AND($Y44="",$Z44=""),"",ROUND(IFERROR(VALUE(LEFT($Y44,1)),0)*12+IFERROR(VALUE(LEFT($Z44,1)),0)*8,0))</f>
        <v/>
      </c>
      <c r="AB44" s="45" t="str">
        <f aca="false">IF($AA44="","",IF($AA44&gt;=80,"A - call first",IF($AA44&gt;=60,"B - worth pursuing",IF($AA44&gt;=40,"C - nurture","D - do not spend time here"))))</f>
        <v/>
      </c>
      <c r="AC44" s="46" t="str">
        <f aca="false">IF($C44="","",IF($S44="Converted","7 Certification / Enterprise opportunity",IF($S44="Application Started","7 Certification / Enterprise opportunity",IF($S44="Meeting Booked","6 Meeting / Application",IF(OR($S44="Interested",$S44="Info Requested"),"5 Interested",IF(OR($S44="Declined",$S44="Not Relevant"),"0 Closed - no",IF($R44="Yes","4 Contacted",IF($N44="Yes","2 Engaged",IF($M44="Yes","1 Awareness",IF($AA44&gt;=60,"3 Qualified","1 Awareness"))))))))))</f>
        <v/>
      </c>
    </row>
    <row r="45" customFormat="false" ht="30" hidden="false" customHeight="true" outlineLevel="0" collapsed="false">
      <c r="A45" s="36"/>
      <c r="B45" s="37"/>
      <c r="C45" s="37"/>
      <c r="D45" s="37"/>
      <c r="E45" s="37"/>
      <c r="F45" s="37"/>
      <c r="G45" s="37"/>
      <c r="H45" s="37"/>
      <c r="I45" s="37"/>
      <c r="J45" s="47"/>
      <c r="K45" s="41" t="str">
        <f aca="false">IF(J45="","",IF(J45&gt;=8,"Yes","Check"))</f>
        <v/>
      </c>
      <c r="L45" s="38"/>
      <c r="M45" s="47"/>
      <c r="N45" s="47"/>
      <c r="O45" s="37"/>
      <c r="P45" s="38"/>
      <c r="Q45" s="42" t="str">
        <f aca="false">IF(P45="","",LEN(P45))</f>
        <v/>
      </c>
      <c r="R45" s="47"/>
      <c r="S45" s="37"/>
      <c r="T45" s="38"/>
      <c r="U45" s="43" t="str">
        <f aca="false">IF(OR(R45&lt;&gt;"Yes",A45=""),"",A45+4)</f>
        <v/>
      </c>
      <c r="V45" s="47"/>
      <c r="W45" s="38"/>
      <c r="X45" s="38"/>
      <c r="Y45" s="44"/>
      <c r="Z45" s="44"/>
      <c r="AA45" s="45" t="str">
        <f aca="false">IF(AND($Y45="",$Z45=""),"",ROUND(IFERROR(VALUE(LEFT($Y45,1)),0)*12+IFERROR(VALUE(LEFT($Z45,1)),0)*8,0))</f>
        <v/>
      </c>
      <c r="AB45" s="45" t="str">
        <f aca="false">IF($AA45="","",IF($AA45&gt;=80,"A - call first",IF($AA45&gt;=60,"B - worth pursuing",IF($AA45&gt;=40,"C - nurture","D - do not spend time here"))))</f>
        <v/>
      </c>
      <c r="AC45" s="46" t="str">
        <f aca="false">IF($C45="","",IF($S45="Converted","7 Certification / Enterprise opportunity",IF($S45="Application Started","7 Certification / Enterprise opportunity",IF($S45="Meeting Booked","6 Meeting / Application",IF(OR($S45="Interested",$S45="Info Requested"),"5 Interested",IF(OR($S45="Declined",$S45="Not Relevant"),"0 Closed - no",IF($R45="Yes","4 Contacted",IF($N45="Yes","2 Engaged",IF($M45="Yes","1 Awareness",IF($AA45&gt;=60,"3 Qualified","1 Awareness"))))))))))</f>
        <v/>
      </c>
    </row>
    <row r="46" customFormat="false" ht="30" hidden="false" customHeight="true" outlineLevel="0" collapsed="false">
      <c r="A46" s="36"/>
      <c r="B46" s="37"/>
      <c r="C46" s="37"/>
      <c r="D46" s="37"/>
      <c r="E46" s="37"/>
      <c r="F46" s="37"/>
      <c r="G46" s="37"/>
      <c r="H46" s="37"/>
      <c r="I46" s="37"/>
      <c r="J46" s="47"/>
      <c r="K46" s="41" t="str">
        <f aca="false">IF(J46="","",IF(J46&gt;=8,"Yes","Check"))</f>
        <v/>
      </c>
      <c r="L46" s="38"/>
      <c r="M46" s="47"/>
      <c r="N46" s="47"/>
      <c r="O46" s="37"/>
      <c r="P46" s="38"/>
      <c r="Q46" s="42" t="str">
        <f aca="false">IF(P46="","",LEN(P46))</f>
        <v/>
      </c>
      <c r="R46" s="47"/>
      <c r="S46" s="37"/>
      <c r="T46" s="38"/>
      <c r="U46" s="43" t="str">
        <f aca="false">IF(OR(R46&lt;&gt;"Yes",A46=""),"",A46+4)</f>
        <v/>
      </c>
      <c r="V46" s="47"/>
      <c r="W46" s="38"/>
      <c r="X46" s="38"/>
      <c r="Y46" s="44"/>
      <c r="Z46" s="44"/>
      <c r="AA46" s="45" t="str">
        <f aca="false">IF(AND($Y46="",$Z46=""),"",ROUND(IFERROR(VALUE(LEFT($Y46,1)),0)*12+IFERROR(VALUE(LEFT($Z46,1)),0)*8,0))</f>
        <v/>
      </c>
      <c r="AB46" s="45" t="str">
        <f aca="false">IF($AA46="","",IF($AA46&gt;=80,"A - call first",IF($AA46&gt;=60,"B - worth pursuing",IF($AA46&gt;=40,"C - nurture","D - do not spend time here"))))</f>
        <v/>
      </c>
      <c r="AC46" s="46" t="str">
        <f aca="false">IF($C46="","",IF($S46="Converted","7 Certification / Enterprise opportunity",IF($S46="Application Started","7 Certification / Enterprise opportunity",IF($S46="Meeting Booked","6 Meeting / Application",IF(OR($S46="Interested",$S46="Info Requested"),"5 Interested",IF(OR($S46="Declined",$S46="Not Relevant"),"0 Closed - no",IF($R46="Yes","4 Contacted",IF($N46="Yes","2 Engaged",IF($M46="Yes","1 Awareness",IF($AA46&gt;=60,"3 Qualified","1 Awareness"))))))))))</f>
        <v/>
      </c>
    </row>
    <row r="47" customFormat="false" ht="30" hidden="false" customHeight="true" outlineLevel="0" collapsed="false">
      <c r="A47" s="36"/>
      <c r="B47" s="37"/>
      <c r="C47" s="37"/>
      <c r="D47" s="37"/>
      <c r="E47" s="37"/>
      <c r="F47" s="37"/>
      <c r="G47" s="37"/>
      <c r="H47" s="37"/>
      <c r="I47" s="37"/>
      <c r="J47" s="47"/>
      <c r="K47" s="41" t="str">
        <f aca="false">IF(J47="","",IF(J47&gt;=8,"Yes","Check"))</f>
        <v/>
      </c>
      <c r="L47" s="38"/>
      <c r="M47" s="47"/>
      <c r="N47" s="47"/>
      <c r="O47" s="37"/>
      <c r="P47" s="38"/>
      <c r="Q47" s="42" t="str">
        <f aca="false">IF(P47="","",LEN(P47))</f>
        <v/>
      </c>
      <c r="R47" s="47"/>
      <c r="S47" s="37"/>
      <c r="T47" s="38"/>
      <c r="U47" s="43" t="str">
        <f aca="false">IF(OR(R47&lt;&gt;"Yes",A47=""),"",A47+4)</f>
        <v/>
      </c>
      <c r="V47" s="47"/>
      <c r="W47" s="38"/>
      <c r="X47" s="38"/>
      <c r="Y47" s="44"/>
      <c r="Z47" s="44"/>
      <c r="AA47" s="45" t="str">
        <f aca="false">IF(AND($Y47="",$Z47=""),"",ROUND(IFERROR(VALUE(LEFT($Y47,1)),0)*12+IFERROR(VALUE(LEFT($Z47,1)),0)*8,0))</f>
        <v/>
      </c>
      <c r="AB47" s="45" t="str">
        <f aca="false">IF($AA47="","",IF($AA47&gt;=80,"A - call first",IF($AA47&gt;=60,"B - worth pursuing",IF($AA47&gt;=40,"C - nurture","D - do not spend time here"))))</f>
        <v/>
      </c>
      <c r="AC47" s="46" t="str">
        <f aca="false">IF($C47="","",IF($S47="Converted","7 Certification / Enterprise opportunity",IF($S47="Application Started","7 Certification / Enterprise opportunity",IF($S47="Meeting Booked","6 Meeting / Application",IF(OR($S47="Interested",$S47="Info Requested"),"5 Interested",IF(OR($S47="Declined",$S47="Not Relevant"),"0 Closed - no",IF($R47="Yes","4 Contacted",IF($N47="Yes","2 Engaged",IF($M47="Yes","1 Awareness",IF($AA47&gt;=60,"3 Qualified","1 Awareness"))))))))))</f>
        <v/>
      </c>
    </row>
    <row r="48" customFormat="false" ht="30" hidden="false" customHeight="true" outlineLevel="0" collapsed="false">
      <c r="A48" s="36"/>
      <c r="B48" s="37"/>
      <c r="C48" s="37"/>
      <c r="D48" s="37"/>
      <c r="E48" s="37"/>
      <c r="F48" s="37"/>
      <c r="G48" s="37"/>
      <c r="H48" s="37"/>
      <c r="I48" s="37"/>
      <c r="J48" s="47"/>
      <c r="K48" s="41" t="str">
        <f aca="false">IF(J48="","",IF(J48&gt;=8,"Yes","Check"))</f>
        <v/>
      </c>
      <c r="L48" s="38"/>
      <c r="M48" s="47"/>
      <c r="N48" s="47"/>
      <c r="O48" s="37"/>
      <c r="P48" s="38"/>
      <c r="Q48" s="42" t="str">
        <f aca="false">IF(P48="","",LEN(P48))</f>
        <v/>
      </c>
      <c r="R48" s="47"/>
      <c r="S48" s="37"/>
      <c r="T48" s="38"/>
      <c r="U48" s="43" t="str">
        <f aca="false">IF(OR(R48&lt;&gt;"Yes",A48=""),"",A48+4)</f>
        <v/>
      </c>
      <c r="V48" s="47"/>
      <c r="W48" s="38"/>
      <c r="X48" s="38"/>
      <c r="Y48" s="44"/>
      <c r="Z48" s="44"/>
      <c r="AA48" s="45" t="str">
        <f aca="false">IF(AND($Y48="",$Z48=""),"",ROUND(IFERROR(VALUE(LEFT($Y48,1)),0)*12+IFERROR(VALUE(LEFT($Z48,1)),0)*8,0))</f>
        <v/>
      </c>
      <c r="AB48" s="45" t="str">
        <f aca="false">IF($AA48="","",IF($AA48&gt;=80,"A - call first",IF($AA48&gt;=60,"B - worth pursuing",IF($AA48&gt;=40,"C - nurture","D - do not spend time here"))))</f>
        <v/>
      </c>
      <c r="AC48" s="46" t="str">
        <f aca="false">IF($C48="","",IF($S48="Converted","7 Certification / Enterprise opportunity",IF($S48="Application Started","7 Certification / Enterprise opportunity",IF($S48="Meeting Booked","6 Meeting / Application",IF(OR($S48="Interested",$S48="Info Requested"),"5 Interested",IF(OR($S48="Declined",$S48="Not Relevant"),"0 Closed - no",IF($R48="Yes","4 Contacted",IF($N48="Yes","2 Engaged",IF($M48="Yes","1 Awareness",IF($AA48&gt;=60,"3 Qualified","1 Awareness"))))))))))</f>
        <v/>
      </c>
    </row>
    <row r="49" customFormat="false" ht="30" hidden="false" customHeight="true" outlineLevel="0" collapsed="false">
      <c r="A49" s="36"/>
      <c r="B49" s="37"/>
      <c r="C49" s="37"/>
      <c r="D49" s="37"/>
      <c r="E49" s="37"/>
      <c r="F49" s="37"/>
      <c r="G49" s="37"/>
      <c r="H49" s="37"/>
      <c r="I49" s="37"/>
      <c r="J49" s="47"/>
      <c r="K49" s="41" t="str">
        <f aca="false">IF(J49="","",IF(J49&gt;=8,"Yes","Check"))</f>
        <v/>
      </c>
      <c r="L49" s="38"/>
      <c r="M49" s="47"/>
      <c r="N49" s="47"/>
      <c r="O49" s="37"/>
      <c r="P49" s="38"/>
      <c r="Q49" s="42" t="str">
        <f aca="false">IF(P49="","",LEN(P49))</f>
        <v/>
      </c>
      <c r="R49" s="47"/>
      <c r="S49" s="37"/>
      <c r="T49" s="38"/>
      <c r="U49" s="43" t="str">
        <f aca="false">IF(OR(R49&lt;&gt;"Yes",A49=""),"",A49+4)</f>
        <v/>
      </c>
      <c r="V49" s="47"/>
      <c r="W49" s="38"/>
      <c r="X49" s="38"/>
      <c r="Y49" s="44"/>
      <c r="Z49" s="44"/>
      <c r="AA49" s="45" t="str">
        <f aca="false">IF(AND($Y49="",$Z49=""),"",ROUND(IFERROR(VALUE(LEFT($Y49,1)),0)*12+IFERROR(VALUE(LEFT($Z49,1)),0)*8,0))</f>
        <v/>
      </c>
      <c r="AB49" s="45" t="str">
        <f aca="false">IF($AA49="","",IF($AA49&gt;=80,"A - call first",IF($AA49&gt;=60,"B - worth pursuing",IF($AA49&gt;=40,"C - nurture","D - do not spend time here"))))</f>
        <v/>
      </c>
      <c r="AC49" s="46" t="str">
        <f aca="false">IF($C49="","",IF($S49="Converted","7 Certification / Enterprise opportunity",IF($S49="Application Started","7 Certification / Enterprise opportunity",IF($S49="Meeting Booked","6 Meeting / Application",IF(OR($S49="Interested",$S49="Info Requested"),"5 Interested",IF(OR($S49="Declined",$S49="Not Relevant"),"0 Closed - no",IF($R49="Yes","4 Contacted",IF($N49="Yes","2 Engaged",IF($M49="Yes","1 Awareness",IF($AA49&gt;=60,"3 Qualified","1 Awareness"))))))))))</f>
        <v/>
      </c>
    </row>
    <row r="50" customFormat="false" ht="30" hidden="false" customHeight="true" outlineLevel="0" collapsed="false">
      <c r="A50" s="36"/>
      <c r="B50" s="37"/>
      <c r="C50" s="37"/>
      <c r="D50" s="37"/>
      <c r="E50" s="37"/>
      <c r="F50" s="37"/>
      <c r="G50" s="37"/>
      <c r="H50" s="37"/>
      <c r="I50" s="37"/>
      <c r="J50" s="47"/>
      <c r="K50" s="41" t="str">
        <f aca="false">IF(J50="","",IF(J50&gt;=8,"Yes","Check"))</f>
        <v/>
      </c>
      <c r="L50" s="38"/>
      <c r="M50" s="47"/>
      <c r="N50" s="47"/>
      <c r="O50" s="37"/>
      <c r="P50" s="38"/>
      <c r="Q50" s="42" t="str">
        <f aca="false">IF(P50="","",LEN(P50))</f>
        <v/>
      </c>
      <c r="R50" s="47"/>
      <c r="S50" s="37"/>
      <c r="T50" s="38"/>
      <c r="U50" s="43" t="str">
        <f aca="false">IF(OR(R50&lt;&gt;"Yes",A50=""),"",A50+4)</f>
        <v/>
      </c>
      <c r="V50" s="47"/>
      <c r="W50" s="38"/>
      <c r="X50" s="38"/>
      <c r="Y50" s="44"/>
      <c r="Z50" s="44"/>
      <c r="AA50" s="45" t="str">
        <f aca="false">IF(AND($Y50="",$Z50=""),"",ROUND(IFERROR(VALUE(LEFT($Y50,1)),0)*12+IFERROR(VALUE(LEFT($Z50,1)),0)*8,0))</f>
        <v/>
      </c>
      <c r="AB50" s="45" t="str">
        <f aca="false">IF($AA50="","",IF($AA50&gt;=80,"A - call first",IF($AA50&gt;=60,"B - worth pursuing",IF($AA50&gt;=40,"C - nurture","D - do not spend time here"))))</f>
        <v/>
      </c>
      <c r="AC50" s="46" t="str">
        <f aca="false">IF($C50="","",IF($S50="Converted","7 Certification / Enterprise opportunity",IF($S50="Application Started","7 Certification / Enterprise opportunity",IF($S50="Meeting Booked","6 Meeting / Application",IF(OR($S50="Interested",$S50="Info Requested"),"5 Interested",IF(OR($S50="Declined",$S50="Not Relevant"),"0 Closed - no",IF($R50="Yes","4 Contacted",IF($N50="Yes","2 Engaged",IF($M50="Yes","1 Awareness",IF($AA50&gt;=60,"3 Qualified","1 Awareness"))))))))))</f>
        <v/>
      </c>
    </row>
    <row r="51" customFormat="false" ht="30" hidden="false" customHeight="true" outlineLevel="0" collapsed="false">
      <c r="A51" s="36"/>
      <c r="B51" s="37"/>
      <c r="C51" s="37"/>
      <c r="D51" s="37"/>
      <c r="E51" s="37"/>
      <c r="F51" s="37"/>
      <c r="G51" s="37"/>
      <c r="H51" s="37"/>
      <c r="I51" s="37"/>
      <c r="J51" s="47"/>
      <c r="K51" s="41" t="str">
        <f aca="false">IF(J51="","",IF(J51&gt;=8,"Yes","Check"))</f>
        <v/>
      </c>
      <c r="L51" s="38"/>
      <c r="M51" s="47"/>
      <c r="N51" s="47"/>
      <c r="O51" s="37"/>
      <c r="P51" s="38"/>
      <c r="Q51" s="42" t="str">
        <f aca="false">IF(P51="","",LEN(P51))</f>
        <v/>
      </c>
      <c r="R51" s="47"/>
      <c r="S51" s="37"/>
      <c r="T51" s="38"/>
      <c r="U51" s="43" t="str">
        <f aca="false">IF(OR(R51&lt;&gt;"Yes",A51=""),"",A51+4)</f>
        <v/>
      </c>
      <c r="V51" s="47"/>
      <c r="W51" s="38"/>
      <c r="X51" s="38"/>
      <c r="Y51" s="44"/>
      <c r="Z51" s="44"/>
      <c r="AA51" s="45" t="str">
        <f aca="false">IF(AND($Y51="",$Z51=""),"",ROUND(IFERROR(VALUE(LEFT($Y51,1)),0)*12+IFERROR(VALUE(LEFT($Z51,1)),0)*8,0))</f>
        <v/>
      </c>
      <c r="AB51" s="45" t="str">
        <f aca="false">IF($AA51="","",IF($AA51&gt;=80,"A - call first",IF($AA51&gt;=60,"B - worth pursuing",IF($AA51&gt;=40,"C - nurture","D - do not spend time here"))))</f>
        <v/>
      </c>
      <c r="AC51" s="46" t="str">
        <f aca="false">IF($C51="","",IF($S51="Converted","7 Certification / Enterprise opportunity",IF($S51="Application Started","7 Certification / Enterprise opportunity",IF($S51="Meeting Booked","6 Meeting / Application",IF(OR($S51="Interested",$S51="Info Requested"),"5 Interested",IF(OR($S51="Declined",$S51="Not Relevant"),"0 Closed - no",IF($R51="Yes","4 Contacted",IF($N51="Yes","2 Engaged",IF($M51="Yes","1 Awareness",IF($AA51&gt;=60,"3 Qualified","1 Awareness"))))))))))</f>
        <v/>
      </c>
    </row>
    <row r="52" customFormat="false" ht="30" hidden="false" customHeight="true" outlineLevel="0" collapsed="false">
      <c r="A52" s="36"/>
      <c r="B52" s="37"/>
      <c r="C52" s="37"/>
      <c r="D52" s="37"/>
      <c r="E52" s="37"/>
      <c r="F52" s="37"/>
      <c r="G52" s="37"/>
      <c r="H52" s="37"/>
      <c r="I52" s="37"/>
      <c r="J52" s="47"/>
      <c r="K52" s="41" t="str">
        <f aca="false">IF(J52="","",IF(J52&gt;=8,"Yes","Check"))</f>
        <v/>
      </c>
      <c r="L52" s="38"/>
      <c r="M52" s="47"/>
      <c r="N52" s="47"/>
      <c r="O52" s="37"/>
      <c r="P52" s="38"/>
      <c r="Q52" s="42" t="str">
        <f aca="false">IF(P52="","",LEN(P52))</f>
        <v/>
      </c>
      <c r="R52" s="47"/>
      <c r="S52" s="37"/>
      <c r="T52" s="38"/>
      <c r="U52" s="43" t="str">
        <f aca="false">IF(OR(R52&lt;&gt;"Yes",A52=""),"",A52+4)</f>
        <v/>
      </c>
      <c r="V52" s="47"/>
      <c r="W52" s="38"/>
      <c r="X52" s="38"/>
      <c r="Y52" s="44"/>
      <c r="Z52" s="44"/>
      <c r="AA52" s="45" t="str">
        <f aca="false">IF(AND($Y52="",$Z52=""),"",ROUND(IFERROR(VALUE(LEFT($Y52,1)),0)*12+IFERROR(VALUE(LEFT($Z52,1)),0)*8,0))</f>
        <v/>
      </c>
      <c r="AB52" s="45" t="str">
        <f aca="false">IF($AA52="","",IF($AA52&gt;=80,"A - call first",IF($AA52&gt;=60,"B - worth pursuing",IF($AA52&gt;=40,"C - nurture","D - do not spend time here"))))</f>
        <v/>
      </c>
      <c r="AC52" s="46" t="str">
        <f aca="false">IF($C52="","",IF($S52="Converted","7 Certification / Enterprise opportunity",IF($S52="Application Started","7 Certification / Enterprise opportunity",IF($S52="Meeting Booked","6 Meeting / Application",IF(OR($S52="Interested",$S52="Info Requested"),"5 Interested",IF(OR($S52="Declined",$S52="Not Relevant"),"0 Closed - no",IF($R52="Yes","4 Contacted",IF($N52="Yes","2 Engaged",IF($M52="Yes","1 Awareness",IF($AA52&gt;=60,"3 Qualified","1 Awareness"))))))))))</f>
        <v/>
      </c>
    </row>
    <row r="53" customFormat="false" ht="30" hidden="false" customHeight="true" outlineLevel="0" collapsed="false">
      <c r="A53" s="36"/>
      <c r="B53" s="37"/>
      <c r="C53" s="37"/>
      <c r="D53" s="37"/>
      <c r="E53" s="37"/>
      <c r="F53" s="37"/>
      <c r="G53" s="37"/>
      <c r="H53" s="37"/>
      <c r="I53" s="37"/>
      <c r="J53" s="47"/>
      <c r="K53" s="41" t="str">
        <f aca="false">IF(J53="","",IF(J53&gt;=8,"Yes","Check"))</f>
        <v/>
      </c>
      <c r="L53" s="38"/>
      <c r="M53" s="47"/>
      <c r="N53" s="47"/>
      <c r="O53" s="37"/>
      <c r="P53" s="38"/>
      <c r="Q53" s="42" t="str">
        <f aca="false">IF(P53="","",LEN(P53))</f>
        <v/>
      </c>
      <c r="R53" s="47"/>
      <c r="S53" s="37"/>
      <c r="T53" s="38"/>
      <c r="U53" s="43" t="str">
        <f aca="false">IF(OR(R53&lt;&gt;"Yes",A53=""),"",A53+4)</f>
        <v/>
      </c>
      <c r="V53" s="47"/>
      <c r="W53" s="38"/>
      <c r="X53" s="38"/>
      <c r="Y53" s="44"/>
      <c r="Z53" s="44"/>
      <c r="AA53" s="45" t="str">
        <f aca="false">IF(AND($Y53="",$Z53=""),"",ROUND(IFERROR(VALUE(LEFT($Y53,1)),0)*12+IFERROR(VALUE(LEFT($Z53,1)),0)*8,0))</f>
        <v/>
      </c>
      <c r="AB53" s="45" t="str">
        <f aca="false">IF($AA53="","",IF($AA53&gt;=80,"A - call first",IF($AA53&gt;=60,"B - worth pursuing",IF($AA53&gt;=40,"C - nurture","D - do not spend time here"))))</f>
        <v/>
      </c>
      <c r="AC53" s="46" t="str">
        <f aca="false">IF($C53="","",IF($S53="Converted","7 Certification / Enterprise opportunity",IF($S53="Application Started","7 Certification / Enterprise opportunity",IF($S53="Meeting Booked","6 Meeting / Application",IF(OR($S53="Interested",$S53="Info Requested"),"5 Interested",IF(OR($S53="Declined",$S53="Not Relevant"),"0 Closed - no",IF($R53="Yes","4 Contacted",IF($N53="Yes","2 Engaged",IF($M53="Yes","1 Awareness",IF($AA53&gt;=60,"3 Qualified","1 Awareness"))))))))))</f>
        <v/>
      </c>
    </row>
    <row r="54" customFormat="false" ht="30" hidden="false" customHeight="true" outlineLevel="0" collapsed="false">
      <c r="A54" s="36"/>
      <c r="B54" s="37"/>
      <c r="C54" s="37"/>
      <c r="D54" s="37"/>
      <c r="E54" s="37"/>
      <c r="F54" s="37"/>
      <c r="G54" s="37"/>
      <c r="H54" s="37"/>
      <c r="I54" s="37"/>
      <c r="J54" s="47"/>
      <c r="K54" s="41" t="str">
        <f aca="false">IF(J54="","",IF(J54&gt;=8,"Yes","Check"))</f>
        <v/>
      </c>
      <c r="L54" s="38"/>
      <c r="M54" s="47"/>
      <c r="N54" s="47"/>
      <c r="O54" s="37"/>
      <c r="P54" s="38"/>
      <c r="Q54" s="42" t="str">
        <f aca="false">IF(P54="","",LEN(P54))</f>
        <v/>
      </c>
      <c r="R54" s="47"/>
      <c r="S54" s="37"/>
      <c r="T54" s="38"/>
      <c r="U54" s="43" t="str">
        <f aca="false">IF(OR(R54&lt;&gt;"Yes",A54=""),"",A54+4)</f>
        <v/>
      </c>
      <c r="V54" s="47"/>
      <c r="W54" s="38"/>
      <c r="X54" s="38"/>
      <c r="Y54" s="44"/>
      <c r="Z54" s="44"/>
      <c r="AA54" s="45" t="str">
        <f aca="false">IF(AND($Y54="",$Z54=""),"",ROUND(IFERROR(VALUE(LEFT($Y54,1)),0)*12+IFERROR(VALUE(LEFT($Z54,1)),0)*8,0))</f>
        <v/>
      </c>
      <c r="AB54" s="45" t="str">
        <f aca="false">IF($AA54="","",IF($AA54&gt;=80,"A - call first",IF($AA54&gt;=60,"B - worth pursuing",IF($AA54&gt;=40,"C - nurture","D - do not spend time here"))))</f>
        <v/>
      </c>
      <c r="AC54" s="46" t="str">
        <f aca="false">IF($C54="","",IF($S54="Converted","7 Certification / Enterprise opportunity",IF($S54="Application Started","7 Certification / Enterprise opportunity",IF($S54="Meeting Booked","6 Meeting / Application",IF(OR($S54="Interested",$S54="Info Requested"),"5 Interested",IF(OR($S54="Declined",$S54="Not Relevant"),"0 Closed - no",IF($R54="Yes","4 Contacted",IF($N54="Yes","2 Engaged",IF($M54="Yes","1 Awareness",IF($AA54&gt;=60,"3 Qualified","1 Awareness"))))))))))</f>
        <v/>
      </c>
    </row>
    <row r="55" customFormat="false" ht="30" hidden="false" customHeight="true" outlineLevel="0" collapsed="false">
      <c r="A55" s="36"/>
      <c r="B55" s="37"/>
      <c r="C55" s="37"/>
      <c r="D55" s="37"/>
      <c r="E55" s="37"/>
      <c r="F55" s="37"/>
      <c r="G55" s="37"/>
      <c r="H55" s="37"/>
      <c r="I55" s="37"/>
      <c r="J55" s="47"/>
      <c r="K55" s="41" t="str">
        <f aca="false">IF(J55="","",IF(J55&gt;=8,"Yes","Check"))</f>
        <v/>
      </c>
      <c r="L55" s="38"/>
      <c r="M55" s="47"/>
      <c r="N55" s="47"/>
      <c r="O55" s="37"/>
      <c r="P55" s="38"/>
      <c r="Q55" s="42" t="str">
        <f aca="false">IF(P55="","",LEN(P55))</f>
        <v/>
      </c>
      <c r="R55" s="47"/>
      <c r="S55" s="37"/>
      <c r="T55" s="38"/>
      <c r="U55" s="43" t="str">
        <f aca="false">IF(OR(R55&lt;&gt;"Yes",A55=""),"",A55+4)</f>
        <v/>
      </c>
      <c r="V55" s="47"/>
      <c r="W55" s="38"/>
      <c r="X55" s="38"/>
      <c r="Y55" s="44"/>
      <c r="Z55" s="44"/>
      <c r="AA55" s="45" t="str">
        <f aca="false">IF(AND($Y55="",$Z55=""),"",ROUND(IFERROR(VALUE(LEFT($Y55,1)),0)*12+IFERROR(VALUE(LEFT($Z55,1)),0)*8,0))</f>
        <v/>
      </c>
      <c r="AB55" s="45" t="str">
        <f aca="false">IF($AA55="","",IF($AA55&gt;=80,"A - call first",IF($AA55&gt;=60,"B - worth pursuing",IF($AA55&gt;=40,"C - nurture","D - do not spend time here"))))</f>
        <v/>
      </c>
      <c r="AC55" s="46" t="str">
        <f aca="false">IF($C55="","",IF($S55="Converted","7 Certification / Enterprise opportunity",IF($S55="Application Started","7 Certification / Enterprise opportunity",IF($S55="Meeting Booked","6 Meeting / Application",IF(OR($S55="Interested",$S55="Info Requested"),"5 Interested",IF(OR($S55="Declined",$S55="Not Relevant"),"0 Closed - no",IF($R55="Yes","4 Contacted",IF($N55="Yes","2 Engaged",IF($M55="Yes","1 Awareness",IF($AA55&gt;=60,"3 Qualified","1 Awareness"))))))))))</f>
        <v/>
      </c>
    </row>
    <row r="56" customFormat="false" ht="30" hidden="false" customHeight="true" outlineLevel="0" collapsed="false">
      <c r="A56" s="36"/>
      <c r="B56" s="37"/>
      <c r="C56" s="37"/>
      <c r="D56" s="37"/>
      <c r="E56" s="37"/>
      <c r="F56" s="37"/>
      <c r="G56" s="37"/>
      <c r="H56" s="37"/>
      <c r="I56" s="37"/>
      <c r="J56" s="47"/>
      <c r="K56" s="41" t="str">
        <f aca="false">IF(J56="","",IF(J56&gt;=8,"Yes","Check"))</f>
        <v/>
      </c>
      <c r="L56" s="38"/>
      <c r="M56" s="47"/>
      <c r="N56" s="47"/>
      <c r="O56" s="37"/>
      <c r="P56" s="38"/>
      <c r="Q56" s="42" t="str">
        <f aca="false">IF(P56="","",LEN(P56))</f>
        <v/>
      </c>
      <c r="R56" s="47"/>
      <c r="S56" s="37"/>
      <c r="T56" s="38"/>
      <c r="U56" s="43" t="str">
        <f aca="false">IF(OR(R56&lt;&gt;"Yes",A56=""),"",A56+4)</f>
        <v/>
      </c>
      <c r="V56" s="47"/>
      <c r="W56" s="38"/>
      <c r="X56" s="38"/>
      <c r="Y56" s="44"/>
      <c r="Z56" s="44"/>
      <c r="AA56" s="45" t="str">
        <f aca="false">IF(AND($Y56="",$Z56=""),"",ROUND(IFERROR(VALUE(LEFT($Y56,1)),0)*12+IFERROR(VALUE(LEFT($Z56,1)),0)*8,0))</f>
        <v/>
      </c>
      <c r="AB56" s="45" t="str">
        <f aca="false">IF($AA56="","",IF($AA56&gt;=80,"A - call first",IF($AA56&gt;=60,"B - worth pursuing",IF($AA56&gt;=40,"C - nurture","D - do not spend time here"))))</f>
        <v/>
      </c>
      <c r="AC56" s="46" t="str">
        <f aca="false">IF($C56="","",IF($S56="Converted","7 Certification / Enterprise opportunity",IF($S56="Application Started","7 Certification / Enterprise opportunity",IF($S56="Meeting Booked","6 Meeting / Application",IF(OR($S56="Interested",$S56="Info Requested"),"5 Interested",IF(OR($S56="Declined",$S56="Not Relevant"),"0 Closed - no",IF($R56="Yes","4 Contacted",IF($N56="Yes","2 Engaged",IF($M56="Yes","1 Awareness",IF($AA56&gt;=60,"3 Qualified","1 Awareness"))))))))))</f>
        <v/>
      </c>
    </row>
    <row r="57" customFormat="false" ht="30" hidden="false" customHeight="true" outlineLevel="0" collapsed="false">
      <c r="A57" s="36"/>
      <c r="B57" s="37"/>
      <c r="C57" s="37"/>
      <c r="D57" s="37"/>
      <c r="E57" s="37"/>
      <c r="F57" s="37"/>
      <c r="G57" s="37"/>
      <c r="H57" s="37"/>
      <c r="I57" s="37"/>
      <c r="J57" s="47"/>
      <c r="K57" s="41" t="str">
        <f aca="false">IF(J57="","",IF(J57&gt;=8,"Yes","Check"))</f>
        <v/>
      </c>
      <c r="L57" s="38"/>
      <c r="M57" s="47"/>
      <c r="N57" s="47"/>
      <c r="O57" s="37"/>
      <c r="P57" s="38"/>
      <c r="Q57" s="42" t="str">
        <f aca="false">IF(P57="","",LEN(P57))</f>
        <v/>
      </c>
      <c r="R57" s="47"/>
      <c r="S57" s="37"/>
      <c r="T57" s="38"/>
      <c r="U57" s="43" t="str">
        <f aca="false">IF(OR(R57&lt;&gt;"Yes",A57=""),"",A57+4)</f>
        <v/>
      </c>
      <c r="V57" s="47"/>
      <c r="W57" s="38"/>
      <c r="X57" s="38"/>
      <c r="Y57" s="44"/>
      <c r="Z57" s="44"/>
      <c r="AA57" s="45" t="str">
        <f aca="false">IF(AND($Y57="",$Z57=""),"",ROUND(IFERROR(VALUE(LEFT($Y57,1)),0)*12+IFERROR(VALUE(LEFT($Z57,1)),0)*8,0))</f>
        <v/>
      </c>
      <c r="AB57" s="45" t="str">
        <f aca="false">IF($AA57="","",IF($AA57&gt;=80,"A - call first",IF($AA57&gt;=60,"B - worth pursuing",IF($AA57&gt;=40,"C - nurture","D - do not spend time here"))))</f>
        <v/>
      </c>
      <c r="AC57" s="46" t="str">
        <f aca="false">IF($C57="","",IF($S57="Converted","7 Certification / Enterprise opportunity",IF($S57="Application Started","7 Certification / Enterprise opportunity",IF($S57="Meeting Booked","6 Meeting / Application",IF(OR($S57="Interested",$S57="Info Requested"),"5 Interested",IF(OR($S57="Declined",$S57="Not Relevant"),"0 Closed - no",IF($R57="Yes","4 Contacted",IF($N57="Yes","2 Engaged",IF($M57="Yes","1 Awareness",IF($AA57&gt;=60,"3 Qualified","1 Awareness"))))))))))</f>
        <v/>
      </c>
    </row>
    <row r="58" customFormat="false" ht="30" hidden="false" customHeight="true" outlineLevel="0" collapsed="false">
      <c r="A58" s="36"/>
      <c r="B58" s="37"/>
      <c r="C58" s="37"/>
      <c r="D58" s="37"/>
      <c r="E58" s="37"/>
      <c r="F58" s="37"/>
      <c r="G58" s="37"/>
      <c r="H58" s="37"/>
      <c r="I58" s="37"/>
      <c r="J58" s="47"/>
      <c r="K58" s="41" t="str">
        <f aca="false">IF(J58="","",IF(J58&gt;=8,"Yes","Check"))</f>
        <v/>
      </c>
      <c r="L58" s="38"/>
      <c r="M58" s="47"/>
      <c r="N58" s="47"/>
      <c r="O58" s="37"/>
      <c r="P58" s="38"/>
      <c r="Q58" s="42" t="str">
        <f aca="false">IF(P58="","",LEN(P58))</f>
        <v/>
      </c>
      <c r="R58" s="47"/>
      <c r="S58" s="37"/>
      <c r="T58" s="38"/>
      <c r="U58" s="43" t="str">
        <f aca="false">IF(OR(R58&lt;&gt;"Yes",A58=""),"",A58+4)</f>
        <v/>
      </c>
      <c r="V58" s="47"/>
      <c r="W58" s="38"/>
      <c r="X58" s="38"/>
      <c r="Y58" s="44"/>
      <c r="Z58" s="44"/>
      <c r="AA58" s="45" t="str">
        <f aca="false">IF(AND($Y58="",$Z58=""),"",ROUND(IFERROR(VALUE(LEFT($Y58,1)),0)*12+IFERROR(VALUE(LEFT($Z58,1)),0)*8,0))</f>
        <v/>
      </c>
      <c r="AB58" s="45" t="str">
        <f aca="false">IF($AA58="","",IF($AA58&gt;=80,"A - call first",IF($AA58&gt;=60,"B - worth pursuing",IF($AA58&gt;=40,"C - nurture","D - do not spend time here"))))</f>
        <v/>
      </c>
      <c r="AC58" s="46" t="str">
        <f aca="false">IF($C58="","",IF($S58="Converted","7 Certification / Enterprise opportunity",IF($S58="Application Started","7 Certification / Enterprise opportunity",IF($S58="Meeting Booked","6 Meeting / Application",IF(OR($S58="Interested",$S58="Info Requested"),"5 Interested",IF(OR($S58="Declined",$S58="Not Relevant"),"0 Closed - no",IF($R58="Yes","4 Contacted",IF($N58="Yes","2 Engaged",IF($M58="Yes","1 Awareness",IF($AA58&gt;=60,"3 Qualified","1 Awareness"))))))))))</f>
        <v/>
      </c>
    </row>
    <row r="59" customFormat="false" ht="30" hidden="false" customHeight="true" outlineLevel="0" collapsed="false">
      <c r="A59" s="36"/>
      <c r="B59" s="37"/>
      <c r="C59" s="37"/>
      <c r="D59" s="37"/>
      <c r="E59" s="37"/>
      <c r="F59" s="37"/>
      <c r="G59" s="37"/>
      <c r="H59" s="37"/>
      <c r="I59" s="37"/>
      <c r="J59" s="47"/>
      <c r="K59" s="41" t="str">
        <f aca="false">IF(J59="","",IF(J59&gt;=8,"Yes","Check"))</f>
        <v/>
      </c>
      <c r="L59" s="38"/>
      <c r="M59" s="47"/>
      <c r="N59" s="47"/>
      <c r="O59" s="37"/>
      <c r="P59" s="38"/>
      <c r="Q59" s="42" t="str">
        <f aca="false">IF(P59="","",LEN(P59))</f>
        <v/>
      </c>
      <c r="R59" s="47"/>
      <c r="S59" s="37"/>
      <c r="T59" s="38"/>
      <c r="U59" s="43" t="str">
        <f aca="false">IF(OR(R59&lt;&gt;"Yes",A59=""),"",A59+4)</f>
        <v/>
      </c>
      <c r="V59" s="47"/>
      <c r="W59" s="38"/>
      <c r="X59" s="38"/>
      <c r="Y59" s="44"/>
      <c r="Z59" s="44"/>
      <c r="AA59" s="45" t="str">
        <f aca="false">IF(AND($Y59="",$Z59=""),"",ROUND(IFERROR(VALUE(LEFT($Y59,1)),0)*12+IFERROR(VALUE(LEFT($Z59,1)),0)*8,0))</f>
        <v/>
      </c>
      <c r="AB59" s="45" t="str">
        <f aca="false">IF($AA59="","",IF($AA59&gt;=80,"A - call first",IF($AA59&gt;=60,"B - worth pursuing",IF($AA59&gt;=40,"C - nurture","D - do not spend time here"))))</f>
        <v/>
      </c>
      <c r="AC59" s="46" t="str">
        <f aca="false">IF($C59="","",IF($S59="Converted","7 Certification / Enterprise opportunity",IF($S59="Application Started","7 Certification / Enterprise opportunity",IF($S59="Meeting Booked","6 Meeting / Application",IF(OR($S59="Interested",$S59="Info Requested"),"5 Interested",IF(OR($S59="Declined",$S59="Not Relevant"),"0 Closed - no",IF($R59="Yes","4 Contacted",IF($N59="Yes","2 Engaged",IF($M59="Yes","1 Awareness",IF($AA59&gt;=60,"3 Qualified","1 Awareness"))))))))))</f>
        <v/>
      </c>
    </row>
    <row r="60" customFormat="false" ht="30" hidden="false" customHeight="true" outlineLevel="0" collapsed="false">
      <c r="A60" s="36"/>
      <c r="B60" s="37"/>
      <c r="C60" s="37"/>
      <c r="D60" s="37"/>
      <c r="E60" s="37"/>
      <c r="F60" s="37"/>
      <c r="G60" s="37"/>
      <c r="H60" s="37"/>
      <c r="I60" s="37"/>
      <c r="J60" s="47"/>
      <c r="K60" s="41" t="str">
        <f aca="false">IF(J60="","",IF(J60&gt;=8,"Yes","Check"))</f>
        <v/>
      </c>
      <c r="L60" s="38"/>
      <c r="M60" s="47"/>
      <c r="N60" s="47"/>
      <c r="O60" s="37"/>
      <c r="P60" s="38"/>
      <c r="Q60" s="42" t="str">
        <f aca="false">IF(P60="","",LEN(P60))</f>
        <v/>
      </c>
      <c r="R60" s="47"/>
      <c r="S60" s="37"/>
      <c r="T60" s="38"/>
      <c r="U60" s="43" t="str">
        <f aca="false">IF(OR(R60&lt;&gt;"Yes",A60=""),"",A60+4)</f>
        <v/>
      </c>
      <c r="V60" s="47"/>
      <c r="W60" s="38"/>
      <c r="X60" s="38"/>
      <c r="Y60" s="44"/>
      <c r="Z60" s="44"/>
      <c r="AA60" s="45" t="str">
        <f aca="false">IF(AND($Y60="",$Z60=""),"",ROUND(IFERROR(VALUE(LEFT($Y60,1)),0)*12+IFERROR(VALUE(LEFT($Z60,1)),0)*8,0))</f>
        <v/>
      </c>
      <c r="AB60" s="45" t="str">
        <f aca="false">IF($AA60="","",IF($AA60&gt;=80,"A - call first",IF($AA60&gt;=60,"B - worth pursuing",IF($AA60&gt;=40,"C - nurture","D - do not spend time here"))))</f>
        <v/>
      </c>
      <c r="AC60" s="46" t="str">
        <f aca="false">IF($C60="","",IF($S60="Converted","7 Certification / Enterprise opportunity",IF($S60="Application Started","7 Certification / Enterprise opportunity",IF($S60="Meeting Booked","6 Meeting / Application",IF(OR($S60="Interested",$S60="Info Requested"),"5 Interested",IF(OR($S60="Declined",$S60="Not Relevant"),"0 Closed - no",IF($R60="Yes","4 Contacted",IF($N60="Yes","2 Engaged",IF($M60="Yes","1 Awareness",IF($AA60&gt;=60,"3 Qualified","1 Awareness"))))))))))</f>
        <v/>
      </c>
    </row>
    <row r="61" customFormat="false" ht="30" hidden="false" customHeight="true" outlineLevel="0" collapsed="false">
      <c r="A61" s="36"/>
      <c r="B61" s="37"/>
      <c r="C61" s="37"/>
      <c r="D61" s="37"/>
      <c r="E61" s="37"/>
      <c r="F61" s="37"/>
      <c r="G61" s="37"/>
      <c r="H61" s="37"/>
      <c r="I61" s="37"/>
      <c r="J61" s="47"/>
      <c r="K61" s="41" t="str">
        <f aca="false">IF(J61="","",IF(J61&gt;=8,"Yes","Check"))</f>
        <v/>
      </c>
      <c r="L61" s="38"/>
      <c r="M61" s="47"/>
      <c r="N61" s="47"/>
      <c r="O61" s="37"/>
      <c r="P61" s="38"/>
      <c r="Q61" s="42" t="str">
        <f aca="false">IF(P61="","",LEN(P61))</f>
        <v/>
      </c>
      <c r="R61" s="47"/>
      <c r="S61" s="37"/>
      <c r="T61" s="38"/>
      <c r="U61" s="43" t="str">
        <f aca="false">IF(OR(R61&lt;&gt;"Yes",A61=""),"",A61+4)</f>
        <v/>
      </c>
      <c r="V61" s="47"/>
      <c r="W61" s="38"/>
      <c r="X61" s="38"/>
      <c r="Y61" s="44"/>
      <c r="Z61" s="44"/>
      <c r="AA61" s="45" t="str">
        <f aca="false">IF(AND($Y61="",$Z61=""),"",ROUND(IFERROR(VALUE(LEFT($Y61,1)),0)*12+IFERROR(VALUE(LEFT($Z61,1)),0)*8,0))</f>
        <v/>
      </c>
      <c r="AB61" s="45" t="str">
        <f aca="false">IF($AA61="","",IF($AA61&gt;=80,"A - call first",IF($AA61&gt;=60,"B - worth pursuing",IF($AA61&gt;=40,"C - nurture","D - do not spend time here"))))</f>
        <v/>
      </c>
      <c r="AC61" s="46" t="str">
        <f aca="false">IF($C61="","",IF($S61="Converted","7 Certification / Enterprise opportunity",IF($S61="Application Started","7 Certification / Enterprise opportunity",IF($S61="Meeting Booked","6 Meeting / Application",IF(OR($S61="Interested",$S61="Info Requested"),"5 Interested",IF(OR($S61="Declined",$S61="Not Relevant"),"0 Closed - no",IF($R61="Yes","4 Contacted",IF($N61="Yes","2 Engaged",IF($M61="Yes","1 Awareness",IF($AA61&gt;=60,"3 Qualified","1 Awareness"))))))))))</f>
        <v/>
      </c>
    </row>
    <row r="62" customFormat="false" ht="30" hidden="false" customHeight="true" outlineLevel="0" collapsed="false">
      <c r="A62" s="36"/>
      <c r="B62" s="37"/>
      <c r="C62" s="37"/>
      <c r="D62" s="37"/>
      <c r="E62" s="37"/>
      <c r="F62" s="37"/>
      <c r="G62" s="37"/>
      <c r="H62" s="37"/>
      <c r="I62" s="37"/>
      <c r="J62" s="47"/>
      <c r="K62" s="41" t="str">
        <f aca="false">IF(J62="","",IF(J62&gt;=8,"Yes","Check"))</f>
        <v/>
      </c>
      <c r="L62" s="38"/>
      <c r="M62" s="47"/>
      <c r="N62" s="47"/>
      <c r="O62" s="37"/>
      <c r="P62" s="38"/>
      <c r="Q62" s="42" t="str">
        <f aca="false">IF(P62="","",LEN(P62))</f>
        <v/>
      </c>
      <c r="R62" s="47"/>
      <c r="S62" s="37"/>
      <c r="T62" s="38"/>
      <c r="U62" s="43" t="str">
        <f aca="false">IF(OR(R62&lt;&gt;"Yes",A62=""),"",A62+4)</f>
        <v/>
      </c>
      <c r="V62" s="47"/>
      <c r="W62" s="38"/>
      <c r="X62" s="38"/>
      <c r="Y62" s="44"/>
      <c r="Z62" s="44"/>
      <c r="AA62" s="45" t="str">
        <f aca="false">IF(AND($Y62="",$Z62=""),"",ROUND(IFERROR(VALUE(LEFT($Y62,1)),0)*12+IFERROR(VALUE(LEFT($Z62,1)),0)*8,0))</f>
        <v/>
      </c>
      <c r="AB62" s="45" t="str">
        <f aca="false">IF($AA62="","",IF($AA62&gt;=80,"A - call first",IF($AA62&gt;=60,"B - worth pursuing",IF($AA62&gt;=40,"C - nurture","D - do not spend time here"))))</f>
        <v/>
      </c>
      <c r="AC62" s="46" t="str">
        <f aca="false">IF($C62="","",IF($S62="Converted","7 Certification / Enterprise opportunity",IF($S62="Application Started","7 Certification / Enterprise opportunity",IF($S62="Meeting Booked","6 Meeting / Application",IF(OR($S62="Interested",$S62="Info Requested"),"5 Interested",IF(OR($S62="Declined",$S62="Not Relevant"),"0 Closed - no",IF($R62="Yes","4 Contacted",IF($N62="Yes","2 Engaged",IF($M62="Yes","1 Awareness",IF($AA62&gt;=60,"3 Qualified","1 Awareness"))))))))))</f>
        <v/>
      </c>
    </row>
    <row r="63" customFormat="false" ht="30" hidden="false" customHeight="true" outlineLevel="0" collapsed="false">
      <c r="A63" s="36"/>
      <c r="B63" s="37"/>
      <c r="C63" s="37"/>
      <c r="D63" s="37"/>
      <c r="E63" s="37"/>
      <c r="F63" s="37"/>
      <c r="G63" s="37"/>
      <c r="H63" s="37"/>
      <c r="I63" s="37"/>
      <c r="J63" s="47"/>
      <c r="K63" s="41" t="str">
        <f aca="false">IF(J63="","",IF(J63&gt;=8,"Yes","Check"))</f>
        <v/>
      </c>
      <c r="L63" s="38"/>
      <c r="M63" s="47"/>
      <c r="N63" s="47"/>
      <c r="O63" s="37"/>
      <c r="P63" s="38"/>
      <c r="Q63" s="42" t="str">
        <f aca="false">IF(P63="","",LEN(P63))</f>
        <v/>
      </c>
      <c r="R63" s="47"/>
      <c r="S63" s="37"/>
      <c r="T63" s="38"/>
      <c r="U63" s="43" t="str">
        <f aca="false">IF(OR(R63&lt;&gt;"Yes",A63=""),"",A63+4)</f>
        <v/>
      </c>
      <c r="V63" s="47"/>
      <c r="W63" s="38"/>
      <c r="X63" s="38"/>
      <c r="Y63" s="44"/>
      <c r="Z63" s="44"/>
      <c r="AA63" s="45" t="str">
        <f aca="false">IF(AND($Y63="",$Z63=""),"",ROUND(IFERROR(VALUE(LEFT($Y63,1)),0)*12+IFERROR(VALUE(LEFT($Z63,1)),0)*8,0))</f>
        <v/>
      </c>
      <c r="AB63" s="45" t="str">
        <f aca="false">IF($AA63="","",IF($AA63&gt;=80,"A - call first",IF($AA63&gt;=60,"B - worth pursuing",IF($AA63&gt;=40,"C - nurture","D - do not spend time here"))))</f>
        <v/>
      </c>
      <c r="AC63" s="46" t="str">
        <f aca="false">IF($C63="","",IF($S63="Converted","7 Certification / Enterprise opportunity",IF($S63="Application Started","7 Certification / Enterprise opportunity",IF($S63="Meeting Booked","6 Meeting / Application",IF(OR($S63="Interested",$S63="Info Requested"),"5 Interested",IF(OR($S63="Declined",$S63="Not Relevant"),"0 Closed - no",IF($R63="Yes","4 Contacted",IF($N63="Yes","2 Engaged",IF($M63="Yes","1 Awareness",IF($AA63&gt;=60,"3 Qualified","1 Awareness"))))))))))</f>
        <v/>
      </c>
    </row>
    <row r="64" customFormat="false" ht="30" hidden="false" customHeight="true" outlineLevel="0" collapsed="false">
      <c r="A64" s="36"/>
      <c r="B64" s="37"/>
      <c r="C64" s="37"/>
      <c r="D64" s="37"/>
      <c r="E64" s="37"/>
      <c r="F64" s="37"/>
      <c r="G64" s="37"/>
      <c r="H64" s="37"/>
      <c r="I64" s="37"/>
      <c r="J64" s="47"/>
      <c r="K64" s="41" t="str">
        <f aca="false">IF(J64="","",IF(J64&gt;=8,"Yes","Check"))</f>
        <v/>
      </c>
      <c r="L64" s="38"/>
      <c r="M64" s="47"/>
      <c r="N64" s="47"/>
      <c r="O64" s="37"/>
      <c r="P64" s="38"/>
      <c r="Q64" s="42" t="str">
        <f aca="false">IF(P64="","",LEN(P64))</f>
        <v/>
      </c>
      <c r="R64" s="47"/>
      <c r="S64" s="37"/>
      <c r="T64" s="38"/>
      <c r="U64" s="43" t="str">
        <f aca="false">IF(OR(R64&lt;&gt;"Yes",A64=""),"",A64+4)</f>
        <v/>
      </c>
      <c r="V64" s="47"/>
      <c r="W64" s="38"/>
      <c r="X64" s="38"/>
      <c r="Y64" s="44"/>
      <c r="Z64" s="44"/>
      <c r="AA64" s="45" t="str">
        <f aca="false">IF(AND($Y64="",$Z64=""),"",ROUND(IFERROR(VALUE(LEFT($Y64,1)),0)*12+IFERROR(VALUE(LEFT($Z64,1)),0)*8,0))</f>
        <v/>
      </c>
      <c r="AB64" s="45" t="str">
        <f aca="false">IF($AA64="","",IF($AA64&gt;=80,"A - call first",IF($AA64&gt;=60,"B - worth pursuing",IF($AA64&gt;=40,"C - nurture","D - do not spend time here"))))</f>
        <v/>
      </c>
      <c r="AC64" s="46" t="str">
        <f aca="false">IF($C64="","",IF($S64="Converted","7 Certification / Enterprise opportunity",IF($S64="Application Started","7 Certification / Enterprise opportunity",IF($S64="Meeting Booked","6 Meeting / Application",IF(OR($S64="Interested",$S64="Info Requested"),"5 Interested",IF(OR($S64="Declined",$S64="Not Relevant"),"0 Closed - no",IF($R64="Yes","4 Contacted",IF($N64="Yes","2 Engaged",IF($M64="Yes","1 Awareness",IF($AA64&gt;=60,"3 Qualified","1 Awareness"))))))))))</f>
        <v/>
      </c>
    </row>
    <row r="65" customFormat="false" ht="30" hidden="false" customHeight="true" outlineLevel="0" collapsed="false">
      <c r="A65" s="36"/>
      <c r="B65" s="37"/>
      <c r="C65" s="37"/>
      <c r="D65" s="37"/>
      <c r="E65" s="37"/>
      <c r="F65" s="37"/>
      <c r="G65" s="37"/>
      <c r="H65" s="37"/>
      <c r="I65" s="37"/>
      <c r="J65" s="47"/>
      <c r="K65" s="41" t="str">
        <f aca="false">IF(J65="","",IF(J65&gt;=8,"Yes","Check"))</f>
        <v/>
      </c>
      <c r="L65" s="38"/>
      <c r="M65" s="47"/>
      <c r="N65" s="47"/>
      <c r="O65" s="37"/>
      <c r="P65" s="38"/>
      <c r="Q65" s="42" t="str">
        <f aca="false">IF(P65="","",LEN(P65))</f>
        <v/>
      </c>
      <c r="R65" s="47"/>
      <c r="S65" s="37"/>
      <c r="T65" s="38"/>
      <c r="U65" s="43" t="str">
        <f aca="false">IF(OR(R65&lt;&gt;"Yes",A65=""),"",A65+4)</f>
        <v/>
      </c>
      <c r="V65" s="47"/>
      <c r="W65" s="38"/>
      <c r="X65" s="38"/>
      <c r="Y65" s="44"/>
      <c r="Z65" s="44"/>
      <c r="AA65" s="45" t="str">
        <f aca="false">IF(AND($Y65="",$Z65=""),"",ROUND(IFERROR(VALUE(LEFT($Y65,1)),0)*12+IFERROR(VALUE(LEFT($Z65,1)),0)*8,0))</f>
        <v/>
      </c>
      <c r="AB65" s="45" t="str">
        <f aca="false">IF($AA65="","",IF($AA65&gt;=80,"A - call first",IF($AA65&gt;=60,"B - worth pursuing",IF($AA65&gt;=40,"C - nurture","D - do not spend time here"))))</f>
        <v/>
      </c>
      <c r="AC65" s="46" t="str">
        <f aca="false">IF($C65="","",IF($S65="Converted","7 Certification / Enterprise opportunity",IF($S65="Application Started","7 Certification / Enterprise opportunity",IF($S65="Meeting Booked","6 Meeting / Application",IF(OR($S65="Interested",$S65="Info Requested"),"5 Interested",IF(OR($S65="Declined",$S65="Not Relevant"),"0 Closed - no",IF($R65="Yes","4 Contacted",IF($N65="Yes","2 Engaged",IF($M65="Yes","1 Awareness",IF($AA65&gt;=60,"3 Qualified","1 Awareness"))))))))))</f>
        <v/>
      </c>
    </row>
    <row r="66" customFormat="false" ht="30" hidden="false" customHeight="true" outlineLevel="0" collapsed="false">
      <c r="A66" s="36"/>
      <c r="B66" s="37"/>
      <c r="C66" s="37"/>
      <c r="D66" s="37"/>
      <c r="E66" s="37"/>
      <c r="F66" s="37"/>
      <c r="G66" s="37"/>
      <c r="H66" s="37"/>
      <c r="I66" s="37"/>
      <c r="J66" s="47"/>
      <c r="K66" s="41" t="str">
        <f aca="false">IF(J66="","",IF(J66&gt;=8,"Yes","Check"))</f>
        <v/>
      </c>
      <c r="L66" s="38"/>
      <c r="M66" s="47"/>
      <c r="N66" s="47"/>
      <c r="O66" s="37"/>
      <c r="P66" s="38"/>
      <c r="Q66" s="42" t="str">
        <f aca="false">IF(P66="","",LEN(P66))</f>
        <v/>
      </c>
      <c r="R66" s="47"/>
      <c r="S66" s="37"/>
      <c r="T66" s="38"/>
      <c r="U66" s="43" t="str">
        <f aca="false">IF(OR(R66&lt;&gt;"Yes",A66=""),"",A66+4)</f>
        <v/>
      </c>
      <c r="V66" s="47"/>
      <c r="W66" s="38"/>
      <c r="X66" s="38"/>
      <c r="Y66" s="44"/>
      <c r="Z66" s="44"/>
      <c r="AA66" s="45" t="str">
        <f aca="false">IF(AND($Y66="",$Z66=""),"",ROUND(IFERROR(VALUE(LEFT($Y66,1)),0)*12+IFERROR(VALUE(LEFT($Z66,1)),0)*8,0))</f>
        <v/>
      </c>
      <c r="AB66" s="45" t="str">
        <f aca="false">IF($AA66="","",IF($AA66&gt;=80,"A - call first",IF($AA66&gt;=60,"B - worth pursuing",IF($AA66&gt;=40,"C - nurture","D - do not spend time here"))))</f>
        <v/>
      </c>
      <c r="AC66" s="46" t="str">
        <f aca="false">IF($C66="","",IF($S66="Converted","7 Certification / Enterprise opportunity",IF($S66="Application Started","7 Certification / Enterprise opportunity",IF($S66="Meeting Booked","6 Meeting / Application",IF(OR($S66="Interested",$S66="Info Requested"),"5 Interested",IF(OR($S66="Declined",$S66="Not Relevant"),"0 Closed - no",IF($R66="Yes","4 Contacted",IF($N66="Yes","2 Engaged",IF($M66="Yes","1 Awareness",IF($AA66&gt;=60,"3 Qualified","1 Awareness"))))))))))</f>
        <v/>
      </c>
    </row>
    <row r="67" customFormat="false" ht="30" hidden="false" customHeight="true" outlineLevel="0" collapsed="false">
      <c r="A67" s="36"/>
      <c r="B67" s="37"/>
      <c r="C67" s="37"/>
      <c r="D67" s="37"/>
      <c r="E67" s="37"/>
      <c r="F67" s="37"/>
      <c r="G67" s="37"/>
      <c r="H67" s="37"/>
      <c r="I67" s="37"/>
      <c r="J67" s="47"/>
      <c r="K67" s="41" t="str">
        <f aca="false">IF(J67="","",IF(J67&gt;=8,"Yes","Check"))</f>
        <v/>
      </c>
      <c r="L67" s="38"/>
      <c r="M67" s="47"/>
      <c r="N67" s="47"/>
      <c r="O67" s="37"/>
      <c r="P67" s="38"/>
      <c r="Q67" s="42" t="str">
        <f aca="false">IF(P67="","",LEN(P67))</f>
        <v/>
      </c>
      <c r="R67" s="47"/>
      <c r="S67" s="37"/>
      <c r="T67" s="38"/>
      <c r="U67" s="43" t="str">
        <f aca="false">IF(OR(R67&lt;&gt;"Yes",A67=""),"",A67+4)</f>
        <v/>
      </c>
      <c r="V67" s="47"/>
      <c r="W67" s="38"/>
      <c r="X67" s="38"/>
      <c r="Y67" s="44"/>
      <c r="Z67" s="44"/>
      <c r="AA67" s="45" t="str">
        <f aca="false">IF(AND($Y67="",$Z67=""),"",ROUND(IFERROR(VALUE(LEFT($Y67,1)),0)*12+IFERROR(VALUE(LEFT($Z67,1)),0)*8,0))</f>
        <v/>
      </c>
      <c r="AB67" s="45" t="str">
        <f aca="false">IF($AA67="","",IF($AA67&gt;=80,"A - call first",IF($AA67&gt;=60,"B - worth pursuing",IF($AA67&gt;=40,"C - nurture","D - do not spend time here"))))</f>
        <v/>
      </c>
      <c r="AC67" s="46" t="str">
        <f aca="false">IF($C67="","",IF($S67="Converted","7 Certification / Enterprise opportunity",IF($S67="Application Started","7 Certification / Enterprise opportunity",IF($S67="Meeting Booked","6 Meeting / Application",IF(OR($S67="Interested",$S67="Info Requested"),"5 Interested",IF(OR($S67="Declined",$S67="Not Relevant"),"0 Closed - no",IF($R67="Yes","4 Contacted",IF($N67="Yes","2 Engaged",IF($M67="Yes","1 Awareness",IF($AA67&gt;=60,"3 Qualified","1 Awareness"))))))))))</f>
        <v/>
      </c>
    </row>
    <row r="68" customFormat="false" ht="30" hidden="false" customHeight="true" outlineLevel="0" collapsed="false">
      <c r="A68" s="36"/>
      <c r="B68" s="37"/>
      <c r="C68" s="37"/>
      <c r="D68" s="37"/>
      <c r="E68" s="37"/>
      <c r="F68" s="37"/>
      <c r="G68" s="37"/>
      <c r="H68" s="37"/>
      <c r="I68" s="37"/>
      <c r="J68" s="47"/>
      <c r="K68" s="41" t="str">
        <f aca="false">IF(J68="","",IF(J68&gt;=8,"Yes","Check"))</f>
        <v/>
      </c>
      <c r="L68" s="38"/>
      <c r="M68" s="47"/>
      <c r="N68" s="47"/>
      <c r="O68" s="37"/>
      <c r="P68" s="38"/>
      <c r="Q68" s="42" t="str">
        <f aca="false">IF(P68="","",LEN(P68))</f>
        <v/>
      </c>
      <c r="R68" s="47"/>
      <c r="S68" s="37"/>
      <c r="T68" s="38"/>
      <c r="U68" s="43" t="str">
        <f aca="false">IF(OR(R68&lt;&gt;"Yes",A68=""),"",A68+4)</f>
        <v/>
      </c>
      <c r="V68" s="47"/>
      <c r="W68" s="38"/>
      <c r="X68" s="38"/>
      <c r="Y68" s="44"/>
      <c r="Z68" s="44"/>
      <c r="AA68" s="45" t="str">
        <f aca="false">IF(AND($Y68="",$Z68=""),"",ROUND(IFERROR(VALUE(LEFT($Y68,1)),0)*12+IFERROR(VALUE(LEFT($Z68,1)),0)*8,0))</f>
        <v/>
      </c>
      <c r="AB68" s="45" t="str">
        <f aca="false">IF($AA68="","",IF($AA68&gt;=80,"A - call first",IF($AA68&gt;=60,"B - worth pursuing",IF($AA68&gt;=40,"C - nurture","D - do not spend time here"))))</f>
        <v/>
      </c>
      <c r="AC68" s="46" t="str">
        <f aca="false">IF($C68="","",IF($S68="Converted","7 Certification / Enterprise opportunity",IF($S68="Application Started","7 Certification / Enterprise opportunity",IF($S68="Meeting Booked","6 Meeting / Application",IF(OR($S68="Interested",$S68="Info Requested"),"5 Interested",IF(OR($S68="Declined",$S68="Not Relevant"),"0 Closed - no",IF($R68="Yes","4 Contacted",IF($N68="Yes","2 Engaged",IF($M68="Yes","1 Awareness",IF($AA68&gt;=60,"3 Qualified","1 Awareness"))))))))))</f>
        <v/>
      </c>
    </row>
    <row r="69" customFormat="false" ht="30" hidden="false" customHeight="true" outlineLevel="0" collapsed="false">
      <c r="A69" s="36"/>
      <c r="B69" s="37"/>
      <c r="C69" s="37"/>
      <c r="D69" s="37"/>
      <c r="E69" s="37"/>
      <c r="F69" s="37"/>
      <c r="G69" s="37"/>
      <c r="H69" s="37"/>
      <c r="I69" s="37"/>
      <c r="J69" s="47"/>
      <c r="K69" s="41" t="str">
        <f aca="false">IF(J69="","",IF(J69&gt;=8,"Yes","Check"))</f>
        <v/>
      </c>
      <c r="L69" s="38"/>
      <c r="M69" s="47"/>
      <c r="N69" s="47"/>
      <c r="O69" s="37"/>
      <c r="P69" s="38"/>
      <c r="Q69" s="42" t="str">
        <f aca="false">IF(P69="","",LEN(P69))</f>
        <v/>
      </c>
      <c r="R69" s="47"/>
      <c r="S69" s="37"/>
      <c r="T69" s="38"/>
      <c r="U69" s="43" t="str">
        <f aca="false">IF(OR(R69&lt;&gt;"Yes",A69=""),"",A69+4)</f>
        <v/>
      </c>
      <c r="V69" s="47"/>
      <c r="W69" s="38"/>
      <c r="X69" s="38"/>
      <c r="Y69" s="44"/>
      <c r="Z69" s="44"/>
      <c r="AA69" s="45" t="str">
        <f aca="false">IF(AND($Y69="",$Z69=""),"",ROUND(IFERROR(VALUE(LEFT($Y69,1)),0)*12+IFERROR(VALUE(LEFT($Z69,1)),0)*8,0))</f>
        <v/>
      </c>
      <c r="AB69" s="45" t="str">
        <f aca="false">IF($AA69="","",IF($AA69&gt;=80,"A - call first",IF($AA69&gt;=60,"B - worth pursuing",IF($AA69&gt;=40,"C - nurture","D - do not spend time here"))))</f>
        <v/>
      </c>
      <c r="AC69" s="46" t="str">
        <f aca="false">IF($C69="","",IF($S69="Converted","7 Certification / Enterprise opportunity",IF($S69="Application Started","7 Certification / Enterprise opportunity",IF($S69="Meeting Booked","6 Meeting / Application",IF(OR($S69="Interested",$S69="Info Requested"),"5 Interested",IF(OR($S69="Declined",$S69="Not Relevant"),"0 Closed - no",IF($R69="Yes","4 Contacted",IF($N69="Yes","2 Engaged",IF($M69="Yes","1 Awareness",IF($AA69&gt;=60,"3 Qualified","1 Awareness"))))))))))</f>
        <v/>
      </c>
    </row>
    <row r="70" customFormat="false" ht="30" hidden="false" customHeight="true" outlineLevel="0" collapsed="false">
      <c r="A70" s="36"/>
      <c r="B70" s="37"/>
      <c r="C70" s="37"/>
      <c r="D70" s="37"/>
      <c r="E70" s="37"/>
      <c r="F70" s="37"/>
      <c r="G70" s="37"/>
      <c r="H70" s="37"/>
      <c r="I70" s="37"/>
      <c r="J70" s="47"/>
      <c r="K70" s="41" t="str">
        <f aca="false">IF(J70="","",IF(J70&gt;=8,"Yes","Check"))</f>
        <v/>
      </c>
      <c r="L70" s="38"/>
      <c r="M70" s="47"/>
      <c r="N70" s="47"/>
      <c r="O70" s="37"/>
      <c r="P70" s="38"/>
      <c r="Q70" s="42" t="str">
        <f aca="false">IF(P70="","",LEN(P70))</f>
        <v/>
      </c>
      <c r="R70" s="47"/>
      <c r="S70" s="37"/>
      <c r="T70" s="38"/>
      <c r="U70" s="43" t="str">
        <f aca="false">IF(OR(R70&lt;&gt;"Yes",A70=""),"",A70+4)</f>
        <v/>
      </c>
      <c r="V70" s="47"/>
      <c r="W70" s="38"/>
      <c r="X70" s="38"/>
      <c r="Y70" s="44"/>
      <c r="Z70" s="44"/>
      <c r="AA70" s="45" t="str">
        <f aca="false">IF(AND($Y70="",$Z70=""),"",ROUND(IFERROR(VALUE(LEFT($Y70,1)),0)*12+IFERROR(VALUE(LEFT($Z70,1)),0)*8,0))</f>
        <v/>
      </c>
      <c r="AB70" s="45" t="str">
        <f aca="false">IF($AA70="","",IF($AA70&gt;=80,"A - call first",IF($AA70&gt;=60,"B - worth pursuing",IF($AA70&gt;=40,"C - nurture","D - do not spend time here"))))</f>
        <v/>
      </c>
      <c r="AC70" s="46" t="str">
        <f aca="false">IF($C70="","",IF($S70="Converted","7 Certification / Enterprise opportunity",IF($S70="Application Started","7 Certification / Enterprise opportunity",IF($S70="Meeting Booked","6 Meeting / Application",IF(OR($S70="Interested",$S70="Info Requested"),"5 Interested",IF(OR($S70="Declined",$S70="Not Relevant"),"0 Closed - no",IF($R70="Yes","4 Contacted",IF($N70="Yes","2 Engaged",IF($M70="Yes","1 Awareness",IF($AA70&gt;=60,"3 Qualified","1 Awareness"))))))))))</f>
        <v/>
      </c>
    </row>
    <row r="71" customFormat="false" ht="30" hidden="false" customHeight="true" outlineLevel="0" collapsed="false">
      <c r="A71" s="36"/>
      <c r="B71" s="37"/>
      <c r="C71" s="37"/>
      <c r="D71" s="37"/>
      <c r="E71" s="37"/>
      <c r="F71" s="37"/>
      <c r="G71" s="37"/>
      <c r="H71" s="37"/>
      <c r="I71" s="37"/>
      <c r="J71" s="47"/>
      <c r="K71" s="41" t="str">
        <f aca="false">IF(J71="","",IF(J71&gt;=8,"Yes","Check"))</f>
        <v/>
      </c>
      <c r="L71" s="38"/>
      <c r="M71" s="47"/>
      <c r="N71" s="47"/>
      <c r="O71" s="37"/>
      <c r="P71" s="38"/>
      <c r="Q71" s="42" t="str">
        <f aca="false">IF(P71="","",LEN(P71))</f>
        <v/>
      </c>
      <c r="R71" s="47"/>
      <c r="S71" s="37"/>
      <c r="T71" s="38"/>
      <c r="U71" s="43" t="str">
        <f aca="false">IF(OR(R71&lt;&gt;"Yes",A71=""),"",A71+4)</f>
        <v/>
      </c>
      <c r="V71" s="47"/>
      <c r="W71" s="38"/>
      <c r="X71" s="38"/>
      <c r="Y71" s="44"/>
      <c r="Z71" s="44"/>
      <c r="AA71" s="45" t="str">
        <f aca="false">IF(AND($Y71="",$Z71=""),"",ROUND(IFERROR(VALUE(LEFT($Y71,1)),0)*12+IFERROR(VALUE(LEFT($Z71,1)),0)*8,0))</f>
        <v/>
      </c>
      <c r="AB71" s="45" t="str">
        <f aca="false">IF($AA71="","",IF($AA71&gt;=80,"A - call first",IF($AA71&gt;=60,"B - worth pursuing",IF($AA71&gt;=40,"C - nurture","D - do not spend time here"))))</f>
        <v/>
      </c>
      <c r="AC71" s="46" t="str">
        <f aca="false">IF($C71="","",IF($S71="Converted","7 Certification / Enterprise opportunity",IF($S71="Application Started","7 Certification / Enterprise opportunity",IF($S71="Meeting Booked","6 Meeting / Application",IF(OR($S71="Interested",$S71="Info Requested"),"5 Interested",IF(OR($S71="Declined",$S71="Not Relevant"),"0 Closed - no",IF($R71="Yes","4 Contacted",IF($N71="Yes","2 Engaged",IF($M71="Yes","1 Awareness",IF($AA71&gt;=60,"3 Qualified","1 Awareness"))))))))))</f>
        <v/>
      </c>
    </row>
    <row r="72" customFormat="false" ht="30" hidden="false" customHeight="true" outlineLevel="0" collapsed="false">
      <c r="A72" s="36"/>
      <c r="B72" s="37"/>
      <c r="C72" s="37"/>
      <c r="D72" s="37"/>
      <c r="E72" s="37"/>
      <c r="F72" s="37"/>
      <c r="G72" s="37"/>
      <c r="H72" s="37"/>
      <c r="I72" s="37"/>
      <c r="J72" s="47"/>
      <c r="K72" s="41" t="str">
        <f aca="false">IF(J72="","",IF(J72&gt;=8,"Yes","Check"))</f>
        <v/>
      </c>
      <c r="L72" s="38"/>
      <c r="M72" s="47"/>
      <c r="N72" s="47"/>
      <c r="O72" s="37"/>
      <c r="P72" s="38"/>
      <c r="Q72" s="42" t="str">
        <f aca="false">IF(P72="","",LEN(P72))</f>
        <v/>
      </c>
      <c r="R72" s="47"/>
      <c r="S72" s="37"/>
      <c r="T72" s="38"/>
      <c r="U72" s="43" t="str">
        <f aca="false">IF(OR(R72&lt;&gt;"Yes",A72=""),"",A72+4)</f>
        <v/>
      </c>
      <c r="V72" s="47"/>
      <c r="W72" s="38"/>
      <c r="X72" s="38"/>
      <c r="Y72" s="44"/>
      <c r="Z72" s="44"/>
      <c r="AA72" s="45" t="str">
        <f aca="false">IF(AND($Y72="",$Z72=""),"",ROUND(IFERROR(VALUE(LEFT($Y72,1)),0)*12+IFERROR(VALUE(LEFT($Z72,1)),0)*8,0))</f>
        <v/>
      </c>
      <c r="AB72" s="45" t="str">
        <f aca="false">IF($AA72="","",IF($AA72&gt;=80,"A - call first",IF($AA72&gt;=60,"B - worth pursuing",IF($AA72&gt;=40,"C - nurture","D - do not spend time here"))))</f>
        <v/>
      </c>
      <c r="AC72" s="46" t="str">
        <f aca="false">IF($C72="","",IF($S72="Converted","7 Certification / Enterprise opportunity",IF($S72="Application Started","7 Certification / Enterprise opportunity",IF($S72="Meeting Booked","6 Meeting / Application",IF(OR($S72="Interested",$S72="Info Requested"),"5 Interested",IF(OR($S72="Declined",$S72="Not Relevant"),"0 Closed - no",IF($R72="Yes","4 Contacted",IF($N72="Yes","2 Engaged",IF($M72="Yes","1 Awareness",IF($AA72&gt;=60,"3 Qualified","1 Awareness"))))))))))</f>
        <v/>
      </c>
    </row>
    <row r="73" customFormat="false" ht="30" hidden="false" customHeight="true" outlineLevel="0" collapsed="false">
      <c r="A73" s="36"/>
      <c r="B73" s="37"/>
      <c r="C73" s="37"/>
      <c r="D73" s="37"/>
      <c r="E73" s="37"/>
      <c r="F73" s="37"/>
      <c r="G73" s="37"/>
      <c r="H73" s="37"/>
      <c r="I73" s="37"/>
      <c r="J73" s="47"/>
      <c r="K73" s="41" t="str">
        <f aca="false">IF(J73="","",IF(J73&gt;=8,"Yes","Check"))</f>
        <v/>
      </c>
      <c r="L73" s="38"/>
      <c r="M73" s="47"/>
      <c r="N73" s="47"/>
      <c r="O73" s="37"/>
      <c r="P73" s="38"/>
      <c r="Q73" s="42" t="str">
        <f aca="false">IF(P73="","",LEN(P73))</f>
        <v/>
      </c>
      <c r="R73" s="47"/>
      <c r="S73" s="37"/>
      <c r="T73" s="38"/>
      <c r="U73" s="43" t="str">
        <f aca="false">IF(OR(R73&lt;&gt;"Yes",A73=""),"",A73+4)</f>
        <v/>
      </c>
      <c r="V73" s="47"/>
      <c r="W73" s="38"/>
      <c r="X73" s="38"/>
      <c r="Y73" s="44"/>
      <c r="Z73" s="44"/>
      <c r="AA73" s="45" t="str">
        <f aca="false">IF(AND($Y73="",$Z73=""),"",ROUND(IFERROR(VALUE(LEFT($Y73,1)),0)*12+IFERROR(VALUE(LEFT($Z73,1)),0)*8,0))</f>
        <v/>
      </c>
      <c r="AB73" s="45" t="str">
        <f aca="false">IF($AA73="","",IF($AA73&gt;=80,"A - call first",IF($AA73&gt;=60,"B - worth pursuing",IF($AA73&gt;=40,"C - nurture","D - do not spend time here"))))</f>
        <v/>
      </c>
      <c r="AC73" s="46" t="str">
        <f aca="false">IF($C73="","",IF($S73="Converted","7 Certification / Enterprise opportunity",IF($S73="Application Started","7 Certification / Enterprise opportunity",IF($S73="Meeting Booked","6 Meeting / Application",IF(OR($S73="Interested",$S73="Info Requested"),"5 Interested",IF(OR($S73="Declined",$S73="Not Relevant"),"0 Closed - no",IF($R73="Yes","4 Contacted",IF($N73="Yes","2 Engaged",IF($M73="Yes","1 Awareness",IF($AA73&gt;=60,"3 Qualified","1 Awareness"))))))))))</f>
        <v/>
      </c>
    </row>
    <row r="74" customFormat="false" ht="30" hidden="false" customHeight="true" outlineLevel="0" collapsed="false">
      <c r="A74" s="36"/>
      <c r="B74" s="37"/>
      <c r="C74" s="37"/>
      <c r="D74" s="37"/>
      <c r="E74" s="37"/>
      <c r="F74" s="37"/>
      <c r="G74" s="37"/>
      <c r="H74" s="37"/>
      <c r="I74" s="37"/>
      <c r="J74" s="47"/>
      <c r="K74" s="41" t="str">
        <f aca="false">IF(J74="","",IF(J74&gt;=8,"Yes","Check"))</f>
        <v/>
      </c>
      <c r="L74" s="38"/>
      <c r="M74" s="47"/>
      <c r="N74" s="47"/>
      <c r="O74" s="37"/>
      <c r="P74" s="38"/>
      <c r="Q74" s="42" t="str">
        <f aca="false">IF(P74="","",LEN(P74))</f>
        <v/>
      </c>
      <c r="R74" s="47"/>
      <c r="S74" s="37"/>
      <c r="T74" s="38"/>
      <c r="U74" s="43" t="str">
        <f aca="false">IF(OR(R74&lt;&gt;"Yes",A74=""),"",A74+4)</f>
        <v/>
      </c>
      <c r="V74" s="47"/>
      <c r="W74" s="38"/>
      <c r="X74" s="38"/>
      <c r="Y74" s="44"/>
      <c r="Z74" s="44"/>
      <c r="AA74" s="45" t="str">
        <f aca="false">IF(AND($Y74="",$Z74=""),"",ROUND(IFERROR(VALUE(LEFT($Y74,1)),0)*12+IFERROR(VALUE(LEFT($Z74,1)),0)*8,0))</f>
        <v/>
      </c>
      <c r="AB74" s="45" t="str">
        <f aca="false">IF($AA74="","",IF($AA74&gt;=80,"A - call first",IF($AA74&gt;=60,"B - worth pursuing",IF($AA74&gt;=40,"C - nurture","D - do not spend time here"))))</f>
        <v/>
      </c>
      <c r="AC74" s="46" t="str">
        <f aca="false">IF($C74="","",IF($S74="Converted","7 Certification / Enterprise opportunity",IF($S74="Application Started","7 Certification / Enterprise opportunity",IF($S74="Meeting Booked","6 Meeting / Application",IF(OR($S74="Interested",$S74="Info Requested"),"5 Interested",IF(OR($S74="Declined",$S74="Not Relevant"),"0 Closed - no",IF($R74="Yes","4 Contacted",IF($N74="Yes","2 Engaged",IF($M74="Yes","1 Awareness",IF($AA74&gt;=60,"3 Qualified","1 Awareness"))))))))))</f>
        <v/>
      </c>
    </row>
    <row r="75" customFormat="false" ht="30" hidden="false" customHeight="true" outlineLevel="0" collapsed="false">
      <c r="A75" s="36"/>
      <c r="B75" s="37"/>
      <c r="C75" s="37"/>
      <c r="D75" s="37"/>
      <c r="E75" s="37"/>
      <c r="F75" s="37"/>
      <c r="G75" s="37"/>
      <c r="H75" s="37"/>
      <c r="I75" s="37"/>
      <c r="J75" s="47"/>
      <c r="K75" s="41" t="str">
        <f aca="false">IF(J75="","",IF(J75&gt;=8,"Yes","Check"))</f>
        <v/>
      </c>
      <c r="L75" s="38"/>
      <c r="M75" s="47"/>
      <c r="N75" s="47"/>
      <c r="O75" s="37"/>
      <c r="P75" s="38"/>
      <c r="Q75" s="42" t="str">
        <f aca="false">IF(P75="","",LEN(P75))</f>
        <v/>
      </c>
      <c r="R75" s="47"/>
      <c r="S75" s="37"/>
      <c r="T75" s="38"/>
      <c r="U75" s="43" t="str">
        <f aca="false">IF(OR(R75&lt;&gt;"Yes",A75=""),"",A75+4)</f>
        <v/>
      </c>
      <c r="V75" s="47"/>
      <c r="W75" s="38"/>
      <c r="X75" s="38"/>
      <c r="Y75" s="44"/>
      <c r="Z75" s="44"/>
      <c r="AA75" s="45" t="str">
        <f aca="false">IF(AND($Y75="",$Z75=""),"",ROUND(IFERROR(VALUE(LEFT($Y75,1)),0)*12+IFERROR(VALUE(LEFT($Z75,1)),0)*8,0))</f>
        <v/>
      </c>
      <c r="AB75" s="45" t="str">
        <f aca="false">IF($AA75="","",IF($AA75&gt;=80,"A - call first",IF($AA75&gt;=60,"B - worth pursuing",IF($AA75&gt;=40,"C - nurture","D - do not spend time here"))))</f>
        <v/>
      </c>
      <c r="AC75" s="46" t="str">
        <f aca="false">IF($C75="","",IF($S75="Converted","7 Certification / Enterprise opportunity",IF($S75="Application Started","7 Certification / Enterprise opportunity",IF($S75="Meeting Booked","6 Meeting / Application",IF(OR($S75="Interested",$S75="Info Requested"),"5 Interested",IF(OR($S75="Declined",$S75="Not Relevant"),"0 Closed - no",IF($R75="Yes","4 Contacted",IF($N75="Yes","2 Engaged",IF($M75="Yes","1 Awareness",IF($AA75&gt;=60,"3 Qualified","1 Awareness"))))))))))</f>
        <v/>
      </c>
    </row>
    <row r="76" customFormat="false" ht="30" hidden="false" customHeight="true" outlineLevel="0" collapsed="false">
      <c r="A76" s="36"/>
      <c r="B76" s="37"/>
      <c r="C76" s="37"/>
      <c r="D76" s="37"/>
      <c r="E76" s="37"/>
      <c r="F76" s="37"/>
      <c r="G76" s="37"/>
      <c r="H76" s="37"/>
      <c r="I76" s="37"/>
      <c r="J76" s="47"/>
      <c r="K76" s="41" t="str">
        <f aca="false">IF(J76="","",IF(J76&gt;=8,"Yes","Check"))</f>
        <v/>
      </c>
      <c r="L76" s="38"/>
      <c r="M76" s="47"/>
      <c r="N76" s="47"/>
      <c r="O76" s="37"/>
      <c r="P76" s="38"/>
      <c r="Q76" s="42" t="str">
        <f aca="false">IF(P76="","",LEN(P76))</f>
        <v/>
      </c>
      <c r="R76" s="47"/>
      <c r="S76" s="37"/>
      <c r="T76" s="38"/>
      <c r="U76" s="43" t="str">
        <f aca="false">IF(OR(R76&lt;&gt;"Yes",A76=""),"",A76+4)</f>
        <v/>
      </c>
      <c r="V76" s="47"/>
      <c r="W76" s="38"/>
      <c r="X76" s="38"/>
      <c r="Y76" s="44"/>
      <c r="Z76" s="44"/>
      <c r="AA76" s="45" t="str">
        <f aca="false">IF(AND($Y76="",$Z76=""),"",ROUND(IFERROR(VALUE(LEFT($Y76,1)),0)*12+IFERROR(VALUE(LEFT($Z76,1)),0)*8,0))</f>
        <v/>
      </c>
      <c r="AB76" s="45" t="str">
        <f aca="false">IF($AA76="","",IF($AA76&gt;=80,"A - call first",IF($AA76&gt;=60,"B - worth pursuing",IF($AA76&gt;=40,"C - nurture","D - do not spend time here"))))</f>
        <v/>
      </c>
      <c r="AC76" s="46" t="str">
        <f aca="false">IF($C76="","",IF($S76="Converted","7 Certification / Enterprise opportunity",IF($S76="Application Started","7 Certification / Enterprise opportunity",IF($S76="Meeting Booked","6 Meeting / Application",IF(OR($S76="Interested",$S76="Info Requested"),"5 Interested",IF(OR($S76="Declined",$S76="Not Relevant"),"0 Closed - no",IF($R76="Yes","4 Contacted",IF($N76="Yes","2 Engaged",IF($M76="Yes","1 Awareness",IF($AA76&gt;=60,"3 Qualified","1 Awareness"))))))))))</f>
        <v/>
      </c>
    </row>
    <row r="77" customFormat="false" ht="30" hidden="false" customHeight="true" outlineLevel="0" collapsed="false">
      <c r="A77" s="36"/>
      <c r="B77" s="37"/>
      <c r="C77" s="37"/>
      <c r="D77" s="37"/>
      <c r="E77" s="37"/>
      <c r="F77" s="37"/>
      <c r="G77" s="37"/>
      <c r="H77" s="37"/>
      <c r="I77" s="37"/>
      <c r="J77" s="47"/>
      <c r="K77" s="41" t="str">
        <f aca="false">IF(J77="","",IF(J77&gt;=8,"Yes","Check"))</f>
        <v/>
      </c>
      <c r="L77" s="38"/>
      <c r="M77" s="47"/>
      <c r="N77" s="47"/>
      <c r="O77" s="37"/>
      <c r="P77" s="38"/>
      <c r="Q77" s="42" t="str">
        <f aca="false">IF(P77="","",LEN(P77))</f>
        <v/>
      </c>
      <c r="R77" s="47"/>
      <c r="S77" s="37"/>
      <c r="T77" s="38"/>
      <c r="U77" s="43" t="str">
        <f aca="false">IF(OR(R77&lt;&gt;"Yes",A77=""),"",A77+4)</f>
        <v/>
      </c>
      <c r="V77" s="47"/>
      <c r="W77" s="38"/>
      <c r="X77" s="38"/>
      <c r="Y77" s="44"/>
      <c r="Z77" s="44"/>
      <c r="AA77" s="45" t="str">
        <f aca="false">IF(AND($Y77="",$Z77=""),"",ROUND(IFERROR(VALUE(LEFT($Y77,1)),0)*12+IFERROR(VALUE(LEFT($Z77,1)),0)*8,0))</f>
        <v/>
      </c>
      <c r="AB77" s="45" t="str">
        <f aca="false">IF($AA77="","",IF($AA77&gt;=80,"A - call first",IF($AA77&gt;=60,"B - worth pursuing",IF($AA77&gt;=40,"C - nurture","D - do not spend time here"))))</f>
        <v/>
      </c>
      <c r="AC77" s="46" t="str">
        <f aca="false">IF($C77="","",IF($S77="Converted","7 Certification / Enterprise opportunity",IF($S77="Application Started","7 Certification / Enterprise opportunity",IF($S77="Meeting Booked","6 Meeting / Application",IF(OR($S77="Interested",$S77="Info Requested"),"5 Interested",IF(OR($S77="Declined",$S77="Not Relevant"),"0 Closed - no",IF($R77="Yes","4 Contacted",IF($N77="Yes","2 Engaged",IF($M77="Yes","1 Awareness",IF($AA77&gt;=60,"3 Qualified","1 Awareness"))))))))))</f>
        <v/>
      </c>
    </row>
    <row r="78" customFormat="false" ht="30" hidden="false" customHeight="true" outlineLevel="0" collapsed="false">
      <c r="A78" s="36"/>
      <c r="B78" s="37"/>
      <c r="C78" s="37"/>
      <c r="D78" s="37"/>
      <c r="E78" s="37"/>
      <c r="F78" s="37"/>
      <c r="G78" s="37"/>
      <c r="H78" s="37"/>
      <c r="I78" s="37"/>
      <c r="J78" s="47"/>
      <c r="K78" s="41" t="str">
        <f aca="false">IF(J78="","",IF(J78&gt;=8,"Yes","Check"))</f>
        <v/>
      </c>
      <c r="L78" s="38"/>
      <c r="M78" s="47"/>
      <c r="N78" s="47"/>
      <c r="O78" s="37"/>
      <c r="P78" s="38"/>
      <c r="Q78" s="42" t="str">
        <f aca="false">IF(P78="","",LEN(P78))</f>
        <v/>
      </c>
      <c r="R78" s="47"/>
      <c r="S78" s="37"/>
      <c r="T78" s="38"/>
      <c r="U78" s="43" t="str">
        <f aca="false">IF(OR(R78&lt;&gt;"Yes",A78=""),"",A78+4)</f>
        <v/>
      </c>
      <c r="V78" s="47"/>
      <c r="W78" s="38"/>
      <c r="X78" s="38"/>
      <c r="Y78" s="44"/>
      <c r="Z78" s="44"/>
      <c r="AA78" s="45" t="str">
        <f aca="false">IF(AND($Y78="",$Z78=""),"",ROUND(IFERROR(VALUE(LEFT($Y78,1)),0)*12+IFERROR(VALUE(LEFT($Z78,1)),0)*8,0))</f>
        <v/>
      </c>
      <c r="AB78" s="45" t="str">
        <f aca="false">IF($AA78="","",IF($AA78&gt;=80,"A - call first",IF($AA78&gt;=60,"B - worth pursuing",IF($AA78&gt;=40,"C - nurture","D - do not spend time here"))))</f>
        <v/>
      </c>
      <c r="AC78" s="46" t="str">
        <f aca="false">IF($C78="","",IF($S78="Converted","7 Certification / Enterprise opportunity",IF($S78="Application Started","7 Certification / Enterprise opportunity",IF($S78="Meeting Booked","6 Meeting / Application",IF(OR($S78="Interested",$S78="Info Requested"),"5 Interested",IF(OR($S78="Declined",$S78="Not Relevant"),"0 Closed - no",IF($R78="Yes","4 Contacted",IF($N78="Yes","2 Engaged",IF($M78="Yes","1 Awareness",IF($AA78&gt;=60,"3 Qualified","1 Awareness"))))))))))</f>
        <v/>
      </c>
    </row>
    <row r="79" customFormat="false" ht="30" hidden="false" customHeight="true" outlineLevel="0" collapsed="false">
      <c r="A79" s="36"/>
      <c r="B79" s="37"/>
      <c r="C79" s="37"/>
      <c r="D79" s="37"/>
      <c r="E79" s="37"/>
      <c r="F79" s="37"/>
      <c r="G79" s="37"/>
      <c r="H79" s="37"/>
      <c r="I79" s="37"/>
      <c r="J79" s="47"/>
      <c r="K79" s="41" t="str">
        <f aca="false">IF(J79="","",IF(J79&gt;=8,"Yes","Check"))</f>
        <v/>
      </c>
      <c r="L79" s="38"/>
      <c r="M79" s="47"/>
      <c r="N79" s="47"/>
      <c r="O79" s="37"/>
      <c r="P79" s="38"/>
      <c r="Q79" s="42" t="str">
        <f aca="false">IF(P79="","",LEN(P79))</f>
        <v/>
      </c>
      <c r="R79" s="47"/>
      <c r="S79" s="37"/>
      <c r="T79" s="38"/>
      <c r="U79" s="43" t="str">
        <f aca="false">IF(OR(R79&lt;&gt;"Yes",A79=""),"",A79+4)</f>
        <v/>
      </c>
      <c r="V79" s="47"/>
      <c r="W79" s="38"/>
      <c r="X79" s="38"/>
      <c r="Y79" s="44"/>
      <c r="Z79" s="44"/>
      <c r="AA79" s="45" t="str">
        <f aca="false">IF(AND($Y79="",$Z79=""),"",ROUND(IFERROR(VALUE(LEFT($Y79,1)),0)*12+IFERROR(VALUE(LEFT($Z79,1)),0)*8,0))</f>
        <v/>
      </c>
      <c r="AB79" s="45" t="str">
        <f aca="false">IF($AA79="","",IF($AA79&gt;=80,"A - call first",IF($AA79&gt;=60,"B - worth pursuing",IF($AA79&gt;=40,"C - nurture","D - do not spend time here"))))</f>
        <v/>
      </c>
      <c r="AC79" s="46" t="str">
        <f aca="false">IF($C79="","",IF($S79="Converted","7 Certification / Enterprise opportunity",IF($S79="Application Started","7 Certification / Enterprise opportunity",IF($S79="Meeting Booked","6 Meeting / Application",IF(OR($S79="Interested",$S79="Info Requested"),"5 Interested",IF(OR($S79="Declined",$S79="Not Relevant"),"0 Closed - no",IF($R79="Yes","4 Contacted",IF($N79="Yes","2 Engaged",IF($M79="Yes","1 Awareness",IF($AA79&gt;=60,"3 Qualified","1 Awareness"))))))))))</f>
        <v/>
      </c>
    </row>
    <row r="80" customFormat="false" ht="30" hidden="false" customHeight="true" outlineLevel="0" collapsed="false">
      <c r="A80" s="36"/>
      <c r="B80" s="37"/>
      <c r="C80" s="37"/>
      <c r="D80" s="37"/>
      <c r="E80" s="37"/>
      <c r="F80" s="37"/>
      <c r="G80" s="37"/>
      <c r="H80" s="37"/>
      <c r="I80" s="37"/>
      <c r="J80" s="47"/>
      <c r="K80" s="41" t="str">
        <f aca="false">IF(J80="","",IF(J80&gt;=8,"Yes","Check"))</f>
        <v/>
      </c>
      <c r="L80" s="38"/>
      <c r="M80" s="47"/>
      <c r="N80" s="47"/>
      <c r="O80" s="37"/>
      <c r="P80" s="38"/>
      <c r="Q80" s="42" t="str">
        <f aca="false">IF(P80="","",LEN(P80))</f>
        <v/>
      </c>
      <c r="R80" s="47"/>
      <c r="S80" s="37"/>
      <c r="T80" s="38"/>
      <c r="U80" s="43" t="str">
        <f aca="false">IF(OR(R80&lt;&gt;"Yes",A80=""),"",A80+4)</f>
        <v/>
      </c>
      <c r="V80" s="47"/>
      <c r="W80" s="38"/>
      <c r="X80" s="38"/>
      <c r="Y80" s="44"/>
      <c r="Z80" s="44"/>
      <c r="AA80" s="45" t="str">
        <f aca="false">IF(AND($Y80="",$Z80=""),"",ROUND(IFERROR(VALUE(LEFT($Y80,1)),0)*12+IFERROR(VALUE(LEFT($Z80,1)),0)*8,0))</f>
        <v/>
      </c>
      <c r="AB80" s="45" t="str">
        <f aca="false">IF($AA80="","",IF($AA80&gt;=80,"A - call first",IF($AA80&gt;=60,"B - worth pursuing",IF($AA80&gt;=40,"C - nurture","D - do not spend time here"))))</f>
        <v/>
      </c>
      <c r="AC80" s="46" t="str">
        <f aca="false">IF($C80="","",IF($S80="Converted","7 Certification / Enterprise opportunity",IF($S80="Application Started","7 Certification / Enterprise opportunity",IF($S80="Meeting Booked","6 Meeting / Application",IF(OR($S80="Interested",$S80="Info Requested"),"5 Interested",IF(OR($S80="Declined",$S80="Not Relevant"),"0 Closed - no",IF($R80="Yes","4 Contacted",IF($N80="Yes","2 Engaged",IF($M80="Yes","1 Awareness",IF($AA80&gt;=60,"3 Qualified","1 Awareness"))))))))))</f>
        <v/>
      </c>
    </row>
    <row r="81" customFormat="false" ht="30" hidden="false" customHeight="true" outlineLevel="0" collapsed="false">
      <c r="A81" s="36"/>
      <c r="B81" s="37"/>
      <c r="C81" s="37"/>
      <c r="D81" s="37"/>
      <c r="E81" s="37"/>
      <c r="F81" s="37"/>
      <c r="G81" s="37"/>
      <c r="H81" s="37"/>
      <c r="I81" s="37"/>
      <c r="J81" s="47"/>
      <c r="K81" s="41" t="str">
        <f aca="false">IF(J81="","",IF(J81&gt;=8,"Yes","Check"))</f>
        <v/>
      </c>
      <c r="L81" s="38"/>
      <c r="M81" s="47"/>
      <c r="N81" s="47"/>
      <c r="O81" s="37"/>
      <c r="P81" s="38"/>
      <c r="Q81" s="42" t="str">
        <f aca="false">IF(P81="","",LEN(P81))</f>
        <v/>
      </c>
      <c r="R81" s="47"/>
      <c r="S81" s="37"/>
      <c r="T81" s="38"/>
      <c r="U81" s="43" t="str">
        <f aca="false">IF(OR(R81&lt;&gt;"Yes",A81=""),"",A81+4)</f>
        <v/>
      </c>
      <c r="V81" s="47"/>
      <c r="W81" s="38"/>
      <c r="X81" s="38"/>
      <c r="Y81" s="44"/>
      <c r="Z81" s="44"/>
      <c r="AA81" s="45" t="str">
        <f aca="false">IF(AND($Y81="",$Z81=""),"",ROUND(IFERROR(VALUE(LEFT($Y81,1)),0)*12+IFERROR(VALUE(LEFT($Z81,1)),0)*8,0))</f>
        <v/>
      </c>
      <c r="AB81" s="45" t="str">
        <f aca="false">IF($AA81="","",IF($AA81&gt;=80,"A - call first",IF($AA81&gt;=60,"B - worth pursuing",IF($AA81&gt;=40,"C - nurture","D - do not spend time here"))))</f>
        <v/>
      </c>
      <c r="AC81" s="46" t="str">
        <f aca="false">IF($C81="","",IF($S81="Converted","7 Certification / Enterprise opportunity",IF($S81="Application Started","7 Certification / Enterprise opportunity",IF($S81="Meeting Booked","6 Meeting / Application",IF(OR($S81="Interested",$S81="Info Requested"),"5 Interested",IF(OR($S81="Declined",$S81="Not Relevant"),"0 Closed - no",IF($R81="Yes","4 Contacted",IF($N81="Yes","2 Engaged",IF($M81="Yes","1 Awareness",IF($AA81&gt;=60,"3 Qualified","1 Awareness"))))))))))</f>
        <v/>
      </c>
    </row>
    <row r="82" customFormat="false" ht="30" hidden="false" customHeight="true" outlineLevel="0" collapsed="false">
      <c r="A82" s="36"/>
      <c r="B82" s="37"/>
      <c r="C82" s="37"/>
      <c r="D82" s="37"/>
      <c r="E82" s="37"/>
      <c r="F82" s="37"/>
      <c r="G82" s="37"/>
      <c r="H82" s="37"/>
      <c r="I82" s="37"/>
      <c r="J82" s="47"/>
      <c r="K82" s="41" t="str">
        <f aca="false">IF(J82="","",IF(J82&gt;=8,"Yes","Check"))</f>
        <v/>
      </c>
      <c r="L82" s="38"/>
      <c r="M82" s="47"/>
      <c r="N82" s="47"/>
      <c r="O82" s="37"/>
      <c r="P82" s="38"/>
      <c r="Q82" s="42" t="str">
        <f aca="false">IF(P82="","",LEN(P82))</f>
        <v/>
      </c>
      <c r="R82" s="47"/>
      <c r="S82" s="37"/>
      <c r="T82" s="38"/>
      <c r="U82" s="43" t="str">
        <f aca="false">IF(OR(R82&lt;&gt;"Yes",A82=""),"",A82+4)</f>
        <v/>
      </c>
      <c r="V82" s="47"/>
      <c r="W82" s="38"/>
      <c r="X82" s="38"/>
      <c r="Y82" s="44"/>
      <c r="Z82" s="44"/>
      <c r="AA82" s="45" t="str">
        <f aca="false">IF(AND($Y82="",$Z82=""),"",ROUND(IFERROR(VALUE(LEFT($Y82,1)),0)*12+IFERROR(VALUE(LEFT($Z82,1)),0)*8,0))</f>
        <v/>
      </c>
      <c r="AB82" s="45" t="str">
        <f aca="false">IF($AA82="","",IF($AA82&gt;=80,"A - call first",IF($AA82&gt;=60,"B - worth pursuing",IF($AA82&gt;=40,"C - nurture","D - do not spend time here"))))</f>
        <v/>
      </c>
      <c r="AC82" s="46" t="str">
        <f aca="false">IF($C82="","",IF($S82="Converted","7 Certification / Enterprise opportunity",IF($S82="Application Started","7 Certification / Enterprise opportunity",IF($S82="Meeting Booked","6 Meeting / Application",IF(OR($S82="Interested",$S82="Info Requested"),"5 Interested",IF(OR($S82="Declined",$S82="Not Relevant"),"0 Closed - no",IF($R82="Yes","4 Contacted",IF($N82="Yes","2 Engaged",IF($M82="Yes","1 Awareness",IF($AA82&gt;=60,"3 Qualified","1 Awareness"))))))))))</f>
        <v/>
      </c>
    </row>
    <row r="83" customFormat="false" ht="30" hidden="false" customHeight="true" outlineLevel="0" collapsed="false">
      <c r="A83" s="36"/>
      <c r="B83" s="37"/>
      <c r="C83" s="37"/>
      <c r="D83" s="37"/>
      <c r="E83" s="37"/>
      <c r="F83" s="37"/>
      <c r="G83" s="37"/>
      <c r="H83" s="37"/>
      <c r="I83" s="37"/>
      <c r="J83" s="47"/>
      <c r="K83" s="41" t="str">
        <f aca="false">IF(J83="","",IF(J83&gt;=8,"Yes","Check"))</f>
        <v/>
      </c>
      <c r="L83" s="38"/>
      <c r="M83" s="47"/>
      <c r="N83" s="47"/>
      <c r="O83" s="37"/>
      <c r="P83" s="38"/>
      <c r="Q83" s="42" t="str">
        <f aca="false">IF(P83="","",LEN(P83))</f>
        <v/>
      </c>
      <c r="R83" s="47"/>
      <c r="S83" s="37"/>
      <c r="T83" s="38"/>
      <c r="U83" s="43" t="str">
        <f aca="false">IF(OR(R83&lt;&gt;"Yes",A83=""),"",A83+4)</f>
        <v/>
      </c>
      <c r="V83" s="47"/>
      <c r="W83" s="38"/>
      <c r="X83" s="38"/>
      <c r="Y83" s="44"/>
      <c r="Z83" s="44"/>
      <c r="AA83" s="45" t="str">
        <f aca="false">IF(AND($Y83="",$Z83=""),"",ROUND(IFERROR(VALUE(LEFT($Y83,1)),0)*12+IFERROR(VALUE(LEFT($Z83,1)),0)*8,0))</f>
        <v/>
      </c>
      <c r="AB83" s="45" t="str">
        <f aca="false">IF($AA83="","",IF($AA83&gt;=80,"A - call first",IF($AA83&gt;=60,"B - worth pursuing",IF($AA83&gt;=40,"C - nurture","D - do not spend time here"))))</f>
        <v/>
      </c>
      <c r="AC83" s="46" t="str">
        <f aca="false">IF($C83="","",IF($S83="Converted","7 Certification / Enterprise opportunity",IF($S83="Application Started","7 Certification / Enterprise opportunity",IF($S83="Meeting Booked","6 Meeting / Application",IF(OR($S83="Interested",$S83="Info Requested"),"5 Interested",IF(OR($S83="Declined",$S83="Not Relevant"),"0 Closed - no",IF($R83="Yes","4 Contacted",IF($N83="Yes","2 Engaged",IF($M83="Yes","1 Awareness",IF($AA83&gt;=60,"3 Qualified","1 Awareness"))))))))))</f>
        <v/>
      </c>
    </row>
    <row r="84" customFormat="false" ht="30" hidden="false" customHeight="true" outlineLevel="0" collapsed="false">
      <c r="A84" s="36"/>
      <c r="B84" s="37"/>
      <c r="C84" s="37"/>
      <c r="D84" s="37"/>
      <c r="E84" s="37"/>
      <c r="F84" s="37"/>
      <c r="G84" s="37"/>
      <c r="H84" s="37"/>
      <c r="I84" s="37"/>
      <c r="J84" s="47"/>
      <c r="K84" s="41" t="str">
        <f aca="false">IF(J84="","",IF(J84&gt;=8,"Yes","Check"))</f>
        <v/>
      </c>
      <c r="L84" s="38"/>
      <c r="M84" s="47"/>
      <c r="N84" s="47"/>
      <c r="O84" s="37"/>
      <c r="P84" s="38"/>
      <c r="Q84" s="42" t="str">
        <f aca="false">IF(P84="","",LEN(P84))</f>
        <v/>
      </c>
      <c r="R84" s="47"/>
      <c r="S84" s="37"/>
      <c r="T84" s="38"/>
      <c r="U84" s="43" t="str">
        <f aca="false">IF(OR(R84&lt;&gt;"Yes",A84=""),"",A84+4)</f>
        <v/>
      </c>
      <c r="V84" s="47"/>
      <c r="W84" s="38"/>
      <c r="X84" s="38"/>
      <c r="Y84" s="44"/>
      <c r="Z84" s="44"/>
      <c r="AA84" s="45" t="str">
        <f aca="false">IF(AND($Y84="",$Z84=""),"",ROUND(IFERROR(VALUE(LEFT($Y84,1)),0)*12+IFERROR(VALUE(LEFT($Z84,1)),0)*8,0))</f>
        <v/>
      </c>
      <c r="AB84" s="45" t="str">
        <f aca="false">IF($AA84="","",IF($AA84&gt;=80,"A - call first",IF($AA84&gt;=60,"B - worth pursuing",IF($AA84&gt;=40,"C - nurture","D - do not spend time here"))))</f>
        <v/>
      </c>
      <c r="AC84" s="46" t="str">
        <f aca="false">IF($C84="","",IF($S84="Converted","7 Certification / Enterprise opportunity",IF($S84="Application Started","7 Certification / Enterprise opportunity",IF($S84="Meeting Booked","6 Meeting / Application",IF(OR($S84="Interested",$S84="Info Requested"),"5 Interested",IF(OR($S84="Declined",$S84="Not Relevant"),"0 Closed - no",IF($R84="Yes","4 Contacted",IF($N84="Yes","2 Engaged",IF($M84="Yes","1 Awareness",IF($AA84&gt;=60,"3 Qualified","1 Awareness"))))))))))</f>
        <v/>
      </c>
    </row>
    <row r="85" customFormat="false" ht="30" hidden="false" customHeight="true" outlineLevel="0" collapsed="false">
      <c r="A85" s="36"/>
      <c r="B85" s="37"/>
      <c r="C85" s="37"/>
      <c r="D85" s="37"/>
      <c r="E85" s="37"/>
      <c r="F85" s="37"/>
      <c r="G85" s="37"/>
      <c r="H85" s="37"/>
      <c r="I85" s="37"/>
      <c r="J85" s="47"/>
      <c r="K85" s="41" t="str">
        <f aca="false">IF(J85="","",IF(J85&gt;=8,"Yes","Check"))</f>
        <v/>
      </c>
      <c r="L85" s="38"/>
      <c r="M85" s="47"/>
      <c r="N85" s="47"/>
      <c r="O85" s="37"/>
      <c r="P85" s="38"/>
      <c r="Q85" s="42" t="str">
        <f aca="false">IF(P85="","",LEN(P85))</f>
        <v/>
      </c>
      <c r="R85" s="47"/>
      <c r="S85" s="37"/>
      <c r="T85" s="38"/>
      <c r="U85" s="43" t="str">
        <f aca="false">IF(OR(R85&lt;&gt;"Yes",A85=""),"",A85+4)</f>
        <v/>
      </c>
      <c r="V85" s="47"/>
      <c r="W85" s="38"/>
      <c r="X85" s="38"/>
      <c r="Y85" s="44"/>
      <c r="Z85" s="44"/>
      <c r="AA85" s="45" t="str">
        <f aca="false">IF(AND($Y85="",$Z85=""),"",ROUND(IFERROR(VALUE(LEFT($Y85,1)),0)*12+IFERROR(VALUE(LEFT($Z85,1)),0)*8,0))</f>
        <v/>
      </c>
      <c r="AB85" s="45" t="str">
        <f aca="false">IF($AA85="","",IF($AA85&gt;=80,"A - call first",IF($AA85&gt;=60,"B - worth pursuing",IF($AA85&gt;=40,"C - nurture","D - do not spend time here"))))</f>
        <v/>
      </c>
      <c r="AC85" s="46" t="str">
        <f aca="false">IF($C85="","",IF($S85="Converted","7 Certification / Enterprise opportunity",IF($S85="Application Started","7 Certification / Enterprise opportunity",IF($S85="Meeting Booked","6 Meeting / Application",IF(OR($S85="Interested",$S85="Info Requested"),"5 Interested",IF(OR($S85="Declined",$S85="Not Relevant"),"0 Closed - no",IF($R85="Yes","4 Contacted",IF($N85="Yes","2 Engaged",IF($M85="Yes","1 Awareness",IF($AA85&gt;=60,"3 Qualified","1 Awareness"))))))))))</f>
        <v/>
      </c>
    </row>
    <row r="86" customFormat="false" ht="30" hidden="false" customHeight="true" outlineLevel="0" collapsed="false">
      <c r="A86" s="36"/>
      <c r="B86" s="37"/>
      <c r="C86" s="37"/>
      <c r="D86" s="37"/>
      <c r="E86" s="37"/>
      <c r="F86" s="37"/>
      <c r="G86" s="37"/>
      <c r="H86" s="37"/>
      <c r="I86" s="37"/>
      <c r="J86" s="47"/>
      <c r="K86" s="41" t="str">
        <f aca="false">IF(J86="","",IF(J86&gt;=8,"Yes","Check"))</f>
        <v/>
      </c>
      <c r="L86" s="38"/>
      <c r="M86" s="47"/>
      <c r="N86" s="47"/>
      <c r="O86" s="37"/>
      <c r="P86" s="38"/>
      <c r="Q86" s="42" t="str">
        <f aca="false">IF(P86="","",LEN(P86))</f>
        <v/>
      </c>
      <c r="R86" s="47"/>
      <c r="S86" s="37"/>
      <c r="T86" s="38"/>
      <c r="U86" s="43" t="str">
        <f aca="false">IF(OR(R86&lt;&gt;"Yes",A86=""),"",A86+4)</f>
        <v/>
      </c>
      <c r="V86" s="47"/>
      <c r="W86" s="38"/>
      <c r="X86" s="38"/>
      <c r="Y86" s="44"/>
      <c r="Z86" s="44"/>
      <c r="AA86" s="45" t="str">
        <f aca="false">IF(AND($Y86="",$Z86=""),"",ROUND(IFERROR(VALUE(LEFT($Y86,1)),0)*12+IFERROR(VALUE(LEFT($Z86,1)),0)*8,0))</f>
        <v/>
      </c>
      <c r="AB86" s="45" t="str">
        <f aca="false">IF($AA86="","",IF($AA86&gt;=80,"A - call first",IF($AA86&gt;=60,"B - worth pursuing",IF($AA86&gt;=40,"C - nurture","D - do not spend time here"))))</f>
        <v/>
      </c>
      <c r="AC86" s="46" t="str">
        <f aca="false">IF($C86="","",IF($S86="Converted","7 Certification / Enterprise opportunity",IF($S86="Application Started","7 Certification / Enterprise opportunity",IF($S86="Meeting Booked","6 Meeting / Application",IF(OR($S86="Interested",$S86="Info Requested"),"5 Interested",IF(OR($S86="Declined",$S86="Not Relevant"),"0 Closed - no",IF($R86="Yes","4 Contacted",IF($N86="Yes","2 Engaged",IF($M86="Yes","1 Awareness",IF($AA86&gt;=60,"3 Qualified","1 Awareness"))))))))))</f>
        <v/>
      </c>
    </row>
    <row r="87" customFormat="false" ht="30" hidden="false" customHeight="true" outlineLevel="0" collapsed="false">
      <c r="A87" s="36"/>
      <c r="B87" s="37"/>
      <c r="C87" s="37"/>
      <c r="D87" s="37"/>
      <c r="E87" s="37"/>
      <c r="F87" s="37"/>
      <c r="G87" s="37"/>
      <c r="H87" s="37"/>
      <c r="I87" s="37"/>
      <c r="J87" s="47"/>
      <c r="K87" s="41" t="str">
        <f aca="false">IF(J87="","",IF(J87&gt;=8,"Yes","Check"))</f>
        <v/>
      </c>
      <c r="L87" s="38"/>
      <c r="M87" s="47"/>
      <c r="N87" s="47"/>
      <c r="O87" s="37"/>
      <c r="P87" s="38"/>
      <c r="Q87" s="42" t="str">
        <f aca="false">IF(P87="","",LEN(P87))</f>
        <v/>
      </c>
      <c r="R87" s="47"/>
      <c r="S87" s="37"/>
      <c r="T87" s="38"/>
      <c r="U87" s="43" t="str">
        <f aca="false">IF(OR(R87&lt;&gt;"Yes",A87=""),"",A87+4)</f>
        <v/>
      </c>
      <c r="V87" s="47"/>
      <c r="W87" s="38"/>
      <c r="X87" s="38"/>
      <c r="Y87" s="44"/>
      <c r="Z87" s="44"/>
      <c r="AA87" s="45" t="str">
        <f aca="false">IF(AND($Y87="",$Z87=""),"",ROUND(IFERROR(VALUE(LEFT($Y87,1)),0)*12+IFERROR(VALUE(LEFT($Z87,1)),0)*8,0))</f>
        <v/>
      </c>
      <c r="AB87" s="45" t="str">
        <f aca="false">IF($AA87="","",IF($AA87&gt;=80,"A - call first",IF($AA87&gt;=60,"B - worth pursuing",IF($AA87&gt;=40,"C - nurture","D - do not spend time here"))))</f>
        <v/>
      </c>
      <c r="AC87" s="46" t="str">
        <f aca="false">IF($C87="","",IF($S87="Converted","7 Certification / Enterprise opportunity",IF($S87="Application Started","7 Certification / Enterprise opportunity",IF($S87="Meeting Booked","6 Meeting / Application",IF(OR($S87="Interested",$S87="Info Requested"),"5 Interested",IF(OR($S87="Declined",$S87="Not Relevant"),"0 Closed - no",IF($R87="Yes","4 Contacted",IF($N87="Yes","2 Engaged",IF($M87="Yes","1 Awareness",IF($AA87&gt;=60,"3 Qualified","1 Awareness"))))))))))</f>
        <v/>
      </c>
    </row>
    <row r="88" customFormat="false" ht="30" hidden="false" customHeight="true" outlineLevel="0" collapsed="false">
      <c r="A88" s="36"/>
      <c r="B88" s="37"/>
      <c r="C88" s="37"/>
      <c r="D88" s="37"/>
      <c r="E88" s="37"/>
      <c r="F88" s="37"/>
      <c r="G88" s="37"/>
      <c r="H88" s="37"/>
      <c r="I88" s="37"/>
      <c r="J88" s="47"/>
      <c r="K88" s="41" t="str">
        <f aca="false">IF(J88="","",IF(J88&gt;=8,"Yes","Check"))</f>
        <v/>
      </c>
      <c r="L88" s="38"/>
      <c r="M88" s="47"/>
      <c r="N88" s="47"/>
      <c r="O88" s="37"/>
      <c r="P88" s="38"/>
      <c r="Q88" s="42" t="str">
        <f aca="false">IF(P88="","",LEN(P88))</f>
        <v/>
      </c>
      <c r="R88" s="47"/>
      <c r="S88" s="37"/>
      <c r="T88" s="38"/>
      <c r="U88" s="43" t="str">
        <f aca="false">IF(OR(R88&lt;&gt;"Yes",A88=""),"",A88+4)</f>
        <v/>
      </c>
      <c r="V88" s="47"/>
      <c r="W88" s="38"/>
      <c r="X88" s="38"/>
      <c r="Y88" s="44"/>
      <c r="Z88" s="44"/>
      <c r="AA88" s="45" t="str">
        <f aca="false">IF(AND($Y88="",$Z88=""),"",ROUND(IFERROR(VALUE(LEFT($Y88,1)),0)*12+IFERROR(VALUE(LEFT($Z88,1)),0)*8,0))</f>
        <v/>
      </c>
      <c r="AB88" s="45" t="str">
        <f aca="false">IF($AA88="","",IF($AA88&gt;=80,"A - call first",IF($AA88&gt;=60,"B - worth pursuing",IF($AA88&gt;=40,"C - nurture","D - do not spend time here"))))</f>
        <v/>
      </c>
      <c r="AC88" s="46" t="str">
        <f aca="false">IF($C88="","",IF($S88="Converted","7 Certification / Enterprise opportunity",IF($S88="Application Started","7 Certification / Enterprise opportunity",IF($S88="Meeting Booked","6 Meeting / Application",IF(OR($S88="Interested",$S88="Info Requested"),"5 Interested",IF(OR($S88="Declined",$S88="Not Relevant"),"0 Closed - no",IF($R88="Yes","4 Contacted",IF($N88="Yes","2 Engaged",IF($M88="Yes","1 Awareness",IF($AA88&gt;=60,"3 Qualified","1 Awareness"))))))))))</f>
        <v/>
      </c>
    </row>
    <row r="89" customFormat="false" ht="30" hidden="false" customHeight="true" outlineLevel="0" collapsed="false">
      <c r="A89" s="36"/>
      <c r="B89" s="37"/>
      <c r="C89" s="37"/>
      <c r="D89" s="37"/>
      <c r="E89" s="37"/>
      <c r="F89" s="37"/>
      <c r="G89" s="37"/>
      <c r="H89" s="37"/>
      <c r="I89" s="37"/>
      <c r="J89" s="47"/>
      <c r="K89" s="41" t="str">
        <f aca="false">IF(J89="","",IF(J89&gt;=8,"Yes","Check"))</f>
        <v/>
      </c>
      <c r="L89" s="38"/>
      <c r="M89" s="47"/>
      <c r="N89" s="47"/>
      <c r="O89" s="37"/>
      <c r="P89" s="38"/>
      <c r="Q89" s="42" t="str">
        <f aca="false">IF(P89="","",LEN(P89))</f>
        <v/>
      </c>
      <c r="R89" s="47"/>
      <c r="S89" s="37"/>
      <c r="T89" s="38"/>
      <c r="U89" s="43" t="str">
        <f aca="false">IF(OR(R89&lt;&gt;"Yes",A89=""),"",A89+4)</f>
        <v/>
      </c>
      <c r="V89" s="47"/>
      <c r="W89" s="38"/>
      <c r="X89" s="38"/>
      <c r="Y89" s="44"/>
      <c r="Z89" s="44"/>
      <c r="AA89" s="45" t="str">
        <f aca="false">IF(AND($Y89="",$Z89=""),"",ROUND(IFERROR(VALUE(LEFT($Y89,1)),0)*12+IFERROR(VALUE(LEFT($Z89,1)),0)*8,0))</f>
        <v/>
      </c>
      <c r="AB89" s="45" t="str">
        <f aca="false">IF($AA89="","",IF($AA89&gt;=80,"A - call first",IF($AA89&gt;=60,"B - worth pursuing",IF($AA89&gt;=40,"C - nurture","D - do not spend time here"))))</f>
        <v/>
      </c>
      <c r="AC89" s="46" t="str">
        <f aca="false">IF($C89="","",IF($S89="Converted","7 Certification / Enterprise opportunity",IF($S89="Application Started","7 Certification / Enterprise opportunity",IF($S89="Meeting Booked","6 Meeting / Application",IF(OR($S89="Interested",$S89="Info Requested"),"5 Interested",IF(OR($S89="Declined",$S89="Not Relevant"),"0 Closed - no",IF($R89="Yes","4 Contacted",IF($N89="Yes","2 Engaged",IF($M89="Yes","1 Awareness",IF($AA89&gt;=60,"3 Qualified","1 Awareness"))))))))))</f>
        <v/>
      </c>
    </row>
    <row r="90" customFormat="false" ht="30" hidden="false" customHeight="true" outlineLevel="0" collapsed="false">
      <c r="A90" s="36"/>
      <c r="B90" s="37"/>
      <c r="C90" s="37"/>
      <c r="D90" s="37"/>
      <c r="E90" s="37"/>
      <c r="F90" s="37"/>
      <c r="G90" s="37"/>
      <c r="H90" s="37"/>
      <c r="I90" s="37"/>
      <c r="J90" s="47"/>
      <c r="K90" s="41" t="str">
        <f aca="false">IF(J90="","",IF(J90&gt;=8,"Yes","Check"))</f>
        <v/>
      </c>
      <c r="L90" s="38"/>
      <c r="M90" s="47"/>
      <c r="N90" s="47"/>
      <c r="O90" s="37"/>
      <c r="P90" s="38"/>
      <c r="Q90" s="42" t="str">
        <f aca="false">IF(P90="","",LEN(P90))</f>
        <v/>
      </c>
      <c r="R90" s="47"/>
      <c r="S90" s="37"/>
      <c r="T90" s="38"/>
      <c r="U90" s="43" t="str">
        <f aca="false">IF(OR(R90&lt;&gt;"Yes",A90=""),"",A90+4)</f>
        <v/>
      </c>
      <c r="V90" s="47"/>
      <c r="W90" s="38"/>
      <c r="X90" s="38"/>
      <c r="Y90" s="44"/>
      <c r="Z90" s="44"/>
      <c r="AA90" s="45" t="str">
        <f aca="false">IF(AND($Y90="",$Z90=""),"",ROUND(IFERROR(VALUE(LEFT($Y90,1)),0)*12+IFERROR(VALUE(LEFT($Z90,1)),0)*8,0))</f>
        <v/>
      </c>
      <c r="AB90" s="45" t="str">
        <f aca="false">IF($AA90="","",IF($AA90&gt;=80,"A - call first",IF($AA90&gt;=60,"B - worth pursuing",IF($AA90&gt;=40,"C - nurture","D - do not spend time here"))))</f>
        <v/>
      </c>
      <c r="AC90" s="46" t="str">
        <f aca="false">IF($C90="","",IF($S90="Converted","7 Certification / Enterprise opportunity",IF($S90="Application Started","7 Certification / Enterprise opportunity",IF($S90="Meeting Booked","6 Meeting / Application",IF(OR($S90="Interested",$S90="Info Requested"),"5 Interested",IF(OR($S90="Declined",$S90="Not Relevant"),"0 Closed - no",IF($R90="Yes","4 Contacted",IF($N90="Yes","2 Engaged",IF($M90="Yes","1 Awareness",IF($AA90&gt;=60,"3 Qualified","1 Awareness"))))))))))</f>
        <v/>
      </c>
    </row>
    <row r="91" customFormat="false" ht="30" hidden="false" customHeight="true" outlineLevel="0" collapsed="false">
      <c r="A91" s="36"/>
      <c r="B91" s="37"/>
      <c r="C91" s="37"/>
      <c r="D91" s="37"/>
      <c r="E91" s="37"/>
      <c r="F91" s="37"/>
      <c r="G91" s="37"/>
      <c r="H91" s="37"/>
      <c r="I91" s="37"/>
      <c r="J91" s="47"/>
      <c r="K91" s="41" t="str">
        <f aca="false">IF(J91="","",IF(J91&gt;=8,"Yes","Check"))</f>
        <v/>
      </c>
      <c r="L91" s="38"/>
      <c r="M91" s="47"/>
      <c r="N91" s="47"/>
      <c r="O91" s="37"/>
      <c r="P91" s="38"/>
      <c r="Q91" s="42" t="str">
        <f aca="false">IF(P91="","",LEN(P91))</f>
        <v/>
      </c>
      <c r="R91" s="47"/>
      <c r="S91" s="37"/>
      <c r="T91" s="38"/>
      <c r="U91" s="43" t="str">
        <f aca="false">IF(OR(R91&lt;&gt;"Yes",A91=""),"",A91+4)</f>
        <v/>
      </c>
      <c r="V91" s="47"/>
      <c r="W91" s="38"/>
      <c r="X91" s="38"/>
      <c r="Y91" s="44"/>
      <c r="Z91" s="44"/>
      <c r="AA91" s="45" t="str">
        <f aca="false">IF(AND($Y91="",$Z91=""),"",ROUND(IFERROR(VALUE(LEFT($Y91,1)),0)*12+IFERROR(VALUE(LEFT($Z91,1)),0)*8,0))</f>
        <v/>
      </c>
      <c r="AB91" s="45" t="str">
        <f aca="false">IF($AA91="","",IF($AA91&gt;=80,"A - call first",IF($AA91&gt;=60,"B - worth pursuing",IF($AA91&gt;=40,"C - nurture","D - do not spend time here"))))</f>
        <v/>
      </c>
      <c r="AC91" s="46" t="str">
        <f aca="false">IF($C91="","",IF($S91="Converted","7 Certification / Enterprise opportunity",IF($S91="Application Started","7 Certification / Enterprise opportunity",IF($S91="Meeting Booked","6 Meeting / Application",IF(OR($S91="Interested",$S91="Info Requested"),"5 Interested",IF(OR($S91="Declined",$S91="Not Relevant"),"0 Closed - no",IF($R91="Yes","4 Contacted",IF($N91="Yes","2 Engaged",IF($M91="Yes","1 Awareness",IF($AA91&gt;=60,"3 Qualified","1 Awareness"))))))))))</f>
        <v/>
      </c>
    </row>
    <row r="92" customFormat="false" ht="30" hidden="false" customHeight="true" outlineLevel="0" collapsed="false">
      <c r="A92" s="36"/>
      <c r="B92" s="37"/>
      <c r="C92" s="37"/>
      <c r="D92" s="37"/>
      <c r="E92" s="37"/>
      <c r="F92" s="37"/>
      <c r="G92" s="37"/>
      <c r="H92" s="37"/>
      <c r="I92" s="37"/>
      <c r="J92" s="47"/>
      <c r="K92" s="41" t="str">
        <f aca="false">IF(J92="","",IF(J92&gt;=8,"Yes","Check"))</f>
        <v/>
      </c>
      <c r="L92" s="38"/>
      <c r="M92" s="47"/>
      <c r="N92" s="47"/>
      <c r="O92" s="37"/>
      <c r="P92" s="38"/>
      <c r="Q92" s="42" t="str">
        <f aca="false">IF(P92="","",LEN(P92))</f>
        <v/>
      </c>
      <c r="R92" s="47"/>
      <c r="S92" s="37"/>
      <c r="T92" s="38"/>
      <c r="U92" s="43" t="str">
        <f aca="false">IF(OR(R92&lt;&gt;"Yes",A92=""),"",A92+4)</f>
        <v/>
      </c>
      <c r="V92" s="47"/>
      <c r="W92" s="38"/>
      <c r="X92" s="38"/>
      <c r="Y92" s="44"/>
      <c r="Z92" s="44"/>
      <c r="AA92" s="45" t="str">
        <f aca="false">IF(AND($Y92="",$Z92=""),"",ROUND(IFERROR(VALUE(LEFT($Y92,1)),0)*12+IFERROR(VALUE(LEFT($Z92,1)),0)*8,0))</f>
        <v/>
      </c>
      <c r="AB92" s="45" t="str">
        <f aca="false">IF($AA92="","",IF($AA92&gt;=80,"A - call first",IF($AA92&gt;=60,"B - worth pursuing",IF($AA92&gt;=40,"C - nurture","D - do not spend time here"))))</f>
        <v/>
      </c>
      <c r="AC92" s="46" t="str">
        <f aca="false">IF($C92="","",IF($S92="Converted","7 Certification / Enterprise opportunity",IF($S92="Application Started","7 Certification / Enterprise opportunity",IF($S92="Meeting Booked","6 Meeting / Application",IF(OR($S92="Interested",$S92="Info Requested"),"5 Interested",IF(OR($S92="Declined",$S92="Not Relevant"),"0 Closed - no",IF($R92="Yes","4 Contacted",IF($N92="Yes","2 Engaged",IF($M92="Yes","1 Awareness",IF($AA92&gt;=60,"3 Qualified","1 Awareness"))))))))))</f>
        <v/>
      </c>
    </row>
    <row r="93" customFormat="false" ht="30" hidden="false" customHeight="true" outlineLevel="0" collapsed="false">
      <c r="A93" s="36"/>
      <c r="B93" s="37"/>
      <c r="C93" s="37"/>
      <c r="D93" s="37"/>
      <c r="E93" s="37"/>
      <c r="F93" s="37"/>
      <c r="G93" s="37"/>
      <c r="H93" s="37"/>
      <c r="I93" s="37"/>
      <c r="J93" s="47"/>
      <c r="K93" s="41" t="str">
        <f aca="false">IF(J93="","",IF(J93&gt;=8,"Yes","Check"))</f>
        <v/>
      </c>
      <c r="L93" s="38"/>
      <c r="M93" s="47"/>
      <c r="N93" s="47"/>
      <c r="O93" s="37"/>
      <c r="P93" s="38"/>
      <c r="Q93" s="42" t="str">
        <f aca="false">IF(P93="","",LEN(P93))</f>
        <v/>
      </c>
      <c r="R93" s="47"/>
      <c r="S93" s="37"/>
      <c r="T93" s="38"/>
      <c r="U93" s="43" t="str">
        <f aca="false">IF(OR(R93&lt;&gt;"Yes",A93=""),"",A93+4)</f>
        <v/>
      </c>
      <c r="V93" s="47"/>
      <c r="W93" s="38"/>
      <c r="X93" s="38"/>
      <c r="Y93" s="44"/>
      <c r="Z93" s="44"/>
      <c r="AA93" s="45" t="str">
        <f aca="false">IF(AND($Y93="",$Z93=""),"",ROUND(IFERROR(VALUE(LEFT($Y93,1)),0)*12+IFERROR(VALUE(LEFT($Z93,1)),0)*8,0))</f>
        <v/>
      </c>
      <c r="AB93" s="45" t="str">
        <f aca="false">IF($AA93="","",IF($AA93&gt;=80,"A - call first",IF($AA93&gt;=60,"B - worth pursuing",IF($AA93&gt;=40,"C - nurture","D - do not spend time here"))))</f>
        <v/>
      </c>
      <c r="AC93" s="46" t="str">
        <f aca="false">IF($C93="","",IF($S93="Converted","7 Certification / Enterprise opportunity",IF($S93="Application Started","7 Certification / Enterprise opportunity",IF($S93="Meeting Booked","6 Meeting / Application",IF(OR($S93="Interested",$S93="Info Requested"),"5 Interested",IF(OR($S93="Declined",$S93="Not Relevant"),"0 Closed - no",IF($R93="Yes","4 Contacted",IF($N93="Yes","2 Engaged",IF($M93="Yes","1 Awareness",IF($AA93&gt;=60,"3 Qualified","1 Awareness"))))))))))</f>
        <v/>
      </c>
    </row>
    <row r="94" customFormat="false" ht="30" hidden="false" customHeight="true" outlineLevel="0" collapsed="false">
      <c r="A94" s="36"/>
      <c r="B94" s="37"/>
      <c r="C94" s="37"/>
      <c r="D94" s="37"/>
      <c r="E94" s="37"/>
      <c r="F94" s="37"/>
      <c r="G94" s="37"/>
      <c r="H94" s="37"/>
      <c r="I94" s="37"/>
      <c r="J94" s="47"/>
      <c r="K94" s="41" t="str">
        <f aca="false">IF(J94="","",IF(J94&gt;=8,"Yes","Check"))</f>
        <v/>
      </c>
      <c r="L94" s="38"/>
      <c r="M94" s="47"/>
      <c r="N94" s="47"/>
      <c r="O94" s="37"/>
      <c r="P94" s="38"/>
      <c r="Q94" s="42" t="str">
        <f aca="false">IF(P94="","",LEN(P94))</f>
        <v/>
      </c>
      <c r="R94" s="47"/>
      <c r="S94" s="37"/>
      <c r="T94" s="38"/>
      <c r="U94" s="43" t="str">
        <f aca="false">IF(OR(R94&lt;&gt;"Yes",A94=""),"",A94+4)</f>
        <v/>
      </c>
      <c r="V94" s="47"/>
      <c r="W94" s="38"/>
      <c r="X94" s="38"/>
      <c r="Y94" s="44"/>
      <c r="Z94" s="44"/>
      <c r="AA94" s="45" t="str">
        <f aca="false">IF(AND($Y94="",$Z94=""),"",ROUND(IFERROR(VALUE(LEFT($Y94,1)),0)*12+IFERROR(VALUE(LEFT($Z94,1)),0)*8,0))</f>
        <v/>
      </c>
      <c r="AB94" s="45" t="str">
        <f aca="false">IF($AA94="","",IF($AA94&gt;=80,"A - call first",IF($AA94&gt;=60,"B - worth pursuing",IF($AA94&gt;=40,"C - nurture","D - do not spend time here"))))</f>
        <v/>
      </c>
      <c r="AC94" s="46" t="str">
        <f aca="false">IF($C94="","",IF($S94="Converted","7 Certification / Enterprise opportunity",IF($S94="Application Started","7 Certification / Enterprise opportunity",IF($S94="Meeting Booked","6 Meeting / Application",IF(OR($S94="Interested",$S94="Info Requested"),"5 Interested",IF(OR($S94="Declined",$S94="Not Relevant"),"0 Closed - no",IF($R94="Yes","4 Contacted",IF($N94="Yes","2 Engaged",IF($M94="Yes","1 Awareness",IF($AA94&gt;=60,"3 Qualified","1 Awareness"))))))))))</f>
        <v/>
      </c>
    </row>
    <row r="95" customFormat="false" ht="30" hidden="false" customHeight="true" outlineLevel="0" collapsed="false">
      <c r="A95" s="36"/>
      <c r="B95" s="37"/>
      <c r="C95" s="37"/>
      <c r="D95" s="37"/>
      <c r="E95" s="37"/>
      <c r="F95" s="37"/>
      <c r="G95" s="37"/>
      <c r="H95" s="37"/>
      <c r="I95" s="37"/>
      <c r="J95" s="47"/>
      <c r="K95" s="41" t="str">
        <f aca="false">IF(J95="","",IF(J95&gt;=8,"Yes","Check"))</f>
        <v/>
      </c>
      <c r="L95" s="38"/>
      <c r="M95" s="47"/>
      <c r="N95" s="47"/>
      <c r="O95" s="37"/>
      <c r="P95" s="38"/>
      <c r="Q95" s="42" t="str">
        <f aca="false">IF(P95="","",LEN(P95))</f>
        <v/>
      </c>
      <c r="R95" s="47"/>
      <c r="S95" s="37"/>
      <c r="T95" s="38"/>
      <c r="U95" s="43" t="str">
        <f aca="false">IF(OR(R95&lt;&gt;"Yes",A95=""),"",A95+4)</f>
        <v/>
      </c>
      <c r="V95" s="47"/>
      <c r="W95" s="38"/>
      <c r="X95" s="38"/>
      <c r="Y95" s="44"/>
      <c r="Z95" s="44"/>
      <c r="AA95" s="45" t="str">
        <f aca="false">IF(AND($Y95="",$Z95=""),"",ROUND(IFERROR(VALUE(LEFT($Y95,1)),0)*12+IFERROR(VALUE(LEFT($Z95,1)),0)*8,0))</f>
        <v/>
      </c>
      <c r="AB95" s="45" t="str">
        <f aca="false">IF($AA95="","",IF($AA95&gt;=80,"A - call first",IF($AA95&gt;=60,"B - worth pursuing",IF($AA95&gt;=40,"C - nurture","D - do not spend time here"))))</f>
        <v/>
      </c>
      <c r="AC95" s="46" t="str">
        <f aca="false">IF($C95="","",IF($S95="Converted","7 Certification / Enterprise opportunity",IF($S95="Application Started","7 Certification / Enterprise opportunity",IF($S95="Meeting Booked","6 Meeting / Application",IF(OR($S95="Interested",$S95="Info Requested"),"5 Interested",IF(OR($S95="Declined",$S95="Not Relevant"),"0 Closed - no",IF($R95="Yes","4 Contacted",IF($N95="Yes","2 Engaged",IF($M95="Yes","1 Awareness",IF($AA95&gt;=60,"3 Qualified","1 Awareness"))))))))))</f>
        <v/>
      </c>
    </row>
    <row r="96" customFormat="false" ht="30" hidden="false" customHeight="true" outlineLevel="0" collapsed="false">
      <c r="A96" s="36"/>
      <c r="B96" s="37"/>
      <c r="C96" s="37"/>
      <c r="D96" s="37"/>
      <c r="E96" s="37"/>
      <c r="F96" s="37"/>
      <c r="G96" s="37"/>
      <c r="H96" s="37"/>
      <c r="I96" s="37"/>
      <c r="J96" s="47"/>
      <c r="K96" s="41" t="str">
        <f aca="false">IF(J96="","",IF(J96&gt;=8,"Yes","Check"))</f>
        <v/>
      </c>
      <c r="L96" s="38"/>
      <c r="M96" s="47"/>
      <c r="N96" s="47"/>
      <c r="O96" s="37"/>
      <c r="P96" s="38"/>
      <c r="Q96" s="42" t="str">
        <f aca="false">IF(P96="","",LEN(P96))</f>
        <v/>
      </c>
      <c r="R96" s="47"/>
      <c r="S96" s="37"/>
      <c r="T96" s="38"/>
      <c r="U96" s="43" t="str">
        <f aca="false">IF(OR(R96&lt;&gt;"Yes",A96=""),"",A96+4)</f>
        <v/>
      </c>
      <c r="V96" s="47"/>
      <c r="W96" s="38"/>
      <c r="X96" s="38"/>
      <c r="Y96" s="44"/>
      <c r="Z96" s="44"/>
      <c r="AA96" s="45" t="str">
        <f aca="false">IF(AND($Y96="",$Z96=""),"",ROUND(IFERROR(VALUE(LEFT($Y96,1)),0)*12+IFERROR(VALUE(LEFT($Z96,1)),0)*8,0))</f>
        <v/>
      </c>
      <c r="AB96" s="45" t="str">
        <f aca="false">IF($AA96="","",IF($AA96&gt;=80,"A - call first",IF($AA96&gt;=60,"B - worth pursuing",IF($AA96&gt;=40,"C - nurture","D - do not spend time here"))))</f>
        <v/>
      </c>
      <c r="AC96" s="46" t="str">
        <f aca="false">IF($C96="","",IF($S96="Converted","7 Certification / Enterprise opportunity",IF($S96="Application Started","7 Certification / Enterprise opportunity",IF($S96="Meeting Booked","6 Meeting / Application",IF(OR($S96="Interested",$S96="Info Requested"),"5 Interested",IF(OR($S96="Declined",$S96="Not Relevant"),"0 Closed - no",IF($R96="Yes","4 Contacted",IF($N96="Yes","2 Engaged",IF($M96="Yes","1 Awareness",IF($AA96&gt;=60,"3 Qualified","1 Awareness"))))))))))</f>
        <v/>
      </c>
    </row>
    <row r="97" customFormat="false" ht="30" hidden="false" customHeight="true" outlineLevel="0" collapsed="false">
      <c r="A97" s="36"/>
      <c r="B97" s="37"/>
      <c r="C97" s="37"/>
      <c r="D97" s="37"/>
      <c r="E97" s="37"/>
      <c r="F97" s="37"/>
      <c r="G97" s="37"/>
      <c r="H97" s="37"/>
      <c r="I97" s="37"/>
      <c r="J97" s="47"/>
      <c r="K97" s="41" t="str">
        <f aca="false">IF(J97="","",IF(J97&gt;=8,"Yes","Check"))</f>
        <v/>
      </c>
      <c r="L97" s="38"/>
      <c r="M97" s="47"/>
      <c r="N97" s="47"/>
      <c r="O97" s="37"/>
      <c r="P97" s="38"/>
      <c r="Q97" s="42" t="str">
        <f aca="false">IF(P97="","",LEN(P97))</f>
        <v/>
      </c>
      <c r="R97" s="47"/>
      <c r="S97" s="37"/>
      <c r="T97" s="38"/>
      <c r="U97" s="43" t="str">
        <f aca="false">IF(OR(R97&lt;&gt;"Yes",A97=""),"",A97+4)</f>
        <v/>
      </c>
      <c r="V97" s="47"/>
      <c r="W97" s="38"/>
      <c r="X97" s="38"/>
      <c r="Y97" s="44"/>
      <c r="Z97" s="44"/>
      <c r="AA97" s="45" t="str">
        <f aca="false">IF(AND($Y97="",$Z97=""),"",ROUND(IFERROR(VALUE(LEFT($Y97,1)),0)*12+IFERROR(VALUE(LEFT($Z97,1)),0)*8,0))</f>
        <v/>
      </c>
      <c r="AB97" s="45" t="str">
        <f aca="false">IF($AA97="","",IF($AA97&gt;=80,"A - call first",IF($AA97&gt;=60,"B - worth pursuing",IF($AA97&gt;=40,"C - nurture","D - do not spend time here"))))</f>
        <v/>
      </c>
      <c r="AC97" s="46" t="str">
        <f aca="false">IF($C97="","",IF($S97="Converted","7 Certification / Enterprise opportunity",IF($S97="Application Started","7 Certification / Enterprise opportunity",IF($S97="Meeting Booked","6 Meeting / Application",IF(OR($S97="Interested",$S97="Info Requested"),"5 Interested",IF(OR($S97="Declined",$S97="Not Relevant"),"0 Closed - no",IF($R97="Yes","4 Contacted",IF($N97="Yes","2 Engaged",IF($M97="Yes","1 Awareness",IF($AA97&gt;=60,"3 Qualified","1 Awareness"))))))))))</f>
        <v/>
      </c>
    </row>
    <row r="98" customFormat="false" ht="30" hidden="false" customHeight="true" outlineLevel="0" collapsed="false">
      <c r="A98" s="36"/>
      <c r="B98" s="37"/>
      <c r="C98" s="37"/>
      <c r="D98" s="37"/>
      <c r="E98" s="37"/>
      <c r="F98" s="37"/>
      <c r="G98" s="37"/>
      <c r="H98" s="37"/>
      <c r="I98" s="37"/>
      <c r="J98" s="47"/>
      <c r="K98" s="41" t="str">
        <f aca="false">IF(J98="","",IF(J98&gt;=8,"Yes","Check"))</f>
        <v/>
      </c>
      <c r="L98" s="38"/>
      <c r="M98" s="47"/>
      <c r="N98" s="47"/>
      <c r="O98" s="37"/>
      <c r="P98" s="38"/>
      <c r="Q98" s="42" t="str">
        <f aca="false">IF(P98="","",LEN(P98))</f>
        <v/>
      </c>
      <c r="R98" s="47"/>
      <c r="S98" s="37"/>
      <c r="T98" s="38"/>
      <c r="U98" s="43" t="str">
        <f aca="false">IF(OR(R98&lt;&gt;"Yes",A98=""),"",A98+4)</f>
        <v/>
      </c>
      <c r="V98" s="47"/>
      <c r="W98" s="38"/>
      <c r="X98" s="38"/>
      <c r="Y98" s="44"/>
      <c r="Z98" s="44"/>
      <c r="AA98" s="45" t="str">
        <f aca="false">IF(AND($Y98="",$Z98=""),"",ROUND(IFERROR(VALUE(LEFT($Y98,1)),0)*12+IFERROR(VALUE(LEFT($Z98,1)),0)*8,0))</f>
        <v/>
      </c>
      <c r="AB98" s="45" t="str">
        <f aca="false">IF($AA98="","",IF($AA98&gt;=80,"A - call first",IF($AA98&gt;=60,"B - worth pursuing",IF($AA98&gt;=40,"C - nurture","D - do not spend time here"))))</f>
        <v/>
      </c>
      <c r="AC98" s="46" t="str">
        <f aca="false">IF($C98="","",IF($S98="Converted","7 Certification / Enterprise opportunity",IF($S98="Application Started","7 Certification / Enterprise opportunity",IF($S98="Meeting Booked","6 Meeting / Application",IF(OR($S98="Interested",$S98="Info Requested"),"5 Interested",IF(OR($S98="Declined",$S98="Not Relevant"),"0 Closed - no",IF($R98="Yes","4 Contacted",IF($N98="Yes","2 Engaged",IF($M98="Yes","1 Awareness",IF($AA98&gt;=60,"3 Qualified","1 Awareness"))))))))))</f>
        <v/>
      </c>
    </row>
    <row r="99" customFormat="false" ht="30" hidden="false" customHeight="true" outlineLevel="0" collapsed="false">
      <c r="A99" s="36"/>
      <c r="B99" s="37"/>
      <c r="C99" s="37"/>
      <c r="D99" s="37"/>
      <c r="E99" s="37"/>
      <c r="F99" s="37"/>
      <c r="G99" s="37"/>
      <c r="H99" s="37"/>
      <c r="I99" s="37"/>
      <c r="J99" s="47"/>
      <c r="K99" s="41" t="str">
        <f aca="false">IF(J99="","",IF(J99&gt;=8,"Yes","Check"))</f>
        <v/>
      </c>
      <c r="L99" s="38"/>
      <c r="M99" s="47"/>
      <c r="N99" s="47"/>
      <c r="O99" s="37"/>
      <c r="P99" s="38"/>
      <c r="Q99" s="42" t="str">
        <f aca="false">IF(P99="","",LEN(P99))</f>
        <v/>
      </c>
      <c r="R99" s="47"/>
      <c r="S99" s="37"/>
      <c r="T99" s="38"/>
      <c r="U99" s="43" t="str">
        <f aca="false">IF(OR(R99&lt;&gt;"Yes",A99=""),"",A99+4)</f>
        <v/>
      </c>
      <c r="V99" s="47"/>
      <c r="W99" s="38"/>
      <c r="X99" s="38"/>
      <c r="Y99" s="44"/>
      <c r="Z99" s="44"/>
      <c r="AA99" s="45" t="str">
        <f aca="false">IF(AND($Y99="",$Z99=""),"",ROUND(IFERROR(VALUE(LEFT($Y99,1)),0)*12+IFERROR(VALUE(LEFT($Z99,1)),0)*8,0))</f>
        <v/>
      </c>
      <c r="AB99" s="45" t="str">
        <f aca="false">IF($AA99="","",IF($AA99&gt;=80,"A - call first",IF($AA99&gt;=60,"B - worth pursuing",IF($AA99&gt;=40,"C - nurture","D - do not spend time here"))))</f>
        <v/>
      </c>
      <c r="AC99" s="46" t="str">
        <f aca="false">IF($C99="","",IF($S99="Converted","7 Certification / Enterprise opportunity",IF($S99="Application Started","7 Certification / Enterprise opportunity",IF($S99="Meeting Booked","6 Meeting / Application",IF(OR($S99="Interested",$S99="Info Requested"),"5 Interested",IF(OR($S99="Declined",$S99="Not Relevant"),"0 Closed - no",IF($R99="Yes","4 Contacted",IF($N99="Yes","2 Engaged",IF($M99="Yes","1 Awareness",IF($AA99&gt;=60,"3 Qualified","1 Awareness"))))))))))</f>
        <v/>
      </c>
    </row>
    <row r="100" customFormat="false" ht="30" hidden="false" customHeight="true" outlineLevel="0" collapsed="false">
      <c r="A100" s="36"/>
      <c r="B100" s="37"/>
      <c r="C100" s="37"/>
      <c r="D100" s="37"/>
      <c r="E100" s="37"/>
      <c r="F100" s="37"/>
      <c r="G100" s="37"/>
      <c r="H100" s="37"/>
      <c r="I100" s="37"/>
      <c r="J100" s="47"/>
      <c r="K100" s="41" t="str">
        <f aca="false">IF(J100="","",IF(J100&gt;=8,"Yes","Check"))</f>
        <v/>
      </c>
      <c r="L100" s="38"/>
      <c r="M100" s="47"/>
      <c r="N100" s="47"/>
      <c r="O100" s="37"/>
      <c r="P100" s="38"/>
      <c r="Q100" s="42" t="str">
        <f aca="false">IF(P100="","",LEN(P100))</f>
        <v/>
      </c>
      <c r="R100" s="47"/>
      <c r="S100" s="37"/>
      <c r="T100" s="38"/>
      <c r="U100" s="43" t="str">
        <f aca="false">IF(OR(R100&lt;&gt;"Yes",A100=""),"",A100+4)</f>
        <v/>
      </c>
      <c r="V100" s="47"/>
      <c r="W100" s="38"/>
      <c r="X100" s="38"/>
      <c r="Y100" s="44"/>
      <c r="Z100" s="44"/>
      <c r="AA100" s="45" t="str">
        <f aca="false">IF(AND($Y100="",$Z100=""),"",ROUND(IFERROR(VALUE(LEFT($Y100,1)),0)*12+IFERROR(VALUE(LEFT($Z100,1)),0)*8,0))</f>
        <v/>
      </c>
      <c r="AB100" s="45" t="str">
        <f aca="false">IF($AA100="","",IF($AA100&gt;=80,"A - call first",IF($AA100&gt;=60,"B - worth pursuing",IF($AA100&gt;=40,"C - nurture","D - do not spend time here"))))</f>
        <v/>
      </c>
      <c r="AC100" s="46" t="str">
        <f aca="false">IF($C100="","",IF($S100="Converted","7 Certification / Enterprise opportunity",IF($S100="Application Started","7 Certification / Enterprise opportunity",IF($S100="Meeting Booked","6 Meeting / Application",IF(OR($S100="Interested",$S100="Info Requested"),"5 Interested",IF(OR($S100="Declined",$S100="Not Relevant"),"0 Closed - no",IF($R100="Yes","4 Contacted",IF($N100="Yes","2 Engaged",IF($M100="Yes","1 Awareness",IF($AA100&gt;=60,"3 Qualified","1 Awareness"))))))))))</f>
        <v/>
      </c>
    </row>
    <row r="101" customFormat="false" ht="30" hidden="false" customHeight="true" outlineLevel="0" collapsed="false">
      <c r="A101" s="36"/>
      <c r="B101" s="37"/>
      <c r="C101" s="37"/>
      <c r="D101" s="37"/>
      <c r="E101" s="37"/>
      <c r="F101" s="37"/>
      <c r="G101" s="37"/>
      <c r="H101" s="37"/>
      <c r="I101" s="37"/>
      <c r="J101" s="47"/>
      <c r="K101" s="41" t="str">
        <f aca="false">IF(J101="","",IF(J101&gt;=8,"Yes","Check"))</f>
        <v/>
      </c>
      <c r="L101" s="38"/>
      <c r="M101" s="47"/>
      <c r="N101" s="47"/>
      <c r="O101" s="37"/>
      <c r="P101" s="38"/>
      <c r="Q101" s="42" t="str">
        <f aca="false">IF(P101="","",LEN(P101))</f>
        <v/>
      </c>
      <c r="R101" s="47"/>
      <c r="S101" s="37"/>
      <c r="T101" s="38"/>
      <c r="U101" s="43" t="str">
        <f aca="false">IF(OR(R101&lt;&gt;"Yes",A101=""),"",A101+4)</f>
        <v/>
      </c>
      <c r="V101" s="47"/>
      <c r="W101" s="38"/>
      <c r="X101" s="38"/>
      <c r="Y101" s="44"/>
      <c r="Z101" s="44"/>
      <c r="AA101" s="45" t="str">
        <f aca="false">IF(AND($Y101="",$Z101=""),"",ROUND(IFERROR(VALUE(LEFT($Y101,1)),0)*12+IFERROR(VALUE(LEFT($Z101,1)),0)*8,0))</f>
        <v/>
      </c>
      <c r="AB101" s="45" t="str">
        <f aca="false">IF($AA101="","",IF($AA101&gt;=80,"A - call first",IF($AA101&gt;=60,"B - worth pursuing",IF($AA101&gt;=40,"C - nurture","D - do not spend time here"))))</f>
        <v/>
      </c>
      <c r="AC101" s="46" t="str">
        <f aca="false">IF($C101="","",IF($S101="Converted","7 Certification / Enterprise opportunity",IF($S101="Application Started","7 Certification / Enterprise opportunity",IF($S101="Meeting Booked","6 Meeting / Application",IF(OR($S101="Interested",$S101="Info Requested"),"5 Interested",IF(OR($S101="Declined",$S101="Not Relevant"),"0 Closed - no",IF($R101="Yes","4 Contacted",IF($N101="Yes","2 Engaged",IF($M101="Yes","1 Awareness",IF($AA101&gt;=60,"3 Qualified","1 Awareness"))))))))))</f>
        <v/>
      </c>
    </row>
    <row r="102" customFormat="false" ht="30" hidden="false" customHeight="true" outlineLevel="0" collapsed="false">
      <c r="A102" s="36"/>
      <c r="B102" s="37"/>
      <c r="C102" s="37"/>
      <c r="D102" s="37"/>
      <c r="E102" s="37"/>
      <c r="F102" s="37"/>
      <c r="G102" s="37"/>
      <c r="H102" s="37"/>
      <c r="I102" s="37"/>
      <c r="J102" s="47"/>
      <c r="K102" s="41" t="str">
        <f aca="false">IF(J102="","",IF(J102&gt;=8,"Yes","Check"))</f>
        <v/>
      </c>
      <c r="L102" s="38"/>
      <c r="M102" s="47"/>
      <c r="N102" s="47"/>
      <c r="O102" s="37"/>
      <c r="P102" s="38"/>
      <c r="Q102" s="42" t="str">
        <f aca="false">IF(P102="","",LEN(P102))</f>
        <v/>
      </c>
      <c r="R102" s="47"/>
      <c r="S102" s="37"/>
      <c r="T102" s="38"/>
      <c r="U102" s="43" t="str">
        <f aca="false">IF(OR(R102&lt;&gt;"Yes",A102=""),"",A102+4)</f>
        <v/>
      </c>
      <c r="V102" s="47"/>
      <c r="W102" s="38"/>
      <c r="X102" s="38"/>
      <c r="Y102" s="44"/>
      <c r="Z102" s="44"/>
      <c r="AA102" s="45" t="str">
        <f aca="false">IF(AND($Y102="",$Z102=""),"",ROUND(IFERROR(VALUE(LEFT($Y102,1)),0)*12+IFERROR(VALUE(LEFT($Z102,1)),0)*8,0))</f>
        <v/>
      </c>
      <c r="AB102" s="45" t="str">
        <f aca="false">IF($AA102="","",IF($AA102&gt;=80,"A - call first",IF($AA102&gt;=60,"B - worth pursuing",IF($AA102&gt;=40,"C - nurture","D - do not spend time here"))))</f>
        <v/>
      </c>
      <c r="AC102" s="46" t="str">
        <f aca="false">IF($C102="","",IF($S102="Converted","7 Certification / Enterprise opportunity",IF($S102="Application Started","7 Certification / Enterprise opportunity",IF($S102="Meeting Booked","6 Meeting / Application",IF(OR($S102="Interested",$S102="Info Requested"),"5 Interested",IF(OR($S102="Declined",$S102="Not Relevant"),"0 Closed - no",IF($R102="Yes","4 Contacted",IF($N102="Yes","2 Engaged",IF($M102="Yes","1 Awareness",IF($AA102&gt;=60,"3 Qualified","1 Awareness"))))))))))</f>
        <v/>
      </c>
    </row>
    <row r="103" customFormat="false" ht="30" hidden="false" customHeight="true" outlineLevel="0" collapsed="false">
      <c r="A103" s="36"/>
      <c r="B103" s="37"/>
      <c r="C103" s="37"/>
      <c r="D103" s="37"/>
      <c r="E103" s="37"/>
      <c r="F103" s="37"/>
      <c r="G103" s="37"/>
      <c r="H103" s="37"/>
      <c r="I103" s="37"/>
      <c r="J103" s="47"/>
      <c r="K103" s="41" t="str">
        <f aca="false">IF(J103="","",IF(J103&gt;=8,"Yes","Check"))</f>
        <v/>
      </c>
      <c r="L103" s="38"/>
      <c r="M103" s="47"/>
      <c r="N103" s="47"/>
      <c r="O103" s="37"/>
      <c r="P103" s="38"/>
      <c r="Q103" s="42" t="str">
        <f aca="false">IF(P103="","",LEN(P103))</f>
        <v/>
      </c>
      <c r="R103" s="47"/>
      <c r="S103" s="37"/>
      <c r="T103" s="38"/>
      <c r="U103" s="43" t="str">
        <f aca="false">IF(OR(R103&lt;&gt;"Yes",A103=""),"",A103+4)</f>
        <v/>
      </c>
      <c r="V103" s="47"/>
      <c r="W103" s="38"/>
      <c r="X103" s="38"/>
      <c r="Y103" s="44"/>
      <c r="Z103" s="44"/>
      <c r="AA103" s="45" t="str">
        <f aca="false">IF(AND($Y103="",$Z103=""),"",ROUND(IFERROR(VALUE(LEFT($Y103,1)),0)*12+IFERROR(VALUE(LEFT($Z103,1)),0)*8,0))</f>
        <v/>
      </c>
      <c r="AB103" s="45" t="str">
        <f aca="false">IF($AA103="","",IF($AA103&gt;=80,"A - call first",IF($AA103&gt;=60,"B - worth pursuing",IF($AA103&gt;=40,"C - nurture","D - do not spend time here"))))</f>
        <v/>
      </c>
      <c r="AC103" s="46" t="str">
        <f aca="false">IF($C103="","",IF($S103="Converted","7 Certification / Enterprise opportunity",IF($S103="Application Started","7 Certification / Enterprise opportunity",IF($S103="Meeting Booked","6 Meeting / Application",IF(OR($S103="Interested",$S103="Info Requested"),"5 Interested",IF(OR($S103="Declined",$S103="Not Relevant"),"0 Closed - no",IF($R103="Yes","4 Contacted",IF($N103="Yes","2 Engaged",IF($M103="Yes","1 Awareness",IF($AA103&gt;=60,"3 Qualified","1 Awareness"))))))))))</f>
        <v/>
      </c>
    </row>
    <row r="104" customFormat="false" ht="30" hidden="false" customHeight="true" outlineLevel="0" collapsed="false">
      <c r="A104" s="36"/>
      <c r="B104" s="37"/>
      <c r="C104" s="37"/>
      <c r="D104" s="37"/>
      <c r="E104" s="37"/>
      <c r="F104" s="37"/>
      <c r="G104" s="37"/>
      <c r="H104" s="37"/>
      <c r="I104" s="37"/>
      <c r="J104" s="47"/>
      <c r="K104" s="41" t="str">
        <f aca="false">IF(J104="","",IF(J104&gt;=8,"Yes","Check"))</f>
        <v/>
      </c>
      <c r="L104" s="38"/>
      <c r="M104" s="47"/>
      <c r="N104" s="47"/>
      <c r="O104" s="37"/>
      <c r="P104" s="38"/>
      <c r="Q104" s="42" t="str">
        <f aca="false">IF(P104="","",LEN(P104))</f>
        <v/>
      </c>
      <c r="R104" s="47"/>
      <c r="S104" s="37"/>
      <c r="T104" s="38"/>
      <c r="U104" s="43" t="str">
        <f aca="false">IF(OR(R104&lt;&gt;"Yes",A104=""),"",A104+4)</f>
        <v/>
      </c>
      <c r="V104" s="47"/>
      <c r="W104" s="38"/>
      <c r="X104" s="38"/>
      <c r="Y104" s="44"/>
      <c r="Z104" s="44"/>
      <c r="AA104" s="45" t="str">
        <f aca="false">IF(AND($Y104="",$Z104=""),"",ROUND(IFERROR(VALUE(LEFT($Y104,1)),0)*12+IFERROR(VALUE(LEFT($Z104,1)),0)*8,0))</f>
        <v/>
      </c>
      <c r="AB104" s="45" t="str">
        <f aca="false">IF($AA104="","",IF($AA104&gt;=80,"A - call first",IF($AA104&gt;=60,"B - worth pursuing",IF($AA104&gt;=40,"C - nurture","D - do not spend time here"))))</f>
        <v/>
      </c>
      <c r="AC104" s="46" t="str">
        <f aca="false">IF($C104="","",IF($S104="Converted","7 Certification / Enterprise opportunity",IF($S104="Application Started","7 Certification / Enterprise opportunity",IF($S104="Meeting Booked","6 Meeting / Application",IF(OR($S104="Interested",$S104="Info Requested"),"5 Interested",IF(OR($S104="Declined",$S104="Not Relevant"),"0 Closed - no",IF($R104="Yes","4 Contacted",IF($N104="Yes","2 Engaged",IF($M104="Yes","1 Awareness",IF($AA104&gt;=60,"3 Qualified","1 Awareness"))))))))))</f>
        <v/>
      </c>
    </row>
    <row r="105" customFormat="false" ht="30" hidden="false" customHeight="true" outlineLevel="0" collapsed="false">
      <c r="A105" s="36"/>
      <c r="B105" s="37"/>
      <c r="C105" s="37"/>
      <c r="D105" s="37"/>
      <c r="E105" s="37"/>
      <c r="F105" s="37"/>
      <c r="G105" s="37"/>
      <c r="H105" s="37"/>
      <c r="I105" s="37"/>
      <c r="J105" s="47"/>
      <c r="K105" s="41" t="str">
        <f aca="false">IF(J105="","",IF(J105&gt;=8,"Yes","Check"))</f>
        <v/>
      </c>
      <c r="L105" s="38"/>
      <c r="M105" s="47"/>
      <c r="N105" s="47"/>
      <c r="O105" s="37"/>
      <c r="P105" s="38"/>
      <c r="Q105" s="42" t="str">
        <f aca="false">IF(P105="","",LEN(P105))</f>
        <v/>
      </c>
      <c r="R105" s="47"/>
      <c r="S105" s="37"/>
      <c r="T105" s="38"/>
      <c r="U105" s="43" t="str">
        <f aca="false">IF(OR(R105&lt;&gt;"Yes",A105=""),"",A105+4)</f>
        <v/>
      </c>
      <c r="V105" s="47"/>
      <c r="W105" s="38"/>
      <c r="X105" s="38"/>
      <c r="Y105" s="44"/>
      <c r="Z105" s="44"/>
      <c r="AA105" s="45" t="str">
        <f aca="false">IF(AND($Y105="",$Z105=""),"",ROUND(IFERROR(VALUE(LEFT($Y105,1)),0)*12+IFERROR(VALUE(LEFT($Z105,1)),0)*8,0))</f>
        <v/>
      </c>
      <c r="AB105" s="45" t="str">
        <f aca="false">IF($AA105="","",IF($AA105&gt;=80,"A - call first",IF($AA105&gt;=60,"B - worth pursuing",IF($AA105&gt;=40,"C - nurture","D - do not spend time here"))))</f>
        <v/>
      </c>
      <c r="AC105" s="46" t="str">
        <f aca="false">IF($C105="","",IF($S105="Converted","7 Certification / Enterprise opportunity",IF($S105="Application Started","7 Certification / Enterprise opportunity",IF($S105="Meeting Booked","6 Meeting / Application",IF(OR($S105="Interested",$S105="Info Requested"),"5 Interested",IF(OR($S105="Declined",$S105="Not Relevant"),"0 Closed - no",IF($R105="Yes","4 Contacted",IF($N105="Yes","2 Engaged",IF($M105="Yes","1 Awareness",IF($AA105&gt;=60,"3 Qualified","1 Awareness"))))))))))</f>
        <v/>
      </c>
    </row>
    <row r="106" customFormat="false" ht="30" hidden="false" customHeight="true" outlineLevel="0" collapsed="false">
      <c r="A106" s="36"/>
      <c r="B106" s="37"/>
      <c r="C106" s="37"/>
      <c r="D106" s="37"/>
      <c r="E106" s="37"/>
      <c r="F106" s="37"/>
      <c r="G106" s="37"/>
      <c r="H106" s="37"/>
      <c r="I106" s="37"/>
      <c r="J106" s="47"/>
      <c r="K106" s="41" t="str">
        <f aca="false">IF(J106="","",IF(J106&gt;=8,"Yes","Check"))</f>
        <v/>
      </c>
      <c r="L106" s="38"/>
      <c r="M106" s="47"/>
      <c r="N106" s="47"/>
      <c r="O106" s="37"/>
      <c r="P106" s="38"/>
      <c r="Q106" s="42" t="str">
        <f aca="false">IF(P106="","",LEN(P106))</f>
        <v/>
      </c>
      <c r="R106" s="47"/>
      <c r="S106" s="37"/>
      <c r="T106" s="38"/>
      <c r="U106" s="43" t="str">
        <f aca="false">IF(OR(R106&lt;&gt;"Yes",A106=""),"",A106+4)</f>
        <v/>
      </c>
      <c r="V106" s="47"/>
      <c r="W106" s="38"/>
      <c r="X106" s="38"/>
      <c r="Y106" s="44"/>
      <c r="Z106" s="44"/>
      <c r="AA106" s="45" t="str">
        <f aca="false">IF(AND($Y106="",$Z106=""),"",ROUND(IFERROR(VALUE(LEFT($Y106,1)),0)*12+IFERROR(VALUE(LEFT($Z106,1)),0)*8,0))</f>
        <v/>
      </c>
      <c r="AB106" s="45" t="str">
        <f aca="false">IF($AA106="","",IF($AA106&gt;=80,"A - call first",IF($AA106&gt;=60,"B - worth pursuing",IF($AA106&gt;=40,"C - nurture","D - do not spend time here"))))</f>
        <v/>
      </c>
      <c r="AC106" s="46" t="str">
        <f aca="false">IF($C106="","",IF($S106="Converted","7 Certification / Enterprise opportunity",IF($S106="Application Started","7 Certification / Enterprise opportunity",IF($S106="Meeting Booked","6 Meeting / Application",IF(OR($S106="Interested",$S106="Info Requested"),"5 Interested",IF(OR($S106="Declined",$S106="Not Relevant"),"0 Closed - no",IF($R106="Yes","4 Contacted",IF($N106="Yes","2 Engaged",IF($M106="Yes","1 Awareness",IF($AA106&gt;=60,"3 Qualified","1 Awareness"))))))))))</f>
        <v/>
      </c>
    </row>
    <row r="107" customFormat="false" ht="30" hidden="false" customHeight="true" outlineLevel="0" collapsed="false">
      <c r="A107" s="36"/>
      <c r="B107" s="37"/>
      <c r="C107" s="37"/>
      <c r="D107" s="37"/>
      <c r="E107" s="37"/>
      <c r="F107" s="37"/>
      <c r="G107" s="37"/>
      <c r="H107" s="37"/>
      <c r="I107" s="37"/>
      <c r="J107" s="47"/>
      <c r="K107" s="41" t="str">
        <f aca="false">IF(J107="","",IF(J107&gt;=8,"Yes","Check"))</f>
        <v/>
      </c>
      <c r="L107" s="38"/>
      <c r="M107" s="47"/>
      <c r="N107" s="47"/>
      <c r="O107" s="37"/>
      <c r="P107" s="38"/>
      <c r="Q107" s="42" t="str">
        <f aca="false">IF(P107="","",LEN(P107))</f>
        <v/>
      </c>
      <c r="R107" s="47"/>
      <c r="S107" s="37"/>
      <c r="T107" s="38"/>
      <c r="U107" s="43" t="str">
        <f aca="false">IF(OR(R107&lt;&gt;"Yes",A107=""),"",A107+4)</f>
        <v/>
      </c>
      <c r="V107" s="47"/>
      <c r="W107" s="38"/>
      <c r="X107" s="38"/>
      <c r="Y107" s="44"/>
      <c r="Z107" s="44"/>
      <c r="AA107" s="45" t="str">
        <f aca="false">IF(AND($Y107="",$Z107=""),"",ROUND(IFERROR(VALUE(LEFT($Y107,1)),0)*12+IFERROR(VALUE(LEFT($Z107,1)),0)*8,0))</f>
        <v/>
      </c>
      <c r="AB107" s="45" t="str">
        <f aca="false">IF($AA107="","",IF($AA107&gt;=80,"A - call first",IF($AA107&gt;=60,"B - worth pursuing",IF($AA107&gt;=40,"C - nurture","D - do not spend time here"))))</f>
        <v/>
      </c>
      <c r="AC107" s="46" t="str">
        <f aca="false">IF($C107="","",IF($S107="Converted","7 Certification / Enterprise opportunity",IF($S107="Application Started","7 Certification / Enterprise opportunity",IF($S107="Meeting Booked","6 Meeting / Application",IF(OR($S107="Interested",$S107="Info Requested"),"5 Interested",IF(OR($S107="Declined",$S107="Not Relevant"),"0 Closed - no",IF($R107="Yes","4 Contacted",IF($N107="Yes","2 Engaged",IF($M107="Yes","1 Awareness",IF($AA107&gt;=60,"3 Qualified","1 Awareness"))))))))))</f>
        <v/>
      </c>
    </row>
    <row r="108" customFormat="false" ht="30" hidden="false" customHeight="true" outlineLevel="0" collapsed="false">
      <c r="A108" s="36"/>
      <c r="B108" s="37"/>
      <c r="C108" s="37"/>
      <c r="D108" s="37"/>
      <c r="E108" s="37"/>
      <c r="F108" s="37"/>
      <c r="G108" s="37"/>
      <c r="H108" s="37"/>
      <c r="I108" s="37"/>
      <c r="J108" s="47"/>
      <c r="K108" s="41" t="str">
        <f aca="false">IF(J108="","",IF(J108&gt;=8,"Yes","Check"))</f>
        <v/>
      </c>
      <c r="L108" s="38"/>
      <c r="M108" s="47"/>
      <c r="N108" s="47"/>
      <c r="O108" s="37"/>
      <c r="P108" s="38"/>
      <c r="Q108" s="42" t="str">
        <f aca="false">IF(P108="","",LEN(P108))</f>
        <v/>
      </c>
      <c r="R108" s="47"/>
      <c r="S108" s="37"/>
      <c r="T108" s="38"/>
      <c r="U108" s="43" t="str">
        <f aca="false">IF(OR(R108&lt;&gt;"Yes",A108=""),"",A108+4)</f>
        <v/>
      </c>
      <c r="V108" s="47"/>
      <c r="W108" s="38"/>
      <c r="X108" s="38"/>
      <c r="Y108" s="44"/>
      <c r="Z108" s="44"/>
      <c r="AA108" s="45" t="str">
        <f aca="false">IF(AND($Y108="",$Z108=""),"",ROUND(IFERROR(VALUE(LEFT($Y108,1)),0)*12+IFERROR(VALUE(LEFT($Z108,1)),0)*8,0))</f>
        <v/>
      </c>
      <c r="AB108" s="45" t="str">
        <f aca="false">IF($AA108="","",IF($AA108&gt;=80,"A - call first",IF($AA108&gt;=60,"B - worth pursuing",IF($AA108&gt;=40,"C - nurture","D - do not spend time here"))))</f>
        <v/>
      </c>
      <c r="AC108" s="46" t="str">
        <f aca="false">IF($C108="","",IF($S108="Converted","7 Certification / Enterprise opportunity",IF($S108="Application Started","7 Certification / Enterprise opportunity",IF($S108="Meeting Booked","6 Meeting / Application",IF(OR($S108="Interested",$S108="Info Requested"),"5 Interested",IF(OR($S108="Declined",$S108="Not Relevant"),"0 Closed - no",IF($R108="Yes","4 Contacted",IF($N108="Yes","2 Engaged",IF($M108="Yes","1 Awareness",IF($AA108&gt;=60,"3 Qualified","1 Awareness"))))))))))</f>
        <v/>
      </c>
    </row>
    <row r="109" customFormat="false" ht="30" hidden="false" customHeight="true" outlineLevel="0" collapsed="false">
      <c r="A109" s="36"/>
      <c r="B109" s="37"/>
      <c r="C109" s="37"/>
      <c r="D109" s="37"/>
      <c r="E109" s="37"/>
      <c r="F109" s="37"/>
      <c r="G109" s="37"/>
      <c r="H109" s="37"/>
      <c r="I109" s="37"/>
      <c r="J109" s="47"/>
      <c r="K109" s="41" t="str">
        <f aca="false">IF(J109="","",IF(J109&gt;=8,"Yes","Check"))</f>
        <v/>
      </c>
      <c r="L109" s="38"/>
      <c r="M109" s="47"/>
      <c r="N109" s="47"/>
      <c r="O109" s="37"/>
      <c r="P109" s="38"/>
      <c r="Q109" s="42" t="str">
        <f aca="false">IF(P109="","",LEN(P109))</f>
        <v/>
      </c>
      <c r="R109" s="47"/>
      <c r="S109" s="37"/>
      <c r="T109" s="38"/>
      <c r="U109" s="43" t="str">
        <f aca="false">IF(OR(R109&lt;&gt;"Yes",A109=""),"",A109+4)</f>
        <v/>
      </c>
      <c r="V109" s="47"/>
      <c r="W109" s="38"/>
      <c r="X109" s="38"/>
      <c r="Y109" s="44"/>
      <c r="Z109" s="44"/>
      <c r="AA109" s="45" t="str">
        <f aca="false">IF(AND($Y109="",$Z109=""),"",ROUND(IFERROR(VALUE(LEFT($Y109,1)),0)*12+IFERROR(VALUE(LEFT($Z109,1)),0)*8,0))</f>
        <v/>
      </c>
      <c r="AB109" s="45" t="str">
        <f aca="false">IF($AA109="","",IF($AA109&gt;=80,"A - call first",IF($AA109&gt;=60,"B - worth pursuing",IF($AA109&gt;=40,"C - nurture","D - do not spend time here"))))</f>
        <v/>
      </c>
      <c r="AC109" s="46" t="str">
        <f aca="false">IF($C109="","",IF($S109="Converted","7 Certification / Enterprise opportunity",IF($S109="Application Started","7 Certification / Enterprise opportunity",IF($S109="Meeting Booked","6 Meeting / Application",IF(OR($S109="Interested",$S109="Info Requested"),"5 Interested",IF(OR($S109="Declined",$S109="Not Relevant"),"0 Closed - no",IF($R109="Yes","4 Contacted",IF($N109="Yes","2 Engaged",IF($M109="Yes","1 Awareness",IF($AA109&gt;=60,"3 Qualified","1 Awareness"))))))))))</f>
        <v/>
      </c>
    </row>
    <row r="110" customFormat="false" ht="30" hidden="false" customHeight="true" outlineLevel="0" collapsed="false">
      <c r="A110" s="36"/>
      <c r="B110" s="37"/>
      <c r="C110" s="37"/>
      <c r="D110" s="37"/>
      <c r="E110" s="37"/>
      <c r="F110" s="37"/>
      <c r="G110" s="37"/>
      <c r="H110" s="37"/>
      <c r="I110" s="37"/>
      <c r="J110" s="47"/>
      <c r="K110" s="41" t="str">
        <f aca="false">IF(J110="","",IF(J110&gt;=8,"Yes","Check"))</f>
        <v/>
      </c>
      <c r="L110" s="38"/>
      <c r="M110" s="47"/>
      <c r="N110" s="47"/>
      <c r="O110" s="37"/>
      <c r="P110" s="38"/>
      <c r="Q110" s="42" t="str">
        <f aca="false">IF(P110="","",LEN(P110))</f>
        <v/>
      </c>
      <c r="R110" s="47"/>
      <c r="S110" s="37"/>
      <c r="T110" s="38"/>
      <c r="U110" s="43" t="str">
        <f aca="false">IF(OR(R110&lt;&gt;"Yes",A110=""),"",A110+4)</f>
        <v/>
      </c>
      <c r="V110" s="47"/>
      <c r="W110" s="38"/>
      <c r="X110" s="38"/>
      <c r="Y110" s="44"/>
      <c r="Z110" s="44"/>
      <c r="AA110" s="45" t="str">
        <f aca="false">IF(AND($Y110="",$Z110=""),"",ROUND(IFERROR(VALUE(LEFT($Y110,1)),0)*12+IFERROR(VALUE(LEFT($Z110,1)),0)*8,0))</f>
        <v/>
      </c>
      <c r="AB110" s="45" t="str">
        <f aca="false">IF($AA110="","",IF($AA110&gt;=80,"A - call first",IF($AA110&gt;=60,"B - worth pursuing",IF($AA110&gt;=40,"C - nurture","D - do not spend time here"))))</f>
        <v/>
      </c>
      <c r="AC110" s="46" t="str">
        <f aca="false">IF($C110="","",IF($S110="Converted","7 Certification / Enterprise opportunity",IF($S110="Application Started","7 Certification / Enterprise opportunity",IF($S110="Meeting Booked","6 Meeting / Application",IF(OR($S110="Interested",$S110="Info Requested"),"5 Interested",IF(OR($S110="Declined",$S110="Not Relevant"),"0 Closed - no",IF($R110="Yes","4 Contacted",IF($N110="Yes","2 Engaged",IF($M110="Yes","1 Awareness",IF($AA110&gt;=60,"3 Qualified","1 Awareness"))))))))))</f>
        <v/>
      </c>
    </row>
    <row r="111" customFormat="false" ht="30" hidden="false" customHeight="true" outlineLevel="0" collapsed="false">
      <c r="A111" s="36"/>
      <c r="B111" s="37"/>
      <c r="C111" s="37"/>
      <c r="D111" s="37"/>
      <c r="E111" s="37"/>
      <c r="F111" s="37"/>
      <c r="G111" s="37"/>
      <c r="H111" s="37"/>
      <c r="I111" s="37"/>
      <c r="J111" s="47"/>
      <c r="K111" s="41" t="str">
        <f aca="false">IF(J111="","",IF(J111&gt;=8,"Yes","Check"))</f>
        <v/>
      </c>
      <c r="L111" s="38"/>
      <c r="M111" s="47"/>
      <c r="N111" s="47"/>
      <c r="O111" s="37"/>
      <c r="P111" s="38"/>
      <c r="Q111" s="42" t="str">
        <f aca="false">IF(P111="","",LEN(P111))</f>
        <v/>
      </c>
      <c r="R111" s="47"/>
      <c r="S111" s="37"/>
      <c r="T111" s="38"/>
      <c r="U111" s="43" t="str">
        <f aca="false">IF(OR(R111&lt;&gt;"Yes",A111=""),"",A111+4)</f>
        <v/>
      </c>
      <c r="V111" s="47"/>
      <c r="W111" s="38"/>
      <c r="X111" s="38"/>
      <c r="Y111" s="44"/>
      <c r="Z111" s="44"/>
      <c r="AA111" s="45" t="str">
        <f aca="false">IF(AND($Y111="",$Z111=""),"",ROUND(IFERROR(VALUE(LEFT($Y111,1)),0)*12+IFERROR(VALUE(LEFT($Z111,1)),0)*8,0))</f>
        <v/>
      </c>
      <c r="AB111" s="45" t="str">
        <f aca="false">IF($AA111="","",IF($AA111&gt;=80,"A - call first",IF($AA111&gt;=60,"B - worth pursuing",IF($AA111&gt;=40,"C - nurture","D - do not spend time here"))))</f>
        <v/>
      </c>
      <c r="AC111" s="46" t="str">
        <f aca="false">IF($C111="","",IF($S111="Converted","7 Certification / Enterprise opportunity",IF($S111="Application Started","7 Certification / Enterprise opportunity",IF($S111="Meeting Booked","6 Meeting / Application",IF(OR($S111="Interested",$S111="Info Requested"),"5 Interested",IF(OR($S111="Declined",$S111="Not Relevant"),"0 Closed - no",IF($R111="Yes","4 Contacted",IF($N111="Yes","2 Engaged",IF($M111="Yes","1 Awareness",IF($AA111&gt;=60,"3 Qualified","1 Awareness"))))))))))</f>
        <v/>
      </c>
    </row>
    <row r="112" customFormat="false" ht="30" hidden="false" customHeight="true" outlineLevel="0" collapsed="false">
      <c r="A112" s="36"/>
      <c r="B112" s="37"/>
      <c r="C112" s="37"/>
      <c r="D112" s="37"/>
      <c r="E112" s="37"/>
      <c r="F112" s="37"/>
      <c r="G112" s="37"/>
      <c r="H112" s="37"/>
      <c r="I112" s="37"/>
      <c r="J112" s="47"/>
      <c r="K112" s="41" t="str">
        <f aca="false">IF(J112="","",IF(J112&gt;=8,"Yes","Check"))</f>
        <v/>
      </c>
      <c r="L112" s="38"/>
      <c r="M112" s="47"/>
      <c r="N112" s="47"/>
      <c r="O112" s="37"/>
      <c r="P112" s="38"/>
      <c r="Q112" s="42" t="str">
        <f aca="false">IF(P112="","",LEN(P112))</f>
        <v/>
      </c>
      <c r="R112" s="47"/>
      <c r="S112" s="37"/>
      <c r="T112" s="38"/>
      <c r="U112" s="43" t="str">
        <f aca="false">IF(OR(R112&lt;&gt;"Yes",A112=""),"",A112+4)</f>
        <v/>
      </c>
      <c r="V112" s="47"/>
      <c r="W112" s="38"/>
      <c r="X112" s="38"/>
      <c r="Y112" s="44"/>
      <c r="Z112" s="44"/>
      <c r="AA112" s="45" t="str">
        <f aca="false">IF(AND($Y112="",$Z112=""),"",ROUND(IFERROR(VALUE(LEFT($Y112,1)),0)*12+IFERROR(VALUE(LEFT($Z112,1)),0)*8,0))</f>
        <v/>
      </c>
      <c r="AB112" s="45" t="str">
        <f aca="false">IF($AA112="","",IF($AA112&gt;=80,"A - call first",IF($AA112&gt;=60,"B - worth pursuing",IF($AA112&gt;=40,"C - nurture","D - do not spend time here"))))</f>
        <v/>
      </c>
      <c r="AC112" s="46" t="str">
        <f aca="false">IF($C112="","",IF($S112="Converted","7 Certification / Enterprise opportunity",IF($S112="Application Started","7 Certification / Enterprise opportunity",IF($S112="Meeting Booked","6 Meeting / Application",IF(OR($S112="Interested",$S112="Info Requested"),"5 Interested",IF(OR($S112="Declined",$S112="Not Relevant"),"0 Closed - no",IF($R112="Yes","4 Contacted",IF($N112="Yes","2 Engaged",IF($M112="Yes","1 Awareness",IF($AA112&gt;=60,"3 Qualified","1 Awareness"))))))))))</f>
        <v/>
      </c>
    </row>
    <row r="113" customFormat="false" ht="30" hidden="false" customHeight="true" outlineLevel="0" collapsed="false">
      <c r="A113" s="36"/>
      <c r="B113" s="37"/>
      <c r="C113" s="37"/>
      <c r="D113" s="37"/>
      <c r="E113" s="37"/>
      <c r="F113" s="37"/>
      <c r="G113" s="37"/>
      <c r="H113" s="37"/>
      <c r="I113" s="37"/>
      <c r="J113" s="47"/>
      <c r="K113" s="41" t="str">
        <f aca="false">IF(J113="","",IF(J113&gt;=8,"Yes","Check"))</f>
        <v/>
      </c>
      <c r="L113" s="38"/>
      <c r="M113" s="47"/>
      <c r="N113" s="47"/>
      <c r="O113" s="37"/>
      <c r="P113" s="38"/>
      <c r="Q113" s="42" t="str">
        <f aca="false">IF(P113="","",LEN(P113))</f>
        <v/>
      </c>
      <c r="R113" s="47"/>
      <c r="S113" s="37"/>
      <c r="T113" s="38"/>
      <c r="U113" s="43" t="str">
        <f aca="false">IF(OR(R113&lt;&gt;"Yes",A113=""),"",A113+4)</f>
        <v/>
      </c>
      <c r="V113" s="47"/>
      <c r="W113" s="38"/>
      <c r="X113" s="38"/>
      <c r="Y113" s="44"/>
      <c r="Z113" s="44"/>
      <c r="AA113" s="45" t="str">
        <f aca="false">IF(AND($Y113="",$Z113=""),"",ROUND(IFERROR(VALUE(LEFT($Y113,1)),0)*12+IFERROR(VALUE(LEFT($Z113,1)),0)*8,0))</f>
        <v/>
      </c>
      <c r="AB113" s="45" t="str">
        <f aca="false">IF($AA113="","",IF($AA113&gt;=80,"A - call first",IF($AA113&gt;=60,"B - worth pursuing",IF($AA113&gt;=40,"C - nurture","D - do not spend time here"))))</f>
        <v/>
      </c>
      <c r="AC113" s="46" t="str">
        <f aca="false">IF($C113="","",IF($S113="Converted","7 Certification / Enterprise opportunity",IF($S113="Application Started","7 Certification / Enterprise opportunity",IF($S113="Meeting Booked","6 Meeting / Application",IF(OR($S113="Interested",$S113="Info Requested"),"5 Interested",IF(OR($S113="Declined",$S113="Not Relevant"),"0 Closed - no",IF($R113="Yes","4 Contacted",IF($N113="Yes","2 Engaged",IF($M113="Yes","1 Awareness",IF($AA113&gt;=60,"3 Qualified","1 Awareness"))))))))))</f>
        <v/>
      </c>
    </row>
    <row r="114" customFormat="false" ht="30" hidden="false" customHeight="true" outlineLevel="0" collapsed="false">
      <c r="A114" s="36"/>
      <c r="B114" s="37"/>
      <c r="C114" s="37"/>
      <c r="D114" s="37"/>
      <c r="E114" s="37"/>
      <c r="F114" s="37"/>
      <c r="G114" s="37"/>
      <c r="H114" s="37"/>
      <c r="I114" s="37"/>
      <c r="J114" s="47"/>
      <c r="K114" s="41" t="str">
        <f aca="false">IF(J114="","",IF(J114&gt;=8,"Yes","Check"))</f>
        <v/>
      </c>
      <c r="L114" s="38"/>
      <c r="M114" s="47"/>
      <c r="N114" s="47"/>
      <c r="O114" s="37"/>
      <c r="P114" s="38"/>
      <c r="Q114" s="42" t="str">
        <f aca="false">IF(P114="","",LEN(P114))</f>
        <v/>
      </c>
      <c r="R114" s="47"/>
      <c r="S114" s="37"/>
      <c r="T114" s="38"/>
      <c r="U114" s="43" t="str">
        <f aca="false">IF(OR(R114&lt;&gt;"Yes",A114=""),"",A114+4)</f>
        <v/>
      </c>
      <c r="V114" s="47"/>
      <c r="W114" s="38"/>
      <c r="X114" s="38"/>
      <c r="Y114" s="44"/>
      <c r="Z114" s="44"/>
      <c r="AA114" s="45" t="str">
        <f aca="false">IF(AND($Y114="",$Z114=""),"",ROUND(IFERROR(VALUE(LEFT($Y114,1)),0)*12+IFERROR(VALUE(LEFT($Z114,1)),0)*8,0))</f>
        <v/>
      </c>
      <c r="AB114" s="45" t="str">
        <f aca="false">IF($AA114="","",IF($AA114&gt;=80,"A - call first",IF($AA114&gt;=60,"B - worth pursuing",IF($AA114&gt;=40,"C - nurture","D - do not spend time here"))))</f>
        <v/>
      </c>
      <c r="AC114" s="46" t="str">
        <f aca="false">IF($C114="","",IF($S114="Converted","7 Certification / Enterprise opportunity",IF($S114="Application Started","7 Certification / Enterprise opportunity",IF($S114="Meeting Booked","6 Meeting / Application",IF(OR($S114="Interested",$S114="Info Requested"),"5 Interested",IF(OR($S114="Declined",$S114="Not Relevant"),"0 Closed - no",IF($R114="Yes","4 Contacted",IF($N114="Yes","2 Engaged",IF($M114="Yes","1 Awareness",IF($AA114&gt;=60,"3 Qualified","1 Awareness"))))))))))</f>
        <v/>
      </c>
    </row>
    <row r="115" customFormat="false" ht="30" hidden="false" customHeight="true" outlineLevel="0" collapsed="false">
      <c r="A115" s="36"/>
      <c r="B115" s="37"/>
      <c r="C115" s="37"/>
      <c r="D115" s="37"/>
      <c r="E115" s="37"/>
      <c r="F115" s="37"/>
      <c r="G115" s="37"/>
      <c r="H115" s="37"/>
      <c r="I115" s="37"/>
      <c r="J115" s="47"/>
      <c r="K115" s="41" t="str">
        <f aca="false">IF(J115="","",IF(J115&gt;=8,"Yes","Check"))</f>
        <v/>
      </c>
      <c r="L115" s="38"/>
      <c r="M115" s="47"/>
      <c r="N115" s="47"/>
      <c r="O115" s="37"/>
      <c r="P115" s="38"/>
      <c r="Q115" s="42" t="str">
        <f aca="false">IF(P115="","",LEN(P115))</f>
        <v/>
      </c>
      <c r="R115" s="47"/>
      <c r="S115" s="37"/>
      <c r="T115" s="38"/>
      <c r="U115" s="43" t="str">
        <f aca="false">IF(OR(R115&lt;&gt;"Yes",A115=""),"",A115+4)</f>
        <v/>
      </c>
      <c r="V115" s="47"/>
      <c r="W115" s="38"/>
      <c r="X115" s="38"/>
      <c r="Y115" s="44"/>
      <c r="Z115" s="44"/>
      <c r="AA115" s="45" t="str">
        <f aca="false">IF(AND($Y115="",$Z115=""),"",ROUND(IFERROR(VALUE(LEFT($Y115,1)),0)*12+IFERROR(VALUE(LEFT($Z115,1)),0)*8,0))</f>
        <v/>
      </c>
      <c r="AB115" s="45" t="str">
        <f aca="false">IF($AA115="","",IF($AA115&gt;=80,"A - call first",IF($AA115&gt;=60,"B - worth pursuing",IF($AA115&gt;=40,"C - nurture","D - do not spend time here"))))</f>
        <v/>
      </c>
      <c r="AC115" s="46" t="str">
        <f aca="false">IF($C115="","",IF($S115="Converted","7 Certification / Enterprise opportunity",IF($S115="Application Started","7 Certification / Enterprise opportunity",IF($S115="Meeting Booked","6 Meeting / Application",IF(OR($S115="Interested",$S115="Info Requested"),"5 Interested",IF(OR($S115="Declined",$S115="Not Relevant"),"0 Closed - no",IF($R115="Yes","4 Contacted",IF($N115="Yes","2 Engaged",IF($M115="Yes","1 Awareness",IF($AA115&gt;=60,"3 Qualified","1 Awareness"))))))))))</f>
        <v/>
      </c>
    </row>
    <row r="116" customFormat="false" ht="30" hidden="false" customHeight="true" outlineLevel="0" collapsed="false">
      <c r="A116" s="36"/>
      <c r="B116" s="37"/>
      <c r="C116" s="37"/>
      <c r="D116" s="37"/>
      <c r="E116" s="37"/>
      <c r="F116" s="37"/>
      <c r="G116" s="37"/>
      <c r="H116" s="37"/>
      <c r="I116" s="37"/>
      <c r="J116" s="47"/>
      <c r="K116" s="41" t="str">
        <f aca="false">IF(J116="","",IF(J116&gt;=8,"Yes","Check"))</f>
        <v/>
      </c>
      <c r="L116" s="38"/>
      <c r="M116" s="47"/>
      <c r="N116" s="47"/>
      <c r="O116" s="37"/>
      <c r="P116" s="38"/>
      <c r="Q116" s="42" t="str">
        <f aca="false">IF(P116="","",LEN(P116))</f>
        <v/>
      </c>
      <c r="R116" s="47"/>
      <c r="S116" s="37"/>
      <c r="T116" s="38"/>
      <c r="U116" s="43" t="str">
        <f aca="false">IF(OR(R116&lt;&gt;"Yes",A116=""),"",A116+4)</f>
        <v/>
      </c>
      <c r="V116" s="47"/>
      <c r="W116" s="38"/>
      <c r="X116" s="38"/>
      <c r="Y116" s="44"/>
      <c r="Z116" s="44"/>
      <c r="AA116" s="45" t="str">
        <f aca="false">IF(AND($Y116="",$Z116=""),"",ROUND(IFERROR(VALUE(LEFT($Y116,1)),0)*12+IFERROR(VALUE(LEFT($Z116,1)),0)*8,0))</f>
        <v/>
      </c>
      <c r="AB116" s="45" t="str">
        <f aca="false">IF($AA116="","",IF($AA116&gt;=80,"A - call first",IF($AA116&gt;=60,"B - worth pursuing",IF($AA116&gt;=40,"C - nurture","D - do not spend time here"))))</f>
        <v/>
      </c>
      <c r="AC116" s="46" t="str">
        <f aca="false">IF($C116="","",IF($S116="Converted","7 Certification / Enterprise opportunity",IF($S116="Application Started","7 Certification / Enterprise opportunity",IF($S116="Meeting Booked","6 Meeting / Application",IF(OR($S116="Interested",$S116="Info Requested"),"5 Interested",IF(OR($S116="Declined",$S116="Not Relevant"),"0 Closed - no",IF($R116="Yes","4 Contacted",IF($N116="Yes","2 Engaged",IF($M116="Yes","1 Awareness",IF($AA116&gt;=60,"3 Qualified","1 Awareness"))))))))))</f>
        <v/>
      </c>
    </row>
    <row r="117" customFormat="false" ht="30" hidden="false" customHeight="true" outlineLevel="0" collapsed="false">
      <c r="A117" s="36"/>
      <c r="B117" s="37"/>
      <c r="C117" s="37"/>
      <c r="D117" s="37"/>
      <c r="E117" s="37"/>
      <c r="F117" s="37"/>
      <c r="G117" s="37"/>
      <c r="H117" s="37"/>
      <c r="I117" s="37"/>
      <c r="J117" s="47"/>
      <c r="K117" s="41" t="str">
        <f aca="false">IF(J117="","",IF(J117&gt;=8,"Yes","Check"))</f>
        <v/>
      </c>
      <c r="L117" s="38"/>
      <c r="M117" s="47"/>
      <c r="N117" s="47"/>
      <c r="O117" s="37"/>
      <c r="P117" s="38"/>
      <c r="Q117" s="42" t="str">
        <f aca="false">IF(P117="","",LEN(P117))</f>
        <v/>
      </c>
      <c r="R117" s="47"/>
      <c r="S117" s="37"/>
      <c r="T117" s="38"/>
      <c r="U117" s="43" t="str">
        <f aca="false">IF(OR(R117&lt;&gt;"Yes",A117=""),"",A117+4)</f>
        <v/>
      </c>
      <c r="V117" s="47"/>
      <c r="W117" s="38"/>
      <c r="X117" s="38"/>
      <c r="Y117" s="44"/>
      <c r="Z117" s="44"/>
      <c r="AA117" s="45" t="str">
        <f aca="false">IF(AND($Y117="",$Z117=""),"",ROUND(IFERROR(VALUE(LEFT($Y117,1)),0)*12+IFERROR(VALUE(LEFT($Z117,1)),0)*8,0))</f>
        <v/>
      </c>
      <c r="AB117" s="45" t="str">
        <f aca="false">IF($AA117="","",IF($AA117&gt;=80,"A - call first",IF($AA117&gt;=60,"B - worth pursuing",IF($AA117&gt;=40,"C - nurture","D - do not spend time here"))))</f>
        <v/>
      </c>
      <c r="AC117" s="46" t="str">
        <f aca="false">IF($C117="","",IF($S117="Converted","7 Certification / Enterprise opportunity",IF($S117="Application Started","7 Certification / Enterprise opportunity",IF($S117="Meeting Booked","6 Meeting / Application",IF(OR($S117="Interested",$S117="Info Requested"),"5 Interested",IF(OR($S117="Declined",$S117="Not Relevant"),"0 Closed - no",IF($R117="Yes","4 Contacted",IF($N117="Yes","2 Engaged",IF($M117="Yes","1 Awareness",IF($AA117&gt;=60,"3 Qualified","1 Awareness"))))))))))</f>
        <v/>
      </c>
    </row>
    <row r="118" customFormat="false" ht="30" hidden="false" customHeight="true" outlineLevel="0" collapsed="false">
      <c r="A118" s="36"/>
      <c r="B118" s="37"/>
      <c r="C118" s="37"/>
      <c r="D118" s="37"/>
      <c r="E118" s="37"/>
      <c r="F118" s="37"/>
      <c r="G118" s="37"/>
      <c r="H118" s="37"/>
      <c r="I118" s="37"/>
      <c r="J118" s="47"/>
      <c r="K118" s="41" t="str">
        <f aca="false">IF(J118="","",IF(J118&gt;=8,"Yes","Check"))</f>
        <v/>
      </c>
      <c r="L118" s="38"/>
      <c r="M118" s="47"/>
      <c r="N118" s="47"/>
      <c r="O118" s="37"/>
      <c r="P118" s="38"/>
      <c r="Q118" s="42" t="str">
        <f aca="false">IF(P118="","",LEN(P118))</f>
        <v/>
      </c>
      <c r="R118" s="47"/>
      <c r="S118" s="37"/>
      <c r="T118" s="38"/>
      <c r="U118" s="43" t="str">
        <f aca="false">IF(OR(R118&lt;&gt;"Yes",A118=""),"",A118+4)</f>
        <v/>
      </c>
      <c r="V118" s="47"/>
      <c r="W118" s="38"/>
      <c r="X118" s="38"/>
      <c r="Y118" s="44"/>
      <c r="Z118" s="44"/>
      <c r="AA118" s="45" t="str">
        <f aca="false">IF(AND($Y118="",$Z118=""),"",ROUND(IFERROR(VALUE(LEFT($Y118,1)),0)*12+IFERROR(VALUE(LEFT($Z118,1)),0)*8,0))</f>
        <v/>
      </c>
      <c r="AB118" s="45" t="str">
        <f aca="false">IF($AA118="","",IF($AA118&gt;=80,"A - call first",IF($AA118&gt;=60,"B - worth pursuing",IF($AA118&gt;=40,"C - nurture","D - do not spend time here"))))</f>
        <v/>
      </c>
      <c r="AC118" s="46" t="str">
        <f aca="false">IF($C118="","",IF($S118="Converted","7 Certification / Enterprise opportunity",IF($S118="Application Started","7 Certification / Enterprise opportunity",IF($S118="Meeting Booked","6 Meeting / Application",IF(OR($S118="Interested",$S118="Info Requested"),"5 Interested",IF(OR($S118="Declined",$S118="Not Relevant"),"0 Closed - no",IF($R118="Yes","4 Contacted",IF($N118="Yes","2 Engaged",IF($M118="Yes","1 Awareness",IF($AA118&gt;=60,"3 Qualified","1 Awareness"))))))))))</f>
        <v/>
      </c>
    </row>
    <row r="119" customFormat="false" ht="30" hidden="false" customHeight="true" outlineLevel="0" collapsed="false">
      <c r="A119" s="36"/>
      <c r="B119" s="37"/>
      <c r="C119" s="37"/>
      <c r="D119" s="37"/>
      <c r="E119" s="37"/>
      <c r="F119" s="37"/>
      <c r="G119" s="37"/>
      <c r="H119" s="37"/>
      <c r="I119" s="37"/>
      <c r="J119" s="47"/>
      <c r="K119" s="41" t="str">
        <f aca="false">IF(J119="","",IF(J119&gt;=8,"Yes","Check"))</f>
        <v/>
      </c>
      <c r="L119" s="38"/>
      <c r="M119" s="47"/>
      <c r="N119" s="47"/>
      <c r="O119" s="37"/>
      <c r="P119" s="38"/>
      <c r="Q119" s="42" t="str">
        <f aca="false">IF(P119="","",LEN(P119))</f>
        <v/>
      </c>
      <c r="R119" s="47"/>
      <c r="S119" s="37"/>
      <c r="T119" s="38"/>
      <c r="U119" s="43" t="str">
        <f aca="false">IF(OR(R119&lt;&gt;"Yes",A119=""),"",A119+4)</f>
        <v/>
      </c>
      <c r="V119" s="47"/>
      <c r="W119" s="38"/>
      <c r="X119" s="38"/>
      <c r="Y119" s="44"/>
      <c r="Z119" s="44"/>
      <c r="AA119" s="45" t="str">
        <f aca="false">IF(AND($Y119="",$Z119=""),"",ROUND(IFERROR(VALUE(LEFT($Y119,1)),0)*12+IFERROR(VALUE(LEFT($Z119,1)),0)*8,0))</f>
        <v/>
      </c>
      <c r="AB119" s="45" t="str">
        <f aca="false">IF($AA119="","",IF($AA119&gt;=80,"A - call first",IF($AA119&gt;=60,"B - worth pursuing",IF($AA119&gt;=40,"C - nurture","D - do not spend time here"))))</f>
        <v/>
      </c>
      <c r="AC119" s="46" t="str">
        <f aca="false">IF($C119="","",IF($S119="Converted","7 Certification / Enterprise opportunity",IF($S119="Application Started","7 Certification / Enterprise opportunity",IF($S119="Meeting Booked","6 Meeting / Application",IF(OR($S119="Interested",$S119="Info Requested"),"5 Interested",IF(OR($S119="Declined",$S119="Not Relevant"),"0 Closed - no",IF($R119="Yes","4 Contacted",IF($N119="Yes","2 Engaged",IF($M119="Yes","1 Awareness",IF($AA119&gt;=60,"3 Qualified","1 Awareness"))))))))))</f>
        <v/>
      </c>
    </row>
    <row r="120" customFormat="false" ht="30" hidden="false" customHeight="true" outlineLevel="0" collapsed="false">
      <c r="A120" s="36"/>
      <c r="B120" s="37"/>
      <c r="C120" s="37"/>
      <c r="D120" s="37"/>
      <c r="E120" s="37"/>
      <c r="F120" s="37"/>
      <c r="G120" s="37"/>
      <c r="H120" s="37"/>
      <c r="I120" s="37"/>
      <c r="J120" s="47"/>
      <c r="K120" s="41" t="str">
        <f aca="false">IF(J120="","",IF(J120&gt;=8,"Yes","Check"))</f>
        <v/>
      </c>
      <c r="L120" s="38"/>
      <c r="M120" s="47"/>
      <c r="N120" s="47"/>
      <c r="O120" s="37"/>
      <c r="P120" s="38"/>
      <c r="Q120" s="42" t="str">
        <f aca="false">IF(P120="","",LEN(P120))</f>
        <v/>
      </c>
      <c r="R120" s="47"/>
      <c r="S120" s="37"/>
      <c r="T120" s="38"/>
      <c r="U120" s="43" t="str">
        <f aca="false">IF(OR(R120&lt;&gt;"Yes",A120=""),"",A120+4)</f>
        <v/>
      </c>
      <c r="V120" s="47"/>
      <c r="W120" s="38"/>
      <c r="X120" s="38"/>
      <c r="Y120" s="44"/>
      <c r="Z120" s="44"/>
      <c r="AA120" s="45" t="str">
        <f aca="false">IF(AND($Y120="",$Z120=""),"",ROUND(IFERROR(VALUE(LEFT($Y120,1)),0)*12+IFERROR(VALUE(LEFT($Z120,1)),0)*8,0))</f>
        <v/>
      </c>
      <c r="AB120" s="45" t="str">
        <f aca="false">IF($AA120="","",IF($AA120&gt;=80,"A - call first",IF($AA120&gt;=60,"B - worth pursuing",IF($AA120&gt;=40,"C - nurture","D - do not spend time here"))))</f>
        <v/>
      </c>
      <c r="AC120" s="46" t="str">
        <f aca="false">IF($C120="","",IF($S120="Converted","7 Certification / Enterprise opportunity",IF($S120="Application Started","7 Certification / Enterprise opportunity",IF($S120="Meeting Booked","6 Meeting / Application",IF(OR($S120="Interested",$S120="Info Requested"),"5 Interested",IF(OR($S120="Declined",$S120="Not Relevant"),"0 Closed - no",IF($R120="Yes","4 Contacted",IF($N120="Yes","2 Engaged",IF($M120="Yes","1 Awareness",IF($AA120&gt;=60,"3 Qualified","1 Awareness"))))))))))</f>
        <v/>
      </c>
    </row>
    <row r="121" customFormat="false" ht="30" hidden="false" customHeight="true" outlineLevel="0" collapsed="false">
      <c r="A121" s="36"/>
      <c r="B121" s="37"/>
      <c r="C121" s="37"/>
      <c r="D121" s="37"/>
      <c r="E121" s="37"/>
      <c r="F121" s="37"/>
      <c r="G121" s="37"/>
      <c r="H121" s="37"/>
      <c r="I121" s="37"/>
      <c r="J121" s="47"/>
      <c r="K121" s="41" t="str">
        <f aca="false">IF(J121="","",IF(J121&gt;=8,"Yes","Check"))</f>
        <v/>
      </c>
      <c r="L121" s="38"/>
      <c r="M121" s="47"/>
      <c r="N121" s="47"/>
      <c r="O121" s="37"/>
      <c r="P121" s="38"/>
      <c r="Q121" s="42" t="str">
        <f aca="false">IF(P121="","",LEN(P121))</f>
        <v/>
      </c>
      <c r="R121" s="47"/>
      <c r="S121" s="37"/>
      <c r="T121" s="38"/>
      <c r="U121" s="43" t="str">
        <f aca="false">IF(OR(R121&lt;&gt;"Yes",A121=""),"",A121+4)</f>
        <v/>
      </c>
      <c r="V121" s="47"/>
      <c r="W121" s="38"/>
      <c r="X121" s="38"/>
      <c r="Y121" s="44"/>
      <c r="Z121" s="44"/>
      <c r="AA121" s="45" t="str">
        <f aca="false">IF(AND($Y121="",$Z121=""),"",ROUND(IFERROR(VALUE(LEFT($Y121,1)),0)*12+IFERROR(VALUE(LEFT($Z121,1)),0)*8,0))</f>
        <v/>
      </c>
      <c r="AB121" s="45" t="str">
        <f aca="false">IF($AA121="","",IF($AA121&gt;=80,"A - call first",IF($AA121&gt;=60,"B - worth pursuing",IF($AA121&gt;=40,"C - nurture","D - do not spend time here"))))</f>
        <v/>
      </c>
      <c r="AC121" s="46" t="str">
        <f aca="false">IF($C121="","",IF($S121="Converted","7 Certification / Enterprise opportunity",IF($S121="Application Started","7 Certification / Enterprise opportunity",IF($S121="Meeting Booked","6 Meeting / Application",IF(OR($S121="Interested",$S121="Info Requested"),"5 Interested",IF(OR($S121="Declined",$S121="Not Relevant"),"0 Closed - no",IF($R121="Yes","4 Contacted",IF($N121="Yes","2 Engaged",IF($M121="Yes","1 Awareness",IF($AA121&gt;=60,"3 Qualified","1 Awareness"))))))))))</f>
        <v/>
      </c>
    </row>
    <row r="122" customFormat="false" ht="30" hidden="false" customHeight="true" outlineLevel="0" collapsed="false">
      <c r="A122" s="36"/>
      <c r="B122" s="37"/>
      <c r="C122" s="37"/>
      <c r="D122" s="37"/>
      <c r="E122" s="37"/>
      <c r="F122" s="37"/>
      <c r="G122" s="37"/>
      <c r="H122" s="37"/>
      <c r="I122" s="37"/>
      <c r="J122" s="47"/>
      <c r="K122" s="41" t="str">
        <f aca="false">IF(J122="","",IF(J122&gt;=8,"Yes","Check"))</f>
        <v/>
      </c>
      <c r="L122" s="38"/>
      <c r="M122" s="47"/>
      <c r="N122" s="47"/>
      <c r="O122" s="37"/>
      <c r="P122" s="38"/>
      <c r="Q122" s="42" t="str">
        <f aca="false">IF(P122="","",LEN(P122))</f>
        <v/>
      </c>
      <c r="R122" s="47"/>
      <c r="S122" s="37"/>
      <c r="T122" s="38"/>
      <c r="U122" s="43" t="str">
        <f aca="false">IF(OR(R122&lt;&gt;"Yes",A122=""),"",A122+4)</f>
        <v/>
      </c>
      <c r="V122" s="47"/>
      <c r="W122" s="38"/>
      <c r="X122" s="38"/>
      <c r="Y122" s="44"/>
      <c r="Z122" s="44"/>
      <c r="AA122" s="45" t="str">
        <f aca="false">IF(AND($Y122="",$Z122=""),"",ROUND(IFERROR(VALUE(LEFT($Y122,1)),0)*12+IFERROR(VALUE(LEFT($Z122,1)),0)*8,0))</f>
        <v/>
      </c>
      <c r="AB122" s="45" t="str">
        <f aca="false">IF($AA122="","",IF($AA122&gt;=80,"A - call first",IF($AA122&gt;=60,"B - worth pursuing",IF($AA122&gt;=40,"C - nurture","D - do not spend time here"))))</f>
        <v/>
      </c>
      <c r="AC122" s="46" t="str">
        <f aca="false">IF($C122="","",IF($S122="Converted","7 Certification / Enterprise opportunity",IF($S122="Application Started","7 Certification / Enterprise opportunity",IF($S122="Meeting Booked","6 Meeting / Application",IF(OR($S122="Interested",$S122="Info Requested"),"5 Interested",IF(OR($S122="Declined",$S122="Not Relevant"),"0 Closed - no",IF($R122="Yes","4 Contacted",IF($N122="Yes","2 Engaged",IF($M122="Yes","1 Awareness",IF($AA122&gt;=60,"3 Qualified","1 Awareness"))))))))))</f>
        <v/>
      </c>
    </row>
    <row r="123" customFormat="false" ht="30" hidden="false" customHeight="true" outlineLevel="0" collapsed="false">
      <c r="A123" s="36"/>
      <c r="B123" s="37"/>
      <c r="C123" s="37"/>
      <c r="D123" s="37"/>
      <c r="E123" s="37"/>
      <c r="F123" s="37"/>
      <c r="G123" s="37"/>
      <c r="H123" s="37"/>
      <c r="I123" s="37"/>
      <c r="J123" s="47"/>
      <c r="K123" s="41" t="str">
        <f aca="false">IF(J123="","",IF(J123&gt;=8,"Yes","Check"))</f>
        <v/>
      </c>
      <c r="L123" s="38"/>
      <c r="M123" s="47"/>
      <c r="N123" s="47"/>
      <c r="O123" s="37"/>
      <c r="P123" s="38"/>
      <c r="Q123" s="42" t="str">
        <f aca="false">IF(P123="","",LEN(P123))</f>
        <v/>
      </c>
      <c r="R123" s="47"/>
      <c r="S123" s="37"/>
      <c r="T123" s="38"/>
      <c r="U123" s="43" t="str">
        <f aca="false">IF(OR(R123&lt;&gt;"Yes",A123=""),"",A123+4)</f>
        <v/>
      </c>
      <c r="V123" s="47"/>
      <c r="W123" s="38"/>
      <c r="X123" s="38"/>
      <c r="Y123" s="44"/>
      <c r="Z123" s="44"/>
      <c r="AA123" s="45" t="str">
        <f aca="false">IF(AND($Y123="",$Z123=""),"",ROUND(IFERROR(VALUE(LEFT($Y123,1)),0)*12+IFERROR(VALUE(LEFT($Z123,1)),0)*8,0))</f>
        <v/>
      </c>
      <c r="AB123" s="45" t="str">
        <f aca="false">IF($AA123="","",IF($AA123&gt;=80,"A - call first",IF($AA123&gt;=60,"B - worth pursuing",IF($AA123&gt;=40,"C - nurture","D - do not spend time here"))))</f>
        <v/>
      </c>
      <c r="AC123" s="46" t="str">
        <f aca="false">IF($C123="","",IF($S123="Converted","7 Certification / Enterprise opportunity",IF($S123="Application Started","7 Certification / Enterprise opportunity",IF($S123="Meeting Booked","6 Meeting / Application",IF(OR($S123="Interested",$S123="Info Requested"),"5 Interested",IF(OR($S123="Declined",$S123="Not Relevant"),"0 Closed - no",IF($R123="Yes","4 Contacted",IF($N123="Yes","2 Engaged",IF($M123="Yes","1 Awareness",IF($AA123&gt;=60,"3 Qualified","1 Awareness"))))))))))</f>
        <v/>
      </c>
    </row>
    <row r="124" customFormat="false" ht="30" hidden="false" customHeight="true" outlineLevel="0" collapsed="false">
      <c r="A124" s="36"/>
      <c r="B124" s="37"/>
      <c r="C124" s="37"/>
      <c r="D124" s="37"/>
      <c r="E124" s="37"/>
      <c r="F124" s="37"/>
      <c r="G124" s="37"/>
      <c r="H124" s="37"/>
      <c r="I124" s="37"/>
      <c r="J124" s="47"/>
      <c r="K124" s="41" t="str">
        <f aca="false">IF(J124="","",IF(J124&gt;=8,"Yes","Check"))</f>
        <v/>
      </c>
      <c r="L124" s="38"/>
      <c r="M124" s="47"/>
      <c r="N124" s="47"/>
      <c r="O124" s="37"/>
      <c r="P124" s="38"/>
      <c r="Q124" s="42" t="str">
        <f aca="false">IF(P124="","",LEN(P124))</f>
        <v/>
      </c>
      <c r="R124" s="47"/>
      <c r="S124" s="37"/>
      <c r="T124" s="38"/>
      <c r="U124" s="43" t="str">
        <f aca="false">IF(OR(R124&lt;&gt;"Yes",A124=""),"",A124+4)</f>
        <v/>
      </c>
      <c r="V124" s="47"/>
      <c r="W124" s="38"/>
      <c r="X124" s="38"/>
      <c r="Y124" s="44"/>
      <c r="Z124" s="44"/>
      <c r="AA124" s="45" t="str">
        <f aca="false">IF(AND($Y124="",$Z124=""),"",ROUND(IFERROR(VALUE(LEFT($Y124,1)),0)*12+IFERROR(VALUE(LEFT($Z124,1)),0)*8,0))</f>
        <v/>
      </c>
      <c r="AB124" s="45" t="str">
        <f aca="false">IF($AA124="","",IF($AA124&gt;=80,"A - call first",IF($AA124&gt;=60,"B - worth pursuing",IF($AA124&gt;=40,"C - nurture","D - do not spend time here"))))</f>
        <v/>
      </c>
      <c r="AC124" s="46" t="str">
        <f aca="false">IF($C124="","",IF($S124="Converted","7 Certification / Enterprise opportunity",IF($S124="Application Started","7 Certification / Enterprise opportunity",IF($S124="Meeting Booked","6 Meeting / Application",IF(OR($S124="Interested",$S124="Info Requested"),"5 Interested",IF(OR($S124="Declined",$S124="Not Relevant"),"0 Closed - no",IF($R124="Yes","4 Contacted",IF($N124="Yes","2 Engaged",IF($M124="Yes","1 Awareness",IF($AA124&gt;=60,"3 Qualified","1 Awareness"))))))))))</f>
        <v/>
      </c>
    </row>
    <row r="125" customFormat="false" ht="30" hidden="false" customHeight="true" outlineLevel="0" collapsed="false">
      <c r="A125" s="36"/>
      <c r="B125" s="37"/>
      <c r="C125" s="37"/>
      <c r="D125" s="37"/>
      <c r="E125" s="37"/>
      <c r="F125" s="37"/>
      <c r="G125" s="37"/>
      <c r="H125" s="37"/>
      <c r="I125" s="37"/>
      <c r="J125" s="47"/>
      <c r="K125" s="41" t="str">
        <f aca="false">IF(J125="","",IF(J125&gt;=8,"Yes","Check"))</f>
        <v/>
      </c>
      <c r="L125" s="38"/>
      <c r="M125" s="47"/>
      <c r="N125" s="47"/>
      <c r="O125" s="37"/>
      <c r="P125" s="38"/>
      <c r="Q125" s="42" t="str">
        <f aca="false">IF(P125="","",LEN(P125))</f>
        <v/>
      </c>
      <c r="R125" s="47"/>
      <c r="S125" s="37"/>
      <c r="T125" s="38"/>
      <c r="U125" s="43" t="str">
        <f aca="false">IF(OR(R125&lt;&gt;"Yes",A125=""),"",A125+4)</f>
        <v/>
      </c>
      <c r="V125" s="47"/>
      <c r="W125" s="38"/>
      <c r="X125" s="38"/>
      <c r="Y125" s="44"/>
      <c r="Z125" s="44"/>
      <c r="AA125" s="45" t="str">
        <f aca="false">IF(AND($Y125="",$Z125=""),"",ROUND(IFERROR(VALUE(LEFT($Y125,1)),0)*12+IFERROR(VALUE(LEFT($Z125,1)),0)*8,0))</f>
        <v/>
      </c>
      <c r="AB125" s="45" t="str">
        <f aca="false">IF($AA125="","",IF($AA125&gt;=80,"A - call first",IF($AA125&gt;=60,"B - worth pursuing",IF($AA125&gt;=40,"C - nurture","D - do not spend time here"))))</f>
        <v/>
      </c>
      <c r="AC125" s="46" t="str">
        <f aca="false">IF($C125="","",IF($S125="Converted","7 Certification / Enterprise opportunity",IF($S125="Application Started","7 Certification / Enterprise opportunity",IF($S125="Meeting Booked","6 Meeting / Application",IF(OR($S125="Interested",$S125="Info Requested"),"5 Interested",IF(OR($S125="Declined",$S125="Not Relevant"),"0 Closed - no",IF($R125="Yes","4 Contacted",IF($N125="Yes","2 Engaged",IF($M125="Yes","1 Awareness",IF($AA125&gt;=60,"3 Qualified","1 Awareness"))))))))))</f>
        <v/>
      </c>
    </row>
    <row r="126" customFormat="false" ht="30" hidden="false" customHeight="true" outlineLevel="0" collapsed="false">
      <c r="A126" s="36"/>
      <c r="B126" s="37"/>
      <c r="C126" s="37"/>
      <c r="D126" s="37"/>
      <c r="E126" s="37"/>
      <c r="F126" s="37"/>
      <c r="G126" s="37"/>
      <c r="H126" s="37"/>
      <c r="I126" s="37"/>
      <c r="J126" s="47"/>
      <c r="K126" s="41" t="str">
        <f aca="false">IF(J126="","",IF(J126&gt;=8,"Yes","Check"))</f>
        <v/>
      </c>
      <c r="L126" s="38"/>
      <c r="M126" s="47"/>
      <c r="N126" s="47"/>
      <c r="O126" s="37"/>
      <c r="P126" s="38"/>
      <c r="Q126" s="42" t="str">
        <f aca="false">IF(P126="","",LEN(P126))</f>
        <v/>
      </c>
      <c r="R126" s="47"/>
      <c r="S126" s="37"/>
      <c r="T126" s="38"/>
      <c r="U126" s="43" t="str">
        <f aca="false">IF(OR(R126&lt;&gt;"Yes",A126=""),"",A126+4)</f>
        <v/>
      </c>
      <c r="V126" s="47"/>
      <c r="W126" s="38"/>
      <c r="X126" s="38"/>
      <c r="Y126" s="44"/>
      <c r="Z126" s="44"/>
      <c r="AA126" s="45" t="str">
        <f aca="false">IF(AND($Y126="",$Z126=""),"",ROUND(IFERROR(VALUE(LEFT($Y126,1)),0)*12+IFERROR(VALUE(LEFT($Z126,1)),0)*8,0))</f>
        <v/>
      </c>
      <c r="AB126" s="45" t="str">
        <f aca="false">IF($AA126="","",IF($AA126&gt;=80,"A - call first",IF($AA126&gt;=60,"B - worth pursuing",IF($AA126&gt;=40,"C - nurture","D - do not spend time here"))))</f>
        <v/>
      </c>
      <c r="AC126" s="46" t="str">
        <f aca="false">IF($C126="","",IF($S126="Converted","7 Certification / Enterprise opportunity",IF($S126="Application Started","7 Certification / Enterprise opportunity",IF($S126="Meeting Booked","6 Meeting / Application",IF(OR($S126="Interested",$S126="Info Requested"),"5 Interested",IF(OR($S126="Declined",$S126="Not Relevant"),"0 Closed - no",IF($R126="Yes","4 Contacted",IF($N126="Yes","2 Engaged",IF($M126="Yes","1 Awareness",IF($AA126&gt;=60,"3 Qualified","1 Awareness"))))))))))</f>
        <v/>
      </c>
    </row>
    <row r="127" customFormat="false" ht="30" hidden="false" customHeight="true" outlineLevel="0" collapsed="false">
      <c r="A127" s="36"/>
      <c r="B127" s="37"/>
      <c r="C127" s="37"/>
      <c r="D127" s="37"/>
      <c r="E127" s="37"/>
      <c r="F127" s="37"/>
      <c r="G127" s="37"/>
      <c r="H127" s="37"/>
      <c r="I127" s="37"/>
      <c r="J127" s="47"/>
      <c r="K127" s="41" t="str">
        <f aca="false">IF(J127="","",IF(J127&gt;=8,"Yes","Check"))</f>
        <v/>
      </c>
      <c r="L127" s="38"/>
      <c r="M127" s="47"/>
      <c r="N127" s="47"/>
      <c r="O127" s="37"/>
      <c r="P127" s="38"/>
      <c r="Q127" s="42" t="str">
        <f aca="false">IF(P127="","",LEN(P127))</f>
        <v/>
      </c>
      <c r="R127" s="47"/>
      <c r="S127" s="37"/>
      <c r="T127" s="38"/>
      <c r="U127" s="43" t="str">
        <f aca="false">IF(OR(R127&lt;&gt;"Yes",A127=""),"",A127+4)</f>
        <v/>
      </c>
      <c r="V127" s="47"/>
      <c r="W127" s="38"/>
      <c r="X127" s="38"/>
      <c r="Y127" s="44"/>
      <c r="Z127" s="44"/>
      <c r="AA127" s="45" t="str">
        <f aca="false">IF(AND($Y127="",$Z127=""),"",ROUND(IFERROR(VALUE(LEFT($Y127,1)),0)*12+IFERROR(VALUE(LEFT($Z127,1)),0)*8,0))</f>
        <v/>
      </c>
      <c r="AB127" s="45" t="str">
        <f aca="false">IF($AA127="","",IF($AA127&gt;=80,"A - call first",IF($AA127&gt;=60,"B - worth pursuing",IF($AA127&gt;=40,"C - nurture","D - do not spend time here"))))</f>
        <v/>
      </c>
      <c r="AC127" s="46" t="str">
        <f aca="false">IF($C127="","",IF($S127="Converted","7 Certification / Enterprise opportunity",IF($S127="Application Started","7 Certification / Enterprise opportunity",IF($S127="Meeting Booked","6 Meeting / Application",IF(OR($S127="Interested",$S127="Info Requested"),"5 Interested",IF(OR($S127="Declined",$S127="Not Relevant"),"0 Closed - no",IF($R127="Yes","4 Contacted",IF($N127="Yes","2 Engaged",IF($M127="Yes","1 Awareness",IF($AA127&gt;=60,"3 Qualified","1 Awareness"))))))))))</f>
        <v/>
      </c>
    </row>
    <row r="128" customFormat="false" ht="30" hidden="false" customHeight="true" outlineLevel="0" collapsed="false">
      <c r="A128" s="36"/>
      <c r="B128" s="37"/>
      <c r="C128" s="37"/>
      <c r="D128" s="37"/>
      <c r="E128" s="37"/>
      <c r="F128" s="37"/>
      <c r="G128" s="37"/>
      <c r="H128" s="37"/>
      <c r="I128" s="37"/>
      <c r="J128" s="47"/>
      <c r="K128" s="41" t="str">
        <f aca="false">IF(J128="","",IF(J128&gt;=8,"Yes","Check"))</f>
        <v/>
      </c>
      <c r="L128" s="38"/>
      <c r="M128" s="47"/>
      <c r="N128" s="47"/>
      <c r="O128" s="37"/>
      <c r="P128" s="38"/>
      <c r="Q128" s="42" t="str">
        <f aca="false">IF(P128="","",LEN(P128))</f>
        <v/>
      </c>
      <c r="R128" s="47"/>
      <c r="S128" s="37"/>
      <c r="T128" s="38"/>
      <c r="U128" s="43" t="str">
        <f aca="false">IF(OR(R128&lt;&gt;"Yes",A128=""),"",A128+4)</f>
        <v/>
      </c>
      <c r="V128" s="47"/>
      <c r="W128" s="38"/>
      <c r="X128" s="38"/>
      <c r="Y128" s="44"/>
      <c r="Z128" s="44"/>
      <c r="AA128" s="45" t="str">
        <f aca="false">IF(AND($Y128="",$Z128=""),"",ROUND(IFERROR(VALUE(LEFT($Y128,1)),0)*12+IFERROR(VALUE(LEFT($Z128,1)),0)*8,0))</f>
        <v/>
      </c>
      <c r="AB128" s="45" t="str">
        <f aca="false">IF($AA128="","",IF($AA128&gt;=80,"A - call first",IF($AA128&gt;=60,"B - worth pursuing",IF($AA128&gt;=40,"C - nurture","D - do not spend time here"))))</f>
        <v/>
      </c>
      <c r="AC128" s="46" t="str">
        <f aca="false">IF($C128="","",IF($S128="Converted","7 Certification / Enterprise opportunity",IF($S128="Application Started","7 Certification / Enterprise opportunity",IF($S128="Meeting Booked","6 Meeting / Application",IF(OR($S128="Interested",$S128="Info Requested"),"5 Interested",IF(OR($S128="Declined",$S128="Not Relevant"),"0 Closed - no",IF($R128="Yes","4 Contacted",IF($N128="Yes","2 Engaged",IF($M128="Yes","1 Awareness",IF($AA128&gt;=60,"3 Qualified","1 Awareness"))))))))))</f>
        <v/>
      </c>
    </row>
    <row r="129" customFormat="false" ht="30" hidden="false" customHeight="true" outlineLevel="0" collapsed="false">
      <c r="A129" s="36"/>
      <c r="B129" s="37"/>
      <c r="C129" s="37"/>
      <c r="D129" s="37"/>
      <c r="E129" s="37"/>
      <c r="F129" s="37"/>
      <c r="G129" s="37"/>
      <c r="H129" s="37"/>
      <c r="I129" s="37"/>
      <c r="J129" s="47"/>
      <c r="K129" s="41" t="str">
        <f aca="false">IF(J129="","",IF(J129&gt;=8,"Yes","Check"))</f>
        <v/>
      </c>
      <c r="L129" s="38"/>
      <c r="M129" s="47"/>
      <c r="N129" s="47"/>
      <c r="O129" s="37"/>
      <c r="P129" s="38"/>
      <c r="Q129" s="42" t="str">
        <f aca="false">IF(P129="","",LEN(P129))</f>
        <v/>
      </c>
      <c r="R129" s="47"/>
      <c r="S129" s="37"/>
      <c r="T129" s="38"/>
      <c r="U129" s="43" t="str">
        <f aca="false">IF(OR(R129&lt;&gt;"Yes",A129=""),"",A129+4)</f>
        <v/>
      </c>
      <c r="V129" s="47"/>
      <c r="W129" s="38"/>
      <c r="X129" s="38"/>
      <c r="Y129" s="44"/>
      <c r="Z129" s="44"/>
      <c r="AA129" s="45" t="str">
        <f aca="false">IF(AND($Y129="",$Z129=""),"",ROUND(IFERROR(VALUE(LEFT($Y129,1)),0)*12+IFERROR(VALUE(LEFT($Z129,1)),0)*8,0))</f>
        <v/>
      </c>
      <c r="AB129" s="45" t="str">
        <f aca="false">IF($AA129="","",IF($AA129&gt;=80,"A - call first",IF($AA129&gt;=60,"B - worth pursuing",IF($AA129&gt;=40,"C - nurture","D - do not spend time here"))))</f>
        <v/>
      </c>
      <c r="AC129" s="46" t="str">
        <f aca="false">IF($C129="","",IF($S129="Converted","7 Certification / Enterprise opportunity",IF($S129="Application Started","7 Certification / Enterprise opportunity",IF($S129="Meeting Booked","6 Meeting / Application",IF(OR($S129="Interested",$S129="Info Requested"),"5 Interested",IF(OR($S129="Declined",$S129="Not Relevant"),"0 Closed - no",IF($R129="Yes","4 Contacted",IF($N129="Yes","2 Engaged",IF($M129="Yes","1 Awareness",IF($AA129&gt;=60,"3 Qualified","1 Awareness"))))))))))</f>
        <v/>
      </c>
    </row>
    <row r="130" customFormat="false" ht="30" hidden="false" customHeight="true" outlineLevel="0" collapsed="false">
      <c r="A130" s="36"/>
      <c r="B130" s="37"/>
      <c r="C130" s="37"/>
      <c r="D130" s="37"/>
      <c r="E130" s="37"/>
      <c r="F130" s="37"/>
      <c r="G130" s="37"/>
      <c r="H130" s="37"/>
      <c r="I130" s="37"/>
      <c r="J130" s="47"/>
      <c r="K130" s="41" t="str">
        <f aca="false">IF(J130="","",IF(J130&gt;=8,"Yes","Check"))</f>
        <v/>
      </c>
      <c r="L130" s="38"/>
      <c r="M130" s="47"/>
      <c r="N130" s="47"/>
      <c r="O130" s="37"/>
      <c r="P130" s="38"/>
      <c r="Q130" s="42" t="str">
        <f aca="false">IF(P130="","",LEN(P130))</f>
        <v/>
      </c>
      <c r="R130" s="47"/>
      <c r="S130" s="37"/>
      <c r="T130" s="38"/>
      <c r="U130" s="43" t="str">
        <f aca="false">IF(OR(R130&lt;&gt;"Yes",A130=""),"",A130+4)</f>
        <v/>
      </c>
      <c r="V130" s="47"/>
      <c r="W130" s="38"/>
      <c r="X130" s="38"/>
      <c r="Y130" s="44"/>
      <c r="Z130" s="44"/>
      <c r="AA130" s="45" t="str">
        <f aca="false">IF(AND($Y130="",$Z130=""),"",ROUND(IFERROR(VALUE(LEFT($Y130,1)),0)*12+IFERROR(VALUE(LEFT($Z130,1)),0)*8,0))</f>
        <v/>
      </c>
      <c r="AB130" s="45" t="str">
        <f aca="false">IF($AA130="","",IF($AA130&gt;=80,"A - call first",IF($AA130&gt;=60,"B - worth pursuing",IF($AA130&gt;=40,"C - nurture","D - do not spend time here"))))</f>
        <v/>
      </c>
      <c r="AC130" s="46" t="str">
        <f aca="false">IF($C130="","",IF($S130="Converted","7 Certification / Enterprise opportunity",IF($S130="Application Started","7 Certification / Enterprise opportunity",IF($S130="Meeting Booked","6 Meeting / Application",IF(OR($S130="Interested",$S130="Info Requested"),"5 Interested",IF(OR($S130="Declined",$S130="Not Relevant"),"0 Closed - no",IF($R130="Yes","4 Contacted",IF($N130="Yes","2 Engaged",IF($M130="Yes","1 Awareness",IF($AA130&gt;=60,"3 Qualified","1 Awareness"))))))))))</f>
        <v/>
      </c>
    </row>
    <row r="131" customFormat="false" ht="30" hidden="false" customHeight="true" outlineLevel="0" collapsed="false">
      <c r="A131" s="36"/>
      <c r="B131" s="37"/>
      <c r="C131" s="37"/>
      <c r="D131" s="37"/>
      <c r="E131" s="37"/>
      <c r="F131" s="37"/>
      <c r="G131" s="37"/>
      <c r="H131" s="37"/>
      <c r="I131" s="37"/>
      <c r="J131" s="47"/>
      <c r="K131" s="41" t="str">
        <f aca="false">IF(J131="","",IF(J131&gt;=8,"Yes","Check"))</f>
        <v/>
      </c>
      <c r="L131" s="38"/>
      <c r="M131" s="47"/>
      <c r="N131" s="47"/>
      <c r="O131" s="37"/>
      <c r="P131" s="38"/>
      <c r="Q131" s="42" t="str">
        <f aca="false">IF(P131="","",LEN(P131))</f>
        <v/>
      </c>
      <c r="R131" s="47"/>
      <c r="S131" s="37"/>
      <c r="T131" s="38"/>
      <c r="U131" s="43" t="str">
        <f aca="false">IF(OR(R131&lt;&gt;"Yes",A131=""),"",A131+4)</f>
        <v/>
      </c>
      <c r="V131" s="47"/>
      <c r="W131" s="38"/>
      <c r="X131" s="38"/>
      <c r="Y131" s="44"/>
      <c r="Z131" s="44"/>
      <c r="AA131" s="45" t="str">
        <f aca="false">IF(AND($Y131="",$Z131=""),"",ROUND(IFERROR(VALUE(LEFT($Y131,1)),0)*12+IFERROR(VALUE(LEFT($Z131,1)),0)*8,0))</f>
        <v/>
      </c>
      <c r="AB131" s="45" t="str">
        <f aca="false">IF($AA131="","",IF($AA131&gt;=80,"A - call first",IF($AA131&gt;=60,"B - worth pursuing",IF($AA131&gt;=40,"C - nurture","D - do not spend time here"))))</f>
        <v/>
      </c>
      <c r="AC131" s="46" t="str">
        <f aca="false">IF($C131="","",IF($S131="Converted","7 Certification / Enterprise opportunity",IF($S131="Application Started","7 Certification / Enterprise opportunity",IF($S131="Meeting Booked","6 Meeting / Application",IF(OR($S131="Interested",$S131="Info Requested"),"5 Interested",IF(OR($S131="Declined",$S131="Not Relevant"),"0 Closed - no",IF($R131="Yes","4 Contacted",IF($N131="Yes","2 Engaged",IF($M131="Yes","1 Awareness",IF($AA131&gt;=60,"3 Qualified","1 Awareness"))))))))))</f>
        <v/>
      </c>
    </row>
    <row r="132" customFormat="false" ht="30" hidden="false" customHeight="true" outlineLevel="0" collapsed="false">
      <c r="A132" s="36"/>
      <c r="B132" s="37"/>
      <c r="C132" s="37"/>
      <c r="D132" s="37"/>
      <c r="E132" s="37"/>
      <c r="F132" s="37"/>
      <c r="G132" s="37"/>
      <c r="H132" s="37"/>
      <c r="I132" s="37"/>
      <c r="J132" s="47"/>
      <c r="K132" s="41" t="str">
        <f aca="false">IF(J132="","",IF(J132&gt;=8,"Yes","Check"))</f>
        <v/>
      </c>
      <c r="L132" s="38"/>
      <c r="M132" s="47"/>
      <c r="N132" s="47"/>
      <c r="O132" s="37"/>
      <c r="P132" s="38"/>
      <c r="Q132" s="42" t="str">
        <f aca="false">IF(P132="","",LEN(P132))</f>
        <v/>
      </c>
      <c r="R132" s="47"/>
      <c r="S132" s="37"/>
      <c r="T132" s="38"/>
      <c r="U132" s="43" t="str">
        <f aca="false">IF(OR(R132&lt;&gt;"Yes",A132=""),"",A132+4)</f>
        <v/>
      </c>
      <c r="V132" s="47"/>
      <c r="W132" s="38"/>
      <c r="X132" s="38"/>
      <c r="Y132" s="44"/>
      <c r="Z132" s="44"/>
      <c r="AA132" s="45" t="str">
        <f aca="false">IF(AND($Y132="",$Z132=""),"",ROUND(IFERROR(VALUE(LEFT($Y132,1)),0)*12+IFERROR(VALUE(LEFT($Z132,1)),0)*8,0))</f>
        <v/>
      </c>
      <c r="AB132" s="45" t="str">
        <f aca="false">IF($AA132="","",IF($AA132&gt;=80,"A - call first",IF($AA132&gt;=60,"B - worth pursuing",IF($AA132&gt;=40,"C - nurture","D - do not spend time here"))))</f>
        <v/>
      </c>
      <c r="AC132" s="46" t="str">
        <f aca="false">IF($C132="","",IF($S132="Converted","7 Certification / Enterprise opportunity",IF($S132="Application Started","7 Certification / Enterprise opportunity",IF($S132="Meeting Booked","6 Meeting / Application",IF(OR($S132="Interested",$S132="Info Requested"),"5 Interested",IF(OR($S132="Declined",$S132="Not Relevant"),"0 Closed - no",IF($R132="Yes","4 Contacted",IF($N132="Yes","2 Engaged",IF($M132="Yes","1 Awareness",IF($AA132&gt;=60,"3 Qualified","1 Awareness"))))))))))</f>
        <v/>
      </c>
    </row>
    <row r="133" customFormat="false" ht="30" hidden="false" customHeight="true" outlineLevel="0" collapsed="false">
      <c r="A133" s="36"/>
      <c r="B133" s="37"/>
      <c r="C133" s="37"/>
      <c r="D133" s="37"/>
      <c r="E133" s="37"/>
      <c r="F133" s="37"/>
      <c r="G133" s="37"/>
      <c r="H133" s="37"/>
      <c r="I133" s="37"/>
      <c r="J133" s="47"/>
      <c r="K133" s="41" t="str">
        <f aca="false">IF(J133="","",IF(J133&gt;=8,"Yes","Check"))</f>
        <v/>
      </c>
      <c r="L133" s="38"/>
      <c r="M133" s="47"/>
      <c r="N133" s="47"/>
      <c r="O133" s="37"/>
      <c r="P133" s="38"/>
      <c r="Q133" s="42" t="str">
        <f aca="false">IF(P133="","",LEN(P133))</f>
        <v/>
      </c>
      <c r="R133" s="47"/>
      <c r="S133" s="37"/>
      <c r="T133" s="38"/>
      <c r="U133" s="43" t="str">
        <f aca="false">IF(OR(R133&lt;&gt;"Yes",A133=""),"",A133+4)</f>
        <v/>
      </c>
      <c r="V133" s="47"/>
      <c r="W133" s="38"/>
      <c r="X133" s="38"/>
      <c r="Y133" s="44"/>
      <c r="Z133" s="44"/>
      <c r="AA133" s="45" t="str">
        <f aca="false">IF(AND($Y133="",$Z133=""),"",ROUND(IFERROR(VALUE(LEFT($Y133,1)),0)*12+IFERROR(VALUE(LEFT($Z133,1)),0)*8,0))</f>
        <v/>
      </c>
      <c r="AB133" s="45" t="str">
        <f aca="false">IF($AA133="","",IF($AA133&gt;=80,"A - call first",IF($AA133&gt;=60,"B - worth pursuing",IF($AA133&gt;=40,"C - nurture","D - do not spend time here"))))</f>
        <v/>
      </c>
      <c r="AC133" s="46" t="str">
        <f aca="false">IF($C133="","",IF($S133="Converted","7 Certification / Enterprise opportunity",IF($S133="Application Started","7 Certification / Enterprise opportunity",IF($S133="Meeting Booked","6 Meeting / Application",IF(OR($S133="Interested",$S133="Info Requested"),"5 Interested",IF(OR($S133="Declined",$S133="Not Relevant"),"0 Closed - no",IF($R133="Yes","4 Contacted",IF($N133="Yes","2 Engaged",IF($M133="Yes","1 Awareness",IF($AA133&gt;=60,"3 Qualified","1 Awareness"))))))))))</f>
        <v/>
      </c>
    </row>
    <row r="134" customFormat="false" ht="30" hidden="false" customHeight="true" outlineLevel="0" collapsed="false">
      <c r="A134" s="36"/>
      <c r="B134" s="37"/>
      <c r="C134" s="37"/>
      <c r="D134" s="37"/>
      <c r="E134" s="37"/>
      <c r="F134" s="37"/>
      <c r="G134" s="37"/>
      <c r="H134" s="37"/>
      <c r="I134" s="37"/>
      <c r="J134" s="47"/>
      <c r="K134" s="41" t="str">
        <f aca="false">IF(J134="","",IF(J134&gt;=8,"Yes","Check"))</f>
        <v/>
      </c>
      <c r="L134" s="38"/>
      <c r="M134" s="47"/>
      <c r="N134" s="47"/>
      <c r="O134" s="37"/>
      <c r="P134" s="38"/>
      <c r="Q134" s="42" t="str">
        <f aca="false">IF(P134="","",LEN(P134))</f>
        <v/>
      </c>
      <c r="R134" s="47"/>
      <c r="S134" s="37"/>
      <c r="T134" s="38"/>
      <c r="U134" s="43" t="str">
        <f aca="false">IF(OR(R134&lt;&gt;"Yes",A134=""),"",A134+4)</f>
        <v/>
      </c>
      <c r="V134" s="47"/>
      <c r="W134" s="38"/>
      <c r="X134" s="38"/>
      <c r="Y134" s="44"/>
      <c r="Z134" s="44"/>
      <c r="AA134" s="45" t="str">
        <f aca="false">IF(AND($Y134="",$Z134=""),"",ROUND(IFERROR(VALUE(LEFT($Y134,1)),0)*12+IFERROR(VALUE(LEFT($Z134,1)),0)*8,0))</f>
        <v/>
      </c>
      <c r="AB134" s="45" t="str">
        <f aca="false">IF($AA134="","",IF($AA134&gt;=80,"A - call first",IF($AA134&gt;=60,"B - worth pursuing",IF($AA134&gt;=40,"C - nurture","D - do not spend time here"))))</f>
        <v/>
      </c>
      <c r="AC134" s="46" t="str">
        <f aca="false">IF($C134="","",IF($S134="Converted","7 Certification / Enterprise opportunity",IF($S134="Application Started","7 Certification / Enterprise opportunity",IF($S134="Meeting Booked","6 Meeting / Application",IF(OR($S134="Interested",$S134="Info Requested"),"5 Interested",IF(OR($S134="Declined",$S134="Not Relevant"),"0 Closed - no",IF($R134="Yes","4 Contacted",IF($N134="Yes","2 Engaged",IF($M134="Yes","1 Awareness",IF($AA134&gt;=60,"3 Qualified","1 Awareness"))))))))))</f>
        <v/>
      </c>
    </row>
    <row r="135" customFormat="false" ht="30" hidden="false" customHeight="true" outlineLevel="0" collapsed="false">
      <c r="A135" s="36"/>
      <c r="B135" s="37"/>
      <c r="C135" s="37"/>
      <c r="D135" s="37"/>
      <c r="E135" s="37"/>
      <c r="F135" s="37"/>
      <c r="G135" s="37"/>
      <c r="H135" s="37"/>
      <c r="I135" s="37"/>
      <c r="J135" s="47"/>
      <c r="K135" s="41" t="str">
        <f aca="false">IF(J135="","",IF(J135&gt;=8,"Yes","Check"))</f>
        <v/>
      </c>
      <c r="L135" s="38"/>
      <c r="M135" s="47"/>
      <c r="N135" s="47"/>
      <c r="O135" s="37"/>
      <c r="P135" s="38"/>
      <c r="Q135" s="42" t="str">
        <f aca="false">IF(P135="","",LEN(P135))</f>
        <v/>
      </c>
      <c r="R135" s="47"/>
      <c r="S135" s="37"/>
      <c r="T135" s="38"/>
      <c r="U135" s="43" t="str">
        <f aca="false">IF(OR(R135&lt;&gt;"Yes",A135=""),"",A135+4)</f>
        <v/>
      </c>
      <c r="V135" s="47"/>
      <c r="W135" s="38"/>
      <c r="X135" s="38"/>
      <c r="Y135" s="44"/>
      <c r="Z135" s="44"/>
      <c r="AA135" s="45" t="str">
        <f aca="false">IF(AND($Y135="",$Z135=""),"",ROUND(IFERROR(VALUE(LEFT($Y135,1)),0)*12+IFERROR(VALUE(LEFT($Z135,1)),0)*8,0))</f>
        <v/>
      </c>
      <c r="AB135" s="45" t="str">
        <f aca="false">IF($AA135="","",IF($AA135&gt;=80,"A - call first",IF($AA135&gt;=60,"B - worth pursuing",IF($AA135&gt;=40,"C - nurture","D - do not spend time here"))))</f>
        <v/>
      </c>
      <c r="AC135" s="46" t="str">
        <f aca="false">IF($C135="","",IF($S135="Converted","7 Certification / Enterprise opportunity",IF($S135="Application Started","7 Certification / Enterprise opportunity",IF($S135="Meeting Booked","6 Meeting / Application",IF(OR($S135="Interested",$S135="Info Requested"),"5 Interested",IF(OR($S135="Declined",$S135="Not Relevant"),"0 Closed - no",IF($R135="Yes","4 Contacted",IF($N135="Yes","2 Engaged",IF($M135="Yes","1 Awareness",IF($AA135&gt;=60,"3 Qualified","1 Awareness"))))))))))</f>
        <v/>
      </c>
    </row>
    <row r="136" customFormat="false" ht="30" hidden="false" customHeight="true" outlineLevel="0" collapsed="false">
      <c r="A136" s="36"/>
      <c r="B136" s="37"/>
      <c r="C136" s="37"/>
      <c r="D136" s="37"/>
      <c r="E136" s="37"/>
      <c r="F136" s="37"/>
      <c r="G136" s="37"/>
      <c r="H136" s="37"/>
      <c r="I136" s="37"/>
      <c r="J136" s="47"/>
      <c r="K136" s="41" t="str">
        <f aca="false">IF(J136="","",IF(J136&gt;=8,"Yes","Check"))</f>
        <v/>
      </c>
      <c r="L136" s="38"/>
      <c r="M136" s="47"/>
      <c r="N136" s="47"/>
      <c r="O136" s="37"/>
      <c r="P136" s="38"/>
      <c r="Q136" s="42" t="str">
        <f aca="false">IF(P136="","",LEN(P136))</f>
        <v/>
      </c>
      <c r="R136" s="47"/>
      <c r="S136" s="37"/>
      <c r="T136" s="38"/>
      <c r="U136" s="43" t="str">
        <f aca="false">IF(OR(R136&lt;&gt;"Yes",A136=""),"",A136+4)</f>
        <v/>
      </c>
      <c r="V136" s="47"/>
      <c r="W136" s="38"/>
      <c r="X136" s="38"/>
      <c r="Y136" s="44"/>
      <c r="Z136" s="44"/>
      <c r="AA136" s="45" t="str">
        <f aca="false">IF(AND($Y136="",$Z136=""),"",ROUND(IFERROR(VALUE(LEFT($Y136,1)),0)*12+IFERROR(VALUE(LEFT($Z136,1)),0)*8,0))</f>
        <v/>
      </c>
      <c r="AB136" s="45" t="str">
        <f aca="false">IF($AA136="","",IF($AA136&gt;=80,"A - call first",IF($AA136&gt;=60,"B - worth pursuing",IF($AA136&gt;=40,"C - nurture","D - do not spend time here"))))</f>
        <v/>
      </c>
      <c r="AC136" s="46" t="str">
        <f aca="false">IF($C136="","",IF($S136="Converted","7 Certification / Enterprise opportunity",IF($S136="Application Started","7 Certification / Enterprise opportunity",IF($S136="Meeting Booked","6 Meeting / Application",IF(OR($S136="Interested",$S136="Info Requested"),"5 Interested",IF(OR($S136="Declined",$S136="Not Relevant"),"0 Closed - no",IF($R136="Yes","4 Contacted",IF($N136="Yes","2 Engaged",IF($M136="Yes","1 Awareness",IF($AA136&gt;=60,"3 Qualified","1 Awareness"))))))))))</f>
        <v/>
      </c>
    </row>
    <row r="137" customFormat="false" ht="30" hidden="false" customHeight="true" outlineLevel="0" collapsed="false">
      <c r="A137" s="36"/>
      <c r="B137" s="37"/>
      <c r="C137" s="37"/>
      <c r="D137" s="37"/>
      <c r="E137" s="37"/>
      <c r="F137" s="37"/>
      <c r="G137" s="37"/>
      <c r="H137" s="37"/>
      <c r="I137" s="37"/>
      <c r="J137" s="47"/>
      <c r="K137" s="41" t="str">
        <f aca="false">IF(J137="","",IF(J137&gt;=8,"Yes","Check"))</f>
        <v/>
      </c>
      <c r="L137" s="38"/>
      <c r="M137" s="47"/>
      <c r="N137" s="47"/>
      <c r="O137" s="37"/>
      <c r="P137" s="38"/>
      <c r="Q137" s="42" t="str">
        <f aca="false">IF(P137="","",LEN(P137))</f>
        <v/>
      </c>
      <c r="R137" s="47"/>
      <c r="S137" s="37"/>
      <c r="T137" s="38"/>
      <c r="U137" s="43" t="str">
        <f aca="false">IF(OR(R137&lt;&gt;"Yes",A137=""),"",A137+4)</f>
        <v/>
      </c>
      <c r="V137" s="47"/>
      <c r="W137" s="38"/>
      <c r="X137" s="38"/>
      <c r="Y137" s="44"/>
      <c r="Z137" s="44"/>
      <c r="AA137" s="45" t="str">
        <f aca="false">IF(AND($Y137="",$Z137=""),"",ROUND(IFERROR(VALUE(LEFT($Y137,1)),0)*12+IFERROR(VALUE(LEFT($Z137,1)),0)*8,0))</f>
        <v/>
      </c>
      <c r="AB137" s="45" t="str">
        <f aca="false">IF($AA137="","",IF($AA137&gt;=80,"A - call first",IF($AA137&gt;=60,"B - worth pursuing",IF($AA137&gt;=40,"C - nurture","D - do not spend time here"))))</f>
        <v/>
      </c>
      <c r="AC137" s="46" t="str">
        <f aca="false">IF($C137="","",IF($S137="Converted","7 Certification / Enterprise opportunity",IF($S137="Application Started","7 Certification / Enterprise opportunity",IF($S137="Meeting Booked","6 Meeting / Application",IF(OR($S137="Interested",$S137="Info Requested"),"5 Interested",IF(OR($S137="Declined",$S137="Not Relevant"),"0 Closed - no",IF($R137="Yes","4 Contacted",IF($N137="Yes","2 Engaged",IF($M137="Yes","1 Awareness",IF($AA137&gt;=60,"3 Qualified","1 Awareness"))))))))))</f>
        <v/>
      </c>
    </row>
    <row r="138" customFormat="false" ht="30" hidden="false" customHeight="true" outlineLevel="0" collapsed="false">
      <c r="A138" s="36"/>
      <c r="B138" s="37"/>
      <c r="C138" s="37"/>
      <c r="D138" s="37"/>
      <c r="E138" s="37"/>
      <c r="F138" s="37"/>
      <c r="G138" s="37"/>
      <c r="H138" s="37"/>
      <c r="I138" s="37"/>
      <c r="J138" s="47"/>
      <c r="K138" s="41" t="str">
        <f aca="false">IF(J138="","",IF(J138&gt;=8,"Yes","Check"))</f>
        <v/>
      </c>
      <c r="L138" s="38"/>
      <c r="M138" s="47"/>
      <c r="N138" s="47"/>
      <c r="O138" s="37"/>
      <c r="P138" s="38"/>
      <c r="Q138" s="42" t="str">
        <f aca="false">IF(P138="","",LEN(P138))</f>
        <v/>
      </c>
      <c r="R138" s="47"/>
      <c r="S138" s="37"/>
      <c r="T138" s="38"/>
      <c r="U138" s="43" t="str">
        <f aca="false">IF(OR(R138&lt;&gt;"Yes",A138=""),"",A138+4)</f>
        <v/>
      </c>
      <c r="V138" s="47"/>
      <c r="W138" s="38"/>
      <c r="X138" s="38"/>
      <c r="Y138" s="44"/>
      <c r="Z138" s="44"/>
      <c r="AA138" s="45" t="str">
        <f aca="false">IF(AND($Y138="",$Z138=""),"",ROUND(IFERROR(VALUE(LEFT($Y138,1)),0)*12+IFERROR(VALUE(LEFT($Z138,1)),0)*8,0))</f>
        <v/>
      </c>
      <c r="AB138" s="45" t="str">
        <f aca="false">IF($AA138="","",IF($AA138&gt;=80,"A - call first",IF($AA138&gt;=60,"B - worth pursuing",IF($AA138&gt;=40,"C - nurture","D - do not spend time here"))))</f>
        <v/>
      </c>
      <c r="AC138" s="46" t="str">
        <f aca="false">IF($C138="","",IF($S138="Converted","7 Certification / Enterprise opportunity",IF($S138="Application Started","7 Certification / Enterprise opportunity",IF($S138="Meeting Booked","6 Meeting / Application",IF(OR($S138="Interested",$S138="Info Requested"),"5 Interested",IF(OR($S138="Declined",$S138="Not Relevant"),"0 Closed - no",IF($R138="Yes","4 Contacted",IF($N138="Yes","2 Engaged",IF($M138="Yes","1 Awareness",IF($AA138&gt;=60,"3 Qualified","1 Awareness"))))))))))</f>
        <v/>
      </c>
    </row>
    <row r="139" customFormat="false" ht="30" hidden="false" customHeight="true" outlineLevel="0" collapsed="false">
      <c r="A139" s="36"/>
      <c r="B139" s="37"/>
      <c r="C139" s="37"/>
      <c r="D139" s="37"/>
      <c r="E139" s="37"/>
      <c r="F139" s="37"/>
      <c r="G139" s="37"/>
      <c r="H139" s="37"/>
      <c r="I139" s="37"/>
      <c r="J139" s="47"/>
      <c r="K139" s="41" t="str">
        <f aca="false">IF(J139="","",IF(J139&gt;=8,"Yes","Check"))</f>
        <v/>
      </c>
      <c r="L139" s="38"/>
      <c r="M139" s="47"/>
      <c r="N139" s="47"/>
      <c r="O139" s="37"/>
      <c r="P139" s="38"/>
      <c r="Q139" s="42" t="str">
        <f aca="false">IF(P139="","",LEN(P139))</f>
        <v/>
      </c>
      <c r="R139" s="47"/>
      <c r="S139" s="37"/>
      <c r="T139" s="38"/>
      <c r="U139" s="43" t="str">
        <f aca="false">IF(OR(R139&lt;&gt;"Yes",A139=""),"",A139+4)</f>
        <v/>
      </c>
      <c r="V139" s="47"/>
      <c r="W139" s="38"/>
      <c r="X139" s="38"/>
      <c r="Y139" s="44"/>
      <c r="Z139" s="44"/>
      <c r="AA139" s="45" t="str">
        <f aca="false">IF(AND($Y139="",$Z139=""),"",ROUND(IFERROR(VALUE(LEFT($Y139,1)),0)*12+IFERROR(VALUE(LEFT($Z139,1)),0)*8,0))</f>
        <v/>
      </c>
      <c r="AB139" s="45" t="str">
        <f aca="false">IF($AA139="","",IF($AA139&gt;=80,"A - call first",IF($AA139&gt;=60,"B - worth pursuing",IF($AA139&gt;=40,"C - nurture","D - do not spend time here"))))</f>
        <v/>
      </c>
      <c r="AC139" s="46" t="str">
        <f aca="false">IF($C139="","",IF($S139="Converted","7 Certification / Enterprise opportunity",IF($S139="Application Started","7 Certification / Enterprise opportunity",IF($S139="Meeting Booked","6 Meeting / Application",IF(OR($S139="Interested",$S139="Info Requested"),"5 Interested",IF(OR($S139="Declined",$S139="Not Relevant"),"0 Closed - no",IF($R139="Yes","4 Contacted",IF($N139="Yes","2 Engaged",IF($M139="Yes","1 Awareness",IF($AA139&gt;=60,"3 Qualified","1 Awareness"))))))))))</f>
        <v/>
      </c>
    </row>
    <row r="140" customFormat="false" ht="30" hidden="false" customHeight="true" outlineLevel="0" collapsed="false">
      <c r="A140" s="36"/>
      <c r="B140" s="37"/>
      <c r="C140" s="37"/>
      <c r="D140" s="37"/>
      <c r="E140" s="37"/>
      <c r="F140" s="37"/>
      <c r="G140" s="37"/>
      <c r="H140" s="37"/>
      <c r="I140" s="37"/>
      <c r="J140" s="47"/>
      <c r="K140" s="41" t="str">
        <f aca="false">IF(J140="","",IF(J140&gt;=8,"Yes","Check"))</f>
        <v/>
      </c>
      <c r="L140" s="38"/>
      <c r="M140" s="47"/>
      <c r="N140" s="47"/>
      <c r="O140" s="37"/>
      <c r="P140" s="38"/>
      <c r="Q140" s="42" t="str">
        <f aca="false">IF(P140="","",LEN(P140))</f>
        <v/>
      </c>
      <c r="R140" s="47"/>
      <c r="S140" s="37"/>
      <c r="T140" s="38"/>
      <c r="U140" s="43" t="str">
        <f aca="false">IF(OR(R140&lt;&gt;"Yes",A140=""),"",A140+4)</f>
        <v/>
      </c>
      <c r="V140" s="47"/>
      <c r="W140" s="38"/>
      <c r="X140" s="38"/>
      <c r="Y140" s="44"/>
      <c r="Z140" s="44"/>
      <c r="AA140" s="45" t="str">
        <f aca="false">IF(AND($Y140="",$Z140=""),"",ROUND(IFERROR(VALUE(LEFT($Y140,1)),0)*12+IFERROR(VALUE(LEFT($Z140,1)),0)*8,0))</f>
        <v/>
      </c>
      <c r="AB140" s="45" t="str">
        <f aca="false">IF($AA140="","",IF($AA140&gt;=80,"A - call first",IF($AA140&gt;=60,"B - worth pursuing",IF($AA140&gt;=40,"C - nurture","D - do not spend time here"))))</f>
        <v/>
      </c>
      <c r="AC140" s="46" t="str">
        <f aca="false">IF($C140="","",IF($S140="Converted","7 Certification / Enterprise opportunity",IF($S140="Application Started","7 Certification / Enterprise opportunity",IF($S140="Meeting Booked","6 Meeting / Application",IF(OR($S140="Interested",$S140="Info Requested"),"5 Interested",IF(OR($S140="Declined",$S140="Not Relevant"),"0 Closed - no",IF($R140="Yes","4 Contacted",IF($N140="Yes","2 Engaged",IF($M140="Yes","1 Awareness",IF($AA140&gt;=60,"3 Qualified","1 Awareness"))))))))))</f>
        <v/>
      </c>
    </row>
    <row r="141" customFormat="false" ht="30" hidden="false" customHeight="true" outlineLevel="0" collapsed="false">
      <c r="A141" s="36"/>
      <c r="B141" s="37"/>
      <c r="C141" s="37"/>
      <c r="D141" s="37"/>
      <c r="E141" s="37"/>
      <c r="F141" s="37"/>
      <c r="G141" s="37"/>
      <c r="H141" s="37"/>
      <c r="I141" s="37"/>
      <c r="J141" s="47"/>
      <c r="K141" s="41" t="str">
        <f aca="false">IF(J141="","",IF(J141&gt;=8,"Yes","Check"))</f>
        <v/>
      </c>
      <c r="L141" s="38"/>
      <c r="M141" s="47"/>
      <c r="N141" s="47"/>
      <c r="O141" s="37"/>
      <c r="P141" s="38"/>
      <c r="Q141" s="42" t="str">
        <f aca="false">IF(P141="","",LEN(P141))</f>
        <v/>
      </c>
      <c r="R141" s="47"/>
      <c r="S141" s="37"/>
      <c r="T141" s="38"/>
      <c r="U141" s="43" t="str">
        <f aca="false">IF(OR(R141&lt;&gt;"Yes",A141=""),"",A141+4)</f>
        <v/>
      </c>
      <c r="V141" s="47"/>
      <c r="W141" s="38"/>
      <c r="X141" s="38"/>
      <c r="Y141" s="44"/>
      <c r="Z141" s="44"/>
      <c r="AA141" s="45" t="str">
        <f aca="false">IF(AND($Y141="",$Z141=""),"",ROUND(IFERROR(VALUE(LEFT($Y141,1)),0)*12+IFERROR(VALUE(LEFT($Z141,1)),0)*8,0))</f>
        <v/>
      </c>
      <c r="AB141" s="45" t="str">
        <f aca="false">IF($AA141="","",IF($AA141&gt;=80,"A - call first",IF($AA141&gt;=60,"B - worth pursuing",IF($AA141&gt;=40,"C - nurture","D - do not spend time here"))))</f>
        <v/>
      </c>
      <c r="AC141" s="46" t="str">
        <f aca="false">IF($C141="","",IF($S141="Converted","7 Certification / Enterprise opportunity",IF($S141="Application Started","7 Certification / Enterprise opportunity",IF($S141="Meeting Booked","6 Meeting / Application",IF(OR($S141="Interested",$S141="Info Requested"),"5 Interested",IF(OR($S141="Declined",$S141="Not Relevant"),"0 Closed - no",IF($R141="Yes","4 Contacted",IF($N141="Yes","2 Engaged",IF($M141="Yes","1 Awareness",IF($AA141&gt;=60,"3 Qualified","1 Awareness"))))))))))</f>
        <v/>
      </c>
    </row>
    <row r="142" customFormat="false" ht="30" hidden="false" customHeight="true" outlineLevel="0" collapsed="false">
      <c r="A142" s="36"/>
      <c r="B142" s="37"/>
      <c r="C142" s="37"/>
      <c r="D142" s="37"/>
      <c r="E142" s="37"/>
      <c r="F142" s="37"/>
      <c r="G142" s="37"/>
      <c r="H142" s="37"/>
      <c r="I142" s="37"/>
      <c r="J142" s="47"/>
      <c r="K142" s="41" t="str">
        <f aca="false">IF(J142="","",IF(J142&gt;=8,"Yes","Check"))</f>
        <v/>
      </c>
      <c r="L142" s="38"/>
      <c r="M142" s="47"/>
      <c r="N142" s="47"/>
      <c r="O142" s="37"/>
      <c r="P142" s="38"/>
      <c r="Q142" s="42" t="str">
        <f aca="false">IF(P142="","",LEN(P142))</f>
        <v/>
      </c>
      <c r="R142" s="47"/>
      <c r="S142" s="37"/>
      <c r="T142" s="38"/>
      <c r="U142" s="43" t="str">
        <f aca="false">IF(OR(R142&lt;&gt;"Yes",A142=""),"",A142+4)</f>
        <v/>
      </c>
      <c r="V142" s="47"/>
      <c r="W142" s="38"/>
      <c r="X142" s="38"/>
      <c r="Y142" s="44"/>
      <c r="Z142" s="44"/>
      <c r="AA142" s="45" t="str">
        <f aca="false">IF(AND($Y142="",$Z142=""),"",ROUND(IFERROR(VALUE(LEFT($Y142,1)),0)*12+IFERROR(VALUE(LEFT($Z142,1)),0)*8,0))</f>
        <v/>
      </c>
      <c r="AB142" s="45" t="str">
        <f aca="false">IF($AA142="","",IF($AA142&gt;=80,"A - call first",IF($AA142&gt;=60,"B - worth pursuing",IF($AA142&gt;=40,"C - nurture","D - do not spend time here"))))</f>
        <v/>
      </c>
      <c r="AC142" s="46" t="str">
        <f aca="false">IF($C142="","",IF($S142="Converted","7 Certification / Enterprise opportunity",IF($S142="Application Started","7 Certification / Enterprise opportunity",IF($S142="Meeting Booked","6 Meeting / Application",IF(OR($S142="Interested",$S142="Info Requested"),"5 Interested",IF(OR($S142="Declined",$S142="Not Relevant"),"0 Closed - no",IF($R142="Yes","4 Contacted",IF($N142="Yes","2 Engaged",IF($M142="Yes","1 Awareness",IF($AA142&gt;=60,"3 Qualified","1 Awareness"))))))))))</f>
        <v/>
      </c>
    </row>
    <row r="143" customFormat="false" ht="30" hidden="false" customHeight="true" outlineLevel="0" collapsed="false">
      <c r="A143" s="36"/>
      <c r="B143" s="37"/>
      <c r="C143" s="37"/>
      <c r="D143" s="37"/>
      <c r="E143" s="37"/>
      <c r="F143" s="37"/>
      <c r="G143" s="37"/>
      <c r="H143" s="37"/>
      <c r="I143" s="37"/>
      <c r="J143" s="47"/>
      <c r="K143" s="41" t="str">
        <f aca="false">IF(J143="","",IF(J143&gt;=8,"Yes","Check"))</f>
        <v/>
      </c>
      <c r="L143" s="38"/>
      <c r="M143" s="47"/>
      <c r="N143" s="47"/>
      <c r="O143" s="37"/>
      <c r="P143" s="38"/>
      <c r="Q143" s="42" t="str">
        <f aca="false">IF(P143="","",LEN(P143))</f>
        <v/>
      </c>
      <c r="R143" s="47"/>
      <c r="S143" s="37"/>
      <c r="T143" s="38"/>
      <c r="U143" s="43" t="str">
        <f aca="false">IF(OR(R143&lt;&gt;"Yes",A143=""),"",A143+4)</f>
        <v/>
      </c>
      <c r="V143" s="47"/>
      <c r="W143" s="38"/>
      <c r="X143" s="38"/>
      <c r="Y143" s="44"/>
      <c r="Z143" s="44"/>
      <c r="AA143" s="45" t="str">
        <f aca="false">IF(AND($Y143="",$Z143=""),"",ROUND(IFERROR(VALUE(LEFT($Y143,1)),0)*12+IFERROR(VALUE(LEFT($Z143,1)),0)*8,0))</f>
        <v/>
      </c>
      <c r="AB143" s="45" t="str">
        <f aca="false">IF($AA143="","",IF($AA143&gt;=80,"A - call first",IF($AA143&gt;=60,"B - worth pursuing",IF($AA143&gt;=40,"C - nurture","D - do not spend time here"))))</f>
        <v/>
      </c>
      <c r="AC143" s="46" t="str">
        <f aca="false">IF($C143="","",IF($S143="Converted","7 Certification / Enterprise opportunity",IF($S143="Application Started","7 Certification / Enterprise opportunity",IF($S143="Meeting Booked","6 Meeting / Application",IF(OR($S143="Interested",$S143="Info Requested"),"5 Interested",IF(OR($S143="Declined",$S143="Not Relevant"),"0 Closed - no",IF($R143="Yes","4 Contacted",IF($N143="Yes","2 Engaged",IF($M143="Yes","1 Awareness",IF($AA143&gt;=60,"3 Qualified","1 Awareness"))))))))))</f>
        <v/>
      </c>
    </row>
    <row r="144" customFormat="false" ht="30" hidden="false" customHeight="true" outlineLevel="0" collapsed="false">
      <c r="A144" s="36"/>
      <c r="B144" s="37"/>
      <c r="C144" s="37"/>
      <c r="D144" s="37"/>
      <c r="E144" s="37"/>
      <c r="F144" s="37"/>
      <c r="G144" s="37"/>
      <c r="H144" s="37"/>
      <c r="I144" s="37"/>
      <c r="J144" s="47"/>
      <c r="K144" s="41" t="str">
        <f aca="false">IF(J144="","",IF(J144&gt;=8,"Yes","Check"))</f>
        <v/>
      </c>
      <c r="L144" s="38"/>
      <c r="M144" s="47"/>
      <c r="N144" s="47"/>
      <c r="O144" s="37"/>
      <c r="P144" s="38"/>
      <c r="Q144" s="42" t="str">
        <f aca="false">IF(P144="","",LEN(P144))</f>
        <v/>
      </c>
      <c r="R144" s="47"/>
      <c r="S144" s="37"/>
      <c r="T144" s="38"/>
      <c r="U144" s="43" t="str">
        <f aca="false">IF(OR(R144&lt;&gt;"Yes",A144=""),"",A144+4)</f>
        <v/>
      </c>
      <c r="V144" s="47"/>
      <c r="W144" s="38"/>
      <c r="X144" s="38"/>
      <c r="Y144" s="44"/>
      <c r="Z144" s="44"/>
      <c r="AA144" s="45" t="str">
        <f aca="false">IF(AND($Y144="",$Z144=""),"",ROUND(IFERROR(VALUE(LEFT($Y144,1)),0)*12+IFERROR(VALUE(LEFT($Z144,1)),0)*8,0))</f>
        <v/>
      </c>
      <c r="AB144" s="45" t="str">
        <f aca="false">IF($AA144="","",IF($AA144&gt;=80,"A - call first",IF($AA144&gt;=60,"B - worth pursuing",IF($AA144&gt;=40,"C - nurture","D - do not spend time here"))))</f>
        <v/>
      </c>
      <c r="AC144" s="46" t="str">
        <f aca="false">IF($C144="","",IF($S144="Converted","7 Certification / Enterprise opportunity",IF($S144="Application Started","7 Certification / Enterprise opportunity",IF($S144="Meeting Booked","6 Meeting / Application",IF(OR($S144="Interested",$S144="Info Requested"),"5 Interested",IF(OR($S144="Declined",$S144="Not Relevant"),"0 Closed - no",IF($R144="Yes","4 Contacted",IF($N144="Yes","2 Engaged",IF($M144="Yes","1 Awareness",IF($AA144&gt;=60,"3 Qualified","1 Awareness"))))))))))</f>
        <v/>
      </c>
    </row>
    <row r="145" customFormat="false" ht="30" hidden="false" customHeight="true" outlineLevel="0" collapsed="false">
      <c r="A145" s="36"/>
      <c r="B145" s="37"/>
      <c r="C145" s="37"/>
      <c r="D145" s="37"/>
      <c r="E145" s="37"/>
      <c r="F145" s="37"/>
      <c r="G145" s="37"/>
      <c r="H145" s="37"/>
      <c r="I145" s="37"/>
      <c r="J145" s="47"/>
      <c r="K145" s="41" t="str">
        <f aca="false">IF(J145="","",IF(J145&gt;=8,"Yes","Check"))</f>
        <v/>
      </c>
      <c r="L145" s="38"/>
      <c r="M145" s="47"/>
      <c r="N145" s="47"/>
      <c r="O145" s="37"/>
      <c r="P145" s="38"/>
      <c r="Q145" s="42" t="str">
        <f aca="false">IF(P145="","",LEN(P145))</f>
        <v/>
      </c>
      <c r="R145" s="47"/>
      <c r="S145" s="37"/>
      <c r="T145" s="38"/>
      <c r="U145" s="43" t="str">
        <f aca="false">IF(OR(R145&lt;&gt;"Yes",A145=""),"",A145+4)</f>
        <v/>
      </c>
      <c r="V145" s="47"/>
      <c r="W145" s="38"/>
      <c r="X145" s="38"/>
      <c r="Y145" s="44"/>
      <c r="Z145" s="44"/>
      <c r="AA145" s="45" t="str">
        <f aca="false">IF(AND($Y145="",$Z145=""),"",ROUND(IFERROR(VALUE(LEFT($Y145,1)),0)*12+IFERROR(VALUE(LEFT($Z145,1)),0)*8,0))</f>
        <v/>
      </c>
      <c r="AB145" s="45" t="str">
        <f aca="false">IF($AA145="","",IF($AA145&gt;=80,"A - call first",IF($AA145&gt;=60,"B - worth pursuing",IF($AA145&gt;=40,"C - nurture","D - do not spend time here"))))</f>
        <v/>
      </c>
      <c r="AC145" s="46" t="str">
        <f aca="false">IF($C145="","",IF($S145="Converted","7 Certification / Enterprise opportunity",IF($S145="Application Started","7 Certification / Enterprise opportunity",IF($S145="Meeting Booked","6 Meeting / Application",IF(OR($S145="Interested",$S145="Info Requested"),"5 Interested",IF(OR($S145="Declined",$S145="Not Relevant"),"0 Closed - no",IF($R145="Yes","4 Contacted",IF($N145="Yes","2 Engaged",IF($M145="Yes","1 Awareness",IF($AA145&gt;=60,"3 Qualified","1 Awareness"))))))))))</f>
        <v/>
      </c>
    </row>
    <row r="146" customFormat="false" ht="30" hidden="false" customHeight="true" outlineLevel="0" collapsed="false">
      <c r="A146" s="36"/>
      <c r="B146" s="37"/>
      <c r="C146" s="37"/>
      <c r="D146" s="37"/>
      <c r="E146" s="37"/>
      <c r="F146" s="37"/>
      <c r="G146" s="37"/>
      <c r="H146" s="37"/>
      <c r="I146" s="37"/>
      <c r="J146" s="47"/>
      <c r="K146" s="41" t="str">
        <f aca="false">IF(J146="","",IF(J146&gt;=8,"Yes","Check"))</f>
        <v/>
      </c>
      <c r="L146" s="38"/>
      <c r="M146" s="47"/>
      <c r="N146" s="47"/>
      <c r="O146" s="37"/>
      <c r="P146" s="38"/>
      <c r="Q146" s="42" t="str">
        <f aca="false">IF(P146="","",LEN(P146))</f>
        <v/>
      </c>
      <c r="R146" s="47"/>
      <c r="S146" s="37"/>
      <c r="T146" s="38"/>
      <c r="U146" s="43" t="str">
        <f aca="false">IF(OR(R146&lt;&gt;"Yes",A146=""),"",A146+4)</f>
        <v/>
      </c>
      <c r="V146" s="47"/>
      <c r="W146" s="38"/>
      <c r="X146" s="38"/>
      <c r="Y146" s="44"/>
      <c r="Z146" s="44"/>
      <c r="AA146" s="45" t="str">
        <f aca="false">IF(AND($Y146="",$Z146=""),"",ROUND(IFERROR(VALUE(LEFT($Y146,1)),0)*12+IFERROR(VALUE(LEFT($Z146,1)),0)*8,0))</f>
        <v/>
      </c>
      <c r="AB146" s="45" t="str">
        <f aca="false">IF($AA146="","",IF($AA146&gt;=80,"A - call first",IF($AA146&gt;=60,"B - worth pursuing",IF($AA146&gt;=40,"C - nurture","D - do not spend time here"))))</f>
        <v/>
      </c>
      <c r="AC146" s="46" t="str">
        <f aca="false">IF($C146="","",IF($S146="Converted","7 Certification / Enterprise opportunity",IF($S146="Application Started","7 Certification / Enterprise opportunity",IF($S146="Meeting Booked","6 Meeting / Application",IF(OR($S146="Interested",$S146="Info Requested"),"5 Interested",IF(OR($S146="Declined",$S146="Not Relevant"),"0 Closed - no",IF($R146="Yes","4 Contacted",IF($N146="Yes","2 Engaged",IF($M146="Yes","1 Awareness",IF($AA146&gt;=60,"3 Qualified","1 Awareness"))))))))))</f>
        <v/>
      </c>
    </row>
    <row r="147" customFormat="false" ht="30" hidden="false" customHeight="true" outlineLevel="0" collapsed="false">
      <c r="A147" s="36"/>
      <c r="B147" s="37"/>
      <c r="C147" s="37"/>
      <c r="D147" s="37"/>
      <c r="E147" s="37"/>
      <c r="F147" s="37"/>
      <c r="G147" s="37"/>
      <c r="H147" s="37"/>
      <c r="I147" s="37"/>
      <c r="J147" s="47"/>
      <c r="K147" s="41" t="str">
        <f aca="false">IF(J147="","",IF(J147&gt;=8,"Yes","Check"))</f>
        <v/>
      </c>
      <c r="L147" s="38"/>
      <c r="M147" s="47"/>
      <c r="N147" s="47"/>
      <c r="O147" s="37"/>
      <c r="P147" s="38"/>
      <c r="Q147" s="42" t="str">
        <f aca="false">IF(P147="","",LEN(P147))</f>
        <v/>
      </c>
      <c r="R147" s="47"/>
      <c r="S147" s="37"/>
      <c r="T147" s="38"/>
      <c r="U147" s="43" t="str">
        <f aca="false">IF(OR(R147&lt;&gt;"Yes",A147=""),"",A147+4)</f>
        <v/>
      </c>
      <c r="V147" s="47"/>
      <c r="W147" s="38"/>
      <c r="X147" s="38"/>
      <c r="Y147" s="44"/>
      <c r="Z147" s="44"/>
      <c r="AA147" s="45" t="str">
        <f aca="false">IF(AND($Y147="",$Z147=""),"",ROUND(IFERROR(VALUE(LEFT($Y147,1)),0)*12+IFERROR(VALUE(LEFT($Z147,1)),0)*8,0))</f>
        <v/>
      </c>
      <c r="AB147" s="45" t="str">
        <f aca="false">IF($AA147="","",IF($AA147&gt;=80,"A - call first",IF($AA147&gt;=60,"B - worth pursuing",IF($AA147&gt;=40,"C - nurture","D - do not spend time here"))))</f>
        <v/>
      </c>
      <c r="AC147" s="46" t="str">
        <f aca="false">IF($C147="","",IF($S147="Converted","7 Certification / Enterprise opportunity",IF($S147="Application Started","7 Certification / Enterprise opportunity",IF($S147="Meeting Booked","6 Meeting / Application",IF(OR($S147="Interested",$S147="Info Requested"),"5 Interested",IF(OR($S147="Declined",$S147="Not Relevant"),"0 Closed - no",IF($R147="Yes","4 Contacted",IF($N147="Yes","2 Engaged",IF($M147="Yes","1 Awareness",IF($AA147&gt;=60,"3 Qualified","1 Awareness"))))))))))</f>
        <v/>
      </c>
    </row>
    <row r="148" customFormat="false" ht="30" hidden="false" customHeight="true" outlineLevel="0" collapsed="false">
      <c r="A148" s="36"/>
      <c r="B148" s="37"/>
      <c r="C148" s="37"/>
      <c r="D148" s="37"/>
      <c r="E148" s="37"/>
      <c r="F148" s="37"/>
      <c r="G148" s="37"/>
      <c r="H148" s="37"/>
      <c r="I148" s="37"/>
      <c r="J148" s="47"/>
      <c r="K148" s="41" t="str">
        <f aca="false">IF(J148="","",IF(J148&gt;=8,"Yes","Check"))</f>
        <v/>
      </c>
      <c r="L148" s="38"/>
      <c r="M148" s="47"/>
      <c r="N148" s="47"/>
      <c r="O148" s="37"/>
      <c r="P148" s="38"/>
      <c r="Q148" s="42" t="str">
        <f aca="false">IF(P148="","",LEN(P148))</f>
        <v/>
      </c>
      <c r="R148" s="47"/>
      <c r="S148" s="37"/>
      <c r="T148" s="38"/>
      <c r="U148" s="43" t="str">
        <f aca="false">IF(OR(R148&lt;&gt;"Yes",A148=""),"",A148+4)</f>
        <v/>
      </c>
      <c r="V148" s="47"/>
      <c r="W148" s="38"/>
      <c r="X148" s="38"/>
      <c r="Y148" s="44"/>
      <c r="Z148" s="44"/>
      <c r="AA148" s="45" t="str">
        <f aca="false">IF(AND($Y148="",$Z148=""),"",ROUND(IFERROR(VALUE(LEFT($Y148,1)),0)*12+IFERROR(VALUE(LEFT($Z148,1)),0)*8,0))</f>
        <v/>
      </c>
      <c r="AB148" s="45" t="str">
        <f aca="false">IF($AA148="","",IF($AA148&gt;=80,"A - call first",IF($AA148&gt;=60,"B - worth pursuing",IF($AA148&gt;=40,"C - nurture","D - do not spend time here"))))</f>
        <v/>
      </c>
      <c r="AC148" s="46" t="str">
        <f aca="false">IF($C148="","",IF($S148="Converted","7 Certification / Enterprise opportunity",IF($S148="Application Started","7 Certification / Enterprise opportunity",IF($S148="Meeting Booked","6 Meeting / Application",IF(OR($S148="Interested",$S148="Info Requested"),"5 Interested",IF(OR($S148="Declined",$S148="Not Relevant"),"0 Closed - no",IF($R148="Yes","4 Contacted",IF($N148="Yes","2 Engaged",IF($M148="Yes","1 Awareness",IF($AA148&gt;=60,"3 Qualified","1 Awareness"))))))))))</f>
        <v/>
      </c>
    </row>
    <row r="149" customFormat="false" ht="30" hidden="false" customHeight="true" outlineLevel="0" collapsed="false">
      <c r="A149" s="36"/>
      <c r="B149" s="37"/>
      <c r="C149" s="37"/>
      <c r="D149" s="37"/>
      <c r="E149" s="37"/>
      <c r="F149" s="37"/>
      <c r="G149" s="37"/>
      <c r="H149" s="37"/>
      <c r="I149" s="37"/>
      <c r="J149" s="47"/>
      <c r="K149" s="41" t="str">
        <f aca="false">IF(J149="","",IF(J149&gt;=8,"Yes","Check"))</f>
        <v/>
      </c>
      <c r="L149" s="38"/>
      <c r="M149" s="47"/>
      <c r="N149" s="47"/>
      <c r="O149" s="37"/>
      <c r="P149" s="38"/>
      <c r="Q149" s="42" t="str">
        <f aca="false">IF(P149="","",LEN(P149))</f>
        <v/>
      </c>
      <c r="R149" s="47"/>
      <c r="S149" s="37"/>
      <c r="T149" s="38"/>
      <c r="U149" s="43" t="str">
        <f aca="false">IF(OR(R149&lt;&gt;"Yes",A149=""),"",A149+4)</f>
        <v/>
      </c>
      <c r="V149" s="47"/>
      <c r="W149" s="38"/>
      <c r="X149" s="38"/>
      <c r="Y149" s="44"/>
      <c r="Z149" s="44"/>
      <c r="AA149" s="45" t="str">
        <f aca="false">IF(AND($Y149="",$Z149=""),"",ROUND(IFERROR(VALUE(LEFT($Y149,1)),0)*12+IFERROR(VALUE(LEFT($Z149,1)),0)*8,0))</f>
        <v/>
      </c>
      <c r="AB149" s="45" t="str">
        <f aca="false">IF($AA149="","",IF($AA149&gt;=80,"A - call first",IF($AA149&gt;=60,"B - worth pursuing",IF($AA149&gt;=40,"C - nurture","D - do not spend time here"))))</f>
        <v/>
      </c>
      <c r="AC149" s="46" t="str">
        <f aca="false">IF($C149="","",IF($S149="Converted","7 Certification / Enterprise opportunity",IF($S149="Application Started","7 Certification / Enterprise opportunity",IF($S149="Meeting Booked","6 Meeting / Application",IF(OR($S149="Interested",$S149="Info Requested"),"5 Interested",IF(OR($S149="Declined",$S149="Not Relevant"),"0 Closed - no",IF($R149="Yes","4 Contacted",IF($N149="Yes","2 Engaged",IF($M149="Yes","1 Awareness",IF($AA149&gt;=60,"3 Qualified","1 Awareness"))))))))))</f>
        <v/>
      </c>
    </row>
    <row r="150" customFormat="false" ht="30" hidden="false" customHeight="true" outlineLevel="0" collapsed="false">
      <c r="A150" s="36"/>
      <c r="B150" s="37"/>
      <c r="C150" s="37"/>
      <c r="D150" s="37"/>
      <c r="E150" s="37"/>
      <c r="F150" s="37"/>
      <c r="G150" s="37"/>
      <c r="H150" s="37"/>
      <c r="I150" s="37"/>
      <c r="J150" s="47"/>
      <c r="K150" s="41" t="str">
        <f aca="false">IF(J150="","",IF(J150&gt;=8,"Yes","Check"))</f>
        <v/>
      </c>
      <c r="L150" s="38"/>
      <c r="M150" s="47"/>
      <c r="N150" s="47"/>
      <c r="O150" s="37"/>
      <c r="P150" s="38"/>
      <c r="Q150" s="42" t="str">
        <f aca="false">IF(P150="","",LEN(P150))</f>
        <v/>
      </c>
      <c r="R150" s="47"/>
      <c r="S150" s="37"/>
      <c r="T150" s="38"/>
      <c r="U150" s="43" t="str">
        <f aca="false">IF(OR(R150&lt;&gt;"Yes",A150=""),"",A150+4)</f>
        <v/>
      </c>
      <c r="V150" s="47"/>
      <c r="W150" s="38"/>
      <c r="X150" s="38"/>
      <c r="Y150" s="44"/>
      <c r="Z150" s="44"/>
      <c r="AA150" s="45" t="str">
        <f aca="false">IF(AND($Y150="",$Z150=""),"",ROUND(IFERROR(VALUE(LEFT($Y150,1)),0)*12+IFERROR(VALUE(LEFT($Z150,1)),0)*8,0))</f>
        <v/>
      </c>
      <c r="AB150" s="45" t="str">
        <f aca="false">IF($AA150="","",IF($AA150&gt;=80,"A - call first",IF($AA150&gt;=60,"B - worth pursuing",IF($AA150&gt;=40,"C - nurture","D - do not spend time here"))))</f>
        <v/>
      </c>
      <c r="AC150" s="46" t="str">
        <f aca="false">IF($C150="","",IF($S150="Converted","7 Certification / Enterprise opportunity",IF($S150="Application Started","7 Certification / Enterprise opportunity",IF($S150="Meeting Booked","6 Meeting / Application",IF(OR($S150="Interested",$S150="Info Requested"),"5 Interested",IF(OR($S150="Declined",$S150="Not Relevant"),"0 Closed - no",IF($R150="Yes","4 Contacted",IF($N150="Yes","2 Engaged",IF($M150="Yes","1 Awareness",IF($AA150&gt;=60,"3 Qualified","1 Awareness"))))))))))</f>
        <v/>
      </c>
    </row>
    <row r="151" customFormat="false" ht="30" hidden="false" customHeight="true" outlineLevel="0" collapsed="false">
      <c r="A151" s="36"/>
      <c r="B151" s="37"/>
      <c r="C151" s="37"/>
      <c r="D151" s="37"/>
      <c r="E151" s="37"/>
      <c r="F151" s="37"/>
      <c r="G151" s="37"/>
      <c r="H151" s="37"/>
      <c r="I151" s="37"/>
      <c r="J151" s="47"/>
      <c r="K151" s="41" t="str">
        <f aca="false">IF(J151="","",IF(J151&gt;=8,"Yes","Check"))</f>
        <v/>
      </c>
      <c r="L151" s="38"/>
      <c r="M151" s="47"/>
      <c r="N151" s="47"/>
      <c r="O151" s="37"/>
      <c r="P151" s="38"/>
      <c r="Q151" s="42" t="str">
        <f aca="false">IF(P151="","",LEN(P151))</f>
        <v/>
      </c>
      <c r="R151" s="47"/>
      <c r="S151" s="37"/>
      <c r="T151" s="38"/>
      <c r="U151" s="43" t="str">
        <f aca="false">IF(OR(R151&lt;&gt;"Yes",A151=""),"",A151+4)</f>
        <v/>
      </c>
      <c r="V151" s="47"/>
      <c r="W151" s="38"/>
      <c r="X151" s="38"/>
      <c r="Y151" s="44"/>
      <c r="Z151" s="44"/>
      <c r="AA151" s="45" t="str">
        <f aca="false">IF(AND($Y151="",$Z151=""),"",ROUND(IFERROR(VALUE(LEFT($Y151,1)),0)*12+IFERROR(VALUE(LEFT($Z151,1)),0)*8,0))</f>
        <v/>
      </c>
      <c r="AB151" s="45" t="str">
        <f aca="false">IF($AA151="","",IF($AA151&gt;=80,"A - call first",IF($AA151&gt;=60,"B - worth pursuing",IF($AA151&gt;=40,"C - nurture","D - do not spend time here"))))</f>
        <v/>
      </c>
      <c r="AC151" s="46" t="str">
        <f aca="false">IF($C151="","",IF($S151="Converted","7 Certification / Enterprise opportunity",IF($S151="Application Started","7 Certification / Enterprise opportunity",IF($S151="Meeting Booked","6 Meeting / Application",IF(OR($S151="Interested",$S151="Info Requested"),"5 Interested",IF(OR($S151="Declined",$S151="Not Relevant"),"0 Closed - no",IF($R151="Yes","4 Contacted",IF($N151="Yes","2 Engaged",IF($M151="Yes","1 Awareness",IF($AA151&gt;=60,"3 Qualified","1 Awareness"))))))))))</f>
        <v/>
      </c>
    </row>
    <row r="152" customFormat="false" ht="30" hidden="false" customHeight="true" outlineLevel="0" collapsed="false">
      <c r="A152" s="36"/>
      <c r="B152" s="37"/>
      <c r="C152" s="37"/>
      <c r="D152" s="37"/>
      <c r="E152" s="37"/>
      <c r="F152" s="37"/>
      <c r="G152" s="37"/>
      <c r="H152" s="37"/>
      <c r="I152" s="37"/>
      <c r="J152" s="47"/>
      <c r="K152" s="41" t="str">
        <f aca="false">IF(J152="","",IF(J152&gt;=8,"Yes","Check"))</f>
        <v/>
      </c>
      <c r="L152" s="38"/>
      <c r="M152" s="47"/>
      <c r="N152" s="47"/>
      <c r="O152" s="37"/>
      <c r="P152" s="38"/>
      <c r="Q152" s="42" t="str">
        <f aca="false">IF(P152="","",LEN(P152))</f>
        <v/>
      </c>
      <c r="R152" s="47"/>
      <c r="S152" s="37"/>
      <c r="T152" s="38"/>
      <c r="U152" s="43" t="str">
        <f aca="false">IF(OR(R152&lt;&gt;"Yes",A152=""),"",A152+4)</f>
        <v/>
      </c>
      <c r="V152" s="47"/>
      <c r="W152" s="38"/>
      <c r="X152" s="38"/>
      <c r="Y152" s="44"/>
      <c r="Z152" s="44"/>
      <c r="AA152" s="45" t="str">
        <f aca="false">IF(AND($Y152="",$Z152=""),"",ROUND(IFERROR(VALUE(LEFT($Y152,1)),0)*12+IFERROR(VALUE(LEFT($Z152,1)),0)*8,0))</f>
        <v/>
      </c>
      <c r="AB152" s="45" t="str">
        <f aca="false">IF($AA152="","",IF($AA152&gt;=80,"A - call first",IF($AA152&gt;=60,"B - worth pursuing",IF($AA152&gt;=40,"C - nurture","D - do not spend time here"))))</f>
        <v/>
      </c>
      <c r="AC152" s="46" t="str">
        <f aca="false">IF($C152="","",IF($S152="Converted","7 Certification / Enterprise opportunity",IF($S152="Application Started","7 Certification / Enterprise opportunity",IF($S152="Meeting Booked","6 Meeting / Application",IF(OR($S152="Interested",$S152="Info Requested"),"5 Interested",IF(OR($S152="Declined",$S152="Not Relevant"),"0 Closed - no",IF($R152="Yes","4 Contacted",IF($N152="Yes","2 Engaged",IF($M152="Yes","1 Awareness",IF($AA152&gt;=60,"3 Qualified","1 Awareness"))))))))))</f>
        <v/>
      </c>
    </row>
    <row r="153" customFormat="false" ht="30" hidden="false" customHeight="true" outlineLevel="0" collapsed="false">
      <c r="A153" s="36"/>
      <c r="B153" s="37"/>
      <c r="C153" s="37"/>
      <c r="D153" s="37"/>
      <c r="E153" s="37"/>
      <c r="F153" s="37"/>
      <c r="G153" s="37"/>
      <c r="H153" s="37"/>
      <c r="I153" s="37"/>
      <c r="J153" s="47"/>
      <c r="K153" s="41" t="str">
        <f aca="false">IF(J153="","",IF(J153&gt;=8,"Yes","Check"))</f>
        <v/>
      </c>
      <c r="L153" s="38"/>
      <c r="M153" s="47"/>
      <c r="N153" s="47"/>
      <c r="O153" s="37"/>
      <c r="P153" s="38"/>
      <c r="Q153" s="42" t="str">
        <f aca="false">IF(P153="","",LEN(P153))</f>
        <v/>
      </c>
      <c r="R153" s="47"/>
      <c r="S153" s="37"/>
      <c r="T153" s="38"/>
      <c r="U153" s="43" t="str">
        <f aca="false">IF(OR(R153&lt;&gt;"Yes",A153=""),"",A153+4)</f>
        <v/>
      </c>
      <c r="V153" s="47"/>
      <c r="W153" s="38"/>
      <c r="X153" s="38"/>
      <c r="Y153" s="44"/>
      <c r="Z153" s="44"/>
      <c r="AA153" s="45" t="str">
        <f aca="false">IF(AND($Y153="",$Z153=""),"",ROUND(IFERROR(VALUE(LEFT($Y153,1)),0)*12+IFERROR(VALUE(LEFT($Z153,1)),0)*8,0))</f>
        <v/>
      </c>
      <c r="AB153" s="45" t="str">
        <f aca="false">IF($AA153="","",IF($AA153&gt;=80,"A - call first",IF($AA153&gt;=60,"B - worth pursuing",IF($AA153&gt;=40,"C - nurture","D - do not spend time here"))))</f>
        <v/>
      </c>
      <c r="AC153" s="46" t="str">
        <f aca="false">IF($C153="","",IF($S153="Converted","7 Certification / Enterprise opportunity",IF($S153="Application Started","7 Certification / Enterprise opportunity",IF($S153="Meeting Booked","6 Meeting / Application",IF(OR($S153="Interested",$S153="Info Requested"),"5 Interested",IF(OR($S153="Declined",$S153="Not Relevant"),"0 Closed - no",IF($R153="Yes","4 Contacted",IF($N153="Yes","2 Engaged",IF($M153="Yes","1 Awareness",IF($AA153&gt;=60,"3 Qualified","1 Awareness"))))))))))</f>
        <v/>
      </c>
    </row>
    <row r="154" customFormat="false" ht="30" hidden="false" customHeight="true" outlineLevel="0" collapsed="false">
      <c r="A154" s="36"/>
      <c r="B154" s="37"/>
      <c r="C154" s="37"/>
      <c r="D154" s="37"/>
      <c r="E154" s="37"/>
      <c r="F154" s="37"/>
      <c r="G154" s="37"/>
      <c r="H154" s="37"/>
      <c r="I154" s="37"/>
      <c r="J154" s="47"/>
      <c r="K154" s="41" t="str">
        <f aca="false">IF(J154="","",IF(J154&gt;=8,"Yes","Check"))</f>
        <v/>
      </c>
      <c r="L154" s="38"/>
      <c r="M154" s="47"/>
      <c r="N154" s="47"/>
      <c r="O154" s="37"/>
      <c r="P154" s="38"/>
      <c r="Q154" s="42" t="str">
        <f aca="false">IF(P154="","",LEN(P154))</f>
        <v/>
      </c>
      <c r="R154" s="47"/>
      <c r="S154" s="37"/>
      <c r="T154" s="38"/>
      <c r="U154" s="43" t="str">
        <f aca="false">IF(OR(R154&lt;&gt;"Yes",A154=""),"",A154+4)</f>
        <v/>
      </c>
      <c r="V154" s="47"/>
      <c r="W154" s="38"/>
      <c r="X154" s="38"/>
      <c r="Y154" s="44"/>
      <c r="Z154" s="44"/>
      <c r="AA154" s="45" t="str">
        <f aca="false">IF(AND($Y154="",$Z154=""),"",ROUND(IFERROR(VALUE(LEFT($Y154,1)),0)*12+IFERROR(VALUE(LEFT($Z154,1)),0)*8,0))</f>
        <v/>
      </c>
      <c r="AB154" s="45" t="str">
        <f aca="false">IF($AA154="","",IF($AA154&gt;=80,"A - call first",IF($AA154&gt;=60,"B - worth pursuing",IF($AA154&gt;=40,"C - nurture","D - do not spend time here"))))</f>
        <v/>
      </c>
      <c r="AC154" s="46" t="str">
        <f aca="false">IF($C154="","",IF($S154="Converted","7 Certification / Enterprise opportunity",IF($S154="Application Started","7 Certification / Enterprise opportunity",IF($S154="Meeting Booked","6 Meeting / Application",IF(OR($S154="Interested",$S154="Info Requested"),"5 Interested",IF(OR($S154="Declined",$S154="Not Relevant"),"0 Closed - no",IF($R154="Yes","4 Contacted",IF($N154="Yes","2 Engaged",IF($M154="Yes","1 Awareness",IF($AA154&gt;=60,"3 Qualified","1 Awareness"))))))))))</f>
        <v/>
      </c>
    </row>
    <row r="155" customFormat="false" ht="30" hidden="false" customHeight="true" outlineLevel="0" collapsed="false">
      <c r="A155" s="36"/>
      <c r="B155" s="37"/>
      <c r="C155" s="37"/>
      <c r="D155" s="37"/>
      <c r="E155" s="37"/>
      <c r="F155" s="37"/>
      <c r="G155" s="37"/>
      <c r="H155" s="37"/>
      <c r="I155" s="37"/>
      <c r="J155" s="47"/>
      <c r="K155" s="41" t="str">
        <f aca="false">IF(J155="","",IF(J155&gt;=8,"Yes","Check"))</f>
        <v/>
      </c>
      <c r="L155" s="38"/>
      <c r="M155" s="47"/>
      <c r="N155" s="47"/>
      <c r="O155" s="37"/>
      <c r="P155" s="38"/>
      <c r="Q155" s="42" t="str">
        <f aca="false">IF(P155="","",LEN(P155))</f>
        <v/>
      </c>
      <c r="R155" s="47"/>
      <c r="S155" s="37"/>
      <c r="T155" s="38"/>
      <c r="U155" s="43" t="str">
        <f aca="false">IF(OR(R155&lt;&gt;"Yes",A155=""),"",A155+4)</f>
        <v/>
      </c>
      <c r="V155" s="47"/>
      <c r="W155" s="38"/>
      <c r="X155" s="38"/>
      <c r="Y155" s="44"/>
      <c r="Z155" s="44"/>
      <c r="AA155" s="45" t="str">
        <f aca="false">IF(AND($Y155="",$Z155=""),"",ROUND(IFERROR(VALUE(LEFT($Y155,1)),0)*12+IFERROR(VALUE(LEFT($Z155,1)),0)*8,0))</f>
        <v/>
      </c>
      <c r="AB155" s="45" t="str">
        <f aca="false">IF($AA155="","",IF($AA155&gt;=80,"A - call first",IF($AA155&gt;=60,"B - worth pursuing",IF($AA155&gt;=40,"C - nurture","D - do not spend time here"))))</f>
        <v/>
      </c>
      <c r="AC155" s="46" t="str">
        <f aca="false">IF($C155="","",IF($S155="Converted","7 Certification / Enterprise opportunity",IF($S155="Application Started","7 Certification / Enterprise opportunity",IF($S155="Meeting Booked","6 Meeting / Application",IF(OR($S155="Interested",$S155="Info Requested"),"5 Interested",IF(OR($S155="Declined",$S155="Not Relevant"),"0 Closed - no",IF($R155="Yes","4 Contacted",IF($N155="Yes","2 Engaged",IF($M155="Yes","1 Awareness",IF($AA155&gt;=60,"3 Qualified","1 Awareness"))))))))))</f>
        <v/>
      </c>
    </row>
    <row r="156" customFormat="false" ht="30" hidden="false" customHeight="true" outlineLevel="0" collapsed="false">
      <c r="A156" s="36"/>
      <c r="B156" s="37"/>
      <c r="C156" s="37"/>
      <c r="D156" s="37"/>
      <c r="E156" s="37"/>
      <c r="F156" s="37"/>
      <c r="G156" s="37"/>
      <c r="H156" s="37"/>
      <c r="I156" s="37"/>
      <c r="J156" s="47"/>
      <c r="K156" s="41" t="str">
        <f aca="false">IF(J156="","",IF(J156&gt;=8,"Yes","Check"))</f>
        <v/>
      </c>
      <c r="L156" s="38"/>
      <c r="M156" s="47"/>
      <c r="N156" s="47"/>
      <c r="O156" s="37"/>
      <c r="P156" s="38"/>
      <c r="Q156" s="42" t="str">
        <f aca="false">IF(P156="","",LEN(P156))</f>
        <v/>
      </c>
      <c r="R156" s="47"/>
      <c r="S156" s="37"/>
      <c r="T156" s="38"/>
      <c r="U156" s="43" t="str">
        <f aca="false">IF(OR(R156&lt;&gt;"Yes",A156=""),"",A156+4)</f>
        <v/>
      </c>
      <c r="V156" s="47"/>
      <c r="W156" s="38"/>
      <c r="X156" s="38"/>
      <c r="Y156" s="44"/>
      <c r="Z156" s="44"/>
      <c r="AA156" s="45" t="str">
        <f aca="false">IF(AND($Y156="",$Z156=""),"",ROUND(IFERROR(VALUE(LEFT($Y156,1)),0)*12+IFERROR(VALUE(LEFT($Z156,1)),0)*8,0))</f>
        <v/>
      </c>
      <c r="AB156" s="45" t="str">
        <f aca="false">IF($AA156="","",IF($AA156&gt;=80,"A - call first",IF($AA156&gt;=60,"B - worth pursuing",IF($AA156&gt;=40,"C - nurture","D - do not spend time here"))))</f>
        <v/>
      </c>
      <c r="AC156" s="46" t="str">
        <f aca="false">IF($C156="","",IF($S156="Converted","7 Certification / Enterprise opportunity",IF($S156="Application Started","7 Certification / Enterprise opportunity",IF($S156="Meeting Booked","6 Meeting / Application",IF(OR($S156="Interested",$S156="Info Requested"),"5 Interested",IF(OR($S156="Declined",$S156="Not Relevant"),"0 Closed - no",IF($R156="Yes","4 Contacted",IF($N156="Yes","2 Engaged",IF($M156="Yes","1 Awareness",IF($AA156&gt;=60,"3 Qualified","1 Awareness"))))))))))</f>
        <v/>
      </c>
    </row>
    <row r="157" customFormat="false" ht="30" hidden="false" customHeight="true" outlineLevel="0" collapsed="false">
      <c r="A157" s="36"/>
      <c r="B157" s="37"/>
      <c r="C157" s="37"/>
      <c r="D157" s="37"/>
      <c r="E157" s="37"/>
      <c r="F157" s="37"/>
      <c r="G157" s="37"/>
      <c r="H157" s="37"/>
      <c r="I157" s="37"/>
      <c r="J157" s="47"/>
      <c r="K157" s="41" t="str">
        <f aca="false">IF(J157="","",IF(J157&gt;=8,"Yes","Check"))</f>
        <v/>
      </c>
      <c r="L157" s="38"/>
      <c r="M157" s="47"/>
      <c r="N157" s="47"/>
      <c r="O157" s="37"/>
      <c r="P157" s="38"/>
      <c r="Q157" s="42" t="str">
        <f aca="false">IF(P157="","",LEN(P157))</f>
        <v/>
      </c>
      <c r="R157" s="47"/>
      <c r="S157" s="37"/>
      <c r="T157" s="38"/>
      <c r="U157" s="43" t="str">
        <f aca="false">IF(OR(R157&lt;&gt;"Yes",A157=""),"",A157+4)</f>
        <v/>
      </c>
      <c r="V157" s="47"/>
      <c r="W157" s="38"/>
      <c r="X157" s="38"/>
      <c r="Y157" s="44"/>
      <c r="Z157" s="44"/>
      <c r="AA157" s="45" t="str">
        <f aca="false">IF(AND($Y157="",$Z157=""),"",ROUND(IFERROR(VALUE(LEFT($Y157,1)),0)*12+IFERROR(VALUE(LEFT($Z157,1)),0)*8,0))</f>
        <v/>
      </c>
      <c r="AB157" s="45" t="str">
        <f aca="false">IF($AA157="","",IF($AA157&gt;=80,"A - call first",IF($AA157&gt;=60,"B - worth pursuing",IF($AA157&gt;=40,"C - nurture","D - do not spend time here"))))</f>
        <v/>
      </c>
      <c r="AC157" s="46" t="str">
        <f aca="false">IF($C157="","",IF($S157="Converted","7 Certification / Enterprise opportunity",IF($S157="Application Started","7 Certification / Enterprise opportunity",IF($S157="Meeting Booked","6 Meeting / Application",IF(OR($S157="Interested",$S157="Info Requested"),"5 Interested",IF(OR($S157="Declined",$S157="Not Relevant"),"0 Closed - no",IF($R157="Yes","4 Contacted",IF($N157="Yes","2 Engaged",IF($M157="Yes","1 Awareness",IF($AA157&gt;=60,"3 Qualified","1 Awareness"))))))))))</f>
        <v/>
      </c>
    </row>
    <row r="158" customFormat="false" ht="30" hidden="false" customHeight="true" outlineLevel="0" collapsed="false">
      <c r="A158" s="36"/>
      <c r="B158" s="37"/>
      <c r="C158" s="37"/>
      <c r="D158" s="37"/>
      <c r="E158" s="37"/>
      <c r="F158" s="37"/>
      <c r="G158" s="37"/>
      <c r="H158" s="37"/>
      <c r="I158" s="37"/>
      <c r="J158" s="47"/>
      <c r="K158" s="41" t="str">
        <f aca="false">IF(J158="","",IF(J158&gt;=8,"Yes","Check"))</f>
        <v/>
      </c>
      <c r="L158" s="38"/>
      <c r="M158" s="47"/>
      <c r="N158" s="47"/>
      <c r="O158" s="37"/>
      <c r="P158" s="38"/>
      <c r="Q158" s="42" t="str">
        <f aca="false">IF(P158="","",LEN(P158))</f>
        <v/>
      </c>
      <c r="R158" s="47"/>
      <c r="S158" s="37"/>
      <c r="T158" s="38"/>
      <c r="U158" s="43" t="str">
        <f aca="false">IF(OR(R158&lt;&gt;"Yes",A158=""),"",A158+4)</f>
        <v/>
      </c>
      <c r="V158" s="47"/>
      <c r="W158" s="38"/>
      <c r="X158" s="38"/>
      <c r="Y158" s="44"/>
      <c r="Z158" s="44"/>
      <c r="AA158" s="45" t="str">
        <f aca="false">IF(AND($Y158="",$Z158=""),"",ROUND(IFERROR(VALUE(LEFT($Y158,1)),0)*12+IFERROR(VALUE(LEFT($Z158,1)),0)*8,0))</f>
        <v/>
      </c>
      <c r="AB158" s="45" t="str">
        <f aca="false">IF($AA158="","",IF($AA158&gt;=80,"A - call first",IF($AA158&gt;=60,"B - worth pursuing",IF($AA158&gt;=40,"C - nurture","D - do not spend time here"))))</f>
        <v/>
      </c>
      <c r="AC158" s="46" t="str">
        <f aca="false">IF($C158="","",IF($S158="Converted","7 Certification / Enterprise opportunity",IF($S158="Application Started","7 Certification / Enterprise opportunity",IF($S158="Meeting Booked","6 Meeting / Application",IF(OR($S158="Interested",$S158="Info Requested"),"5 Interested",IF(OR($S158="Declined",$S158="Not Relevant"),"0 Closed - no",IF($R158="Yes","4 Contacted",IF($N158="Yes","2 Engaged",IF($M158="Yes","1 Awareness",IF($AA158&gt;=60,"3 Qualified","1 Awareness"))))))))))</f>
        <v/>
      </c>
    </row>
    <row r="159" customFormat="false" ht="30" hidden="false" customHeight="true" outlineLevel="0" collapsed="false">
      <c r="A159" s="36"/>
      <c r="B159" s="37"/>
      <c r="C159" s="37"/>
      <c r="D159" s="37"/>
      <c r="E159" s="37"/>
      <c r="F159" s="37"/>
      <c r="G159" s="37"/>
      <c r="H159" s="37"/>
      <c r="I159" s="37"/>
      <c r="J159" s="47"/>
      <c r="K159" s="41" t="str">
        <f aca="false">IF(J159="","",IF(J159&gt;=8,"Yes","Check"))</f>
        <v/>
      </c>
      <c r="L159" s="38"/>
      <c r="M159" s="47"/>
      <c r="N159" s="47"/>
      <c r="O159" s="37"/>
      <c r="P159" s="38"/>
      <c r="Q159" s="42" t="str">
        <f aca="false">IF(P159="","",LEN(P159))</f>
        <v/>
      </c>
      <c r="R159" s="47"/>
      <c r="S159" s="37"/>
      <c r="T159" s="38"/>
      <c r="U159" s="43" t="str">
        <f aca="false">IF(OR(R159&lt;&gt;"Yes",A159=""),"",A159+4)</f>
        <v/>
      </c>
      <c r="V159" s="47"/>
      <c r="W159" s="38"/>
      <c r="X159" s="38"/>
      <c r="Y159" s="44"/>
      <c r="Z159" s="44"/>
      <c r="AA159" s="45" t="str">
        <f aca="false">IF(AND($Y159="",$Z159=""),"",ROUND(IFERROR(VALUE(LEFT($Y159,1)),0)*12+IFERROR(VALUE(LEFT($Z159,1)),0)*8,0))</f>
        <v/>
      </c>
      <c r="AB159" s="45" t="str">
        <f aca="false">IF($AA159="","",IF($AA159&gt;=80,"A - call first",IF($AA159&gt;=60,"B - worth pursuing",IF($AA159&gt;=40,"C - nurture","D - do not spend time here"))))</f>
        <v/>
      </c>
      <c r="AC159" s="46" t="str">
        <f aca="false">IF($C159="","",IF($S159="Converted","7 Certification / Enterprise opportunity",IF($S159="Application Started","7 Certification / Enterprise opportunity",IF($S159="Meeting Booked","6 Meeting / Application",IF(OR($S159="Interested",$S159="Info Requested"),"5 Interested",IF(OR($S159="Declined",$S159="Not Relevant"),"0 Closed - no",IF($R159="Yes","4 Contacted",IF($N159="Yes","2 Engaged",IF($M159="Yes","1 Awareness",IF($AA159&gt;=60,"3 Qualified","1 Awareness"))))))))))</f>
        <v/>
      </c>
    </row>
    <row r="160" customFormat="false" ht="30" hidden="false" customHeight="true" outlineLevel="0" collapsed="false">
      <c r="A160" s="36"/>
      <c r="B160" s="37"/>
      <c r="C160" s="37"/>
      <c r="D160" s="37"/>
      <c r="E160" s="37"/>
      <c r="F160" s="37"/>
      <c r="G160" s="37"/>
      <c r="H160" s="37"/>
      <c r="I160" s="37"/>
      <c r="J160" s="47"/>
      <c r="K160" s="41" t="str">
        <f aca="false">IF(J160="","",IF(J160&gt;=8,"Yes","Check"))</f>
        <v/>
      </c>
      <c r="L160" s="38"/>
      <c r="M160" s="47"/>
      <c r="N160" s="47"/>
      <c r="O160" s="37"/>
      <c r="P160" s="38"/>
      <c r="Q160" s="42" t="str">
        <f aca="false">IF(P160="","",LEN(P160))</f>
        <v/>
      </c>
      <c r="R160" s="47"/>
      <c r="S160" s="37"/>
      <c r="T160" s="38"/>
      <c r="U160" s="43" t="str">
        <f aca="false">IF(OR(R160&lt;&gt;"Yes",A160=""),"",A160+4)</f>
        <v/>
      </c>
      <c r="V160" s="47"/>
      <c r="W160" s="38"/>
      <c r="X160" s="38"/>
      <c r="Y160" s="44"/>
      <c r="Z160" s="44"/>
      <c r="AA160" s="45" t="str">
        <f aca="false">IF(AND($Y160="",$Z160=""),"",ROUND(IFERROR(VALUE(LEFT($Y160,1)),0)*12+IFERROR(VALUE(LEFT($Z160,1)),0)*8,0))</f>
        <v/>
      </c>
      <c r="AB160" s="45" t="str">
        <f aca="false">IF($AA160="","",IF($AA160&gt;=80,"A - call first",IF($AA160&gt;=60,"B - worth pursuing",IF($AA160&gt;=40,"C - nurture","D - do not spend time here"))))</f>
        <v/>
      </c>
      <c r="AC160" s="46" t="str">
        <f aca="false">IF($C160="","",IF($S160="Converted","7 Certification / Enterprise opportunity",IF($S160="Application Started","7 Certification / Enterprise opportunity",IF($S160="Meeting Booked","6 Meeting / Application",IF(OR($S160="Interested",$S160="Info Requested"),"5 Interested",IF(OR($S160="Declined",$S160="Not Relevant"),"0 Closed - no",IF($R160="Yes","4 Contacted",IF($N160="Yes","2 Engaged",IF($M160="Yes","1 Awareness",IF($AA160&gt;=60,"3 Qualified","1 Awareness"))))))))))</f>
        <v/>
      </c>
    </row>
    <row r="161" customFormat="false" ht="30" hidden="false" customHeight="true" outlineLevel="0" collapsed="false">
      <c r="A161" s="36"/>
      <c r="B161" s="37"/>
      <c r="C161" s="37"/>
      <c r="D161" s="37"/>
      <c r="E161" s="37"/>
      <c r="F161" s="37"/>
      <c r="G161" s="37"/>
      <c r="H161" s="37"/>
      <c r="I161" s="37"/>
      <c r="J161" s="47"/>
      <c r="K161" s="41" t="str">
        <f aca="false">IF(J161="","",IF(J161&gt;=8,"Yes","Check"))</f>
        <v/>
      </c>
      <c r="L161" s="38"/>
      <c r="M161" s="47"/>
      <c r="N161" s="47"/>
      <c r="O161" s="37"/>
      <c r="P161" s="38"/>
      <c r="Q161" s="42" t="str">
        <f aca="false">IF(P161="","",LEN(P161))</f>
        <v/>
      </c>
      <c r="R161" s="47"/>
      <c r="S161" s="37"/>
      <c r="T161" s="38"/>
      <c r="U161" s="43" t="str">
        <f aca="false">IF(OR(R161&lt;&gt;"Yes",A161=""),"",A161+4)</f>
        <v/>
      </c>
      <c r="V161" s="47"/>
      <c r="W161" s="38"/>
      <c r="X161" s="38"/>
      <c r="Y161" s="44"/>
      <c r="Z161" s="44"/>
      <c r="AA161" s="45" t="str">
        <f aca="false">IF(AND($Y161="",$Z161=""),"",ROUND(IFERROR(VALUE(LEFT($Y161,1)),0)*12+IFERROR(VALUE(LEFT($Z161,1)),0)*8,0))</f>
        <v/>
      </c>
      <c r="AB161" s="45" t="str">
        <f aca="false">IF($AA161="","",IF($AA161&gt;=80,"A - call first",IF($AA161&gt;=60,"B - worth pursuing",IF($AA161&gt;=40,"C - nurture","D - do not spend time here"))))</f>
        <v/>
      </c>
      <c r="AC161" s="46" t="str">
        <f aca="false">IF($C161="","",IF($S161="Converted","7 Certification / Enterprise opportunity",IF($S161="Application Started","7 Certification / Enterprise opportunity",IF($S161="Meeting Booked","6 Meeting / Application",IF(OR($S161="Interested",$S161="Info Requested"),"5 Interested",IF(OR($S161="Declined",$S161="Not Relevant"),"0 Closed - no",IF($R161="Yes","4 Contacted",IF($N161="Yes","2 Engaged",IF($M161="Yes","1 Awareness",IF($AA161&gt;=60,"3 Qualified","1 Awareness"))))))))))</f>
        <v/>
      </c>
    </row>
    <row r="162" customFormat="false" ht="30" hidden="false" customHeight="true" outlineLevel="0" collapsed="false">
      <c r="A162" s="36"/>
      <c r="B162" s="37"/>
      <c r="C162" s="37"/>
      <c r="D162" s="37"/>
      <c r="E162" s="37"/>
      <c r="F162" s="37"/>
      <c r="G162" s="37"/>
      <c r="H162" s="37"/>
      <c r="I162" s="37"/>
      <c r="J162" s="47"/>
      <c r="K162" s="41" t="str">
        <f aca="false">IF(J162="","",IF(J162&gt;=8,"Yes","Check"))</f>
        <v/>
      </c>
      <c r="L162" s="38"/>
      <c r="M162" s="47"/>
      <c r="N162" s="47"/>
      <c r="O162" s="37"/>
      <c r="P162" s="38"/>
      <c r="Q162" s="42" t="str">
        <f aca="false">IF(P162="","",LEN(P162))</f>
        <v/>
      </c>
      <c r="R162" s="47"/>
      <c r="S162" s="37"/>
      <c r="T162" s="38"/>
      <c r="U162" s="43" t="str">
        <f aca="false">IF(OR(R162&lt;&gt;"Yes",A162=""),"",A162+4)</f>
        <v/>
      </c>
      <c r="V162" s="47"/>
      <c r="W162" s="38"/>
      <c r="X162" s="38"/>
      <c r="Y162" s="44"/>
      <c r="Z162" s="44"/>
      <c r="AA162" s="45" t="str">
        <f aca="false">IF(AND($Y162="",$Z162=""),"",ROUND(IFERROR(VALUE(LEFT($Y162,1)),0)*12+IFERROR(VALUE(LEFT($Z162,1)),0)*8,0))</f>
        <v/>
      </c>
      <c r="AB162" s="45" t="str">
        <f aca="false">IF($AA162="","",IF($AA162&gt;=80,"A - call first",IF($AA162&gt;=60,"B - worth pursuing",IF($AA162&gt;=40,"C - nurture","D - do not spend time here"))))</f>
        <v/>
      </c>
      <c r="AC162" s="46" t="str">
        <f aca="false">IF($C162="","",IF($S162="Converted","7 Certification / Enterprise opportunity",IF($S162="Application Started","7 Certification / Enterprise opportunity",IF($S162="Meeting Booked","6 Meeting / Application",IF(OR($S162="Interested",$S162="Info Requested"),"5 Interested",IF(OR($S162="Declined",$S162="Not Relevant"),"0 Closed - no",IF($R162="Yes","4 Contacted",IF($N162="Yes","2 Engaged",IF($M162="Yes","1 Awareness",IF($AA162&gt;=60,"3 Qualified","1 Awareness"))))))))))</f>
        <v/>
      </c>
    </row>
    <row r="163" customFormat="false" ht="30" hidden="false" customHeight="true" outlineLevel="0" collapsed="false">
      <c r="A163" s="36"/>
      <c r="B163" s="37"/>
      <c r="C163" s="37"/>
      <c r="D163" s="37"/>
      <c r="E163" s="37"/>
      <c r="F163" s="37"/>
      <c r="G163" s="37"/>
      <c r="H163" s="37"/>
      <c r="I163" s="37"/>
      <c r="J163" s="47"/>
      <c r="K163" s="41" t="str">
        <f aca="false">IF(J163="","",IF(J163&gt;=8,"Yes","Check"))</f>
        <v/>
      </c>
      <c r="L163" s="38"/>
      <c r="M163" s="47"/>
      <c r="N163" s="47"/>
      <c r="O163" s="37"/>
      <c r="P163" s="38"/>
      <c r="Q163" s="42" t="str">
        <f aca="false">IF(P163="","",LEN(P163))</f>
        <v/>
      </c>
      <c r="R163" s="47"/>
      <c r="S163" s="37"/>
      <c r="T163" s="38"/>
      <c r="U163" s="43" t="str">
        <f aca="false">IF(OR(R163&lt;&gt;"Yes",A163=""),"",A163+4)</f>
        <v/>
      </c>
      <c r="V163" s="47"/>
      <c r="W163" s="38"/>
      <c r="X163" s="38"/>
      <c r="Y163" s="44"/>
      <c r="Z163" s="44"/>
      <c r="AA163" s="45" t="str">
        <f aca="false">IF(AND($Y163="",$Z163=""),"",ROUND(IFERROR(VALUE(LEFT($Y163,1)),0)*12+IFERROR(VALUE(LEFT($Z163,1)),0)*8,0))</f>
        <v/>
      </c>
      <c r="AB163" s="45" t="str">
        <f aca="false">IF($AA163="","",IF($AA163&gt;=80,"A - call first",IF($AA163&gt;=60,"B - worth pursuing",IF($AA163&gt;=40,"C - nurture","D - do not spend time here"))))</f>
        <v/>
      </c>
      <c r="AC163" s="46" t="str">
        <f aca="false">IF($C163="","",IF($S163="Converted","7 Certification / Enterprise opportunity",IF($S163="Application Started","7 Certification / Enterprise opportunity",IF($S163="Meeting Booked","6 Meeting / Application",IF(OR($S163="Interested",$S163="Info Requested"),"5 Interested",IF(OR($S163="Declined",$S163="Not Relevant"),"0 Closed - no",IF($R163="Yes","4 Contacted",IF($N163="Yes","2 Engaged",IF($M163="Yes","1 Awareness",IF($AA163&gt;=60,"3 Qualified","1 Awareness"))))))))))</f>
        <v/>
      </c>
    </row>
    <row r="164" customFormat="false" ht="30" hidden="false" customHeight="true" outlineLevel="0" collapsed="false">
      <c r="A164" s="36"/>
      <c r="B164" s="37"/>
      <c r="C164" s="37"/>
      <c r="D164" s="37"/>
      <c r="E164" s="37"/>
      <c r="F164" s="37"/>
      <c r="G164" s="37"/>
      <c r="H164" s="37"/>
      <c r="I164" s="37"/>
      <c r="J164" s="47"/>
      <c r="K164" s="41" t="str">
        <f aca="false">IF(J164="","",IF(J164&gt;=8,"Yes","Check"))</f>
        <v/>
      </c>
      <c r="L164" s="38"/>
      <c r="M164" s="47"/>
      <c r="N164" s="47"/>
      <c r="O164" s="37"/>
      <c r="P164" s="38"/>
      <c r="Q164" s="42" t="str">
        <f aca="false">IF(P164="","",LEN(P164))</f>
        <v/>
      </c>
      <c r="R164" s="47"/>
      <c r="S164" s="37"/>
      <c r="T164" s="38"/>
      <c r="U164" s="43" t="str">
        <f aca="false">IF(OR(R164&lt;&gt;"Yes",A164=""),"",A164+4)</f>
        <v/>
      </c>
      <c r="V164" s="47"/>
      <c r="W164" s="38"/>
      <c r="X164" s="38"/>
      <c r="Y164" s="44"/>
      <c r="Z164" s="44"/>
      <c r="AA164" s="45" t="str">
        <f aca="false">IF(AND($Y164="",$Z164=""),"",ROUND(IFERROR(VALUE(LEFT($Y164,1)),0)*12+IFERROR(VALUE(LEFT($Z164,1)),0)*8,0))</f>
        <v/>
      </c>
      <c r="AB164" s="45" t="str">
        <f aca="false">IF($AA164="","",IF($AA164&gt;=80,"A - call first",IF($AA164&gt;=60,"B - worth pursuing",IF($AA164&gt;=40,"C - nurture","D - do not spend time here"))))</f>
        <v/>
      </c>
      <c r="AC164" s="46" t="str">
        <f aca="false">IF($C164="","",IF($S164="Converted","7 Certification / Enterprise opportunity",IF($S164="Application Started","7 Certification / Enterprise opportunity",IF($S164="Meeting Booked","6 Meeting / Application",IF(OR($S164="Interested",$S164="Info Requested"),"5 Interested",IF(OR($S164="Declined",$S164="Not Relevant"),"0 Closed - no",IF($R164="Yes","4 Contacted",IF($N164="Yes","2 Engaged",IF($M164="Yes","1 Awareness",IF($AA164&gt;=60,"3 Qualified","1 Awareness"))))))))))</f>
        <v/>
      </c>
    </row>
    <row r="165" customFormat="false" ht="30" hidden="false" customHeight="true" outlineLevel="0" collapsed="false">
      <c r="A165" s="36"/>
      <c r="B165" s="37"/>
      <c r="C165" s="37"/>
      <c r="D165" s="37"/>
      <c r="E165" s="37"/>
      <c r="F165" s="37"/>
      <c r="G165" s="37"/>
      <c r="H165" s="37"/>
      <c r="I165" s="37"/>
      <c r="J165" s="47"/>
      <c r="K165" s="41" t="str">
        <f aca="false">IF(J165="","",IF(J165&gt;=8,"Yes","Check"))</f>
        <v/>
      </c>
      <c r="L165" s="38"/>
      <c r="M165" s="47"/>
      <c r="N165" s="47"/>
      <c r="O165" s="37"/>
      <c r="P165" s="38"/>
      <c r="Q165" s="42" t="str">
        <f aca="false">IF(P165="","",LEN(P165))</f>
        <v/>
      </c>
      <c r="R165" s="47"/>
      <c r="S165" s="37"/>
      <c r="T165" s="38"/>
      <c r="U165" s="43" t="str">
        <f aca="false">IF(OR(R165&lt;&gt;"Yes",A165=""),"",A165+4)</f>
        <v/>
      </c>
      <c r="V165" s="47"/>
      <c r="W165" s="38"/>
      <c r="X165" s="38"/>
      <c r="Y165" s="44"/>
      <c r="Z165" s="44"/>
      <c r="AA165" s="45" t="str">
        <f aca="false">IF(AND($Y165="",$Z165=""),"",ROUND(IFERROR(VALUE(LEFT($Y165,1)),0)*12+IFERROR(VALUE(LEFT($Z165,1)),0)*8,0))</f>
        <v/>
      </c>
      <c r="AB165" s="45" t="str">
        <f aca="false">IF($AA165="","",IF($AA165&gt;=80,"A - call first",IF($AA165&gt;=60,"B - worth pursuing",IF($AA165&gt;=40,"C - nurture","D - do not spend time here"))))</f>
        <v/>
      </c>
      <c r="AC165" s="46" t="str">
        <f aca="false">IF($C165="","",IF($S165="Converted","7 Certification / Enterprise opportunity",IF($S165="Application Started","7 Certification / Enterprise opportunity",IF($S165="Meeting Booked","6 Meeting / Application",IF(OR($S165="Interested",$S165="Info Requested"),"5 Interested",IF(OR($S165="Declined",$S165="Not Relevant"),"0 Closed - no",IF($R165="Yes","4 Contacted",IF($N165="Yes","2 Engaged",IF($M165="Yes","1 Awareness",IF($AA165&gt;=60,"3 Qualified","1 Awareness"))))))))))</f>
        <v/>
      </c>
    </row>
    <row r="166" customFormat="false" ht="30" hidden="false" customHeight="true" outlineLevel="0" collapsed="false">
      <c r="A166" s="36"/>
      <c r="B166" s="37"/>
      <c r="C166" s="37"/>
      <c r="D166" s="37"/>
      <c r="E166" s="37"/>
      <c r="F166" s="37"/>
      <c r="G166" s="37"/>
      <c r="H166" s="37"/>
      <c r="I166" s="37"/>
      <c r="J166" s="47"/>
      <c r="K166" s="41" t="str">
        <f aca="false">IF(J166="","",IF(J166&gt;=8,"Yes","Check"))</f>
        <v/>
      </c>
      <c r="L166" s="38"/>
      <c r="M166" s="47"/>
      <c r="N166" s="47"/>
      <c r="O166" s="37"/>
      <c r="P166" s="38"/>
      <c r="Q166" s="42" t="str">
        <f aca="false">IF(P166="","",LEN(P166))</f>
        <v/>
      </c>
      <c r="R166" s="47"/>
      <c r="S166" s="37"/>
      <c r="T166" s="38"/>
      <c r="U166" s="43" t="str">
        <f aca="false">IF(OR(R166&lt;&gt;"Yes",A166=""),"",A166+4)</f>
        <v/>
      </c>
      <c r="V166" s="47"/>
      <c r="W166" s="38"/>
      <c r="X166" s="38"/>
      <c r="Y166" s="44"/>
      <c r="Z166" s="44"/>
      <c r="AA166" s="45" t="str">
        <f aca="false">IF(AND($Y166="",$Z166=""),"",ROUND(IFERROR(VALUE(LEFT($Y166,1)),0)*12+IFERROR(VALUE(LEFT($Z166,1)),0)*8,0))</f>
        <v/>
      </c>
      <c r="AB166" s="45" t="str">
        <f aca="false">IF($AA166="","",IF($AA166&gt;=80,"A - call first",IF($AA166&gt;=60,"B - worth pursuing",IF($AA166&gt;=40,"C - nurture","D - do not spend time here"))))</f>
        <v/>
      </c>
      <c r="AC166" s="46" t="str">
        <f aca="false">IF($C166="","",IF($S166="Converted","7 Certification / Enterprise opportunity",IF($S166="Application Started","7 Certification / Enterprise opportunity",IF($S166="Meeting Booked","6 Meeting / Application",IF(OR($S166="Interested",$S166="Info Requested"),"5 Interested",IF(OR($S166="Declined",$S166="Not Relevant"),"0 Closed - no",IF($R166="Yes","4 Contacted",IF($N166="Yes","2 Engaged",IF($M166="Yes","1 Awareness",IF($AA166&gt;=60,"3 Qualified","1 Awareness"))))))))))</f>
        <v/>
      </c>
    </row>
    <row r="167" customFormat="false" ht="30" hidden="false" customHeight="true" outlineLevel="0" collapsed="false">
      <c r="A167" s="36"/>
      <c r="B167" s="37"/>
      <c r="C167" s="37"/>
      <c r="D167" s="37"/>
      <c r="E167" s="37"/>
      <c r="F167" s="37"/>
      <c r="G167" s="37"/>
      <c r="H167" s="37"/>
      <c r="I167" s="37"/>
      <c r="J167" s="47"/>
      <c r="K167" s="41" t="str">
        <f aca="false">IF(J167="","",IF(J167&gt;=8,"Yes","Check"))</f>
        <v/>
      </c>
      <c r="L167" s="38"/>
      <c r="M167" s="47"/>
      <c r="N167" s="47"/>
      <c r="O167" s="37"/>
      <c r="P167" s="38"/>
      <c r="Q167" s="42" t="str">
        <f aca="false">IF(P167="","",LEN(P167))</f>
        <v/>
      </c>
      <c r="R167" s="47"/>
      <c r="S167" s="37"/>
      <c r="T167" s="38"/>
      <c r="U167" s="43" t="str">
        <f aca="false">IF(OR(R167&lt;&gt;"Yes",A167=""),"",A167+4)</f>
        <v/>
      </c>
      <c r="V167" s="47"/>
      <c r="W167" s="38"/>
      <c r="X167" s="38"/>
      <c r="Y167" s="44"/>
      <c r="Z167" s="44"/>
      <c r="AA167" s="45" t="str">
        <f aca="false">IF(AND($Y167="",$Z167=""),"",ROUND(IFERROR(VALUE(LEFT($Y167,1)),0)*12+IFERROR(VALUE(LEFT($Z167,1)),0)*8,0))</f>
        <v/>
      </c>
      <c r="AB167" s="45" t="str">
        <f aca="false">IF($AA167="","",IF($AA167&gt;=80,"A - call first",IF($AA167&gt;=60,"B - worth pursuing",IF($AA167&gt;=40,"C - nurture","D - do not spend time here"))))</f>
        <v/>
      </c>
      <c r="AC167" s="46" t="str">
        <f aca="false">IF($C167="","",IF($S167="Converted","7 Certification / Enterprise opportunity",IF($S167="Application Started","7 Certification / Enterprise opportunity",IF($S167="Meeting Booked","6 Meeting / Application",IF(OR($S167="Interested",$S167="Info Requested"),"5 Interested",IF(OR($S167="Declined",$S167="Not Relevant"),"0 Closed - no",IF($R167="Yes","4 Contacted",IF($N167="Yes","2 Engaged",IF($M167="Yes","1 Awareness",IF($AA167&gt;=60,"3 Qualified","1 Awareness"))))))))))</f>
        <v/>
      </c>
    </row>
    <row r="168" customFormat="false" ht="30" hidden="false" customHeight="true" outlineLevel="0" collapsed="false">
      <c r="A168" s="36"/>
      <c r="B168" s="37"/>
      <c r="C168" s="37"/>
      <c r="D168" s="37"/>
      <c r="E168" s="37"/>
      <c r="F168" s="37"/>
      <c r="G168" s="37"/>
      <c r="H168" s="37"/>
      <c r="I168" s="37"/>
      <c r="J168" s="47"/>
      <c r="K168" s="41" t="str">
        <f aca="false">IF(J168="","",IF(J168&gt;=8,"Yes","Check"))</f>
        <v/>
      </c>
      <c r="L168" s="38"/>
      <c r="M168" s="47"/>
      <c r="N168" s="47"/>
      <c r="O168" s="37"/>
      <c r="P168" s="38"/>
      <c r="Q168" s="42" t="str">
        <f aca="false">IF(P168="","",LEN(P168))</f>
        <v/>
      </c>
      <c r="R168" s="47"/>
      <c r="S168" s="37"/>
      <c r="T168" s="38"/>
      <c r="U168" s="43" t="str">
        <f aca="false">IF(OR(R168&lt;&gt;"Yes",A168=""),"",A168+4)</f>
        <v/>
      </c>
      <c r="V168" s="47"/>
      <c r="W168" s="38"/>
      <c r="X168" s="38"/>
      <c r="Y168" s="44"/>
      <c r="Z168" s="44"/>
      <c r="AA168" s="45" t="str">
        <f aca="false">IF(AND($Y168="",$Z168=""),"",ROUND(IFERROR(VALUE(LEFT($Y168,1)),0)*12+IFERROR(VALUE(LEFT($Z168,1)),0)*8,0))</f>
        <v/>
      </c>
      <c r="AB168" s="45" t="str">
        <f aca="false">IF($AA168="","",IF($AA168&gt;=80,"A - call first",IF($AA168&gt;=60,"B - worth pursuing",IF($AA168&gt;=40,"C - nurture","D - do not spend time here"))))</f>
        <v/>
      </c>
      <c r="AC168" s="46" t="str">
        <f aca="false">IF($C168="","",IF($S168="Converted","7 Certification / Enterprise opportunity",IF($S168="Application Started","7 Certification / Enterprise opportunity",IF($S168="Meeting Booked","6 Meeting / Application",IF(OR($S168="Interested",$S168="Info Requested"),"5 Interested",IF(OR($S168="Declined",$S168="Not Relevant"),"0 Closed - no",IF($R168="Yes","4 Contacted",IF($N168="Yes","2 Engaged",IF($M168="Yes","1 Awareness",IF($AA168&gt;=60,"3 Qualified","1 Awareness"))))))))))</f>
        <v/>
      </c>
    </row>
    <row r="169" customFormat="false" ht="30" hidden="false" customHeight="true" outlineLevel="0" collapsed="false">
      <c r="A169" s="36"/>
      <c r="B169" s="37"/>
      <c r="C169" s="37"/>
      <c r="D169" s="37"/>
      <c r="E169" s="37"/>
      <c r="F169" s="37"/>
      <c r="G169" s="37"/>
      <c r="H169" s="37"/>
      <c r="I169" s="37"/>
      <c r="J169" s="47"/>
      <c r="K169" s="41" t="str">
        <f aca="false">IF(J169="","",IF(J169&gt;=8,"Yes","Check"))</f>
        <v/>
      </c>
      <c r="L169" s="38"/>
      <c r="M169" s="47"/>
      <c r="N169" s="47"/>
      <c r="O169" s="37"/>
      <c r="P169" s="38"/>
      <c r="Q169" s="42" t="str">
        <f aca="false">IF(P169="","",LEN(P169))</f>
        <v/>
      </c>
      <c r="R169" s="47"/>
      <c r="S169" s="37"/>
      <c r="T169" s="38"/>
      <c r="U169" s="43" t="str">
        <f aca="false">IF(OR(R169&lt;&gt;"Yes",A169=""),"",A169+4)</f>
        <v/>
      </c>
      <c r="V169" s="47"/>
      <c r="W169" s="38"/>
      <c r="X169" s="38"/>
      <c r="Y169" s="44"/>
      <c r="Z169" s="44"/>
      <c r="AA169" s="45" t="str">
        <f aca="false">IF(AND($Y169="",$Z169=""),"",ROUND(IFERROR(VALUE(LEFT($Y169,1)),0)*12+IFERROR(VALUE(LEFT($Z169,1)),0)*8,0))</f>
        <v/>
      </c>
      <c r="AB169" s="45" t="str">
        <f aca="false">IF($AA169="","",IF($AA169&gt;=80,"A - call first",IF($AA169&gt;=60,"B - worth pursuing",IF($AA169&gt;=40,"C - nurture","D - do not spend time here"))))</f>
        <v/>
      </c>
      <c r="AC169" s="46" t="str">
        <f aca="false">IF($C169="","",IF($S169="Converted","7 Certification / Enterprise opportunity",IF($S169="Application Started","7 Certification / Enterprise opportunity",IF($S169="Meeting Booked","6 Meeting / Application",IF(OR($S169="Interested",$S169="Info Requested"),"5 Interested",IF(OR($S169="Declined",$S169="Not Relevant"),"0 Closed - no",IF($R169="Yes","4 Contacted",IF($N169="Yes","2 Engaged",IF($M169="Yes","1 Awareness",IF($AA169&gt;=60,"3 Qualified","1 Awareness"))))))))))</f>
        <v/>
      </c>
    </row>
    <row r="170" customFormat="false" ht="30" hidden="false" customHeight="true" outlineLevel="0" collapsed="false">
      <c r="A170" s="36"/>
      <c r="B170" s="37"/>
      <c r="C170" s="37"/>
      <c r="D170" s="37"/>
      <c r="E170" s="37"/>
      <c r="F170" s="37"/>
      <c r="G170" s="37"/>
      <c r="H170" s="37"/>
      <c r="I170" s="37"/>
      <c r="J170" s="47"/>
      <c r="K170" s="41" t="str">
        <f aca="false">IF(J170="","",IF(J170&gt;=8,"Yes","Check"))</f>
        <v/>
      </c>
      <c r="L170" s="38"/>
      <c r="M170" s="47"/>
      <c r="N170" s="47"/>
      <c r="O170" s="37"/>
      <c r="P170" s="38"/>
      <c r="Q170" s="42" t="str">
        <f aca="false">IF(P170="","",LEN(P170))</f>
        <v/>
      </c>
      <c r="R170" s="47"/>
      <c r="S170" s="37"/>
      <c r="T170" s="38"/>
      <c r="U170" s="43" t="str">
        <f aca="false">IF(OR(R170&lt;&gt;"Yes",A170=""),"",A170+4)</f>
        <v/>
      </c>
      <c r="V170" s="47"/>
      <c r="W170" s="38"/>
      <c r="X170" s="38"/>
      <c r="Y170" s="44"/>
      <c r="Z170" s="44"/>
      <c r="AA170" s="45" t="str">
        <f aca="false">IF(AND($Y170="",$Z170=""),"",ROUND(IFERROR(VALUE(LEFT($Y170,1)),0)*12+IFERROR(VALUE(LEFT($Z170,1)),0)*8,0))</f>
        <v/>
      </c>
      <c r="AB170" s="45" t="str">
        <f aca="false">IF($AA170="","",IF($AA170&gt;=80,"A - call first",IF($AA170&gt;=60,"B - worth pursuing",IF($AA170&gt;=40,"C - nurture","D - do not spend time here"))))</f>
        <v/>
      </c>
      <c r="AC170" s="46" t="str">
        <f aca="false">IF($C170="","",IF($S170="Converted","7 Certification / Enterprise opportunity",IF($S170="Application Started","7 Certification / Enterprise opportunity",IF($S170="Meeting Booked","6 Meeting / Application",IF(OR($S170="Interested",$S170="Info Requested"),"5 Interested",IF(OR($S170="Declined",$S170="Not Relevant"),"0 Closed - no",IF($R170="Yes","4 Contacted",IF($N170="Yes","2 Engaged",IF($M170="Yes","1 Awareness",IF($AA170&gt;=60,"3 Qualified","1 Awareness"))))))))))</f>
        <v/>
      </c>
    </row>
    <row r="171" customFormat="false" ht="30" hidden="false" customHeight="true" outlineLevel="0" collapsed="false">
      <c r="A171" s="36"/>
      <c r="B171" s="37"/>
      <c r="C171" s="37"/>
      <c r="D171" s="37"/>
      <c r="E171" s="37"/>
      <c r="F171" s="37"/>
      <c r="G171" s="37"/>
      <c r="H171" s="37"/>
      <c r="I171" s="37"/>
      <c r="J171" s="47"/>
      <c r="K171" s="41" t="str">
        <f aca="false">IF(J171="","",IF(J171&gt;=8,"Yes","Check"))</f>
        <v/>
      </c>
      <c r="L171" s="38"/>
      <c r="M171" s="47"/>
      <c r="N171" s="47"/>
      <c r="O171" s="37"/>
      <c r="P171" s="38"/>
      <c r="Q171" s="42" t="str">
        <f aca="false">IF(P171="","",LEN(P171))</f>
        <v/>
      </c>
      <c r="R171" s="47"/>
      <c r="S171" s="37"/>
      <c r="T171" s="38"/>
      <c r="U171" s="43" t="str">
        <f aca="false">IF(OR(R171&lt;&gt;"Yes",A171=""),"",A171+4)</f>
        <v/>
      </c>
      <c r="V171" s="47"/>
      <c r="W171" s="38"/>
      <c r="X171" s="38"/>
      <c r="Y171" s="44"/>
      <c r="Z171" s="44"/>
      <c r="AA171" s="45" t="str">
        <f aca="false">IF(AND($Y171="",$Z171=""),"",ROUND(IFERROR(VALUE(LEFT($Y171,1)),0)*12+IFERROR(VALUE(LEFT($Z171,1)),0)*8,0))</f>
        <v/>
      </c>
      <c r="AB171" s="45" t="str">
        <f aca="false">IF($AA171="","",IF($AA171&gt;=80,"A - call first",IF($AA171&gt;=60,"B - worth pursuing",IF($AA171&gt;=40,"C - nurture","D - do not spend time here"))))</f>
        <v/>
      </c>
      <c r="AC171" s="46" t="str">
        <f aca="false">IF($C171="","",IF($S171="Converted","7 Certification / Enterprise opportunity",IF($S171="Application Started","7 Certification / Enterprise opportunity",IF($S171="Meeting Booked","6 Meeting / Application",IF(OR($S171="Interested",$S171="Info Requested"),"5 Interested",IF(OR($S171="Declined",$S171="Not Relevant"),"0 Closed - no",IF($R171="Yes","4 Contacted",IF($N171="Yes","2 Engaged",IF($M171="Yes","1 Awareness",IF($AA171&gt;=60,"3 Qualified","1 Awareness"))))))))))</f>
        <v/>
      </c>
    </row>
    <row r="172" customFormat="false" ht="30" hidden="false" customHeight="true" outlineLevel="0" collapsed="false">
      <c r="A172" s="36"/>
      <c r="B172" s="37"/>
      <c r="C172" s="37"/>
      <c r="D172" s="37"/>
      <c r="E172" s="37"/>
      <c r="F172" s="37"/>
      <c r="G172" s="37"/>
      <c r="H172" s="37"/>
      <c r="I172" s="37"/>
      <c r="J172" s="47"/>
      <c r="K172" s="41" t="str">
        <f aca="false">IF(J172="","",IF(J172&gt;=8,"Yes","Check"))</f>
        <v/>
      </c>
      <c r="L172" s="38"/>
      <c r="M172" s="47"/>
      <c r="N172" s="47"/>
      <c r="O172" s="37"/>
      <c r="P172" s="38"/>
      <c r="Q172" s="42" t="str">
        <f aca="false">IF(P172="","",LEN(P172))</f>
        <v/>
      </c>
      <c r="R172" s="47"/>
      <c r="S172" s="37"/>
      <c r="T172" s="38"/>
      <c r="U172" s="43" t="str">
        <f aca="false">IF(OR(R172&lt;&gt;"Yes",A172=""),"",A172+4)</f>
        <v/>
      </c>
      <c r="V172" s="47"/>
      <c r="W172" s="38"/>
      <c r="X172" s="38"/>
      <c r="Y172" s="44"/>
      <c r="Z172" s="44"/>
      <c r="AA172" s="45" t="str">
        <f aca="false">IF(AND($Y172="",$Z172=""),"",ROUND(IFERROR(VALUE(LEFT($Y172,1)),0)*12+IFERROR(VALUE(LEFT($Z172,1)),0)*8,0))</f>
        <v/>
      </c>
      <c r="AB172" s="45" t="str">
        <f aca="false">IF($AA172="","",IF($AA172&gt;=80,"A - call first",IF($AA172&gt;=60,"B - worth pursuing",IF($AA172&gt;=40,"C - nurture","D - do not spend time here"))))</f>
        <v/>
      </c>
      <c r="AC172" s="46" t="str">
        <f aca="false">IF($C172="","",IF($S172="Converted","7 Certification / Enterprise opportunity",IF($S172="Application Started","7 Certification / Enterprise opportunity",IF($S172="Meeting Booked","6 Meeting / Application",IF(OR($S172="Interested",$S172="Info Requested"),"5 Interested",IF(OR($S172="Declined",$S172="Not Relevant"),"0 Closed - no",IF($R172="Yes","4 Contacted",IF($N172="Yes","2 Engaged",IF($M172="Yes","1 Awareness",IF($AA172&gt;=60,"3 Qualified","1 Awareness"))))))))))</f>
        <v/>
      </c>
    </row>
    <row r="173" customFormat="false" ht="30" hidden="false" customHeight="true" outlineLevel="0" collapsed="false">
      <c r="A173" s="36"/>
      <c r="B173" s="37"/>
      <c r="C173" s="37"/>
      <c r="D173" s="37"/>
      <c r="E173" s="37"/>
      <c r="F173" s="37"/>
      <c r="G173" s="37"/>
      <c r="H173" s="37"/>
      <c r="I173" s="37"/>
      <c r="J173" s="47"/>
      <c r="K173" s="41" t="str">
        <f aca="false">IF(J173="","",IF(J173&gt;=8,"Yes","Check"))</f>
        <v/>
      </c>
      <c r="L173" s="38"/>
      <c r="M173" s="47"/>
      <c r="N173" s="47"/>
      <c r="O173" s="37"/>
      <c r="P173" s="38"/>
      <c r="Q173" s="42" t="str">
        <f aca="false">IF(P173="","",LEN(P173))</f>
        <v/>
      </c>
      <c r="R173" s="47"/>
      <c r="S173" s="37"/>
      <c r="T173" s="38"/>
      <c r="U173" s="43" t="str">
        <f aca="false">IF(OR(R173&lt;&gt;"Yes",A173=""),"",A173+4)</f>
        <v/>
      </c>
      <c r="V173" s="47"/>
      <c r="W173" s="38"/>
      <c r="X173" s="38"/>
      <c r="Y173" s="44"/>
      <c r="Z173" s="44"/>
      <c r="AA173" s="45" t="str">
        <f aca="false">IF(AND($Y173="",$Z173=""),"",ROUND(IFERROR(VALUE(LEFT($Y173,1)),0)*12+IFERROR(VALUE(LEFT($Z173,1)),0)*8,0))</f>
        <v/>
      </c>
      <c r="AB173" s="45" t="str">
        <f aca="false">IF($AA173="","",IF($AA173&gt;=80,"A - call first",IF($AA173&gt;=60,"B - worth pursuing",IF($AA173&gt;=40,"C - nurture","D - do not spend time here"))))</f>
        <v/>
      </c>
      <c r="AC173" s="46" t="str">
        <f aca="false">IF($C173="","",IF($S173="Converted","7 Certification / Enterprise opportunity",IF($S173="Application Started","7 Certification / Enterprise opportunity",IF($S173="Meeting Booked","6 Meeting / Application",IF(OR($S173="Interested",$S173="Info Requested"),"5 Interested",IF(OR($S173="Declined",$S173="Not Relevant"),"0 Closed - no",IF($R173="Yes","4 Contacted",IF($N173="Yes","2 Engaged",IF($M173="Yes","1 Awareness",IF($AA173&gt;=60,"3 Qualified","1 Awareness"))))))))))</f>
        <v/>
      </c>
    </row>
    <row r="174" customFormat="false" ht="30" hidden="false" customHeight="true" outlineLevel="0" collapsed="false">
      <c r="A174" s="36"/>
      <c r="B174" s="37"/>
      <c r="C174" s="37"/>
      <c r="D174" s="37"/>
      <c r="E174" s="37"/>
      <c r="F174" s="37"/>
      <c r="G174" s="37"/>
      <c r="H174" s="37"/>
      <c r="I174" s="37"/>
      <c r="J174" s="47"/>
      <c r="K174" s="41" t="str">
        <f aca="false">IF(J174="","",IF(J174&gt;=8,"Yes","Check"))</f>
        <v/>
      </c>
      <c r="L174" s="38"/>
      <c r="M174" s="47"/>
      <c r="N174" s="47"/>
      <c r="O174" s="37"/>
      <c r="P174" s="38"/>
      <c r="Q174" s="42" t="str">
        <f aca="false">IF(P174="","",LEN(P174))</f>
        <v/>
      </c>
      <c r="R174" s="47"/>
      <c r="S174" s="37"/>
      <c r="T174" s="38"/>
      <c r="U174" s="43" t="str">
        <f aca="false">IF(OR(R174&lt;&gt;"Yes",A174=""),"",A174+4)</f>
        <v/>
      </c>
      <c r="V174" s="47"/>
      <c r="W174" s="38"/>
      <c r="X174" s="38"/>
      <c r="Y174" s="44"/>
      <c r="Z174" s="44"/>
      <c r="AA174" s="45" t="str">
        <f aca="false">IF(AND($Y174="",$Z174=""),"",ROUND(IFERROR(VALUE(LEFT($Y174,1)),0)*12+IFERROR(VALUE(LEFT($Z174,1)),0)*8,0))</f>
        <v/>
      </c>
      <c r="AB174" s="45" t="str">
        <f aca="false">IF($AA174="","",IF($AA174&gt;=80,"A - call first",IF($AA174&gt;=60,"B - worth pursuing",IF($AA174&gt;=40,"C - nurture","D - do not spend time here"))))</f>
        <v/>
      </c>
      <c r="AC174" s="46" t="str">
        <f aca="false">IF($C174="","",IF($S174="Converted","7 Certification / Enterprise opportunity",IF($S174="Application Started","7 Certification / Enterprise opportunity",IF($S174="Meeting Booked","6 Meeting / Application",IF(OR($S174="Interested",$S174="Info Requested"),"5 Interested",IF(OR($S174="Declined",$S174="Not Relevant"),"0 Closed - no",IF($R174="Yes","4 Contacted",IF($N174="Yes","2 Engaged",IF($M174="Yes","1 Awareness",IF($AA174&gt;=60,"3 Qualified","1 Awareness"))))))))))</f>
        <v/>
      </c>
    </row>
    <row r="175" customFormat="false" ht="30" hidden="false" customHeight="true" outlineLevel="0" collapsed="false">
      <c r="A175" s="36"/>
      <c r="B175" s="37"/>
      <c r="C175" s="37"/>
      <c r="D175" s="37"/>
      <c r="E175" s="37"/>
      <c r="F175" s="37"/>
      <c r="G175" s="37"/>
      <c r="H175" s="37"/>
      <c r="I175" s="37"/>
      <c r="J175" s="47"/>
      <c r="K175" s="41" t="str">
        <f aca="false">IF(J175="","",IF(J175&gt;=8,"Yes","Check"))</f>
        <v/>
      </c>
      <c r="L175" s="38"/>
      <c r="M175" s="47"/>
      <c r="N175" s="47"/>
      <c r="O175" s="37"/>
      <c r="P175" s="38"/>
      <c r="Q175" s="42" t="str">
        <f aca="false">IF(P175="","",LEN(P175))</f>
        <v/>
      </c>
      <c r="R175" s="47"/>
      <c r="S175" s="37"/>
      <c r="T175" s="38"/>
      <c r="U175" s="43" t="str">
        <f aca="false">IF(OR(R175&lt;&gt;"Yes",A175=""),"",A175+4)</f>
        <v/>
      </c>
      <c r="V175" s="47"/>
      <c r="W175" s="38"/>
      <c r="X175" s="38"/>
      <c r="Y175" s="44"/>
      <c r="Z175" s="44"/>
      <c r="AA175" s="45" t="str">
        <f aca="false">IF(AND($Y175="",$Z175=""),"",ROUND(IFERROR(VALUE(LEFT($Y175,1)),0)*12+IFERROR(VALUE(LEFT($Z175,1)),0)*8,0))</f>
        <v/>
      </c>
      <c r="AB175" s="45" t="str">
        <f aca="false">IF($AA175="","",IF($AA175&gt;=80,"A - call first",IF($AA175&gt;=60,"B - worth pursuing",IF($AA175&gt;=40,"C - nurture","D - do not spend time here"))))</f>
        <v/>
      </c>
      <c r="AC175" s="46" t="str">
        <f aca="false">IF($C175="","",IF($S175="Converted","7 Certification / Enterprise opportunity",IF($S175="Application Started","7 Certification / Enterprise opportunity",IF($S175="Meeting Booked","6 Meeting / Application",IF(OR($S175="Interested",$S175="Info Requested"),"5 Interested",IF(OR($S175="Declined",$S175="Not Relevant"),"0 Closed - no",IF($R175="Yes","4 Contacted",IF($N175="Yes","2 Engaged",IF($M175="Yes","1 Awareness",IF($AA175&gt;=60,"3 Qualified","1 Awareness"))))))))))</f>
        <v/>
      </c>
    </row>
    <row r="176" customFormat="false" ht="30" hidden="false" customHeight="true" outlineLevel="0" collapsed="false">
      <c r="A176" s="36"/>
      <c r="B176" s="37"/>
      <c r="C176" s="37"/>
      <c r="D176" s="37"/>
      <c r="E176" s="37"/>
      <c r="F176" s="37"/>
      <c r="G176" s="37"/>
      <c r="H176" s="37"/>
      <c r="I176" s="37"/>
      <c r="J176" s="47"/>
      <c r="K176" s="41" t="str">
        <f aca="false">IF(J176="","",IF(J176&gt;=8,"Yes","Check"))</f>
        <v/>
      </c>
      <c r="L176" s="38"/>
      <c r="M176" s="47"/>
      <c r="N176" s="47"/>
      <c r="O176" s="37"/>
      <c r="P176" s="38"/>
      <c r="Q176" s="42" t="str">
        <f aca="false">IF(P176="","",LEN(P176))</f>
        <v/>
      </c>
      <c r="R176" s="47"/>
      <c r="S176" s="37"/>
      <c r="T176" s="38"/>
      <c r="U176" s="43" t="str">
        <f aca="false">IF(OR(R176&lt;&gt;"Yes",A176=""),"",A176+4)</f>
        <v/>
      </c>
      <c r="V176" s="47"/>
      <c r="W176" s="38"/>
      <c r="X176" s="38"/>
      <c r="Y176" s="44"/>
      <c r="Z176" s="44"/>
      <c r="AA176" s="45" t="str">
        <f aca="false">IF(AND($Y176="",$Z176=""),"",ROUND(IFERROR(VALUE(LEFT($Y176,1)),0)*12+IFERROR(VALUE(LEFT($Z176,1)),0)*8,0))</f>
        <v/>
      </c>
      <c r="AB176" s="45" t="str">
        <f aca="false">IF($AA176="","",IF($AA176&gt;=80,"A - call first",IF($AA176&gt;=60,"B - worth pursuing",IF($AA176&gt;=40,"C - nurture","D - do not spend time here"))))</f>
        <v/>
      </c>
      <c r="AC176" s="46" t="str">
        <f aca="false">IF($C176="","",IF($S176="Converted","7 Certification / Enterprise opportunity",IF($S176="Application Started","7 Certification / Enterprise opportunity",IF($S176="Meeting Booked","6 Meeting / Application",IF(OR($S176="Interested",$S176="Info Requested"),"5 Interested",IF(OR($S176="Declined",$S176="Not Relevant"),"0 Closed - no",IF($R176="Yes","4 Contacted",IF($N176="Yes","2 Engaged",IF($M176="Yes","1 Awareness",IF($AA176&gt;=60,"3 Qualified","1 Awareness"))))))))))</f>
        <v/>
      </c>
    </row>
    <row r="177" customFormat="false" ht="30" hidden="false" customHeight="true" outlineLevel="0" collapsed="false">
      <c r="A177" s="36"/>
      <c r="B177" s="37"/>
      <c r="C177" s="37"/>
      <c r="D177" s="37"/>
      <c r="E177" s="37"/>
      <c r="F177" s="37"/>
      <c r="G177" s="37"/>
      <c r="H177" s="37"/>
      <c r="I177" s="37"/>
      <c r="J177" s="47"/>
      <c r="K177" s="41" t="str">
        <f aca="false">IF(J177="","",IF(J177&gt;=8,"Yes","Check"))</f>
        <v/>
      </c>
      <c r="L177" s="38"/>
      <c r="M177" s="47"/>
      <c r="N177" s="47"/>
      <c r="O177" s="37"/>
      <c r="P177" s="38"/>
      <c r="Q177" s="42" t="str">
        <f aca="false">IF(P177="","",LEN(P177))</f>
        <v/>
      </c>
      <c r="R177" s="47"/>
      <c r="S177" s="37"/>
      <c r="T177" s="38"/>
      <c r="U177" s="43" t="str">
        <f aca="false">IF(OR(R177&lt;&gt;"Yes",A177=""),"",A177+4)</f>
        <v/>
      </c>
      <c r="V177" s="47"/>
      <c r="W177" s="38"/>
      <c r="X177" s="38"/>
      <c r="Y177" s="44"/>
      <c r="Z177" s="44"/>
      <c r="AA177" s="45" t="str">
        <f aca="false">IF(AND($Y177="",$Z177=""),"",ROUND(IFERROR(VALUE(LEFT($Y177,1)),0)*12+IFERROR(VALUE(LEFT($Z177,1)),0)*8,0))</f>
        <v/>
      </c>
      <c r="AB177" s="45" t="str">
        <f aca="false">IF($AA177="","",IF($AA177&gt;=80,"A - call first",IF($AA177&gt;=60,"B - worth pursuing",IF($AA177&gt;=40,"C - nurture","D - do not spend time here"))))</f>
        <v/>
      </c>
      <c r="AC177" s="46" t="str">
        <f aca="false">IF($C177="","",IF($S177="Converted","7 Certification / Enterprise opportunity",IF($S177="Application Started","7 Certification / Enterprise opportunity",IF($S177="Meeting Booked","6 Meeting / Application",IF(OR($S177="Interested",$S177="Info Requested"),"5 Interested",IF(OR($S177="Declined",$S177="Not Relevant"),"0 Closed - no",IF($R177="Yes","4 Contacted",IF($N177="Yes","2 Engaged",IF($M177="Yes","1 Awareness",IF($AA177&gt;=60,"3 Qualified","1 Awareness"))))))))))</f>
        <v/>
      </c>
    </row>
    <row r="178" customFormat="false" ht="30" hidden="false" customHeight="true" outlineLevel="0" collapsed="false">
      <c r="A178" s="36"/>
      <c r="B178" s="37"/>
      <c r="C178" s="37"/>
      <c r="D178" s="37"/>
      <c r="E178" s="37"/>
      <c r="F178" s="37"/>
      <c r="G178" s="37"/>
      <c r="H178" s="37"/>
      <c r="I178" s="37"/>
      <c r="J178" s="47"/>
      <c r="K178" s="41" t="str">
        <f aca="false">IF(J178="","",IF(J178&gt;=8,"Yes","Check"))</f>
        <v/>
      </c>
      <c r="L178" s="38"/>
      <c r="M178" s="47"/>
      <c r="N178" s="47"/>
      <c r="O178" s="37"/>
      <c r="P178" s="38"/>
      <c r="Q178" s="42" t="str">
        <f aca="false">IF(P178="","",LEN(P178))</f>
        <v/>
      </c>
      <c r="R178" s="47"/>
      <c r="S178" s="37"/>
      <c r="T178" s="38"/>
      <c r="U178" s="43" t="str">
        <f aca="false">IF(OR(R178&lt;&gt;"Yes",A178=""),"",A178+4)</f>
        <v/>
      </c>
      <c r="V178" s="47"/>
      <c r="W178" s="38"/>
      <c r="X178" s="38"/>
      <c r="Y178" s="44"/>
      <c r="Z178" s="44"/>
      <c r="AA178" s="45" t="str">
        <f aca="false">IF(AND($Y178="",$Z178=""),"",ROUND(IFERROR(VALUE(LEFT($Y178,1)),0)*12+IFERROR(VALUE(LEFT($Z178,1)),0)*8,0))</f>
        <v/>
      </c>
      <c r="AB178" s="45" t="str">
        <f aca="false">IF($AA178="","",IF($AA178&gt;=80,"A - call first",IF($AA178&gt;=60,"B - worth pursuing",IF($AA178&gt;=40,"C - nurture","D - do not spend time here"))))</f>
        <v/>
      </c>
      <c r="AC178" s="46" t="str">
        <f aca="false">IF($C178="","",IF($S178="Converted","7 Certification / Enterprise opportunity",IF($S178="Application Started","7 Certification / Enterprise opportunity",IF($S178="Meeting Booked","6 Meeting / Application",IF(OR($S178="Interested",$S178="Info Requested"),"5 Interested",IF(OR($S178="Declined",$S178="Not Relevant"),"0 Closed - no",IF($R178="Yes","4 Contacted",IF($N178="Yes","2 Engaged",IF($M178="Yes","1 Awareness",IF($AA178&gt;=60,"3 Qualified","1 Awareness"))))))))))</f>
        <v/>
      </c>
    </row>
    <row r="179" customFormat="false" ht="30" hidden="false" customHeight="true" outlineLevel="0" collapsed="false">
      <c r="A179" s="36"/>
      <c r="B179" s="37"/>
      <c r="C179" s="37"/>
      <c r="D179" s="37"/>
      <c r="E179" s="37"/>
      <c r="F179" s="37"/>
      <c r="G179" s="37"/>
      <c r="H179" s="37"/>
      <c r="I179" s="37"/>
      <c r="J179" s="47"/>
      <c r="K179" s="41" t="str">
        <f aca="false">IF(J179="","",IF(J179&gt;=8,"Yes","Check"))</f>
        <v/>
      </c>
      <c r="L179" s="38"/>
      <c r="M179" s="47"/>
      <c r="N179" s="47"/>
      <c r="O179" s="37"/>
      <c r="P179" s="38"/>
      <c r="Q179" s="42" t="str">
        <f aca="false">IF(P179="","",LEN(P179))</f>
        <v/>
      </c>
      <c r="R179" s="47"/>
      <c r="S179" s="37"/>
      <c r="T179" s="38"/>
      <c r="U179" s="43" t="str">
        <f aca="false">IF(OR(R179&lt;&gt;"Yes",A179=""),"",A179+4)</f>
        <v/>
      </c>
      <c r="V179" s="47"/>
      <c r="W179" s="38"/>
      <c r="X179" s="38"/>
      <c r="Y179" s="44"/>
      <c r="Z179" s="44"/>
      <c r="AA179" s="45" t="str">
        <f aca="false">IF(AND($Y179="",$Z179=""),"",ROUND(IFERROR(VALUE(LEFT($Y179,1)),0)*12+IFERROR(VALUE(LEFT($Z179,1)),0)*8,0))</f>
        <v/>
      </c>
      <c r="AB179" s="45" t="str">
        <f aca="false">IF($AA179="","",IF($AA179&gt;=80,"A - call first",IF($AA179&gt;=60,"B - worth pursuing",IF($AA179&gt;=40,"C - nurture","D - do not spend time here"))))</f>
        <v/>
      </c>
      <c r="AC179" s="46" t="str">
        <f aca="false">IF($C179="","",IF($S179="Converted","7 Certification / Enterprise opportunity",IF($S179="Application Started","7 Certification / Enterprise opportunity",IF($S179="Meeting Booked","6 Meeting / Application",IF(OR($S179="Interested",$S179="Info Requested"),"5 Interested",IF(OR($S179="Declined",$S179="Not Relevant"),"0 Closed - no",IF($R179="Yes","4 Contacted",IF($N179="Yes","2 Engaged",IF($M179="Yes","1 Awareness",IF($AA179&gt;=60,"3 Qualified","1 Awareness"))))))))))</f>
        <v/>
      </c>
    </row>
    <row r="180" customFormat="false" ht="30" hidden="false" customHeight="true" outlineLevel="0" collapsed="false">
      <c r="A180" s="36"/>
      <c r="B180" s="37"/>
      <c r="C180" s="37"/>
      <c r="D180" s="37"/>
      <c r="E180" s="37"/>
      <c r="F180" s="37"/>
      <c r="G180" s="37"/>
      <c r="H180" s="37"/>
      <c r="I180" s="37"/>
      <c r="J180" s="47"/>
      <c r="K180" s="41" t="str">
        <f aca="false">IF(J180="","",IF(J180&gt;=8,"Yes","Check"))</f>
        <v/>
      </c>
      <c r="L180" s="38"/>
      <c r="M180" s="47"/>
      <c r="N180" s="47"/>
      <c r="O180" s="37"/>
      <c r="P180" s="38"/>
      <c r="Q180" s="42" t="str">
        <f aca="false">IF(P180="","",LEN(P180))</f>
        <v/>
      </c>
      <c r="R180" s="47"/>
      <c r="S180" s="37"/>
      <c r="T180" s="38"/>
      <c r="U180" s="43" t="str">
        <f aca="false">IF(OR(R180&lt;&gt;"Yes",A180=""),"",A180+4)</f>
        <v/>
      </c>
      <c r="V180" s="47"/>
      <c r="W180" s="38"/>
      <c r="X180" s="38"/>
      <c r="Y180" s="44"/>
      <c r="Z180" s="44"/>
      <c r="AA180" s="45" t="str">
        <f aca="false">IF(AND($Y180="",$Z180=""),"",ROUND(IFERROR(VALUE(LEFT($Y180,1)),0)*12+IFERROR(VALUE(LEFT($Z180,1)),0)*8,0))</f>
        <v/>
      </c>
      <c r="AB180" s="45" t="str">
        <f aca="false">IF($AA180="","",IF($AA180&gt;=80,"A - call first",IF($AA180&gt;=60,"B - worth pursuing",IF($AA180&gt;=40,"C - nurture","D - do not spend time here"))))</f>
        <v/>
      </c>
      <c r="AC180" s="46" t="str">
        <f aca="false">IF($C180="","",IF($S180="Converted","7 Certification / Enterprise opportunity",IF($S180="Application Started","7 Certification / Enterprise opportunity",IF($S180="Meeting Booked","6 Meeting / Application",IF(OR($S180="Interested",$S180="Info Requested"),"5 Interested",IF(OR($S180="Declined",$S180="Not Relevant"),"0 Closed - no",IF($R180="Yes","4 Contacted",IF($N180="Yes","2 Engaged",IF($M180="Yes","1 Awareness",IF($AA180&gt;=60,"3 Qualified","1 Awareness"))))))))))</f>
        <v/>
      </c>
    </row>
    <row r="181" customFormat="false" ht="30" hidden="false" customHeight="true" outlineLevel="0" collapsed="false">
      <c r="A181" s="36"/>
      <c r="B181" s="37"/>
      <c r="C181" s="37"/>
      <c r="D181" s="37"/>
      <c r="E181" s="37"/>
      <c r="F181" s="37"/>
      <c r="G181" s="37"/>
      <c r="H181" s="37"/>
      <c r="I181" s="37"/>
      <c r="J181" s="47"/>
      <c r="K181" s="41" t="str">
        <f aca="false">IF(J181="","",IF(J181&gt;=8,"Yes","Check"))</f>
        <v/>
      </c>
      <c r="L181" s="38"/>
      <c r="M181" s="47"/>
      <c r="N181" s="47"/>
      <c r="O181" s="37"/>
      <c r="P181" s="38"/>
      <c r="Q181" s="42" t="str">
        <f aca="false">IF(P181="","",LEN(P181))</f>
        <v/>
      </c>
      <c r="R181" s="47"/>
      <c r="S181" s="37"/>
      <c r="T181" s="38"/>
      <c r="U181" s="43" t="str">
        <f aca="false">IF(OR(R181&lt;&gt;"Yes",A181=""),"",A181+4)</f>
        <v/>
      </c>
      <c r="V181" s="47"/>
      <c r="W181" s="38"/>
      <c r="X181" s="38"/>
      <c r="Y181" s="44"/>
      <c r="Z181" s="44"/>
      <c r="AA181" s="45" t="str">
        <f aca="false">IF(AND($Y181="",$Z181=""),"",ROUND(IFERROR(VALUE(LEFT($Y181,1)),0)*12+IFERROR(VALUE(LEFT($Z181,1)),0)*8,0))</f>
        <v/>
      </c>
      <c r="AB181" s="45" t="str">
        <f aca="false">IF($AA181="","",IF($AA181&gt;=80,"A - call first",IF($AA181&gt;=60,"B - worth pursuing",IF($AA181&gt;=40,"C - nurture","D - do not spend time here"))))</f>
        <v/>
      </c>
      <c r="AC181" s="46" t="str">
        <f aca="false">IF($C181="","",IF($S181="Converted","7 Certification / Enterprise opportunity",IF($S181="Application Started","7 Certification / Enterprise opportunity",IF($S181="Meeting Booked","6 Meeting / Application",IF(OR($S181="Interested",$S181="Info Requested"),"5 Interested",IF(OR($S181="Declined",$S181="Not Relevant"),"0 Closed - no",IF($R181="Yes","4 Contacted",IF($N181="Yes","2 Engaged",IF($M181="Yes","1 Awareness",IF($AA181&gt;=60,"3 Qualified","1 Awareness"))))))))))</f>
        <v/>
      </c>
    </row>
    <row r="182" customFormat="false" ht="30" hidden="false" customHeight="true" outlineLevel="0" collapsed="false">
      <c r="A182" s="36"/>
      <c r="B182" s="37"/>
      <c r="C182" s="37"/>
      <c r="D182" s="37"/>
      <c r="E182" s="37"/>
      <c r="F182" s="37"/>
      <c r="G182" s="37"/>
      <c r="H182" s="37"/>
      <c r="I182" s="37"/>
      <c r="J182" s="47"/>
      <c r="K182" s="41" t="str">
        <f aca="false">IF(J182="","",IF(J182&gt;=8,"Yes","Check"))</f>
        <v/>
      </c>
      <c r="L182" s="38"/>
      <c r="M182" s="47"/>
      <c r="N182" s="47"/>
      <c r="O182" s="37"/>
      <c r="P182" s="38"/>
      <c r="Q182" s="42" t="str">
        <f aca="false">IF(P182="","",LEN(P182))</f>
        <v/>
      </c>
      <c r="R182" s="47"/>
      <c r="S182" s="37"/>
      <c r="T182" s="38"/>
      <c r="U182" s="43" t="str">
        <f aca="false">IF(OR(R182&lt;&gt;"Yes",A182=""),"",A182+4)</f>
        <v/>
      </c>
      <c r="V182" s="47"/>
      <c r="W182" s="38"/>
      <c r="X182" s="38"/>
      <c r="Y182" s="44"/>
      <c r="Z182" s="44"/>
      <c r="AA182" s="45" t="str">
        <f aca="false">IF(AND($Y182="",$Z182=""),"",ROUND(IFERROR(VALUE(LEFT($Y182,1)),0)*12+IFERROR(VALUE(LEFT($Z182,1)),0)*8,0))</f>
        <v/>
      </c>
      <c r="AB182" s="45" t="str">
        <f aca="false">IF($AA182="","",IF($AA182&gt;=80,"A - call first",IF($AA182&gt;=60,"B - worth pursuing",IF($AA182&gt;=40,"C - nurture","D - do not spend time here"))))</f>
        <v/>
      </c>
      <c r="AC182" s="46" t="str">
        <f aca="false">IF($C182="","",IF($S182="Converted","7 Certification / Enterprise opportunity",IF($S182="Application Started","7 Certification / Enterprise opportunity",IF($S182="Meeting Booked","6 Meeting / Application",IF(OR($S182="Interested",$S182="Info Requested"),"5 Interested",IF(OR($S182="Declined",$S182="Not Relevant"),"0 Closed - no",IF($R182="Yes","4 Contacted",IF($N182="Yes","2 Engaged",IF($M182="Yes","1 Awareness",IF($AA182&gt;=60,"3 Qualified","1 Awareness"))))))))))</f>
        <v/>
      </c>
    </row>
    <row r="183" customFormat="false" ht="30" hidden="false" customHeight="true" outlineLevel="0" collapsed="false">
      <c r="A183" s="36"/>
      <c r="B183" s="37"/>
      <c r="C183" s="37"/>
      <c r="D183" s="37"/>
      <c r="E183" s="37"/>
      <c r="F183" s="37"/>
      <c r="G183" s="37"/>
      <c r="H183" s="37"/>
      <c r="I183" s="37"/>
      <c r="J183" s="47"/>
      <c r="K183" s="41" t="str">
        <f aca="false">IF(J183="","",IF(J183&gt;=8,"Yes","Check"))</f>
        <v/>
      </c>
      <c r="L183" s="38"/>
      <c r="M183" s="47"/>
      <c r="N183" s="47"/>
      <c r="O183" s="37"/>
      <c r="P183" s="38"/>
      <c r="Q183" s="42" t="str">
        <f aca="false">IF(P183="","",LEN(P183))</f>
        <v/>
      </c>
      <c r="R183" s="47"/>
      <c r="S183" s="37"/>
      <c r="T183" s="38"/>
      <c r="U183" s="43" t="str">
        <f aca="false">IF(OR(R183&lt;&gt;"Yes",A183=""),"",A183+4)</f>
        <v/>
      </c>
      <c r="V183" s="47"/>
      <c r="W183" s="38"/>
      <c r="X183" s="38"/>
      <c r="Y183" s="44"/>
      <c r="Z183" s="44"/>
      <c r="AA183" s="45" t="str">
        <f aca="false">IF(AND($Y183="",$Z183=""),"",ROUND(IFERROR(VALUE(LEFT($Y183,1)),0)*12+IFERROR(VALUE(LEFT($Z183,1)),0)*8,0))</f>
        <v/>
      </c>
      <c r="AB183" s="45" t="str">
        <f aca="false">IF($AA183="","",IF($AA183&gt;=80,"A - call first",IF($AA183&gt;=60,"B - worth pursuing",IF($AA183&gt;=40,"C - nurture","D - do not spend time here"))))</f>
        <v/>
      </c>
      <c r="AC183" s="46" t="str">
        <f aca="false">IF($C183="","",IF($S183="Converted","7 Certification / Enterprise opportunity",IF($S183="Application Started","7 Certification / Enterprise opportunity",IF($S183="Meeting Booked","6 Meeting / Application",IF(OR($S183="Interested",$S183="Info Requested"),"5 Interested",IF(OR($S183="Declined",$S183="Not Relevant"),"0 Closed - no",IF($R183="Yes","4 Contacted",IF($N183="Yes","2 Engaged",IF($M183="Yes","1 Awareness",IF($AA183&gt;=60,"3 Qualified","1 Awareness"))))))))))</f>
        <v/>
      </c>
    </row>
    <row r="184" customFormat="false" ht="30" hidden="false" customHeight="true" outlineLevel="0" collapsed="false">
      <c r="A184" s="36"/>
      <c r="B184" s="37"/>
      <c r="C184" s="37"/>
      <c r="D184" s="37"/>
      <c r="E184" s="37"/>
      <c r="F184" s="37"/>
      <c r="G184" s="37"/>
      <c r="H184" s="37"/>
      <c r="I184" s="37"/>
      <c r="J184" s="47"/>
      <c r="K184" s="41" t="str">
        <f aca="false">IF(J184="","",IF(J184&gt;=8,"Yes","Check"))</f>
        <v/>
      </c>
      <c r="L184" s="38"/>
      <c r="M184" s="47"/>
      <c r="N184" s="47"/>
      <c r="O184" s="37"/>
      <c r="P184" s="38"/>
      <c r="Q184" s="42" t="str">
        <f aca="false">IF(P184="","",LEN(P184))</f>
        <v/>
      </c>
      <c r="R184" s="47"/>
      <c r="S184" s="37"/>
      <c r="T184" s="38"/>
      <c r="U184" s="43" t="str">
        <f aca="false">IF(OR(R184&lt;&gt;"Yes",A184=""),"",A184+4)</f>
        <v/>
      </c>
      <c r="V184" s="47"/>
      <c r="W184" s="38"/>
      <c r="X184" s="38"/>
      <c r="Y184" s="44"/>
      <c r="Z184" s="44"/>
      <c r="AA184" s="45" t="str">
        <f aca="false">IF(AND($Y184="",$Z184=""),"",ROUND(IFERROR(VALUE(LEFT($Y184,1)),0)*12+IFERROR(VALUE(LEFT($Z184,1)),0)*8,0))</f>
        <v/>
      </c>
      <c r="AB184" s="45" t="str">
        <f aca="false">IF($AA184="","",IF($AA184&gt;=80,"A - call first",IF($AA184&gt;=60,"B - worth pursuing",IF($AA184&gt;=40,"C - nurture","D - do not spend time here"))))</f>
        <v/>
      </c>
      <c r="AC184" s="46" t="str">
        <f aca="false">IF($C184="","",IF($S184="Converted","7 Certification / Enterprise opportunity",IF($S184="Application Started","7 Certification / Enterprise opportunity",IF($S184="Meeting Booked","6 Meeting / Application",IF(OR($S184="Interested",$S184="Info Requested"),"5 Interested",IF(OR($S184="Declined",$S184="Not Relevant"),"0 Closed - no",IF($R184="Yes","4 Contacted",IF($N184="Yes","2 Engaged",IF($M184="Yes","1 Awareness",IF($AA184&gt;=60,"3 Qualified","1 Awareness"))))))))))</f>
        <v/>
      </c>
    </row>
    <row r="185" customFormat="false" ht="30" hidden="false" customHeight="true" outlineLevel="0" collapsed="false">
      <c r="A185" s="36"/>
      <c r="B185" s="37"/>
      <c r="C185" s="37"/>
      <c r="D185" s="37"/>
      <c r="E185" s="37"/>
      <c r="F185" s="37"/>
      <c r="G185" s="37"/>
      <c r="H185" s="37"/>
      <c r="I185" s="37"/>
      <c r="J185" s="47"/>
      <c r="K185" s="41" t="str">
        <f aca="false">IF(J185="","",IF(J185&gt;=8,"Yes","Check"))</f>
        <v/>
      </c>
      <c r="L185" s="38"/>
      <c r="M185" s="47"/>
      <c r="N185" s="47"/>
      <c r="O185" s="37"/>
      <c r="P185" s="38"/>
      <c r="Q185" s="42" t="str">
        <f aca="false">IF(P185="","",LEN(P185))</f>
        <v/>
      </c>
      <c r="R185" s="47"/>
      <c r="S185" s="37"/>
      <c r="T185" s="38"/>
      <c r="U185" s="43" t="str">
        <f aca="false">IF(OR(R185&lt;&gt;"Yes",A185=""),"",A185+4)</f>
        <v/>
      </c>
      <c r="V185" s="47"/>
      <c r="W185" s="38"/>
      <c r="X185" s="38"/>
      <c r="Y185" s="44"/>
      <c r="Z185" s="44"/>
      <c r="AA185" s="45" t="str">
        <f aca="false">IF(AND($Y185="",$Z185=""),"",ROUND(IFERROR(VALUE(LEFT($Y185,1)),0)*12+IFERROR(VALUE(LEFT($Z185,1)),0)*8,0))</f>
        <v/>
      </c>
      <c r="AB185" s="45" t="str">
        <f aca="false">IF($AA185="","",IF($AA185&gt;=80,"A - call first",IF($AA185&gt;=60,"B - worth pursuing",IF($AA185&gt;=40,"C - nurture","D - do not spend time here"))))</f>
        <v/>
      </c>
      <c r="AC185" s="46" t="str">
        <f aca="false">IF($C185="","",IF($S185="Converted","7 Certification / Enterprise opportunity",IF($S185="Application Started","7 Certification / Enterprise opportunity",IF($S185="Meeting Booked","6 Meeting / Application",IF(OR($S185="Interested",$S185="Info Requested"),"5 Interested",IF(OR($S185="Declined",$S185="Not Relevant"),"0 Closed - no",IF($R185="Yes","4 Contacted",IF($N185="Yes","2 Engaged",IF($M185="Yes","1 Awareness",IF($AA185&gt;=60,"3 Qualified","1 Awareness"))))))))))</f>
        <v/>
      </c>
    </row>
    <row r="186" customFormat="false" ht="30" hidden="false" customHeight="true" outlineLevel="0" collapsed="false">
      <c r="A186" s="36"/>
      <c r="B186" s="37"/>
      <c r="C186" s="37"/>
      <c r="D186" s="37"/>
      <c r="E186" s="37"/>
      <c r="F186" s="37"/>
      <c r="G186" s="37"/>
      <c r="H186" s="37"/>
      <c r="I186" s="37"/>
      <c r="J186" s="47"/>
      <c r="K186" s="41" t="str">
        <f aca="false">IF(J186="","",IF(J186&gt;=8,"Yes","Check"))</f>
        <v/>
      </c>
      <c r="L186" s="38"/>
      <c r="M186" s="47"/>
      <c r="N186" s="47"/>
      <c r="O186" s="37"/>
      <c r="P186" s="38"/>
      <c r="Q186" s="42" t="str">
        <f aca="false">IF(P186="","",LEN(P186))</f>
        <v/>
      </c>
      <c r="R186" s="47"/>
      <c r="S186" s="37"/>
      <c r="T186" s="38"/>
      <c r="U186" s="43" t="str">
        <f aca="false">IF(OR(R186&lt;&gt;"Yes",A186=""),"",A186+4)</f>
        <v/>
      </c>
      <c r="V186" s="47"/>
      <c r="W186" s="38"/>
      <c r="X186" s="38"/>
      <c r="Y186" s="44"/>
      <c r="Z186" s="44"/>
      <c r="AA186" s="45" t="str">
        <f aca="false">IF(AND($Y186="",$Z186=""),"",ROUND(IFERROR(VALUE(LEFT($Y186,1)),0)*12+IFERROR(VALUE(LEFT($Z186,1)),0)*8,0))</f>
        <v/>
      </c>
      <c r="AB186" s="45" t="str">
        <f aca="false">IF($AA186="","",IF($AA186&gt;=80,"A - call first",IF($AA186&gt;=60,"B - worth pursuing",IF($AA186&gt;=40,"C - nurture","D - do not spend time here"))))</f>
        <v/>
      </c>
      <c r="AC186" s="46" t="str">
        <f aca="false">IF($C186="","",IF($S186="Converted","7 Certification / Enterprise opportunity",IF($S186="Application Started","7 Certification / Enterprise opportunity",IF($S186="Meeting Booked","6 Meeting / Application",IF(OR($S186="Interested",$S186="Info Requested"),"5 Interested",IF(OR($S186="Declined",$S186="Not Relevant"),"0 Closed - no",IF($R186="Yes","4 Contacted",IF($N186="Yes","2 Engaged",IF($M186="Yes","1 Awareness",IF($AA186&gt;=60,"3 Qualified","1 Awareness"))))))))))</f>
        <v/>
      </c>
    </row>
    <row r="187" customFormat="false" ht="30" hidden="false" customHeight="true" outlineLevel="0" collapsed="false">
      <c r="A187" s="36"/>
      <c r="B187" s="37"/>
      <c r="C187" s="37"/>
      <c r="D187" s="37"/>
      <c r="E187" s="37"/>
      <c r="F187" s="37"/>
      <c r="G187" s="37"/>
      <c r="H187" s="37"/>
      <c r="I187" s="37"/>
      <c r="J187" s="47"/>
      <c r="K187" s="41" t="str">
        <f aca="false">IF(J187="","",IF(J187&gt;=8,"Yes","Check"))</f>
        <v/>
      </c>
      <c r="L187" s="38"/>
      <c r="M187" s="47"/>
      <c r="N187" s="47"/>
      <c r="O187" s="37"/>
      <c r="P187" s="38"/>
      <c r="Q187" s="42" t="str">
        <f aca="false">IF(P187="","",LEN(P187))</f>
        <v/>
      </c>
      <c r="R187" s="47"/>
      <c r="S187" s="37"/>
      <c r="T187" s="38"/>
      <c r="U187" s="43" t="str">
        <f aca="false">IF(OR(R187&lt;&gt;"Yes",A187=""),"",A187+4)</f>
        <v/>
      </c>
      <c r="V187" s="47"/>
      <c r="W187" s="38"/>
      <c r="X187" s="38"/>
      <c r="Y187" s="44"/>
      <c r="Z187" s="44"/>
      <c r="AA187" s="45" t="str">
        <f aca="false">IF(AND($Y187="",$Z187=""),"",ROUND(IFERROR(VALUE(LEFT($Y187,1)),0)*12+IFERROR(VALUE(LEFT($Z187,1)),0)*8,0))</f>
        <v/>
      </c>
      <c r="AB187" s="45" t="str">
        <f aca="false">IF($AA187="","",IF($AA187&gt;=80,"A - call first",IF($AA187&gt;=60,"B - worth pursuing",IF($AA187&gt;=40,"C - nurture","D - do not spend time here"))))</f>
        <v/>
      </c>
      <c r="AC187" s="46" t="str">
        <f aca="false">IF($C187="","",IF($S187="Converted","7 Certification / Enterprise opportunity",IF($S187="Application Started","7 Certification / Enterprise opportunity",IF($S187="Meeting Booked","6 Meeting / Application",IF(OR($S187="Interested",$S187="Info Requested"),"5 Interested",IF(OR($S187="Declined",$S187="Not Relevant"),"0 Closed - no",IF($R187="Yes","4 Contacted",IF($N187="Yes","2 Engaged",IF($M187="Yes","1 Awareness",IF($AA187&gt;=60,"3 Qualified","1 Awareness"))))))))))</f>
        <v/>
      </c>
    </row>
    <row r="188" customFormat="false" ht="30" hidden="false" customHeight="true" outlineLevel="0" collapsed="false">
      <c r="A188" s="36"/>
      <c r="B188" s="37"/>
      <c r="C188" s="37"/>
      <c r="D188" s="37"/>
      <c r="E188" s="37"/>
      <c r="F188" s="37"/>
      <c r="G188" s="37"/>
      <c r="H188" s="37"/>
      <c r="I188" s="37"/>
      <c r="J188" s="47"/>
      <c r="K188" s="41" t="str">
        <f aca="false">IF(J188="","",IF(J188&gt;=8,"Yes","Check"))</f>
        <v/>
      </c>
      <c r="L188" s="38"/>
      <c r="M188" s="47"/>
      <c r="N188" s="47"/>
      <c r="O188" s="37"/>
      <c r="P188" s="38"/>
      <c r="Q188" s="42" t="str">
        <f aca="false">IF(P188="","",LEN(P188))</f>
        <v/>
      </c>
      <c r="R188" s="47"/>
      <c r="S188" s="37"/>
      <c r="T188" s="38"/>
      <c r="U188" s="43" t="str">
        <f aca="false">IF(OR(R188&lt;&gt;"Yes",A188=""),"",A188+4)</f>
        <v/>
      </c>
      <c r="V188" s="47"/>
      <c r="W188" s="38"/>
      <c r="X188" s="38"/>
      <c r="Y188" s="44"/>
      <c r="Z188" s="44"/>
      <c r="AA188" s="45" t="str">
        <f aca="false">IF(AND($Y188="",$Z188=""),"",ROUND(IFERROR(VALUE(LEFT($Y188,1)),0)*12+IFERROR(VALUE(LEFT($Z188,1)),0)*8,0))</f>
        <v/>
      </c>
      <c r="AB188" s="45" t="str">
        <f aca="false">IF($AA188="","",IF($AA188&gt;=80,"A - call first",IF($AA188&gt;=60,"B - worth pursuing",IF($AA188&gt;=40,"C - nurture","D - do not spend time here"))))</f>
        <v/>
      </c>
      <c r="AC188" s="46" t="str">
        <f aca="false">IF($C188="","",IF($S188="Converted","7 Certification / Enterprise opportunity",IF($S188="Application Started","7 Certification / Enterprise opportunity",IF($S188="Meeting Booked","6 Meeting / Application",IF(OR($S188="Interested",$S188="Info Requested"),"5 Interested",IF(OR($S188="Declined",$S188="Not Relevant"),"0 Closed - no",IF($R188="Yes","4 Contacted",IF($N188="Yes","2 Engaged",IF($M188="Yes","1 Awareness",IF($AA188&gt;=60,"3 Qualified","1 Awareness"))))))))))</f>
        <v/>
      </c>
    </row>
    <row r="189" customFormat="false" ht="30" hidden="false" customHeight="true" outlineLevel="0" collapsed="false">
      <c r="A189" s="36"/>
      <c r="B189" s="37"/>
      <c r="C189" s="37"/>
      <c r="D189" s="37"/>
      <c r="E189" s="37"/>
      <c r="F189" s="37"/>
      <c r="G189" s="37"/>
      <c r="H189" s="37"/>
      <c r="I189" s="37"/>
      <c r="J189" s="47"/>
      <c r="K189" s="41" t="str">
        <f aca="false">IF(J189="","",IF(J189&gt;=8,"Yes","Check"))</f>
        <v/>
      </c>
      <c r="L189" s="38"/>
      <c r="M189" s="47"/>
      <c r="N189" s="47"/>
      <c r="O189" s="37"/>
      <c r="P189" s="38"/>
      <c r="Q189" s="42" t="str">
        <f aca="false">IF(P189="","",LEN(P189))</f>
        <v/>
      </c>
      <c r="R189" s="47"/>
      <c r="S189" s="37"/>
      <c r="T189" s="38"/>
      <c r="U189" s="43" t="str">
        <f aca="false">IF(OR(R189&lt;&gt;"Yes",A189=""),"",A189+4)</f>
        <v/>
      </c>
      <c r="V189" s="47"/>
      <c r="W189" s="38"/>
      <c r="X189" s="38"/>
      <c r="Y189" s="44"/>
      <c r="Z189" s="44"/>
      <c r="AA189" s="45" t="str">
        <f aca="false">IF(AND($Y189="",$Z189=""),"",ROUND(IFERROR(VALUE(LEFT($Y189,1)),0)*12+IFERROR(VALUE(LEFT($Z189,1)),0)*8,0))</f>
        <v/>
      </c>
      <c r="AB189" s="45" t="str">
        <f aca="false">IF($AA189="","",IF($AA189&gt;=80,"A - call first",IF($AA189&gt;=60,"B - worth pursuing",IF($AA189&gt;=40,"C - nurture","D - do not spend time here"))))</f>
        <v/>
      </c>
      <c r="AC189" s="46" t="str">
        <f aca="false">IF($C189="","",IF($S189="Converted","7 Certification / Enterprise opportunity",IF($S189="Application Started","7 Certification / Enterprise opportunity",IF($S189="Meeting Booked","6 Meeting / Application",IF(OR($S189="Interested",$S189="Info Requested"),"5 Interested",IF(OR($S189="Declined",$S189="Not Relevant"),"0 Closed - no",IF($R189="Yes","4 Contacted",IF($N189="Yes","2 Engaged",IF($M189="Yes","1 Awareness",IF($AA189&gt;=60,"3 Qualified","1 Awareness"))))))))))</f>
        <v/>
      </c>
    </row>
    <row r="190" customFormat="false" ht="30" hidden="false" customHeight="true" outlineLevel="0" collapsed="false">
      <c r="A190" s="36"/>
      <c r="B190" s="37"/>
      <c r="C190" s="37"/>
      <c r="D190" s="37"/>
      <c r="E190" s="37"/>
      <c r="F190" s="37"/>
      <c r="G190" s="37"/>
      <c r="H190" s="37"/>
      <c r="I190" s="37"/>
      <c r="J190" s="47"/>
      <c r="K190" s="41" t="str">
        <f aca="false">IF(J190="","",IF(J190&gt;=8,"Yes","Check"))</f>
        <v/>
      </c>
      <c r="L190" s="38"/>
      <c r="M190" s="47"/>
      <c r="N190" s="47"/>
      <c r="O190" s="37"/>
      <c r="P190" s="38"/>
      <c r="Q190" s="42" t="str">
        <f aca="false">IF(P190="","",LEN(P190))</f>
        <v/>
      </c>
      <c r="R190" s="47"/>
      <c r="S190" s="37"/>
      <c r="T190" s="38"/>
      <c r="U190" s="43" t="str">
        <f aca="false">IF(OR(R190&lt;&gt;"Yes",A190=""),"",A190+4)</f>
        <v/>
      </c>
      <c r="V190" s="47"/>
      <c r="W190" s="38"/>
      <c r="X190" s="38"/>
      <c r="Y190" s="44"/>
      <c r="Z190" s="44"/>
      <c r="AA190" s="45" t="str">
        <f aca="false">IF(AND($Y190="",$Z190=""),"",ROUND(IFERROR(VALUE(LEFT($Y190,1)),0)*12+IFERROR(VALUE(LEFT($Z190,1)),0)*8,0))</f>
        <v/>
      </c>
      <c r="AB190" s="45" t="str">
        <f aca="false">IF($AA190="","",IF($AA190&gt;=80,"A - call first",IF($AA190&gt;=60,"B - worth pursuing",IF($AA190&gt;=40,"C - nurture","D - do not spend time here"))))</f>
        <v/>
      </c>
      <c r="AC190" s="46" t="str">
        <f aca="false">IF($C190="","",IF($S190="Converted","7 Certification / Enterprise opportunity",IF($S190="Application Started","7 Certification / Enterprise opportunity",IF($S190="Meeting Booked","6 Meeting / Application",IF(OR($S190="Interested",$S190="Info Requested"),"5 Interested",IF(OR($S190="Declined",$S190="Not Relevant"),"0 Closed - no",IF($R190="Yes","4 Contacted",IF($N190="Yes","2 Engaged",IF($M190="Yes","1 Awareness",IF($AA190&gt;=60,"3 Qualified","1 Awareness"))))))))))</f>
        <v/>
      </c>
    </row>
    <row r="191" customFormat="false" ht="30" hidden="false" customHeight="true" outlineLevel="0" collapsed="false">
      <c r="A191" s="36"/>
      <c r="B191" s="37"/>
      <c r="C191" s="37"/>
      <c r="D191" s="37"/>
      <c r="E191" s="37"/>
      <c r="F191" s="37"/>
      <c r="G191" s="37"/>
      <c r="H191" s="37"/>
      <c r="I191" s="37"/>
      <c r="J191" s="47"/>
      <c r="K191" s="41" t="str">
        <f aca="false">IF(J191="","",IF(J191&gt;=8,"Yes","Check"))</f>
        <v/>
      </c>
      <c r="L191" s="38"/>
      <c r="M191" s="47"/>
      <c r="N191" s="47"/>
      <c r="O191" s="37"/>
      <c r="P191" s="38"/>
      <c r="Q191" s="42" t="str">
        <f aca="false">IF(P191="","",LEN(P191))</f>
        <v/>
      </c>
      <c r="R191" s="47"/>
      <c r="S191" s="37"/>
      <c r="T191" s="38"/>
      <c r="U191" s="43" t="str">
        <f aca="false">IF(OR(R191&lt;&gt;"Yes",A191=""),"",A191+4)</f>
        <v/>
      </c>
      <c r="V191" s="47"/>
      <c r="W191" s="38"/>
      <c r="X191" s="38"/>
      <c r="Y191" s="44"/>
      <c r="Z191" s="44"/>
      <c r="AA191" s="45" t="str">
        <f aca="false">IF(AND($Y191="",$Z191=""),"",ROUND(IFERROR(VALUE(LEFT($Y191,1)),0)*12+IFERROR(VALUE(LEFT($Z191,1)),0)*8,0))</f>
        <v/>
      </c>
      <c r="AB191" s="45" t="str">
        <f aca="false">IF($AA191="","",IF($AA191&gt;=80,"A - call first",IF($AA191&gt;=60,"B - worth pursuing",IF($AA191&gt;=40,"C - nurture","D - do not spend time here"))))</f>
        <v/>
      </c>
      <c r="AC191" s="46" t="str">
        <f aca="false">IF($C191="","",IF($S191="Converted","7 Certification / Enterprise opportunity",IF($S191="Application Started","7 Certification / Enterprise opportunity",IF($S191="Meeting Booked","6 Meeting / Application",IF(OR($S191="Interested",$S191="Info Requested"),"5 Interested",IF(OR($S191="Declined",$S191="Not Relevant"),"0 Closed - no",IF($R191="Yes","4 Contacted",IF($N191="Yes","2 Engaged",IF($M191="Yes","1 Awareness",IF($AA191&gt;=60,"3 Qualified","1 Awareness"))))))))))</f>
        <v/>
      </c>
    </row>
    <row r="192" customFormat="false" ht="30" hidden="false" customHeight="true" outlineLevel="0" collapsed="false">
      <c r="A192" s="36"/>
      <c r="B192" s="37"/>
      <c r="C192" s="37"/>
      <c r="D192" s="37"/>
      <c r="E192" s="37"/>
      <c r="F192" s="37"/>
      <c r="G192" s="37"/>
      <c r="H192" s="37"/>
      <c r="I192" s="37"/>
      <c r="J192" s="47"/>
      <c r="K192" s="41" t="str">
        <f aca="false">IF(J192="","",IF(J192&gt;=8,"Yes","Check"))</f>
        <v/>
      </c>
      <c r="L192" s="38"/>
      <c r="M192" s="47"/>
      <c r="N192" s="47"/>
      <c r="O192" s="37"/>
      <c r="P192" s="38"/>
      <c r="Q192" s="42" t="str">
        <f aca="false">IF(P192="","",LEN(P192))</f>
        <v/>
      </c>
      <c r="R192" s="47"/>
      <c r="S192" s="37"/>
      <c r="T192" s="38"/>
      <c r="U192" s="43" t="str">
        <f aca="false">IF(OR(R192&lt;&gt;"Yes",A192=""),"",A192+4)</f>
        <v/>
      </c>
      <c r="V192" s="47"/>
      <c r="W192" s="38"/>
      <c r="X192" s="38"/>
      <c r="Y192" s="44"/>
      <c r="Z192" s="44"/>
      <c r="AA192" s="45" t="str">
        <f aca="false">IF(AND($Y192="",$Z192=""),"",ROUND(IFERROR(VALUE(LEFT($Y192,1)),0)*12+IFERROR(VALUE(LEFT($Z192,1)),0)*8,0))</f>
        <v/>
      </c>
      <c r="AB192" s="45" t="str">
        <f aca="false">IF($AA192="","",IF($AA192&gt;=80,"A - call first",IF($AA192&gt;=60,"B - worth pursuing",IF($AA192&gt;=40,"C - nurture","D - do not spend time here"))))</f>
        <v/>
      </c>
      <c r="AC192" s="46" t="str">
        <f aca="false">IF($C192="","",IF($S192="Converted","7 Certification / Enterprise opportunity",IF($S192="Application Started","7 Certification / Enterprise opportunity",IF($S192="Meeting Booked","6 Meeting / Application",IF(OR($S192="Interested",$S192="Info Requested"),"5 Interested",IF(OR($S192="Declined",$S192="Not Relevant"),"0 Closed - no",IF($R192="Yes","4 Contacted",IF($N192="Yes","2 Engaged",IF($M192="Yes","1 Awareness",IF($AA192&gt;=60,"3 Qualified","1 Awareness"))))))))))</f>
        <v/>
      </c>
    </row>
    <row r="193" customFormat="false" ht="30" hidden="false" customHeight="true" outlineLevel="0" collapsed="false">
      <c r="A193" s="36"/>
      <c r="B193" s="37"/>
      <c r="C193" s="37"/>
      <c r="D193" s="37"/>
      <c r="E193" s="37"/>
      <c r="F193" s="37"/>
      <c r="G193" s="37"/>
      <c r="H193" s="37"/>
      <c r="I193" s="37"/>
      <c r="J193" s="47"/>
      <c r="K193" s="41" t="str">
        <f aca="false">IF(J193="","",IF(J193&gt;=8,"Yes","Check"))</f>
        <v/>
      </c>
      <c r="L193" s="38"/>
      <c r="M193" s="47"/>
      <c r="N193" s="47"/>
      <c r="O193" s="37"/>
      <c r="P193" s="38"/>
      <c r="Q193" s="42" t="str">
        <f aca="false">IF(P193="","",LEN(P193))</f>
        <v/>
      </c>
      <c r="R193" s="47"/>
      <c r="S193" s="37"/>
      <c r="T193" s="38"/>
      <c r="U193" s="43" t="str">
        <f aca="false">IF(OR(R193&lt;&gt;"Yes",A193=""),"",A193+4)</f>
        <v/>
      </c>
      <c r="V193" s="47"/>
      <c r="W193" s="38"/>
      <c r="X193" s="38"/>
      <c r="Y193" s="44"/>
      <c r="Z193" s="44"/>
      <c r="AA193" s="45" t="str">
        <f aca="false">IF(AND($Y193="",$Z193=""),"",ROUND(IFERROR(VALUE(LEFT($Y193,1)),0)*12+IFERROR(VALUE(LEFT($Z193,1)),0)*8,0))</f>
        <v/>
      </c>
      <c r="AB193" s="45" t="str">
        <f aca="false">IF($AA193="","",IF($AA193&gt;=80,"A - call first",IF($AA193&gt;=60,"B - worth pursuing",IF($AA193&gt;=40,"C - nurture","D - do not spend time here"))))</f>
        <v/>
      </c>
      <c r="AC193" s="46" t="str">
        <f aca="false">IF($C193="","",IF($S193="Converted","7 Certification / Enterprise opportunity",IF($S193="Application Started","7 Certification / Enterprise opportunity",IF($S193="Meeting Booked","6 Meeting / Application",IF(OR($S193="Interested",$S193="Info Requested"),"5 Interested",IF(OR($S193="Declined",$S193="Not Relevant"),"0 Closed - no",IF($R193="Yes","4 Contacted",IF($N193="Yes","2 Engaged",IF($M193="Yes","1 Awareness",IF($AA193&gt;=60,"3 Qualified","1 Awareness"))))))))))</f>
        <v/>
      </c>
    </row>
    <row r="194" customFormat="false" ht="30" hidden="false" customHeight="true" outlineLevel="0" collapsed="false">
      <c r="A194" s="36"/>
      <c r="B194" s="37"/>
      <c r="C194" s="37"/>
      <c r="D194" s="37"/>
      <c r="E194" s="37"/>
      <c r="F194" s="37"/>
      <c r="G194" s="37"/>
      <c r="H194" s="37"/>
      <c r="I194" s="37"/>
      <c r="J194" s="47"/>
      <c r="K194" s="41" t="str">
        <f aca="false">IF(J194="","",IF(J194&gt;=8,"Yes","Check"))</f>
        <v/>
      </c>
      <c r="L194" s="38"/>
      <c r="M194" s="47"/>
      <c r="N194" s="47"/>
      <c r="O194" s="37"/>
      <c r="P194" s="38"/>
      <c r="Q194" s="42" t="str">
        <f aca="false">IF(P194="","",LEN(P194))</f>
        <v/>
      </c>
      <c r="R194" s="47"/>
      <c r="S194" s="37"/>
      <c r="T194" s="38"/>
      <c r="U194" s="43" t="str">
        <f aca="false">IF(OR(R194&lt;&gt;"Yes",A194=""),"",A194+4)</f>
        <v/>
      </c>
      <c r="V194" s="47"/>
      <c r="W194" s="38"/>
      <c r="X194" s="38"/>
      <c r="Y194" s="44"/>
      <c r="Z194" s="44"/>
      <c r="AA194" s="45" t="str">
        <f aca="false">IF(AND($Y194="",$Z194=""),"",ROUND(IFERROR(VALUE(LEFT($Y194,1)),0)*12+IFERROR(VALUE(LEFT($Z194,1)),0)*8,0))</f>
        <v/>
      </c>
      <c r="AB194" s="45" t="str">
        <f aca="false">IF($AA194="","",IF($AA194&gt;=80,"A - call first",IF($AA194&gt;=60,"B - worth pursuing",IF($AA194&gt;=40,"C - nurture","D - do not spend time here"))))</f>
        <v/>
      </c>
      <c r="AC194" s="46" t="str">
        <f aca="false">IF($C194="","",IF($S194="Converted","7 Certification / Enterprise opportunity",IF($S194="Application Started","7 Certification / Enterprise opportunity",IF($S194="Meeting Booked","6 Meeting / Application",IF(OR($S194="Interested",$S194="Info Requested"),"5 Interested",IF(OR($S194="Declined",$S194="Not Relevant"),"0 Closed - no",IF($R194="Yes","4 Contacted",IF($N194="Yes","2 Engaged",IF($M194="Yes","1 Awareness",IF($AA194&gt;=60,"3 Qualified","1 Awareness"))))))))))</f>
        <v/>
      </c>
    </row>
    <row r="195" customFormat="false" ht="30" hidden="false" customHeight="true" outlineLevel="0" collapsed="false">
      <c r="A195" s="36"/>
      <c r="B195" s="37"/>
      <c r="C195" s="37"/>
      <c r="D195" s="37"/>
      <c r="E195" s="37"/>
      <c r="F195" s="37"/>
      <c r="G195" s="37"/>
      <c r="H195" s="37"/>
      <c r="I195" s="37"/>
      <c r="J195" s="47"/>
      <c r="K195" s="41" t="str">
        <f aca="false">IF(J195="","",IF(J195&gt;=8,"Yes","Check"))</f>
        <v/>
      </c>
      <c r="L195" s="38"/>
      <c r="M195" s="47"/>
      <c r="N195" s="47"/>
      <c r="O195" s="37"/>
      <c r="P195" s="38"/>
      <c r="Q195" s="42" t="str">
        <f aca="false">IF(P195="","",LEN(P195))</f>
        <v/>
      </c>
      <c r="R195" s="47"/>
      <c r="S195" s="37"/>
      <c r="T195" s="38"/>
      <c r="U195" s="43" t="str">
        <f aca="false">IF(OR(R195&lt;&gt;"Yes",A195=""),"",A195+4)</f>
        <v/>
      </c>
      <c r="V195" s="47"/>
      <c r="W195" s="38"/>
      <c r="X195" s="38"/>
      <c r="Y195" s="44"/>
      <c r="Z195" s="44"/>
      <c r="AA195" s="45" t="str">
        <f aca="false">IF(AND($Y195="",$Z195=""),"",ROUND(IFERROR(VALUE(LEFT($Y195,1)),0)*12+IFERROR(VALUE(LEFT($Z195,1)),0)*8,0))</f>
        <v/>
      </c>
      <c r="AB195" s="45" t="str">
        <f aca="false">IF($AA195="","",IF($AA195&gt;=80,"A - call first",IF($AA195&gt;=60,"B - worth pursuing",IF($AA195&gt;=40,"C - nurture","D - do not spend time here"))))</f>
        <v/>
      </c>
      <c r="AC195" s="46" t="str">
        <f aca="false">IF($C195="","",IF($S195="Converted","7 Certification / Enterprise opportunity",IF($S195="Application Started","7 Certification / Enterprise opportunity",IF($S195="Meeting Booked","6 Meeting / Application",IF(OR($S195="Interested",$S195="Info Requested"),"5 Interested",IF(OR($S195="Declined",$S195="Not Relevant"),"0 Closed - no",IF($R195="Yes","4 Contacted",IF($N195="Yes","2 Engaged",IF($M195="Yes","1 Awareness",IF($AA195&gt;=60,"3 Qualified","1 Awareness"))))))))))</f>
        <v/>
      </c>
    </row>
    <row r="196" customFormat="false" ht="30" hidden="false" customHeight="true" outlineLevel="0" collapsed="false">
      <c r="A196" s="36"/>
      <c r="B196" s="37"/>
      <c r="C196" s="37"/>
      <c r="D196" s="37"/>
      <c r="E196" s="37"/>
      <c r="F196" s="37"/>
      <c r="G196" s="37"/>
      <c r="H196" s="37"/>
      <c r="I196" s="37"/>
      <c r="J196" s="47"/>
      <c r="K196" s="41" t="str">
        <f aca="false">IF(J196="","",IF(J196&gt;=8,"Yes","Check"))</f>
        <v/>
      </c>
      <c r="L196" s="38"/>
      <c r="M196" s="47"/>
      <c r="N196" s="47"/>
      <c r="O196" s="37"/>
      <c r="P196" s="38"/>
      <c r="Q196" s="42" t="str">
        <f aca="false">IF(P196="","",LEN(P196))</f>
        <v/>
      </c>
      <c r="R196" s="47"/>
      <c r="S196" s="37"/>
      <c r="T196" s="38"/>
      <c r="U196" s="43" t="str">
        <f aca="false">IF(OR(R196&lt;&gt;"Yes",A196=""),"",A196+4)</f>
        <v/>
      </c>
      <c r="V196" s="47"/>
      <c r="W196" s="38"/>
      <c r="X196" s="38"/>
      <c r="Y196" s="44"/>
      <c r="Z196" s="44"/>
      <c r="AA196" s="45" t="str">
        <f aca="false">IF(AND($Y196="",$Z196=""),"",ROUND(IFERROR(VALUE(LEFT($Y196,1)),0)*12+IFERROR(VALUE(LEFT($Z196,1)),0)*8,0))</f>
        <v/>
      </c>
      <c r="AB196" s="45" t="str">
        <f aca="false">IF($AA196="","",IF($AA196&gt;=80,"A - call first",IF($AA196&gt;=60,"B - worth pursuing",IF($AA196&gt;=40,"C - nurture","D - do not spend time here"))))</f>
        <v/>
      </c>
      <c r="AC196" s="46" t="str">
        <f aca="false">IF($C196="","",IF($S196="Converted","7 Certification / Enterprise opportunity",IF($S196="Application Started","7 Certification / Enterprise opportunity",IF($S196="Meeting Booked","6 Meeting / Application",IF(OR($S196="Interested",$S196="Info Requested"),"5 Interested",IF(OR($S196="Declined",$S196="Not Relevant"),"0 Closed - no",IF($R196="Yes","4 Contacted",IF($N196="Yes","2 Engaged",IF($M196="Yes","1 Awareness",IF($AA196&gt;=60,"3 Qualified","1 Awareness"))))))))))</f>
        <v/>
      </c>
    </row>
    <row r="197" customFormat="false" ht="30" hidden="false" customHeight="true" outlineLevel="0" collapsed="false">
      <c r="A197" s="36"/>
      <c r="B197" s="37"/>
      <c r="C197" s="37"/>
      <c r="D197" s="37"/>
      <c r="E197" s="37"/>
      <c r="F197" s="37"/>
      <c r="G197" s="37"/>
      <c r="H197" s="37"/>
      <c r="I197" s="37"/>
      <c r="J197" s="47"/>
      <c r="K197" s="41" t="str">
        <f aca="false">IF(J197="","",IF(J197&gt;=8,"Yes","Check"))</f>
        <v/>
      </c>
      <c r="L197" s="38"/>
      <c r="M197" s="47"/>
      <c r="N197" s="47"/>
      <c r="O197" s="37"/>
      <c r="P197" s="38"/>
      <c r="Q197" s="42" t="str">
        <f aca="false">IF(P197="","",LEN(P197))</f>
        <v/>
      </c>
      <c r="R197" s="47"/>
      <c r="S197" s="37"/>
      <c r="T197" s="38"/>
      <c r="U197" s="43" t="str">
        <f aca="false">IF(OR(R197&lt;&gt;"Yes",A197=""),"",A197+4)</f>
        <v/>
      </c>
      <c r="V197" s="47"/>
      <c r="W197" s="38"/>
      <c r="X197" s="38"/>
      <c r="Y197" s="44"/>
      <c r="Z197" s="44"/>
      <c r="AA197" s="45" t="str">
        <f aca="false">IF(AND($Y197="",$Z197=""),"",ROUND(IFERROR(VALUE(LEFT($Y197,1)),0)*12+IFERROR(VALUE(LEFT($Z197,1)),0)*8,0))</f>
        <v/>
      </c>
      <c r="AB197" s="45" t="str">
        <f aca="false">IF($AA197="","",IF($AA197&gt;=80,"A - call first",IF($AA197&gt;=60,"B - worth pursuing",IF($AA197&gt;=40,"C - nurture","D - do not spend time here"))))</f>
        <v/>
      </c>
      <c r="AC197" s="46" t="str">
        <f aca="false">IF($C197="","",IF($S197="Converted","7 Certification / Enterprise opportunity",IF($S197="Application Started","7 Certification / Enterprise opportunity",IF($S197="Meeting Booked","6 Meeting / Application",IF(OR($S197="Interested",$S197="Info Requested"),"5 Interested",IF(OR($S197="Declined",$S197="Not Relevant"),"0 Closed - no",IF($R197="Yes","4 Contacted",IF($N197="Yes","2 Engaged",IF($M197="Yes","1 Awareness",IF($AA197&gt;=60,"3 Qualified","1 Awareness"))))))))))</f>
        <v/>
      </c>
    </row>
    <row r="198" customFormat="false" ht="30" hidden="false" customHeight="true" outlineLevel="0" collapsed="false">
      <c r="A198" s="36"/>
      <c r="B198" s="37"/>
      <c r="C198" s="37"/>
      <c r="D198" s="37"/>
      <c r="E198" s="37"/>
      <c r="F198" s="37"/>
      <c r="G198" s="37"/>
      <c r="H198" s="37"/>
      <c r="I198" s="37"/>
      <c r="J198" s="47"/>
      <c r="K198" s="41" t="str">
        <f aca="false">IF(J198="","",IF(J198&gt;=8,"Yes","Check"))</f>
        <v/>
      </c>
      <c r="L198" s="38"/>
      <c r="M198" s="47"/>
      <c r="N198" s="47"/>
      <c r="O198" s="37"/>
      <c r="P198" s="38"/>
      <c r="Q198" s="42" t="str">
        <f aca="false">IF(P198="","",LEN(P198))</f>
        <v/>
      </c>
      <c r="R198" s="47"/>
      <c r="S198" s="37"/>
      <c r="T198" s="38"/>
      <c r="U198" s="43" t="str">
        <f aca="false">IF(OR(R198&lt;&gt;"Yes",A198=""),"",A198+4)</f>
        <v/>
      </c>
      <c r="V198" s="47"/>
      <c r="W198" s="38"/>
      <c r="X198" s="38"/>
      <c r="Y198" s="44"/>
      <c r="Z198" s="44"/>
      <c r="AA198" s="45" t="str">
        <f aca="false">IF(AND($Y198="",$Z198=""),"",ROUND(IFERROR(VALUE(LEFT($Y198,1)),0)*12+IFERROR(VALUE(LEFT($Z198,1)),0)*8,0))</f>
        <v/>
      </c>
      <c r="AB198" s="45" t="str">
        <f aca="false">IF($AA198="","",IF($AA198&gt;=80,"A - call first",IF($AA198&gt;=60,"B - worth pursuing",IF($AA198&gt;=40,"C - nurture","D - do not spend time here"))))</f>
        <v/>
      </c>
      <c r="AC198" s="46" t="str">
        <f aca="false">IF($C198="","",IF($S198="Converted","7 Certification / Enterprise opportunity",IF($S198="Application Started","7 Certification / Enterprise opportunity",IF($S198="Meeting Booked","6 Meeting / Application",IF(OR($S198="Interested",$S198="Info Requested"),"5 Interested",IF(OR($S198="Declined",$S198="Not Relevant"),"0 Closed - no",IF($R198="Yes","4 Contacted",IF($N198="Yes","2 Engaged",IF($M198="Yes","1 Awareness",IF($AA198&gt;=60,"3 Qualified","1 Awareness"))))))))))</f>
        <v/>
      </c>
    </row>
    <row r="199" customFormat="false" ht="30" hidden="false" customHeight="true" outlineLevel="0" collapsed="false">
      <c r="A199" s="36"/>
      <c r="B199" s="37"/>
      <c r="C199" s="37"/>
      <c r="D199" s="37"/>
      <c r="E199" s="37"/>
      <c r="F199" s="37"/>
      <c r="G199" s="37"/>
      <c r="H199" s="37"/>
      <c r="I199" s="37"/>
      <c r="J199" s="47"/>
      <c r="K199" s="41" t="str">
        <f aca="false">IF(J199="","",IF(J199&gt;=8,"Yes","Check"))</f>
        <v/>
      </c>
      <c r="L199" s="38"/>
      <c r="M199" s="47"/>
      <c r="N199" s="47"/>
      <c r="O199" s="37"/>
      <c r="P199" s="38"/>
      <c r="Q199" s="42" t="str">
        <f aca="false">IF(P199="","",LEN(P199))</f>
        <v/>
      </c>
      <c r="R199" s="47"/>
      <c r="S199" s="37"/>
      <c r="T199" s="38"/>
      <c r="U199" s="43" t="str">
        <f aca="false">IF(OR(R199&lt;&gt;"Yes",A199=""),"",A199+4)</f>
        <v/>
      </c>
      <c r="V199" s="47"/>
      <c r="W199" s="38"/>
      <c r="X199" s="38"/>
      <c r="Y199" s="44"/>
      <c r="Z199" s="44"/>
      <c r="AA199" s="45" t="str">
        <f aca="false">IF(AND($Y199="",$Z199=""),"",ROUND(IFERROR(VALUE(LEFT($Y199,1)),0)*12+IFERROR(VALUE(LEFT($Z199,1)),0)*8,0))</f>
        <v/>
      </c>
      <c r="AB199" s="45" t="str">
        <f aca="false">IF($AA199="","",IF($AA199&gt;=80,"A - call first",IF($AA199&gt;=60,"B - worth pursuing",IF($AA199&gt;=40,"C - nurture","D - do not spend time here"))))</f>
        <v/>
      </c>
      <c r="AC199" s="46" t="str">
        <f aca="false">IF($C199="","",IF($S199="Converted","7 Certification / Enterprise opportunity",IF($S199="Application Started","7 Certification / Enterprise opportunity",IF($S199="Meeting Booked","6 Meeting / Application",IF(OR($S199="Interested",$S199="Info Requested"),"5 Interested",IF(OR($S199="Declined",$S199="Not Relevant"),"0 Closed - no",IF($R199="Yes","4 Contacted",IF($N199="Yes","2 Engaged",IF($M199="Yes","1 Awareness",IF($AA199&gt;=60,"3 Qualified","1 Awareness"))))))))))</f>
        <v/>
      </c>
    </row>
    <row r="200" customFormat="false" ht="30" hidden="false" customHeight="true" outlineLevel="0" collapsed="false">
      <c r="A200" s="36"/>
      <c r="B200" s="37"/>
      <c r="C200" s="37"/>
      <c r="D200" s="37"/>
      <c r="E200" s="37"/>
      <c r="F200" s="37"/>
      <c r="G200" s="37"/>
      <c r="H200" s="37"/>
      <c r="I200" s="37"/>
      <c r="J200" s="47"/>
      <c r="K200" s="41" t="str">
        <f aca="false">IF(J200="","",IF(J200&gt;=8,"Yes","Check"))</f>
        <v/>
      </c>
      <c r="L200" s="38"/>
      <c r="M200" s="47"/>
      <c r="N200" s="47"/>
      <c r="O200" s="37"/>
      <c r="P200" s="38"/>
      <c r="Q200" s="42" t="str">
        <f aca="false">IF(P200="","",LEN(P200))</f>
        <v/>
      </c>
      <c r="R200" s="47"/>
      <c r="S200" s="37"/>
      <c r="T200" s="38"/>
      <c r="U200" s="43" t="str">
        <f aca="false">IF(OR(R200&lt;&gt;"Yes",A200=""),"",A200+4)</f>
        <v/>
      </c>
      <c r="V200" s="47"/>
      <c r="W200" s="38"/>
      <c r="X200" s="38"/>
      <c r="Y200" s="44"/>
      <c r="Z200" s="44"/>
      <c r="AA200" s="45" t="str">
        <f aca="false">IF(AND($Y200="",$Z200=""),"",ROUND(IFERROR(VALUE(LEFT($Y200,1)),0)*12+IFERROR(VALUE(LEFT($Z200,1)),0)*8,0))</f>
        <v/>
      </c>
      <c r="AB200" s="45" t="str">
        <f aca="false">IF($AA200="","",IF($AA200&gt;=80,"A - call first",IF($AA200&gt;=60,"B - worth pursuing",IF($AA200&gt;=40,"C - nurture","D - do not spend time here"))))</f>
        <v/>
      </c>
      <c r="AC200" s="46" t="str">
        <f aca="false">IF($C200="","",IF($S200="Converted","7 Certification / Enterprise opportunity",IF($S200="Application Started","7 Certification / Enterprise opportunity",IF($S200="Meeting Booked","6 Meeting / Application",IF(OR($S200="Interested",$S200="Info Requested"),"5 Interested",IF(OR($S200="Declined",$S200="Not Relevant"),"0 Closed - no",IF($R200="Yes","4 Contacted",IF($N200="Yes","2 Engaged",IF($M200="Yes","1 Awareness",IF($AA200&gt;=60,"3 Qualified","1 Awareness"))))))))))</f>
        <v/>
      </c>
    </row>
    <row r="201" customFormat="false" ht="30" hidden="false" customHeight="true" outlineLevel="0" collapsed="false">
      <c r="A201" s="36"/>
      <c r="B201" s="37"/>
      <c r="C201" s="37"/>
      <c r="D201" s="37"/>
      <c r="E201" s="37"/>
      <c r="F201" s="37"/>
      <c r="G201" s="37"/>
      <c r="H201" s="37"/>
      <c r="I201" s="37"/>
      <c r="J201" s="47"/>
      <c r="K201" s="41" t="str">
        <f aca="false">IF(J201="","",IF(J201&gt;=8,"Yes","Check"))</f>
        <v/>
      </c>
      <c r="L201" s="38"/>
      <c r="M201" s="47"/>
      <c r="N201" s="47"/>
      <c r="O201" s="37"/>
      <c r="P201" s="38"/>
      <c r="Q201" s="42" t="str">
        <f aca="false">IF(P201="","",LEN(P201))</f>
        <v/>
      </c>
      <c r="R201" s="47"/>
      <c r="S201" s="37"/>
      <c r="T201" s="38"/>
      <c r="U201" s="43" t="str">
        <f aca="false">IF(OR(R201&lt;&gt;"Yes",A201=""),"",A201+4)</f>
        <v/>
      </c>
      <c r="V201" s="47"/>
      <c r="W201" s="38"/>
      <c r="X201" s="38"/>
      <c r="Y201" s="44"/>
      <c r="Z201" s="44"/>
      <c r="AA201" s="45" t="str">
        <f aca="false">IF(AND($Y201="",$Z201=""),"",ROUND(IFERROR(VALUE(LEFT($Y201,1)),0)*12+IFERROR(VALUE(LEFT($Z201,1)),0)*8,0))</f>
        <v/>
      </c>
      <c r="AB201" s="45" t="str">
        <f aca="false">IF($AA201="","",IF($AA201&gt;=80,"A - call first",IF($AA201&gt;=60,"B - worth pursuing",IF($AA201&gt;=40,"C - nurture","D - do not spend time here"))))</f>
        <v/>
      </c>
      <c r="AC201" s="46" t="str">
        <f aca="false">IF($C201="","",IF($S201="Converted","7 Certification / Enterprise opportunity",IF($S201="Application Started","7 Certification / Enterprise opportunity",IF($S201="Meeting Booked","6 Meeting / Application",IF(OR($S201="Interested",$S201="Info Requested"),"5 Interested",IF(OR($S201="Declined",$S201="Not Relevant"),"0 Closed - no",IF($R201="Yes","4 Contacted",IF($N201="Yes","2 Engaged",IF($M201="Yes","1 Awareness",IF($AA201&gt;=60,"3 Qualified","1 Awareness"))))))))))</f>
        <v/>
      </c>
    </row>
    <row r="202" customFormat="false" ht="30" hidden="false" customHeight="true" outlineLevel="0" collapsed="false">
      <c r="A202" s="36"/>
      <c r="B202" s="37"/>
      <c r="C202" s="37"/>
      <c r="D202" s="37"/>
      <c r="E202" s="37"/>
      <c r="F202" s="37"/>
      <c r="G202" s="37"/>
      <c r="H202" s="37"/>
      <c r="I202" s="37"/>
      <c r="J202" s="47"/>
      <c r="K202" s="41" t="str">
        <f aca="false">IF(J202="","",IF(J202&gt;=8,"Yes","Check"))</f>
        <v/>
      </c>
      <c r="L202" s="38"/>
      <c r="M202" s="47"/>
      <c r="N202" s="47"/>
      <c r="O202" s="37"/>
      <c r="P202" s="38"/>
      <c r="Q202" s="42" t="str">
        <f aca="false">IF(P202="","",LEN(P202))</f>
        <v/>
      </c>
      <c r="R202" s="47"/>
      <c r="S202" s="37"/>
      <c r="T202" s="38"/>
      <c r="U202" s="43" t="str">
        <f aca="false">IF(OR(R202&lt;&gt;"Yes",A202=""),"",A202+4)</f>
        <v/>
      </c>
      <c r="V202" s="47"/>
      <c r="W202" s="38"/>
      <c r="X202" s="38"/>
      <c r="Y202" s="44"/>
      <c r="Z202" s="44"/>
      <c r="AA202" s="45" t="str">
        <f aca="false">IF(AND($Y202="",$Z202=""),"",ROUND(IFERROR(VALUE(LEFT($Y202,1)),0)*12+IFERROR(VALUE(LEFT($Z202,1)),0)*8,0))</f>
        <v/>
      </c>
      <c r="AB202" s="45" t="str">
        <f aca="false">IF($AA202="","",IF($AA202&gt;=80,"A - call first",IF($AA202&gt;=60,"B - worth pursuing",IF($AA202&gt;=40,"C - nurture","D - do not spend time here"))))</f>
        <v/>
      </c>
      <c r="AC202" s="46" t="str">
        <f aca="false">IF($C202="","",IF($S202="Converted","7 Certification / Enterprise opportunity",IF($S202="Application Started","7 Certification / Enterprise opportunity",IF($S202="Meeting Booked","6 Meeting / Application",IF(OR($S202="Interested",$S202="Info Requested"),"5 Interested",IF(OR($S202="Declined",$S202="Not Relevant"),"0 Closed - no",IF($R202="Yes","4 Contacted",IF($N202="Yes","2 Engaged",IF($M202="Yes","1 Awareness",IF($AA202&gt;=60,"3 Qualified","1 Awareness"))))))))))</f>
        <v/>
      </c>
    </row>
    <row r="203" customFormat="false" ht="30" hidden="false" customHeight="true" outlineLevel="0" collapsed="false">
      <c r="A203" s="36"/>
      <c r="B203" s="37"/>
      <c r="C203" s="37"/>
      <c r="D203" s="37"/>
      <c r="E203" s="37"/>
      <c r="F203" s="37"/>
      <c r="G203" s="37"/>
      <c r="H203" s="37"/>
      <c r="I203" s="37"/>
      <c r="J203" s="47"/>
      <c r="K203" s="41" t="str">
        <f aca="false">IF(J203="","",IF(J203&gt;=8,"Yes","Check"))</f>
        <v/>
      </c>
      <c r="L203" s="38"/>
      <c r="M203" s="47"/>
      <c r="N203" s="47"/>
      <c r="O203" s="37"/>
      <c r="P203" s="38"/>
      <c r="Q203" s="42" t="str">
        <f aca="false">IF(P203="","",LEN(P203))</f>
        <v/>
      </c>
      <c r="R203" s="47"/>
      <c r="S203" s="37"/>
      <c r="T203" s="38"/>
      <c r="U203" s="43" t="str">
        <f aca="false">IF(OR(R203&lt;&gt;"Yes",A203=""),"",A203+4)</f>
        <v/>
      </c>
      <c r="V203" s="47"/>
      <c r="W203" s="38"/>
      <c r="X203" s="38"/>
      <c r="Y203" s="44"/>
      <c r="Z203" s="44"/>
      <c r="AA203" s="45" t="str">
        <f aca="false">IF(AND($Y203="",$Z203=""),"",ROUND(IFERROR(VALUE(LEFT($Y203,1)),0)*12+IFERROR(VALUE(LEFT($Z203,1)),0)*8,0))</f>
        <v/>
      </c>
      <c r="AB203" s="45" t="str">
        <f aca="false">IF($AA203="","",IF($AA203&gt;=80,"A - call first",IF($AA203&gt;=60,"B - worth pursuing",IF($AA203&gt;=40,"C - nurture","D - do not spend time here"))))</f>
        <v/>
      </c>
      <c r="AC203" s="46" t="str">
        <f aca="false">IF($C203="","",IF($S203="Converted","7 Certification / Enterprise opportunity",IF($S203="Application Started","7 Certification / Enterprise opportunity",IF($S203="Meeting Booked","6 Meeting / Application",IF(OR($S203="Interested",$S203="Info Requested"),"5 Interested",IF(OR($S203="Declined",$S203="Not Relevant"),"0 Closed - no",IF($R203="Yes","4 Contacted",IF($N203="Yes","2 Engaged",IF($M203="Yes","1 Awareness",IF($AA203&gt;=60,"3 Qualified","1 Awareness"))))))))))</f>
        <v/>
      </c>
    </row>
    <row r="204" customFormat="false" ht="30" hidden="false" customHeight="true" outlineLevel="0" collapsed="false">
      <c r="A204" s="36"/>
      <c r="B204" s="37"/>
      <c r="C204" s="37"/>
      <c r="D204" s="37"/>
      <c r="E204" s="37"/>
      <c r="F204" s="37"/>
      <c r="G204" s="37"/>
      <c r="H204" s="37"/>
      <c r="I204" s="37"/>
      <c r="J204" s="47"/>
      <c r="K204" s="41" t="str">
        <f aca="false">IF(J204="","",IF(J204&gt;=8,"Yes","Check"))</f>
        <v/>
      </c>
      <c r="L204" s="38"/>
      <c r="M204" s="47"/>
      <c r="N204" s="47"/>
      <c r="O204" s="37"/>
      <c r="P204" s="38"/>
      <c r="Q204" s="42" t="str">
        <f aca="false">IF(P204="","",LEN(P204))</f>
        <v/>
      </c>
      <c r="R204" s="47"/>
      <c r="S204" s="37"/>
      <c r="T204" s="38"/>
      <c r="U204" s="43" t="str">
        <f aca="false">IF(OR(R204&lt;&gt;"Yes",A204=""),"",A204+4)</f>
        <v/>
      </c>
      <c r="V204" s="47"/>
      <c r="W204" s="38"/>
      <c r="X204" s="38"/>
      <c r="Y204" s="44"/>
      <c r="Z204" s="44"/>
      <c r="AA204" s="45" t="str">
        <f aca="false">IF(AND($Y204="",$Z204=""),"",ROUND(IFERROR(VALUE(LEFT($Y204,1)),0)*12+IFERROR(VALUE(LEFT($Z204,1)),0)*8,0))</f>
        <v/>
      </c>
      <c r="AB204" s="45" t="str">
        <f aca="false">IF($AA204="","",IF($AA204&gt;=80,"A - call first",IF($AA204&gt;=60,"B - worth pursuing",IF($AA204&gt;=40,"C - nurture","D - do not spend time here"))))</f>
        <v/>
      </c>
      <c r="AC204" s="46" t="str">
        <f aca="false">IF($C204="","",IF($S204="Converted","7 Certification / Enterprise opportunity",IF($S204="Application Started","7 Certification / Enterprise opportunity",IF($S204="Meeting Booked","6 Meeting / Application",IF(OR($S204="Interested",$S204="Info Requested"),"5 Interested",IF(OR($S204="Declined",$S204="Not Relevant"),"0 Closed - no",IF($R204="Yes","4 Contacted",IF($N204="Yes","2 Engaged",IF($M204="Yes","1 Awareness",IF($AA204&gt;=60,"3 Qualified","1 Awareness"))))))))))</f>
        <v/>
      </c>
    </row>
    <row r="205" customFormat="false" ht="30" hidden="false" customHeight="true" outlineLevel="0" collapsed="false">
      <c r="A205" s="36"/>
      <c r="B205" s="37"/>
      <c r="C205" s="37"/>
      <c r="D205" s="37"/>
      <c r="E205" s="37"/>
      <c r="F205" s="37"/>
      <c r="G205" s="37"/>
      <c r="H205" s="37"/>
      <c r="I205" s="37"/>
      <c r="J205" s="47"/>
      <c r="K205" s="41" t="str">
        <f aca="false">IF(J205="","",IF(J205&gt;=8,"Yes","Check"))</f>
        <v/>
      </c>
      <c r="L205" s="38"/>
      <c r="M205" s="47"/>
      <c r="N205" s="47"/>
      <c r="O205" s="37"/>
      <c r="P205" s="38"/>
      <c r="Q205" s="42" t="str">
        <f aca="false">IF(P205="","",LEN(P205))</f>
        <v/>
      </c>
      <c r="R205" s="47"/>
      <c r="S205" s="37"/>
      <c r="T205" s="38"/>
      <c r="U205" s="43" t="str">
        <f aca="false">IF(OR(R205&lt;&gt;"Yes",A205=""),"",A205+4)</f>
        <v/>
      </c>
      <c r="V205" s="47"/>
      <c r="W205" s="38"/>
      <c r="X205" s="38"/>
      <c r="Y205" s="44"/>
      <c r="Z205" s="44"/>
      <c r="AA205" s="45" t="str">
        <f aca="false">IF(AND($Y205="",$Z205=""),"",ROUND(IFERROR(VALUE(LEFT($Y205,1)),0)*12+IFERROR(VALUE(LEFT($Z205,1)),0)*8,0))</f>
        <v/>
      </c>
      <c r="AB205" s="45" t="str">
        <f aca="false">IF($AA205="","",IF($AA205&gt;=80,"A - call first",IF($AA205&gt;=60,"B - worth pursuing",IF($AA205&gt;=40,"C - nurture","D - do not spend time here"))))</f>
        <v/>
      </c>
      <c r="AC205" s="46" t="str">
        <f aca="false">IF($C205="","",IF($S205="Converted","7 Certification / Enterprise opportunity",IF($S205="Application Started","7 Certification / Enterprise opportunity",IF($S205="Meeting Booked","6 Meeting / Application",IF(OR($S205="Interested",$S205="Info Requested"),"5 Interested",IF(OR($S205="Declined",$S205="Not Relevant"),"0 Closed - no",IF($R205="Yes","4 Contacted",IF($N205="Yes","2 Engaged",IF($M205="Yes","1 Awareness",IF($AA205&gt;=60,"3 Qualified","1 Awareness"))))))))))</f>
        <v/>
      </c>
    </row>
    <row r="206" customFormat="false" ht="30" hidden="false" customHeight="true" outlineLevel="0" collapsed="false">
      <c r="A206" s="36"/>
      <c r="B206" s="37"/>
      <c r="C206" s="37"/>
      <c r="D206" s="37"/>
      <c r="E206" s="37"/>
      <c r="F206" s="37"/>
      <c r="G206" s="37"/>
      <c r="H206" s="37"/>
      <c r="I206" s="37"/>
      <c r="J206" s="47"/>
      <c r="K206" s="41" t="str">
        <f aca="false">IF(J206="","",IF(J206&gt;=8,"Yes","Check"))</f>
        <v/>
      </c>
      <c r="L206" s="38"/>
      <c r="M206" s="47"/>
      <c r="N206" s="47"/>
      <c r="O206" s="37"/>
      <c r="P206" s="38"/>
      <c r="Q206" s="42" t="str">
        <f aca="false">IF(P206="","",LEN(P206))</f>
        <v/>
      </c>
      <c r="R206" s="47"/>
      <c r="S206" s="37"/>
      <c r="T206" s="38"/>
      <c r="U206" s="43" t="str">
        <f aca="false">IF(OR(R206&lt;&gt;"Yes",A206=""),"",A206+4)</f>
        <v/>
      </c>
      <c r="V206" s="47"/>
      <c r="W206" s="38"/>
      <c r="X206" s="38"/>
      <c r="Y206" s="44"/>
      <c r="Z206" s="44"/>
      <c r="AA206" s="45" t="str">
        <f aca="false">IF(AND($Y206="",$Z206=""),"",ROUND(IFERROR(VALUE(LEFT($Y206,1)),0)*12+IFERROR(VALUE(LEFT($Z206,1)),0)*8,0))</f>
        <v/>
      </c>
      <c r="AB206" s="45" t="str">
        <f aca="false">IF($AA206="","",IF($AA206&gt;=80,"A - call first",IF($AA206&gt;=60,"B - worth pursuing",IF($AA206&gt;=40,"C - nurture","D - do not spend time here"))))</f>
        <v/>
      </c>
      <c r="AC206" s="46" t="str">
        <f aca="false">IF($C206="","",IF($S206="Converted","7 Certification / Enterprise opportunity",IF($S206="Application Started","7 Certification / Enterprise opportunity",IF($S206="Meeting Booked","6 Meeting / Application",IF(OR($S206="Interested",$S206="Info Requested"),"5 Interested",IF(OR($S206="Declined",$S206="Not Relevant"),"0 Closed - no",IF($R206="Yes","4 Contacted",IF($N206="Yes","2 Engaged",IF($M206="Yes","1 Awareness",IF($AA206&gt;=60,"3 Qualified","1 Awareness"))))))))))</f>
        <v/>
      </c>
    </row>
    <row r="207" customFormat="false" ht="30" hidden="false" customHeight="true" outlineLevel="0" collapsed="false">
      <c r="A207" s="36"/>
      <c r="B207" s="37"/>
      <c r="C207" s="37"/>
      <c r="D207" s="37"/>
      <c r="E207" s="37"/>
      <c r="F207" s="37"/>
      <c r="G207" s="37"/>
      <c r="H207" s="37"/>
      <c r="I207" s="37"/>
      <c r="J207" s="47"/>
      <c r="K207" s="41" t="str">
        <f aca="false">IF(J207="","",IF(J207&gt;=8,"Yes","Check"))</f>
        <v/>
      </c>
      <c r="L207" s="38"/>
      <c r="M207" s="47"/>
      <c r="N207" s="47"/>
      <c r="O207" s="37"/>
      <c r="P207" s="38"/>
      <c r="Q207" s="42" t="str">
        <f aca="false">IF(P207="","",LEN(P207))</f>
        <v/>
      </c>
      <c r="R207" s="47"/>
      <c r="S207" s="37"/>
      <c r="T207" s="38"/>
      <c r="U207" s="43" t="str">
        <f aca="false">IF(OR(R207&lt;&gt;"Yes",A207=""),"",A207+4)</f>
        <v/>
      </c>
      <c r="V207" s="47"/>
      <c r="W207" s="38"/>
      <c r="X207" s="38"/>
      <c r="Y207" s="44"/>
      <c r="Z207" s="44"/>
      <c r="AA207" s="45" t="str">
        <f aca="false">IF(AND($Y207="",$Z207=""),"",ROUND(IFERROR(VALUE(LEFT($Y207,1)),0)*12+IFERROR(VALUE(LEFT($Z207,1)),0)*8,0))</f>
        <v/>
      </c>
      <c r="AB207" s="45" t="str">
        <f aca="false">IF($AA207="","",IF($AA207&gt;=80,"A - call first",IF($AA207&gt;=60,"B - worth pursuing",IF($AA207&gt;=40,"C - nurture","D - do not spend time here"))))</f>
        <v/>
      </c>
      <c r="AC207" s="46" t="str">
        <f aca="false">IF($C207="","",IF($S207="Converted","7 Certification / Enterprise opportunity",IF($S207="Application Started","7 Certification / Enterprise opportunity",IF($S207="Meeting Booked","6 Meeting / Application",IF(OR($S207="Interested",$S207="Info Requested"),"5 Interested",IF(OR($S207="Declined",$S207="Not Relevant"),"0 Closed - no",IF($R207="Yes","4 Contacted",IF($N207="Yes","2 Engaged",IF($M207="Yes","1 Awareness",IF($AA207&gt;=60,"3 Qualified","1 Awareness"))))))))))</f>
        <v/>
      </c>
    </row>
    <row r="208" customFormat="false" ht="30" hidden="false" customHeight="true" outlineLevel="0" collapsed="false">
      <c r="A208" s="36"/>
      <c r="B208" s="37"/>
      <c r="C208" s="37"/>
      <c r="D208" s="37"/>
      <c r="E208" s="37"/>
      <c r="F208" s="37"/>
      <c r="G208" s="37"/>
      <c r="H208" s="37"/>
      <c r="I208" s="37"/>
      <c r="J208" s="47"/>
      <c r="K208" s="41" t="str">
        <f aca="false">IF(J208="","",IF(J208&gt;=8,"Yes","Check"))</f>
        <v/>
      </c>
      <c r="L208" s="38"/>
      <c r="M208" s="47"/>
      <c r="N208" s="47"/>
      <c r="O208" s="37"/>
      <c r="P208" s="38"/>
      <c r="Q208" s="42" t="str">
        <f aca="false">IF(P208="","",LEN(P208))</f>
        <v/>
      </c>
      <c r="R208" s="47"/>
      <c r="S208" s="37"/>
      <c r="T208" s="38"/>
      <c r="U208" s="43" t="str">
        <f aca="false">IF(OR(R208&lt;&gt;"Yes",A208=""),"",A208+4)</f>
        <v/>
      </c>
      <c r="V208" s="47"/>
      <c r="W208" s="38"/>
      <c r="X208" s="38"/>
      <c r="Y208" s="44"/>
      <c r="Z208" s="44"/>
      <c r="AA208" s="45" t="str">
        <f aca="false">IF(AND($Y208="",$Z208=""),"",ROUND(IFERROR(VALUE(LEFT($Y208,1)),0)*12+IFERROR(VALUE(LEFT($Z208,1)),0)*8,0))</f>
        <v/>
      </c>
      <c r="AB208" s="45" t="str">
        <f aca="false">IF($AA208="","",IF($AA208&gt;=80,"A - call first",IF($AA208&gt;=60,"B - worth pursuing",IF($AA208&gt;=40,"C - nurture","D - do not spend time here"))))</f>
        <v/>
      </c>
      <c r="AC208" s="46" t="str">
        <f aca="false">IF($C208="","",IF($S208="Converted","7 Certification / Enterprise opportunity",IF($S208="Application Started","7 Certification / Enterprise opportunity",IF($S208="Meeting Booked","6 Meeting / Application",IF(OR($S208="Interested",$S208="Info Requested"),"5 Interested",IF(OR($S208="Declined",$S208="Not Relevant"),"0 Closed - no",IF($R208="Yes","4 Contacted",IF($N208="Yes","2 Engaged",IF($M208="Yes","1 Awareness",IF($AA208&gt;=60,"3 Qualified","1 Awareness"))))))))))</f>
        <v/>
      </c>
    </row>
    <row r="209" customFormat="false" ht="30" hidden="false" customHeight="true" outlineLevel="0" collapsed="false">
      <c r="A209" s="36"/>
      <c r="B209" s="37"/>
      <c r="C209" s="37"/>
      <c r="D209" s="37"/>
      <c r="E209" s="37"/>
      <c r="F209" s="37"/>
      <c r="G209" s="37"/>
      <c r="H209" s="37"/>
      <c r="I209" s="37"/>
      <c r="J209" s="47"/>
      <c r="K209" s="41" t="str">
        <f aca="false">IF(J209="","",IF(J209&gt;=8,"Yes","Check"))</f>
        <v/>
      </c>
      <c r="L209" s="38"/>
      <c r="M209" s="47"/>
      <c r="N209" s="47"/>
      <c r="O209" s="37"/>
      <c r="P209" s="38"/>
      <c r="Q209" s="42" t="str">
        <f aca="false">IF(P209="","",LEN(P209))</f>
        <v/>
      </c>
      <c r="R209" s="47"/>
      <c r="S209" s="37"/>
      <c r="T209" s="38"/>
      <c r="U209" s="43" t="str">
        <f aca="false">IF(OR(R209&lt;&gt;"Yes",A209=""),"",A209+4)</f>
        <v/>
      </c>
      <c r="V209" s="47"/>
      <c r="W209" s="38"/>
      <c r="X209" s="38"/>
      <c r="Y209" s="44"/>
      <c r="Z209" s="44"/>
      <c r="AA209" s="45" t="str">
        <f aca="false">IF(AND($Y209="",$Z209=""),"",ROUND(IFERROR(VALUE(LEFT($Y209,1)),0)*12+IFERROR(VALUE(LEFT($Z209,1)),0)*8,0))</f>
        <v/>
      </c>
      <c r="AB209" s="45" t="str">
        <f aca="false">IF($AA209="","",IF($AA209&gt;=80,"A - call first",IF($AA209&gt;=60,"B - worth pursuing",IF($AA209&gt;=40,"C - nurture","D - do not spend time here"))))</f>
        <v/>
      </c>
      <c r="AC209" s="46" t="str">
        <f aca="false">IF($C209="","",IF($S209="Converted","7 Certification / Enterprise opportunity",IF($S209="Application Started","7 Certification / Enterprise opportunity",IF($S209="Meeting Booked","6 Meeting / Application",IF(OR($S209="Interested",$S209="Info Requested"),"5 Interested",IF(OR($S209="Declined",$S209="Not Relevant"),"0 Closed - no",IF($R209="Yes","4 Contacted",IF($N209="Yes","2 Engaged",IF($M209="Yes","1 Awareness",IF($AA209&gt;=60,"3 Qualified","1 Awareness"))))))))))</f>
        <v/>
      </c>
    </row>
    <row r="210" customFormat="false" ht="30" hidden="false" customHeight="true" outlineLevel="0" collapsed="false">
      <c r="A210" s="36"/>
      <c r="B210" s="37"/>
      <c r="C210" s="37"/>
      <c r="D210" s="37"/>
      <c r="E210" s="37"/>
      <c r="F210" s="37"/>
      <c r="G210" s="37"/>
      <c r="H210" s="37"/>
      <c r="I210" s="37"/>
      <c r="J210" s="47"/>
      <c r="K210" s="41" t="str">
        <f aca="false">IF(J210="","",IF(J210&gt;=8,"Yes","Check"))</f>
        <v/>
      </c>
      <c r="L210" s="38"/>
      <c r="M210" s="47"/>
      <c r="N210" s="47"/>
      <c r="O210" s="37"/>
      <c r="P210" s="38"/>
      <c r="Q210" s="42" t="str">
        <f aca="false">IF(P210="","",LEN(P210))</f>
        <v/>
      </c>
      <c r="R210" s="47"/>
      <c r="S210" s="37"/>
      <c r="T210" s="38"/>
      <c r="U210" s="43" t="str">
        <f aca="false">IF(OR(R210&lt;&gt;"Yes",A210=""),"",A210+4)</f>
        <v/>
      </c>
      <c r="V210" s="47"/>
      <c r="W210" s="38"/>
      <c r="X210" s="38"/>
      <c r="Y210" s="44"/>
      <c r="Z210" s="44"/>
      <c r="AA210" s="45" t="str">
        <f aca="false">IF(AND($Y210="",$Z210=""),"",ROUND(IFERROR(VALUE(LEFT($Y210,1)),0)*12+IFERROR(VALUE(LEFT($Z210,1)),0)*8,0))</f>
        <v/>
      </c>
      <c r="AB210" s="45" t="str">
        <f aca="false">IF($AA210="","",IF($AA210&gt;=80,"A - call first",IF($AA210&gt;=60,"B - worth pursuing",IF($AA210&gt;=40,"C - nurture","D - do not spend time here"))))</f>
        <v/>
      </c>
      <c r="AC210" s="46" t="str">
        <f aca="false">IF($C210="","",IF($S210="Converted","7 Certification / Enterprise opportunity",IF($S210="Application Started","7 Certification / Enterprise opportunity",IF($S210="Meeting Booked","6 Meeting / Application",IF(OR($S210="Interested",$S210="Info Requested"),"5 Interested",IF(OR($S210="Declined",$S210="Not Relevant"),"0 Closed - no",IF($R210="Yes","4 Contacted",IF($N210="Yes","2 Engaged",IF($M210="Yes","1 Awareness",IF($AA210&gt;=60,"3 Qualified","1 Awareness"))))))))))</f>
        <v/>
      </c>
    </row>
    <row r="211" customFormat="false" ht="30" hidden="false" customHeight="true" outlineLevel="0" collapsed="false">
      <c r="A211" s="36"/>
      <c r="B211" s="37"/>
      <c r="C211" s="37"/>
      <c r="D211" s="37"/>
      <c r="E211" s="37"/>
      <c r="F211" s="37"/>
      <c r="G211" s="37"/>
      <c r="H211" s="37"/>
      <c r="I211" s="37"/>
      <c r="J211" s="47"/>
      <c r="K211" s="41" t="str">
        <f aca="false">IF(J211="","",IF(J211&gt;=8,"Yes","Check"))</f>
        <v/>
      </c>
      <c r="L211" s="38"/>
      <c r="M211" s="47"/>
      <c r="N211" s="47"/>
      <c r="O211" s="37"/>
      <c r="P211" s="38"/>
      <c r="Q211" s="42" t="str">
        <f aca="false">IF(P211="","",LEN(P211))</f>
        <v/>
      </c>
      <c r="R211" s="47"/>
      <c r="S211" s="37"/>
      <c r="T211" s="38"/>
      <c r="U211" s="43" t="str">
        <f aca="false">IF(OR(R211&lt;&gt;"Yes",A211=""),"",A211+4)</f>
        <v/>
      </c>
      <c r="V211" s="47"/>
      <c r="W211" s="38"/>
      <c r="X211" s="38"/>
      <c r="Y211" s="44"/>
      <c r="Z211" s="44"/>
      <c r="AA211" s="45" t="str">
        <f aca="false">IF(AND($Y211="",$Z211=""),"",ROUND(IFERROR(VALUE(LEFT($Y211,1)),0)*12+IFERROR(VALUE(LEFT($Z211,1)),0)*8,0))</f>
        <v/>
      </c>
      <c r="AB211" s="45" t="str">
        <f aca="false">IF($AA211="","",IF($AA211&gt;=80,"A - call first",IF($AA211&gt;=60,"B - worth pursuing",IF($AA211&gt;=40,"C - nurture","D - do not spend time here"))))</f>
        <v/>
      </c>
      <c r="AC211" s="46" t="str">
        <f aca="false">IF($C211="","",IF($S211="Converted","7 Certification / Enterprise opportunity",IF($S211="Application Started","7 Certification / Enterprise opportunity",IF($S211="Meeting Booked","6 Meeting / Application",IF(OR($S211="Interested",$S211="Info Requested"),"5 Interested",IF(OR($S211="Declined",$S211="Not Relevant"),"0 Closed - no",IF($R211="Yes","4 Contacted",IF($N211="Yes","2 Engaged",IF($M211="Yes","1 Awareness",IF($AA211&gt;=60,"3 Qualified","1 Awareness"))))))))))</f>
        <v/>
      </c>
    </row>
    <row r="212" customFormat="false" ht="30" hidden="false" customHeight="true" outlineLevel="0" collapsed="false">
      <c r="A212" s="36"/>
      <c r="B212" s="37"/>
      <c r="C212" s="37"/>
      <c r="D212" s="37"/>
      <c r="E212" s="37"/>
      <c r="F212" s="37"/>
      <c r="G212" s="37"/>
      <c r="H212" s="37"/>
      <c r="I212" s="37"/>
      <c r="J212" s="47"/>
      <c r="K212" s="41" t="str">
        <f aca="false">IF(J212="","",IF(J212&gt;=8,"Yes","Check"))</f>
        <v/>
      </c>
      <c r="L212" s="38"/>
      <c r="M212" s="47"/>
      <c r="N212" s="47"/>
      <c r="O212" s="37"/>
      <c r="P212" s="38"/>
      <c r="Q212" s="42" t="str">
        <f aca="false">IF(P212="","",LEN(P212))</f>
        <v/>
      </c>
      <c r="R212" s="47"/>
      <c r="S212" s="37"/>
      <c r="T212" s="38"/>
      <c r="U212" s="43" t="str">
        <f aca="false">IF(OR(R212&lt;&gt;"Yes",A212=""),"",A212+4)</f>
        <v/>
      </c>
      <c r="V212" s="47"/>
      <c r="W212" s="38"/>
      <c r="X212" s="38"/>
      <c r="Y212" s="44"/>
      <c r="Z212" s="44"/>
      <c r="AA212" s="45" t="str">
        <f aca="false">IF(AND($Y212="",$Z212=""),"",ROUND(IFERROR(VALUE(LEFT($Y212,1)),0)*12+IFERROR(VALUE(LEFT($Z212,1)),0)*8,0))</f>
        <v/>
      </c>
      <c r="AB212" s="45" t="str">
        <f aca="false">IF($AA212="","",IF($AA212&gt;=80,"A - call first",IF($AA212&gt;=60,"B - worth pursuing",IF($AA212&gt;=40,"C - nurture","D - do not spend time here"))))</f>
        <v/>
      </c>
      <c r="AC212" s="46" t="str">
        <f aca="false">IF($C212="","",IF($S212="Converted","7 Certification / Enterprise opportunity",IF($S212="Application Started","7 Certification / Enterprise opportunity",IF($S212="Meeting Booked","6 Meeting / Application",IF(OR($S212="Interested",$S212="Info Requested"),"5 Interested",IF(OR($S212="Declined",$S212="Not Relevant"),"0 Closed - no",IF($R212="Yes","4 Contacted",IF($N212="Yes","2 Engaged",IF($M212="Yes","1 Awareness",IF($AA212&gt;=60,"3 Qualified","1 Awareness"))))))))))</f>
        <v/>
      </c>
    </row>
    <row r="213" customFormat="false" ht="30" hidden="false" customHeight="true" outlineLevel="0" collapsed="false">
      <c r="A213" s="36"/>
      <c r="B213" s="37"/>
      <c r="C213" s="37"/>
      <c r="D213" s="37"/>
      <c r="E213" s="37"/>
      <c r="F213" s="37"/>
      <c r="G213" s="37"/>
      <c r="H213" s="37"/>
      <c r="I213" s="37"/>
      <c r="J213" s="47"/>
      <c r="K213" s="41" t="str">
        <f aca="false">IF(J213="","",IF(J213&gt;=8,"Yes","Check"))</f>
        <v/>
      </c>
      <c r="L213" s="38"/>
      <c r="M213" s="47"/>
      <c r="N213" s="47"/>
      <c r="O213" s="37"/>
      <c r="P213" s="38"/>
      <c r="Q213" s="42" t="str">
        <f aca="false">IF(P213="","",LEN(P213))</f>
        <v/>
      </c>
      <c r="R213" s="47"/>
      <c r="S213" s="37"/>
      <c r="T213" s="38"/>
      <c r="U213" s="43" t="str">
        <f aca="false">IF(OR(R213&lt;&gt;"Yes",A213=""),"",A213+4)</f>
        <v/>
      </c>
      <c r="V213" s="47"/>
      <c r="W213" s="38"/>
      <c r="X213" s="38"/>
      <c r="Y213" s="44"/>
      <c r="Z213" s="44"/>
      <c r="AA213" s="45" t="str">
        <f aca="false">IF(AND($Y213="",$Z213=""),"",ROUND(IFERROR(VALUE(LEFT($Y213,1)),0)*12+IFERROR(VALUE(LEFT($Z213,1)),0)*8,0))</f>
        <v/>
      </c>
      <c r="AB213" s="45" t="str">
        <f aca="false">IF($AA213="","",IF($AA213&gt;=80,"A - call first",IF($AA213&gt;=60,"B - worth pursuing",IF($AA213&gt;=40,"C - nurture","D - do not spend time here"))))</f>
        <v/>
      </c>
      <c r="AC213" s="46" t="str">
        <f aca="false">IF($C213="","",IF($S213="Converted","7 Certification / Enterprise opportunity",IF($S213="Application Started","7 Certification / Enterprise opportunity",IF($S213="Meeting Booked","6 Meeting / Application",IF(OR($S213="Interested",$S213="Info Requested"),"5 Interested",IF(OR($S213="Declined",$S213="Not Relevant"),"0 Closed - no",IF($R213="Yes","4 Contacted",IF($N213="Yes","2 Engaged",IF($M213="Yes","1 Awareness",IF($AA213&gt;=60,"3 Qualified","1 Awareness"))))))))))</f>
        <v/>
      </c>
    </row>
    <row r="214" customFormat="false" ht="30" hidden="false" customHeight="true" outlineLevel="0" collapsed="false">
      <c r="A214" s="36"/>
      <c r="B214" s="37"/>
      <c r="C214" s="37"/>
      <c r="D214" s="37"/>
      <c r="E214" s="37"/>
      <c r="F214" s="37"/>
      <c r="G214" s="37"/>
      <c r="H214" s="37"/>
      <c r="I214" s="37"/>
      <c r="J214" s="47"/>
      <c r="K214" s="41" t="str">
        <f aca="false">IF(J214="","",IF(J214&gt;=8,"Yes","Check"))</f>
        <v/>
      </c>
      <c r="L214" s="38"/>
      <c r="M214" s="47"/>
      <c r="N214" s="47"/>
      <c r="O214" s="37"/>
      <c r="P214" s="38"/>
      <c r="Q214" s="42" t="str">
        <f aca="false">IF(P214="","",LEN(P214))</f>
        <v/>
      </c>
      <c r="R214" s="47"/>
      <c r="S214" s="37"/>
      <c r="T214" s="38"/>
      <c r="U214" s="43" t="str">
        <f aca="false">IF(OR(R214&lt;&gt;"Yes",A214=""),"",A214+4)</f>
        <v/>
      </c>
      <c r="V214" s="47"/>
      <c r="W214" s="38"/>
      <c r="X214" s="38"/>
      <c r="Y214" s="44"/>
      <c r="Z214" s="44"/>
      <c r="AA214" s="45" t="str">
        <f aca="false">IF(AND($Y214="",$Z214=""),"",ROUND(IFERROR(VALUE(LEFT($Y214,1)),0)*12+IFERROR(VALUE(LEFT($Z214,1)),0)*8,0))</f>
        <v/>
      </c>
      <c r="AB214" s="45" t="str">
        <f aca="false">IF($AA214="","",IF($AA214&gt;=80,"A - call first",IF($AA214&gt;=60,"B - worth pursuing",IF($AA214&gt;=40,"C - nurture","D - do not spend time here"))))</f>
        <v/>
      </c>
      <c r="AC214" s="46" t="str">
        <f aca="false">IF($C214="","",IF($S214="Converted","7 Certification / Enterprise opportunity",IF($S214="Application Started","7 Certification / Enterprise opportunity",IF($S214="Meeting Booked","6 Meeting / Application",IF(OR($S214="Interested",$S214="Info Requested"),"5 Interested",IF(OR($S214="Declined",$S214="Not Relevant"),"0 Closed - no",IF($R214="Yes","4 Contacted",IF($N214="Yes","2 Engaged",IF($M214="Yes","1 Awareness",IF($AA214&gt;=60,"3 Qualified","1 Awareness"))))))))))</f>
        <v/>
      </c>
    </row>
    <row r="215" customFormat="false" ht="30" hidden="false" customHeight="true" outlineLevel="0" collapsed="false">
      <c r="A215" s="36"/>
      <c r="B215" s="37"/>
      <c r="C215" s="37"/>
      <c r="D215" s="37"/>
      <c r="E215" s="37"/>
      <c r="F215" s="37"/>
      <c r="G215" s="37"/>
      <c r="H215" s="37"/>
      <c r="I215" s="37"/>
      <c r="J215" s="47"/>
      <c r="K215" s="41" t="str">
        <f aca="false">IF(J215="","",IF(J215&gt;=8,"Yes","Check"))</f>
        <v/>
      </c>
      <c r="L215" s="38"/>
      <c r="M215" s="47"/>
      <c r="N215" s="47"/>
      <c r="O215" s="37"/>
      <c r="P215" s="38"/>
      <c r="Q215" s="42" t="str">
        <f aca="false">IF(P215="","",LEN(P215))</f>
        <v/>
      </c>
      <c r="R215" s="47"/>
      <c r="S215" s="37"/>
      <c r="T215" s="38"/>
      <c r="U215" s="43" t="str">
        <f aca="false">IF(OR(R215&lt;&gt;"Yes",A215=""),"",A215+4)</f>
        <v/>
      </c>
      <c r="V215" s="47"/>
      <c r="W215" s="38"/>
      <c r="X215" s="38"/>
      <c r="Y215" s="44"/>
      <c r="Z215" s="44"/>
      <c r="AA215" s="45" t="str">
        <f aca="false">IF(AND($Y215="",$Z215=""),"",ROUND(IFERROR(VALUE(LEFT($Y215,1)),0)*12+IFERROR(VALUE(LEFT($Z215,1)),0)*8,0))</f>
        <v/>
      </c>
      <c r="AB215" s="45" t="str">
        <f aca="false">IF($AA215="","",IF($AA215&gt;=80,"A - call first",IF($AA215&gt;=60,"B - worth pursuing",IF($AA215&gt;=40,"C - nurture","D - do not spend time here"))))</f>
        <v/>
      </c>
      <c r="AC215" s="46" t="str">
        <f aca="false">IF($C215="","",IF($S215="Converted","7 Certification / Enterprise opportunity",IF($S215="Application Started","7 Certification / Enterprise opportunity",IF($S215="Meeting Booked","6 Meeting / Application",IF(OR($S215="Interested",$S215="Info Requested"),"5 Interested",IF(OR($S215="Declined",$S215="Not Relevant"),"0 Closed - no",IF($R215="Yes","4 Contacted",IF($N215="Yes","2 Engaged",IF($M215="Yes","1 Awareness",IF($AA215&gt;=60,"3 Qualified","1 Awareness"))))))))))</f>
        <v/>
      </c>
    </row>
    <row r="216" customFormat="false" ht="30" hidden="false" customHeight="true" outlineLevel="0" collapsed="false">
      <c r="A216" s="36"/>
      <c r="B216" s="37"/>
      <c r="C216" s="37"/>
      <c r="D216" s="37"/>
      <c r="E216" s="37"/>
      <c r="F216" s="37"/>
      <c r="G216" s="37"/>
      <c r="H216" s="37"/>
      <c r="I216" s="37"/>
      <c r="J216" s="47"/>
      <c r="K216" s="41" t="str">
        <f aca="false">IF(J216="","",IF(J216&gt;=8,"Yes","Check"))</f>
        <v/>
      </c>
      <c r="L216" s="38"/>
      <c r="M216" s="47"/>
      <c r="N216" s="47"/>
      <c r="O216" s="37"/>
      <c r="P216" s="38"/>
      <c r="Q216" s="42" t="str">
        <f aca="false">IF(P216="","",LEN(P216))</f>
        <v/>
      </c>
      <c r="R216" s="47"/>
      <c r="S216" s="37"/>
      <c r="T216" s="38"/>
      <c r="U216" s="43" t="str">
        <f aca="false">IF(OR(R216&lt;&gt;"Yes",A216=""),"",A216+4)</f>
        <v/>
      </c>
      <c r="V216" s="47"/>
      <c r="W216" s="38"/>
      <c r="X216" s="38"/>
      <c r="Y216" s="44"/>
      <c r="Z216" s="44"/>
      <c r="AA216" s="45" t="str">
        <f aca="false">IF(AND($Y216="",$Z216=""),"",ROUND(IFERROR(VALUE(LEFT($Y216,1)),0)*12+IFERROR(VALUE(LEFT($Z216,1)),0)*8,0))</f>
        <v/>
      </c>
      <c r="AB216" s="45" t="str">
        <f aca="false">IF($AA216="","",IF($AA216&gt;=80,"A - call first",IF($AA216&gt;=60,"B - worth pursuing",IF($AA216&gt;=40,"C - nurture","D - do not spend time here"))))</f>
        <v/>
      </c>
      <c r="AC216" s="46" t="str">
        <f aca="false">IF($C216="","",IF($S216="Converted","7 Certification / Enterprise opportunity",IF($S216="Application Started","7 Certification / Enterprise opportunity",IF($S216="Meeting Booked","6 Meeting / Application",IF(OR($S216="Interested",$S216="Info Requested"),"5 Interested",IF(OR($S216="Declined",$S216="Not Relevant"),"0 Closed - no",IF($R216="Yes","4 Contacted",IF($N216="Yes","2 Engaged",IF($M216="Yes","1 Awareness",IF($AA216&gt;=60,"3 Qualified","1 Awareness"))))))))))</f>
        <v/>
      </c>
    </row>
    <row r="217" customFormat="false" ht="30" hidden="false" customHeight="true" outlineLevel="0" collapsed="false">
      <c r="A217" s="36"/>
      <c r="B217" s="37"/>
      <c r="C217" s="37"/>
      <c r="D217" s="37"/>
      <c r="E217" s="37"/>
      <c r="F217" s="37"/>
      <c r="G217" s="37"/>
      <c r="H217" s="37"/>
      <c r="I217" s="37"/>
      <c r="J217" s="47"/>
      <c r="K217" s="41" t="str">
        <f aca="false">IF(J217="","",IF(J217&gt;=8,"Yes","Check"))</f>
        <v/>
      </c>
      <c r="L217" s="38"/>
      <c r="M217" s="47"/>
      <c r="N217" s="47"/>
      <c r="O217" s="37"/>
      <c r="P217" s="38"/>
      <c r="Q217" s="42" t="str">
        <f aca="false">IF(P217="","",LEN(P217))</f>
        <v/>
      </c>
      <c r="R217" s="47"/>
      <c r="S217" s="37"/>
      <c r="T217" s="38"/>
      <c r="U217" s="43" t="str">
        <f aca="false">IF(OR(R217&lt;&gt;"Yes",A217=""),"",A217+4)</f>
        <v/>
      </c>
      <c r="V217" s="47"/>
      <c r="W217" s="38"/>
      <c r="X217" s="38"/>
      <c r="Y217" s="44"/>
      <c r="Z217" s="44"/>
      <c r="AA217" s="45" t="str">
        <f aca="false">IF(AND($Y217="",$Z217=""),"",ROUND(IFERROR(VALUE(LEFT($Y217,1)),0)*12+IFERROR(VALUE(LEFT($Z217,1)),0)*8,0))</f>
        <v/>
      </c>
      <c r="AB217" s="45" t="str">
        <f aca="false">IF($AA217="","",IF($AA217&gt;=80,"A - call first",IF($AA217&gt;=60,"B - worth pursuing",IF($AA217&gt;=40,"C - nurture","D - do not spend time here"))))</f>
        <v/>
      </c>
      <c r="AC217" s="46" t="str">
        <f aca="false">IF($C217="","",IF($S217="Converted","7 Certification / Enterprise opportunity",IF($S217="Application Started","7 Certification / Enterprise opportunity",IF($S217="Meeting Booked","6 Meeting / Application",IF(OR($S217="Interested",$S217="Info Requested"),"5 Interested",IF(OR($S217="Declined",$S217="Not Relevant"),"0 Closed - no",IF($R217="Yes","4 Contacted",IF($N217="Yes","2 Engaged",IF($M217="Yes","1 Awareness",IF($AA217&gt;=60,"3 Qualified","1 Awareness"))))))))))</f>
        <v/>
      </c>
    </row>
    <row r="218" customFormat="false" ht="30" hidden="false" customHeight="true" outlineLevel="0" collapsed="false">
      <c r="A218" s="36"/>
      <c r="B218" s="37"/>
      <c r="C218" s="37"/>
      <c r="D218" s="37"/>
      <c r="E218" s="37"/>
      <c r="F218" s="37"/>
      <c r="G218" s="37"/>
      <c r="H218" s="37"/>
      <c r="I218" s="37"/>
      <c r="J218" s="47"/>
      <c r="K218" s="41" t="str">
        <f aca="false">IF(J218="","",IF(J218&gt;=8,"Yes","Check"))</f>
        <v/>
      </c>
      <c r="L218" s="38"/>
      <c r="M218" s="47"/>
      <c r="N218" s="47"/>
      <c r="O218" s="37"/>
      <c r="P218" s="38"/>
      <c r="Q218" s="42" t="str">
        <f aca="false">IF(P218="","",LEN(P218))</f>
        <v/>
      </c>
      <c r="R218" s="47"/>
      <c r="S218" s="37"/>
      <c r="T218" s="38"/>
      <c r="U218" s="43" t="str">
        <f aca="false">IF(OR(R218&lt;&gt;"Yes",A218=""),"",A218+4)</f>
        <v/>
      </c>
      <c r="V218" s="47"/>
      <c r="W218" s="38"/>
      <c r="X218" s="38"/>
      <c r="Y218" s="44"/>
      <c r="Z218" s="44"/>
      <c r="AA218" s="45" t="str">
        <f aca="false">IF(AND($Y218="",$Z218=""),"",ROUND(IFERROR(VALUE(LEFT($Y218,1)),0)*12+IFERROR(VALUE(LEFT($Z218,1)),0)*8,0))</f>
        <v/>
      </c>
      <c r="AB218" s="45" t="str">
        <f aca="false">IF($AA218="","",IF($AA218&gt;=80,"A - call first",IF($AA218&gt;=60,"B - worth pursuing",IF($AA218&gt;=40,"C - nurture","D - do not spend time here"))))</f>
        <v/>
      </c>
      <c r="AC218" s="46" t="str">
        <f aca="false">IF($C218="","",IF($S218="Converted","7 Certification / Enterprise opportunity",IF($S218="Application Started","7 Certification / Enterprise opportunity",IF($S218="Meeting Booked","6 Meeting / Application",IF(OR($S218="Interested",$S218="Info Requested"),"5 Interested",IF(OR($S218="Declined",$S218="Not Relevant"),"0 Closed - no",IF($R218="Yes","4 Contacted",IF($N218="Yes","2 Engaged",IF($M218="Yes","1 Awareness",IF($AA218&gt;=60,"3 Qualified","1 Awareness"))))))))))</f>
        <v/>
      </c>
    </row>
    <row r="219" customFormat="false" ht="30" hidden="false" customHeight="true" outlineLevel="0" collapsed="false">
      <c r="A219" s="36"/>
      <c r="B219" s="37"/>
      <c r="C219" s="37"/>
      <c r="D219" s="37"/>
      <c r="E219" s="37"/>
      <c r="F219" s="37"/>
      <c r="G219" s="37"/>
      <c r="H219" s="37"/>
      <c r="I219" s="37"/>
      <c r="J219" s="47"/>
      <c r="K219" s="41" t="str">
        <f aca="false">IF(J219="","",IF(J219&gt;=8,"Yes","Check"))</f>
        <v/>
      </c>
      <c r="L219" s="38"/>
      <c r="M219" s="47"/>
      <c r="N219" s="47"/>
      <c r="O219" s="37"/>
      <c r="P219" s="38"/>
      <c r="Q219" s="42" t="str">
        <f aca="false">IF(P219="","",LEN(P219))</f>
        <v/>
      </c>
      <c r="R219" s="47"/>
      <c r="S219" s="37"/>
      <c r="T219" s="38"/>
      <c r="U219" s="43" t="str">
        <f aca="false">IF(OR(R219&lt;&gt;"Yes",A219=""),"",A219+4)</f>
        <v/>
      </c>
      <c r="V219" s="47"/>
      <c r="W219" s="38"/>
      <c r="X219" s="38"/>
      <c r="Y219" s="44"/>
      <c r="Z219" s="44"/>
      <c r="AA219" s="45" t="str">
        <f aca="false">IF(AND($Y219="",$Z219=""),"",ROUND(IFERROR(VALUE(LEFT($Y219,1)),0)*12+IFERROR(VALUE(LEFT($Z219,1)),0)*8,0))</f>
        <v/>
      </c>
      <c r="AB219" s="45" t="str">
        <f aca="false">IF($AA219="","",IF($AA219&gt;=80,"A - call first",IF($AA219&gt;=60,"B - worth pursuing",IF($AA219&gt;=40,"C - nurture","D - do not spend time here"))))</f>
        <v/>
      </c>
      <c r="AC219" s="46" t="str">
        <f aca="false">IF($C219="","",IF($S219="Converted","7 Certification / Enterprise opportunity",IF($S219="Application Started","7 Certification / Enterprise opportunity",IF($S219="Meeting Booked","6 Meeting / Application",IF(OR($S219="Interested",$S219="Info Requested"),"5 Interested",IF(OR($S219="Declined",$S219="Not Relevant"),"0 Closed - no",IF($R219="Yes","4 Contacted",IF($N219="Yes","2 Engaged",IF($M219="Yes","1 Awareness",IF($AA219&gt;=60,"3 Qualified","1 Awareness"))))))))))</f>
        <v/>
      </c>
    </row>
    <row r="220" customFormat="false" ht="30" hidden="false" customHeight="true" outlineLevel="0" collapsed="false">
      <c r="A220" s="36"/>
      <c r="B220" s="37"/>
      <c r="C220" s="37"/>
      <c r="D220" s="37"/>
      <c r="E220" s="37"/>
      <c r="F220" s="37"/>
      <c r="G220" s="37"/>
      <c r="H220" s="37"/>
      <c r="I220" s="37"/>
      <c r="J220" s="47"/>
      <c r="K220" s="41" t="str">
        <f aca="false">IF(J220="","",IF(J220&gt;=8,"Yes","Check"))</f>
        <v/>
      </c>
      <c r="L220" s="38"/>
      <c r="M220" s="47"/>
      <c r="N220" s="47"/>
      <c r="O220" s="37"/>
      <c r="P220" s="38"/>
      <c r="Q220" s="42" t="str">
        <f aca="false">IF(P220="","",LEN(P220))</f>
        <v/>
      </c>
      <c r="R220" s="47"/>
      <c r="S220" s="37"/>
      <c r="T220" s="38"/>
      <c r="U220" s="43" t="str">
        <f aca="false">IF(OR(R220&lt;&gt;"Yes",A220=""),"",A220+4)</f>
        <v/>
      </c>
      <c r="V220" s="47"/>
      <c r="W220" s="38"/>
      <c r="X220" s="38"/>
      <c r="Y220" s="44"/>
      <c r="Z220" s="44"/>
      <c r="AA220" s="45" t="str">
        <f aca="false">IF(AND($Y220="",$Z220=""),"",ROUND(IFERROR(VALUE(LEFT($Y220,1)),0)*12+IFERROR(VALUE(LEFT($Z220,1)),0)*8,0))</f>
        <v/>
      </c>
      <c r="AB220" s="45" t="str">
        <f aca="false">IF($AA220="","",IF($AA220&gt;=80,"A - call first",IF($AA220&gt;=60,"B - worth pursuing",IF($AA220&gt;=40,"C - nurture","D - do not spend time here"))))</f>
        <v/>
      </c>
      <c r="AC220" s="46" t="str">
        <f aca="false">IF($C220="","",IF($S220="Converted","7 Certification / Enterprise opportunity",IF($S220="Application Started","7 Certification / Enterprise opportunity",IF($S220="Meeting Booked","6 Meeting / Application",IF(OR($S220="Interested",$S220="Info Requested"),"5 Interested",IF(OR($S220="Declined",$S220="Not Relevant"),"0 Closed - no",IF($R220="Yes","4 Contacted",IF($N220="Yes","2 Engaged",IF($M220="Yes","1 Awareness",IF($AA220&gt;=60,"3 Qualified","1 Awareness"))))))))))</f>
        <v/>
      </c>
    </row>
    <row r="221" customFormat="false" ht="30" hidden="false" customHeight="true" outlineLevel="0" collapsed="false">
      <c r="A221" s="36"/>
      <c r="B221" s="37"/>
      <c r="C221" s="37"/>
      <c r="D221" s="37"/>
      <c r="E221" s="37"/>
      <c r="F221" s="37"/>
      <c r="G221" s="37"/>
      <c r="H221" s="37"/>
      <c r="I221" s="37"/>
      <c r="J221" s="47"/>
      <c r="K221" s="41" t="str">
        <f aca="false">IF(J221="","",IF(J221&gt;=8,"Yes","Check"))</f>
        <v/>
      </c>
      <c r="L221" s="38"/>
      <c r="M221" s="47"/>
      <c r="N221" s="47"/>
      <c r="O221" s="37"/>
      <c r="P221" s="38"/>
      <c r="Q221" s="42" t="str">
        <f aca="false">IF(P221="","",LEN(P221))</f>
        <v/>
      </c>
      <c r="R221" s="47"/>
      <c r="S221" s="37"/>
      <c r="T221" s="38"/>
      <c r="U221" s="43" t="str">
        <f aca="false">IF(OR(R221&lt;&gt;"Yes",A221=""),"",A221+4)</f>
        <v/>
      </c>
      <c r="V221" s="47"/>
      <c r="W221" s="38"/>
      <c r="X221" s="38"/>
      <c r="Y221" s="44"/>
      <c r="Z221" s="44"/>
      <c r="AA221" s="45" t="str">
        <f aca="false">IF(AND($Y221="",$Z221=""),"",ROUND(IFERROR(VALUE(LEFT($Y221,1)),0)*12+IFERROR(VALUE(LEFT($Z221,1)),0)*8,0))</f>
        <v/>
      </c>
      <c r="AB221" s="45" t="str">
        <f aca="false">IF($AA221="","",IF($AA221&gt;=80,"A - call first",IF($AA221&gt;=60,"B - worth pursuing",IF($AA221&gt;=40,"C - nurture","D - do not spend time here"))))</f>
        <v/>
      </c>
      <c r="AC221" s="46" t="str">
        <f aca="false">IF($C221="","",IF($S221="Converted","7 Certification / Enterprise opportunity",IF($S221="Application Started","7 Certification / Enterprise opportunity",IF($S221="Meeting Booked","6 Meeting / Application",IF(OR($S221="Interested",$S221="Info Requested"),"5 Interested",IF(OR($S221="Declined",$S221="Not Relevant"),"0 Closed - no",IF($R221="Yes","4 Contacted",IF($N221="Yes","2 Engaged",IF($M221="Yes","1 Awareness",IF($AA221&gt;=60,"3 Qualified","1 Awareness"))))))))))</f>
        <v/>
      </c>
    </row>
    <row r="222" customFormat="false" ht="30" hidden="false" customHeight="true" outlineLevel="0" collapsed="false">
      <c r="A222" s="36"/>
      <c r="B222" s="37"/>
      <c r="C222" s="37"/>
      <c r="D222" s="37"/>
      <c r="E222" s="37"/>
      <c r="F222" s="37"/>
      <c r="G222" s="37"/>
      <c r="H222" s="37"/>
      <c r="I222" s="37"/>
      <c r="J222" s="47"/>
      <c r="K222" s="41" t="str">
        <f aca="false">IF(J222="","",IF(J222&gt;=8,"Yes","Check"))</f>
        <v/>
      </c>
      <c r="L222" s="38"/>
      <c r="M222" s="47"/>
      <c r="N222" s="47"/>
      <c r="O222" s="37"/>
      <c r="P222" s="38"/>
      <c r="Q222" s="42" t="str">
        <f aca="false">IF(P222="","",LEN(P222))</f>
        <v/>
      </c>
      <c r="R222" s="47"/>
      <c r="S222" s="37"/>
      <c r="T222" s="38"/>
      <c r="U222" s="43" t="str">
        <f aca="false">IF(OR(R222&lt;&gt;"Yes",A222=""),"",A222+4)</f>
        <v/>
      </c>
      <c r="V222" s="47"/>
      <c r="W222" s="38"/>
      <c r="X222" s="38"/>
      <c r="Y222" s="44"/>
      <c r="Z222" s="44"/>
      <c r="AA222" s="45" t="str">
        <f aca="false">IF(AND($Y222="",$Z222=""),"",ROUND(IFERROR(VALUE(LEFT($Y222,1)),0)*12+IFERROR(VALUE(LEFT($Z222,1)),0)*8,0))</f>
        <v/>
      </c>
      <c r="AB222" s="45" t="str">
        <f aca="false">IF($AA222="","",IF($AA222&gt;=80,"A - call first",IF($AA222&gt;=60,"B - worth pursuing",IF($AA222&gt;=40,"C - nurture","D - do not spend time here"))))</f>
        <v/>
      </c>
      <c r="AC222" s="46" t="str">
        <f aca="false">IF($C222="","",IF($S222="Converted","7 Certification / Enterprise opportunity",IF($S222="Application Started","7 Certification / Enterprise opportunity",IF($S222="Meeting Booked","6 Meeting / Application",IF(OR($S222="Interested",$S222="Info Requested"),"5 Interested",IF(OR($S222="Declined",$S222="Not Relevant"),"0 Closed - no",IF($R222="Yes","4 Contacted",IF($N222="Yes","2 Engaged",IF($M222="Yes","1 Awareness",IF($AA222&gt;=60,"3 Qualified","1 Awareness"))))))))))</f>
        <v/>
      </c>
    </row>
    <row r="223" customFormat="false" ht="30" hidden="false" customHeight="true" outlineLevel="0" collapsed="false">
      <c r="A223" s="36"/>
      <c r="B223" s="37"/>
      <c r="C223" s="37"/>
      <c r="D223" s="37"/>
      <c r="E223" s="37"/>
      <c r="F223" s="37"/>
      <c r="G223" s="37"/>
      <c r="H223" s="37"/>
      <c r="I223" s="37"/>
      <c r="J223" s="47"/>
      <c r="K223" s="41" t="str">
        <f aca="false">IF(J223="","",IF(J223&gt;=8,"Yes","Check"))</f>
        <v/>
      </c>
      <c r="L223" s="38"/>
      <c r="M223" s="47"/>
      <c r="N223" s="47"/>
      <c r="O223" s="37"/>
      <c r="P223" s="38"/>
      <c r="Q223" s="42" t="str">
        <f aca="false">IF(P223="","",LEN(P223))</f>
        <v/>
      </c>
      <c r="R223" s="47"/>
      <c r="S223" s="37"/>
      <c r="T223" s="38"/>
      <c r="U223" s="43" t="str">
        <f aca="false">IF(OR(R223&lt;&gt;"Yes",A223=""),"",A223+4)</f>
        <v/>
      </c>
      <c r="V223" s="47"/>
      <c r="W223" s="38"/>
      <c r="X223" s="38"/>
      <c r="Y223" s="44"/>
      <c r="Z223" s="44"/>
      <c r="AA223" s="45" t="str">
        <f aca="false">IF(AND($Y223="",$Z223=""),"",ROUND(IFERROR(VALUE(LEFT($Y223,1)),0)*12+IFERROR(VALUE(LEFT($Z223,1)),0)*8,0))</f>
        <v/>
      </c>
      <c r="AB223" s="45" t="str">
        <f aca="false">IF($AA223="","",IF($AA223&gt;=80,"A - call first",IF($AA223&gt;=60,"B - worth pursuing",IF($AA223&gt;=40,"C - nurture","D - do not spend time here"))))</f>
        <v/>
      </c>
      <c r="AC223" s="46" t="str">
        <f aca="false">IF($C223="","",IF($S223="Converted","7 Certification / Enterprise opportunity",IF($S223="Application Started","7 Certification / Enterprise opportunity",IF($S223="Meeting Booked","6 Meeting / Application",IF(OR($S223="Interested",$S223="Info Requested"),"5 Interested",IF(OR($S223="Declined",$S223="Not Relevant"),"0 Closed - no",IF($R223="Yes","4 Contacted",IF($N223="Yes","2 Engaged",IF($M223="Yes","1 Awareness",IF($AA223&gt;=60,"3 Qualified","1 Awareness"))))))))))</f>
        <v/>
      </c>
    </row>
    <row r="224" customFormat="false" ht="30" hidden="false" customHeight="true" outlineLevel="0" collapsed="false">
      <c r="A224" s="36"/>
      <c r="B224" s="37"/>
      <c r="C224" s="37"/>
      <c r="D224" s="37"/>
      <c r="E224" s="37"/>
      <c r="F224" s="37"/>
      <c r="G224" s="37"/>
      <c r="H224" s="37"/>
      <c r="I224" s="37"/>
      <c r="J224" s="47"/>
      <c r="K224" s="41" t="str">
        <f aca="false">IF(J224="","",IF(J224&gt;=8,"Yes","Check"))</f>
        <v/>
      </c>
      <c r="L224" s="38"/>
      <c r="M224" s="47"/>
      <c r="N224" s="47"/>
      <c r="O224" s="37"/>
      <c r="P224" s="38"/>
      <c r="Q224" s="42" t="str">
        <f aca="false">IF(P224="","",LEN(P224))</f>
        <v/>
      </c>
      <c r="R224" s="47"/>
      <c r="S224" s="37"/>
      <c r="T224" s="38"/>
      <c r="U224" s="43" t="str">
        <f aca="false">IF(OR(R224&lt;&gt;"Yes",A224=""),"",A224+4)</f>
        <v/>
      </c>
      <c r="V224" s="47"/>
      <c r="W224" s="38"/>
      <c r="X224" s="38"/>
      <c r="Y224" s="44"/>
      <c r="Z224" s="44"/>
      <c r="AA224" s="45" t="str">
        <f aca="false">IF(AND($Y224="",$Z224=""),"",ROUND(IFERROR(VALUE(LEFT($Y224,1)),0)*12+IFERROR(VALUE(LEFT($Z224,1)),0)*8,0))</f>
        <v/>
      </c>
      <c r="AB224" s="45" t="str">
        <f aca="false">IF($AA224="","",IF($AA224&gt;=80,"A - call first",IF($AA224&gt;=60,"B - worth pursuing",IF($AA224&gt;=40,"C - nurture","D - do not spend time here"))))</f>
        <v/>
      </c>
      <c r="AC224" s="46" t="str">
        <f aca="false">IF($C224="","",IF($S224="Converted","7 Certification / Enterprise opportunity",IF($S224="Application Started","7 Certification / Enterprise opportunity",IF($S224="Meeting Booked","6 Meeting / Application",IF(OR($S224="Interested",$S224="Info Requested"),"5 Interested",IF(OR($S224="Declined",$S224="Not Relevant"),"0 Closed - no",IF($R224="Yes","4 Contacted",IF($N224="Yes","2 Engaged",IF($M224="Yes","1 Awareness",IF($AA224&gt;=60,"3 Qualified","1 Awareness"))))))))))</f>
        <v/>
      </c>
    </row>
    <row r="225" customFormat="false" ht="30" hidden="false" customHeight="true" outlineLevel="0" collapsed="false">
      <c r="A225" s="36"/>
      <c r="B225" s="37"/>
      <c r="C225" s="37"/>
      <c r="D225" s="37"/>
      <c r="E225" s="37"/>
      <c r="F225" s="37"/>
      <c r="G225" s="37"/>
      <c r="H225" s="37"/>
      <c r="I225" s="37"/>
      <c r="J225" s="47"/>
      <c r="K225" s="41" t="str">
        <f aca="false">IF(J225="","",IF(J225&gt;=8,"Yes","Check"))</f>
        <v/>
      </c>
      <c r="L225" s="38"/>
      <c r="M225" s="47"/>
      <c r="N225" s="47"/>
      <c r="O225" s="37"/>
      <c r="P225" s="38"/>
      <c r="Q225" s="42" t="str">
        <f aca="false">IF(P225="","",LEN(P225))</f>
        <v/>
      </c>
      <c r="R225" s="47"/>
      <c r="S225" s="37"/>
      <c r="T225" s="38"/>
      <c r="U225" s="43" t="str">
        <f aca="false">IF(OR(R225&lt;&gt;"Yes",A225=""),"",A225+4)</f>
        <v/>
      </c>
      <c r="V225" s="47"/>
      <c r="W225" s="38"/>
      <c r="X225" s="38"/>
      <c r="Y225" s="44"/>
      <c r="Z225" s="44"/>
      <c r="AA225" s="45" t="str">
        <f aca="false">IF(AND($Y225="",$Z225=""),"",ROUND(IFERROR(VALUE(LEFT($Y225,1)),0)*12+IFERROR(VALUE(LEFT($Z225,1)),0)*8,0))</f>
        <v/>
      </c>
      <c r="AB225" s="45" t="str">
        <f aca="false">IF($AA225="","",IF($AA225&gt;=80,"A - call first",IF($AA225&gt;=60,"B - worth pursuing",IF($AA225&gt;=40,"C - nurture","D - do not spend time here"))))</f>
        <v/>
      </c>
      <c r="AC225" s="46" t="str">
        <f aca="false">IF($C225="","",IF($S225="Converted","7 Certification / Enterprise opportunity",IF($S225="Application Started","7 Certification / Enterprise opportunity",IF($S225="Meeting Booked","6 Meeting / Application",IF(OR($S225="Interested",$S225="Info Requested"),"5 Interested",IF(OR($S225="Declined",$S225="Not Relevant"),"0 Closed - no",IF($R225="Yes","4 Contacted",IF($N225="Yes","2 Engaged",IF($M225="Yes","1 Awareness",IF($AA225&gt;=60,"3 Qualified","1 Awareness"))))))))))</f>
        <v/>
      </c>
    </row>
    <row r="226" customFormat="false" ht="30" hidden="false" customHeight="true" outlineLevel="0" collapsed="false">
      <c r="A226" s="36"/>
      <c r="B226" s="37"/>
      <c r="C226" s="37"/>
      <c r="D226" s="37"/>
      <c r="E226" s="37"/>
      <c r="F226" s="37"/>
      <c r="G226" s="37"/>
      <c r="H226" s="37"/>
      <c r="I226" s="37"/>
      <c r="J226" s="47"/>
      <c r="K226" s="41" t="str">
        <f aca="false">IF(J226="","",IF(J226&gt;=8,"Yes","Check"))</f>
        <v/>
      </c>
      <c r="L226" s="38"/>
      <c r="M226" s="47"/>
      <c r="N226" s="47"/>
      <c r="O226" s="37"/>
      <c r="P226" s="38"/>
      <c r="Q226" s="42" t="str">
        <f aca="false">IF(P226="","",LEN(P226))</f>
        <v/>
      </c>
      <c r="R226" s="47"/>
      <c r="S226" s="37"/>
      <c r="T226" s="38"/>
      <c r="U226" s="43" t="str">
        <f aca="false">IF(OR(R226&lt;&gt;"Yes",A226=""),"",A226+4)</f>
        <v/>
      </c>
      <c r="V226" s="47"/>
      <c r="W226" s="38"/>
      <c r="X226" s="38"/>
      <c r="Y226" s="44"/>
      <c r="Z226" s="44"/>
      <c r="AA226" s="45" t="str">
        <f aca="false">IF(AND($Y226="",$Z226=""),"",ROUND(IFERROR(VALUE(LEFT($Y226,1)),0)*12+IFERROR(VALUE(LEFT($Z226,1)),0)*8,0))</f>
        <v/>
      </c>
      <c r="AB226" s="45" t="str">
        <f aca="false">IF($AA226="","",IF($AA226&gt;=80,"A - call first",IF($AA226&gt;=60,"B - worth pursuing",IF($AA226&gt;=40,"C - nurture","D - do not spend time here"))))</f>
        <v/>
      </c>
      <c r="AC226" s="46" t="str">
        <f aca="false">IF($C226="","",IF($S226="Converted","7 Certification / Enterprise opportunity",IF($S226="Application Started","7 Certification / Enterprise opportunity",IF($S226="Meeting Booked","6 Meeting / Application",IF(OR($S226="Interested",$S226="Info Requested"),"5 Interested",IF(OR($S226="Declined",$S226="Not Relevant"),"0 Closed - no",IF($R226="Yes","4 Contacted",IF($N226="Yes","2 Engaged",IF($M226="Yes","1 Awareness",IF($AA226&gt;=60,"3 Qualified","1 Awareness"))))))))))</f>
        <v/>
      </c>
    </row>
    <row r="227" customFormat="false" ht="30" hidden="false" customHeight="true" outlineLevel="0" collapsed="false">
      <c r="A227" s="36"/>
      <c r="B227" s="37"/>
      <c r="C227" s="37"/>
      <c r="D227" s="37"/>
      <c r="E227" s="37"/>
      <c r="F227" s="37"/>
      <c r="G227" s="37"/>
      <c r="H227" s="37"/>
      <c r="I227" s="37"/>
      <c r="J227" s="47"/>
      <c r="K227" s="41" t="str">
        <f aca="false">IF(J227="","",IF(J227&gt;=8,"Yes","Check"))</f>
        <v/>
      </c>
      <c r="L227" s="38"/>
      <c r="M227" s="47"/>
      <c r="N227" s="47"/>
      <c r="O227" s="37"/>
      <c r="P227" s="38"/>
      <c r="Q227" s="42" t="str">
        <f aca="false">IF(P227="","",LEN(P227))</f>
        <v/>
      </c>
      <c r="R227" s="47"/>
      <c r="S227" s="37"/>
      <c r="T227" s="38"/>
      <c r="U227" s="43" t="str">
        <f aca="false">IF(OR(R227&lt;&gt;"Yes",A227=""),"",A227+4)</f>
        <v/>
      </c>
      <c r="V227" s="47"/>
      <c r="W227" s="38"/>
      <c r="X227" s="38"/>
      <c r="Y227" s="44"/>
      <c r="Z227" s="44"/>
      <c r="AA227" s="45" t="str">
        <f aca="false">IF(AND($Y227="",$Z227=""),"",ROUND(IFERROR(VALUE(LEFT($Y227,1)),0)*12+IFERROR(VALUE(LEFT($Z227,1)),0)*8,0))</f>
        <v/>
      </c>
      <c r="AB227" s="45" t="str">
        <f aca="false">IF($AA227="","",IF($AA227&gt;=80,"A - call first",IF($AA227&gt;=60,"B - worth pursuing",IF($AA227&gt;=40,"C - nurture","D - do not spend time here"))))</f>
        <v/>
      </c>
      <c r="AC227" s="46" t="str">
        <f aca="false">IF($C227="","",IF($S227="Converted","7 Certification / Enterprise opportunity",IF($S227="Application Started","7 Certification / Enterprise opportunity",IF($S227="Meeting Booked","6 Meeting / Application",IF(OR($S227="Interested",$S227="Info Requested"),"5 Interested",IF(OR($S227="Declined",$S227="Not Relevant"),"0 Closed - no",IF($R227="Yes","4 Contacted",IF($N227="Yes","2 Engaged",IF($M227="Yes","1 Awareness",IF($AA227&gt;=60,"3 Qualified","1 Awareness"))))))))))</f>
        <v/>
      </c>
    </row>
    <row r="228" customFormat="false" ht="30" hidden="false" customHeight="true" outlineLevel="0" collapsed="false">
      <c r="A228" s="36"/>
      <c r="B228" s="37"/>
      <c r="C228" s="37"/>
      <c r="D228" s="37"/>
      <c r="E228" s="37"/>
      <c r="F228" s="37"/>
      <c r="G228" s="37"/>
      <c r="H228" s="37"/>
      <c r="I228" s="37"/>
      <c r="J228" s="47"/>
      <c r="K228" s="41" t="str">
        <f aca="false">IF(J228="","",IF(J228&gt;=8,"Yes","Check"))</f>
        <v/>
      </c>
      <c r="L228" s="38"/>
      <c r="M228" s="47"/>
      <c r="N228" s="47"/>
      <c r="O228" s="37"/>
      <c r="P228" s="38"/>
      <c r="Q228" s="42" t="str">
        <f aca="false">IF(P228="","",LEN(P228))</f>
        <v/>
      </c>
      <c r="R228" s="47"/>
      <c r="S228" s="37"/>
      <c r="T228" s="38"/>
      <c r="U228" s="43" t="str">
        <f aca="false">IF(OR(R228&lt;&gt;"Yes",A228=""),"",A228+4)</f>
        <v/>
      </c>
      <c r="V228" s="47"/>
      <c r="W228" s="38"/>
      <c r="X228" s="38"/>
      <c r="Y228" s="44"/>
      <c r="Z228" s="44"/>
      <c r="AA228" s="45" t="str">
        <f aca="false">IF(AND($Y228="",$Z228=""),"",ROUND(IFERROR(VALUE(LEFT($Y228,1)),0)*12+IFERROR(VALUE(LEFT($Z228,1)),0)*8,0))</f>
        <v/>
      </c>
      <c r="AB228" s="45" t="str">
        <f aca="false">IF($AA228="","",IF($AA228&gt;=80,"A - call first",IF($AA228&gt;=60,"B - worth pursuing",IF($AA228&gt;=40,"C - nurture","D - do not spend time here"))))</f>
        <v/>
      </c>
      <c r="AC228" s="46" t="str">
        <f aca="false">IF($C228="","",IF($S228="Converted","7 Certification / Enterprise opportunity",IF($S228="Application Started","7 Certification / Enterprise opportunity",IF($S228="Meeting Booked","6 Meeting / Application",IF(OR($S228="Interested",$S228="Info Requested"),"5 Interested",IF(OR($S228="Declined",$S228="Not Relevant"),"0 Closed - no",IF($R228="Yes","4 Contacted",IF($N228="Yes","2 Engaged",IF($M228="Yes","1 Awareness",IF($AA228&gt;=60,"3 Qualified","1 Awareness"))))))))))</f>
        <v/>
      </c>
    </row>
    <row r="229" customFormat="false" ht="30" hidden="false" customHeight="true" outlineLevel="0" collapsed="false">
      <c r="A229" s="36"/>
      <c r="B229" s="37"/>
      <c r="C229" s="37"/>
      <c r="D229" s="37"/>
      <c r="E229" s="37"/>
      <c r="F229" s="37"/>
      <c r="G229" s="37"/>
      <c r="H229" s="37"/>
      <c r="I229" s="37"/>
      <c r="J229" s="47"/>
      <c r="K229" s="41" t="str">
        <f aca="false">IF(J229="","",IF(J229&gt;=8,"Yes","Check"))</f>
        <v/>
      </c>
      <c r="L229" s="38"/>
      <c r="M229" s="47"/>
      <c r="N229" s="47"/>
      <c r="O229" s="37"/>
      <c r="P229" s="38"/>
      <c r="Q229" s="42" t="str">
        <f aca="false">IF(P229="","",LEN(P229))</f>
        <v/>
      </c>
      <c r="R229" s="47"/>
      <c r="S229" s="37"/>
      <c r="T229" s="38"/>
      <c r="U229" s="43" t="str">
        <f aca="false">IF(OR(R229&lt;&gt;"Yes",A229=""),"",A229+4)</f>
        <v/>
      </c>
      <c r="V229" s="47"/>
      <c r="W229" s="38"/>
      <c r="X229" s="38"/>
      <c r="Y229" s="44"/>
      <c r="Z229" s="44"/>
      <c r="AA229" s="45" t="str">
        <f aca="false">IF(AND($Y229="",$Z229=""),"",ROUND(IFERROR(VALUE(LEFT($Y229,1)),0)*12+IFERROR(VALUE(LEFT($Z229,1)),0)*8,0))</f>
        <v/>
      </c>
      <c r="AB229" s="45" t="str">
        <f aca="false">IF($AA229="","",IF($AA229&gt;=80,"A - call first",IF($AA229&gt;=60,"B - worth pursuing",IF($AA229&gt;=40,"C - nurture","D - do not spend time here"))))</f>
        <v/>
      </c>
      <c r="AC229" s="46" t="str">
        <f aca="false">IF($C229="","",IF($S229="Converted","7 Certification / Enterprise opportunity",IF($S229="Application Started","7 Certification / Enterprise opportunity",IF($S229="Meeting Booked","6 Meeting / Application",IF(OR($S229="Interested",$S229="Info Requested"),"5 Interested",IF(OR($S229="Declined",$S229="Not Relevant"),"0 Closed - no",IF($R229="Yes","4 Contacted",IF($N229="Yes","2 Engaged",IF($M229="Yes","1 Awareness",IF($AA229&gt;=60,"3 Qualified","1 Awareness"))))))))))</f>
        <v/>
      </c>
    </row>
    <row r="230" customFormat="false" ht="30" hidden="false" customHeight="true" outlineLevel="0" collapsed="false">
      <c r="A230" s="36"/>
      <c r="B230" s="37"/>
      <c r="C230" s="37"/>
      <c r="D230" s="37"/>
      <c r="E230" s="37"/>
      <c r="F230" s="37"/>
      <c r="G230" s="37"/>
      <c r="H230" s="37"/>
      <c r="I230" s="37"/>
      <c r="J230" s="47"/>
      <c r="K230" s="41" t="str">
        <f aca="false">IF(J230="","",IF(J230&gt;=8,"Yes","Check"))</f>
        <v/>
      </c>
      <c r="L230" s="38"/>
      <c r="M230" s="47"/>
      <c r="N230" s="47"/>
      <c r="O230" s="37"/>
      <c r="P230" s="38"/>
      <c r="Q230" s="42" t="str">
        <f aca="false">IF(P230="","",LEN(P230))</f>
        <v/>
      </c>
      <c r="R230" s="47"/>
      <c r="S230" s="37"/>
      <c r="T230" s="38"/>
      <c r="U230" s="43" t="str">
        <f aca="false">IF(OR(R230&lt;&gt;"Yes",A230=""),"",A230+4)</f>
        <v/>
      </c>
      <c r="V230" s="47"/>
      <c r="W230" s="38"/>
      <c r="X230" s="38"/>
      <c r="Y230" s="44"/>
      <c r="Z230" s="44"/>
      <c r="AA230" s="45" t="str">
        <f aca="false">IF(AND($Y230="",$Z230=""),"",ROUND(IFERROR(VALUE(LEFT($Y230,1)),0)*12+IFERROR(VALUE(LEFT($Z230,1)),0)*8,0))</f>
        <v/>
      </c>
      <c r="AB230" s="45" t="str">
        <f aca="false">IF($AA230="","",IF($AA230&gt;=80,"A - call first",IF($AA230&gt;=60,"B - worth pursuing",IF($AA230&gt;=40,"C - nurture","D - do not spend time here"))))</f>
        <v/>
      </c>
      <c r="AC230" s="46" t="str">
        <f aca="false">IF($C230="","",IF($S230="Converted","7 Certification / Enterprise opportunity",IF($S230="Application Started","7 Certification / Enterprise opportunity",IF($S230="Meeting Booked","6 Meeting / Application",IF(OR($S230="Interested",$S230="Info Requested"),"5 Interested",IF(OR($S230="Declined",$S230="Not Relevant"),"0 Closed - no",IF($R230="Yes","4 Contacted",IF($N230="Yes","2 Engaged",IF($M230="Yes","1 Awareness",IF($AA230&gt;=60,"3 Qualified","1 Awareness"))))))))))</f>
        <v/>
      </c>
    </row>
    <row r="231" customFormat="false" ht="30" hidden="false" customHeight="true" outlineLevel="0" collapsed="false">
      <c r="A231" s="36"/>
      <c r="B231" s="37"/>
      <c r="C231" s="37"/>
      <c r="D231" s="37"/>
      <c r="E231" s="37"/>
      <c r="F231" s="37"/>
      <c r="G231" s="37"/>
      <c r="H231" s="37"/>
      <c r="I231" s="37"/>
      <c r="J231" s="47"/>
      <c r="K231" s="41" t="str">
        <f aca="false">IF(J231="","",IF(J231&gt;=8,"Yes","Check"))</f>
        <v/>
      </c>
      <c r="L231" s="38"/>
      <c r="M231" s="47"/>
      <c r="N231" s="47"/>
      <c r="O231" s="37"/>
      <c r="P231" s="38"/>
      <c r="Q231" s="42" t="str">
        <f aca="false">IF(P231="","",LEN(P231))</f>
        <v/>
      </c>
      <c r="R231" s="47"/>
      <c r="S231" s="37"/>
      <c r="T231" s="38"/>
      <c r="U231" s="43" t="str">
        <f aca="false">IF(OR(R231&lt;&gt;"Yes",A231=""),"",A231+4)</f>
        <v/>
      </c>
      <c r="V231" s="47"/>
      <c r="W231" s="38"/>
      <c r="X231" s="38"/>
      <c r="Y231" s="44"/>
      <c r="Z231" s="44"/>
      <c r="AA231" s="45" t="str">
        <f aca="false">IF(AND($Y231="",$Z231=""),"",ROUND(IFERROR(VALUE(LEFT($Y231,1)),0)*12+IFERROR(VALUE(LEFT($Z231,1)),0)*8,0))</f>
        <v/>
      </c>
      <c r="AB231" s="45" t="str">
        <f aca="false">IF($AA231="","",IF($AA231&gt;=80,"A - call first",IF($AA231&gt;=60,"B - worth pursuing",IF($AA231&gt;=40,"C - nurture","D - do not spend time here"))))</f>
        <v/>
      </c>
      <c r="AC231" s="46" t="str">
        <f aca="false">IF($C231="","",IF($S231="Converted","7 Certification / Enterprise opportunity",IF($S231="Application Started","7 Certification / Enterprise opportunity",IF($S231="Meeting Booked","6 Meeting / Application",IF(OR($S231="Interested",$S231="Info Requested"),"5 Interested",IF(OR($S231="Declined",$S231="Not Relevant"),"0 Closed - no",IF($R231="Yes","4 Contacted",IF($N231="Yes","2 Engaged",IF($M231="Yes","1 Awareness",IF($AA231&gt;=60,"3 Qualified","1 Awareness"))))))))))</f>
        <v/>
      </c>
    </row>
    <row r="232" customFormat="false" ht="30" hidden="false" customHeight="true" outlineLevel="0" collapsed="false">
      <c r="A232" s="36"/>
      <c r="B232" s="37"/>
      <c r="C232" s="37"/>
      <c r="D232" s="37"/>
      <c r="E232" s="37"/>
      <c r="F232" s="37"/>
      <c r="G232" s="37"/>
      <c r="H232" s="37"/>
      <c r="I232" s="37"/>
      <c r="J232" s="47"/>
      <c r="K232" s="41" t="str">
        <f aca="false">IF(J232="","",IF(J232&gt;=8,"Yes","Check"))</f>
        <v/>
      </c>
      <c r="L232" s="38"/>
      <c r="M232" s="47"/>
      <c r="N232" s="47"/>
      <c r="O232" s="37"/>
      <c r="P232" s="38"/>
      <c r="Q232" s="42" t="str">
        <f aca="false">IF(P232="","",LEN(P232))</f>
        <v/>
      </c>
      <c r="R232" s="47"/>
      <c r="S232" s="37"/>
      <c r="T232" s="38"/>
      <c r="U232" s="43" t="str">
        <f aca="false">IF(OR(R232&lt;&gt;"Yes",A232=""),"",A232+4)</f>
        <v/>
      </c>
      <c r="V232" s="47"/>
      <c r="W232" s="38"/>
      <c r="X232" s="38"/>
      <c r="Y232" s="44"/>
      <c r="Z232" s="44"/>
      <c r="AA232" s="45" t="str">
        <f aca="false">IF(AND($Y232="",$Z232=""),"",ROUND(IFERROR(VALUE(LEFT($Y232,1)),0)*12+IFERROR(VALUE(LEFT($Z232,1)),0)*8,0))</f>
        <v/>
      </c>
      <c r="AB232" s="45" t="str">
        <f aca="false">IF($AA232="","",IF($AA232&gt;=80,"A - call first",IF($AA232&gt;=60,"B - worth pursuing",IF($AA232&gt;=40,"C - nurture","D - do not spend time here"))))</f>
        <v/>
      </c>
      <c r="AC232" s="46" t="str">
        <f aca="false">IF($C232="","",IF($S232="Converted","7 Certification / Enterprise opportunity",IF($S232="Application Started","7 Certification / Enterprise opportunity",IF($S232="Meeting Booked","6 Meeting / Application",IF(OR($S232="Interested",$S232="Info Requested"),"5 Interested",IF(OR($S232="Declined",$S232="Not Relevant"),"0 Closed - no",IF($R232="Yes","4 Contacted",IF($N232="Yes","2 Engaged",IF($M232="Yes","1 Awareness",IF($AA232&gt;=60,"3 Qualified","1 Awareness"))))))))))</f>
        <v/>
      </c>
    </row>
    <row r="233" customFormat="false" ht="30" hidden="false" customHeight="true" outlineLevel="0" collapsed="false">
      <c r="A233" s="36"/>
      <c r="B233" s="37"/>
      <c r="C233" s="37"/>
      <c r="D233" s="37"/>
      <c r="E233" s="37"/>
      <c r="F233" s="37"/>
      <c r="G233" s="37"/>
      <c r="H233" s="37"/>
      <c r="I233" s="37"/>
      <c r="J233" s="47"/>
      <c r="K233" s="41" t="str">
        <f aca="false">IF(J233="","",IF(J233&gt;=8,"Yes","Check"))</f>
        <v/>
      </c>
      <c r="L233" s="38"/>
      <c r="M233" s="47"/>
      <c r="N233" s="47"/>
      <c r="O233" s="37"/>
      <c r="P233" s="38"/>
      <c r="Q233" s="42" t="str">
        <f aca="false">IF(P233="","",LEN(P233))</f>
        <v/>
      </c>
      <c r="R233" s="47"/>
      <c r="S233" s="37"/>
      <c r="T233" s="38"/>
      <c r="U233" s="43" t="str">
        <f aca="false">IF(OR(R233&lt;&gt;"Yes",A233=""),"",A233+4)</f>
        <v/>
      </c>
      <c r="V233" s="47"/>
      <c r="W233" s="38"/>
      <c r="X233" s="38"/>
      <c r="Y233" s="44"/>
      <c r="Z233" s="44"/>
      <c r="AA233" s="45" t="str">
        <f aca="false">IF(AND($Y233="",$Z233=""),"",ROUND(IFERROR(VALUE(LEFT($Y233,1)),0)*12+IFERROR(VALUE(LEFT($Z233,1)),0)*8,0))</f>
        <v/>
      </c>
      <c r="AB233" s="45" t="str">
        <f aca="false">IF($AA233="","",IF($AA233&gt;=80,"A - call first",IF($AA233&gt;=60,"B - worth pursuing",IF($AA233&gt;=40,"C - nurture","D - do not spend time here"))))</f>
        <v/>
      </c>
      <c r="AC233" s="46" t="str">
        <f aca="false">IF($C233="","",IF($S233="Converted","7 Certification / Enterprise opportunity",IF($S233="Application Started","7 Certification / Enterprise opportunity",IF($S233="Meeting Booked","6 Meeting / Application",IF(OR($S233="Interested",$S233="Info Requested"),"5 Interested",IF(OR($S233="Declined",$S233="Not Relevant"),"0 Closed - no",IF($R233="Yes","4 Contacted",IF($N233="Yes","2 Engaged",IF($M233="Yes","1 Awareness",IF($AA233&gt;=60,"3 Qualified","1 Awareness"))))))))))</f>
        <v/>
      </c>
    </row>
    <row r="234" customFormat="false" ht="30" hidden="false" customHeight="true" outlineLevel="0" collapsed="false">
      <c r="A234" s="36"/>
      <c r="B234" s="37"/>
      <c r="C234" s="37"/>
      <c r="D234" s="37"/>
      <c r="E234" s="37"/>
      <c r="F234" s="37"/>
      <c r="G234" s="37"/>
      <c r="H234" s="37"/>
      <c r="I234" s="37"/>
      <c r="J234" s="47"/>
      <c r="K234" s="41" t="str">
        <f aca="false">IF(J234="","",IF(J234&gt;=8,"Yes","Check"))</f>
        <v/>
      </c>
      <c r="L234" s="38"/>
      <c r="M234" s="47"/>
      <c r="N234" s="47"/>
      <c r="O234" s="37"/>
      <c r="P234" s="38"/>
      <c r="Q234" s="42" t="str">
        <f aca="false">IF(P234="","",LEN(P234))</f>
        <v/>
      </c>
      <c r="R234" s="47"/>
      <c r="S234" s="37"/>
      <c r="T234" s="38"/>
      <c r="U234" s="43" t="str">
        <f aca="false">IF(OR(R234&lt;&gt;"Yes",A234=""),"",A234+4)</f>
        <v/>
      </c>
      <c r="V234" s="47"/>
      <c r="W234" s="38"/>
      <c r="X234" s="38"/>
      <c r="Y234" s="44"/>
      <c r="Z234" s="44"/>
      <c r="AA234" s="45" t="str">
        <f aca="false">IF(AND($Y234="",$Z234=""),"",ROUND(IFERROR(VALUE(LEFT($Y234,1)),0)*12+IFERROR(VALUE(LEFT($Z234,1)),0)*8,0))</f>
        <v/>
      </c>
      <c r="AB234" s="45" t="str">
        <f aca="false">IF($AA234="","",IF($AA234&gt;=80,"A - call first",IF($AA234&gt;=60,"B - worth pursuing",IF($AA234&gt;=40,"C - nurture","D - do not spend time here"))))</f>
        <v/>
      </c>
      <c r="AC234" s="46" t="str">
        <f aca="false">IF($C234="","",IF($S234="Converted","7 Certification / Enterprise opportunity",IF($S234="Application Started","7 Certification / Enterprise opportunity",IF($S234="Meeting Booked","6 Meeting / Application",IF(OR($S234="Interested",$S234="Info Requested"),"5 Interested",IF(OR($S234="Declined",$S234="Not Relevant"),"0 Closed - no",IF($R234="Yes","4 Contacted",IF($N234="Yes","2 Engaged",IF($M234="Yes","1 Awareness",IF($AA234&gt;=60,"3 Qualified","1 Awareness"))))))))))</f>
        <v/>
      </c>
    </row>
    <row r="235" customFormat="false" ht="30" hidden="false" customHeight="true" outlineLevel="0" collapsed="false">
      <c r="A235" s="36"/>
      <c r="B235" s="37"/>
      <c r="C235" s="37"/>
      <c r="D235" s="37"/>
      <c r="E235" s="37"/>
      <c r="F235" s="37"/>
      <c r="G235" s="37"/>
      <c r="H235" s="37"/>
      <c r="I235" s="37"/>
      <c r="J235" s="47"/>
      <c r="K235" s="41" t="str">
        <f aca="false">IF(J235="","",IF(J235&gt;=8,"Yes","Check"))</f>
        <v/>
      </c>
      <c r="L235" s="38"/>
      <c r="M235" s="47"/>
      <c r="N235" s="47"/>
      <c r="O235" s="37"/>
      <c r="P235" s="38"/>
      <c r="Q235" s="42" t="str">
        <f aca="false">IF(P235="","",LEN(P235))</f>
        <v/>
      </c>
      <c r="R235" s="47"/>
      <c r="S235" s="37"/>
      <c r="T235" s="38"/>
      <c r="U235" s="43" t="str">
        <f aca="false">IF(OR(R235&lt;&gt;"Yes",A235=""),"",A235+4)</f>
        <v/>
      </c>
      <c r="V235" s="47"/>
      <c r="W235" s="38"/>
      <c r="X235" s="38"/>
      <c r="Y235" s="44"/>
      <c r="Z235" s="44"/>
      <c r="AA235" s="45" t="str">
        <f aca="false">IF(AND($Y235="",$Z235=""),"",ROUND(IFERROR(VALUE(LEFT($Y235,1)),0)*12+IFERROR(VALUE(LEFT($Z235,1)),0)*8,0))</f>
        <v/>
      </c>
      <c r="AB235" s="45" t="str">
        <f aca="false">IF($AA235="","",IF($AA235&gt;=80,"A - call first",IF($AA235&gt;=60,"B - worth pursuing",IF($AA235&gt;=40,"C - nurture","D - do not spend time here"))))</f>
        <v/>
      </c>
      <c r="AC235" s="46" t="str">
        <f aca="false">IF($C235="","",IF($S235="Converted","7 Certification / Enterprise opportunity",IF($S235="Application Started","7 Certification / Enterprise opportunity",IF($S235="Meeting Booked","6 Meeting / Application",IF(OR($S235="Interested",$S235="Info Requested"),"5 Interested",IF(OR($S235="Declined",$S235="Not Relevant"),"0 Closed - no",IF($R235="Yes","4 Contacted",IF($N235="Yes","2 Engaged",IF($M235="Yes","1 Awareness",IF($AA235&gt;=60,"3 Qualified","1 Awareness"))))))))))</f>
        <v/>
      </c>
    </row>
    <row r="236" customFormat="false" ht="30" hidden="false" customHeight="true" outlineLevel="0" collapsed="false">
      <c r="A236" s="36"/>
      <c r="B236" s="37"/>
      <c r="C236" s="37"/>
      <c r="D236" s="37"/>
      <c r="E236" s="37"/>
      <c r="F236" s="37"/>
      <c r="G236" s="37"/>
      <c r="H236" s="37"/>
      <c r="I236" s="37"/>
      <c r="J236" s="47"/>
      <c r="K236" s="41" t="str">
        <f aca="false">IF(J236="","",IF(J236&gt;=8,"Yes","Check"))</f>
        <v/>
      </c>
      <c r="L236" s="38"/>
      <c r="M236" s="47"/>
      <c r="N236" s="47"/>
      <c r="O236" s="37"/>
      <c r="P236" s="38"/>
      <c r="Q236" s="42" t="str">
        <f aca="false">IF(P236="","",LEN(P236))</f>
        <v/>
      </c>
      <c r="R236" s="47"/>
      <c r="S236" s="37"/>
      <c r="T236" s="38"/>
      <c r="U236" s="43" t="str">
        <f aca="false">IF(OR(R236&lt;&gt;"Yes",A236=""),"",A236+4)</f>
        <v/>
      </c>
      <c r="V236" s="47"/>
      <c r="W236" s="38"/>
      <c r="X236" s="38"/>
      <c r="Y236" s="44"/>
      <c r="Z236" s="44"/>
      <c r="AA236" s="45" t="str">
        <f aca="false">IF(AND($Y236="",$Z236=""),"",ROUND(IFERROR(VALUE(LEFT($Y236,1)),0)*12+IFERROR(VALUE(LEFT($Z236,1)),0)*8,0))</f>
        <v/>
      </c>
      <c r="AB236" s="45" t="str">
        <f aca="false">IF($AA236="","",IF($AA236&gt;=80,"A - call first",IF($AA236&gt;=60,"B - worth pursuing",IF($AA236&gt;=40,"C - nurture","D - do not spend time here"))))</f>
        <v/>
      </c>
      <c r="AC236" s="46" t="str">
        <f aca="false">IF($C236="","",IF($S236="Converted","7 Certification / Enterprise opportunity",IF($S236="Application Started","7 Certification / Enterprise opportunity",IF($S236="Meeting Booked","6 Meeting / Application",IF(OR($S236="Interested",$S236="Info Requested"),"5 Interested",IF(OR($S236="Declined",$S236="Not Relevant"),"0 Closed - no",IF($R236="Yes","4 Contacted",IF($N236="Yes","2 Engaged",IF($M236="Yes","1 Awareness",IF($AA236&gt;=60,"3 Qualified","1 Awareness"))))))))))</f>
        <v/>
      </c>
    </row>
    <row r="237" customFormat="false" ht="30" hidden="false" customHeight="true" outlineLevel="0" collapsed="false">
      <c r="A237" s="36"/>
      <c r="B237" s="37"/>
      <c r="C237" s="37"/>
      <c r="D237" s="37"/>
      <c r="E237" s="37"/>
      <c r="F237" s="37"/>
      <c r="G237" s="37"/>
      <c r="H237" s="37"/>
      <c r="I237" s="37"/>
      <c r="J237" s="47"/>
      <c r="K237" s="41" t="str">
        <f aca="false">IF(J237="","",IF(J237&gt;=8,"Yes","Check"))</f>
        <v/>
      </c>
      <c r="L237" s="38"/>
      <c r="M237" s="47"/>
      <c r="N237" s="47"/>
      <c r="O237" s="37"/>
      <c r="P237" s="38"/>
      <c r="Q237" s="42" t="str">
        <f aca="false">IF(P237="","",LEN(P237))</f>
        <v/>
      </c>
      <c r="R237" s="47"/>
      <c r="S237" s="37"/>
      <c r="T237" s="38"/>
      <c r="U237" s="43" t="str">
        <f aca="false">IF(OR(R237&lt;&gt;"Yes",A237=""),"",A237+4)</f>
        <v/>
      </c>
      <c r="V237" s="47"/>
      <c r="W237" s="38"/>
      <c r="X237" s="38"/>
      <c r="Y237" s="44"/>
      <c r="Z237" s="44"/>
      <c r="AA237" s="45" t="str">
        <f aca="false">IF(AND($Y237="",$Z237=""),"",ROUND(IFERROR(VALUE(LEFT($Y237,1)),0)*12+IFERROR(VALUE(LEFT($Z237,1)),0)*8,0))</f>
        <v/>
      </c>
      <c r="AB237" s="45" t="str">
        <f aca="false">IF($AA237="","",IF($AA237&gt;=80,"A - call first",IF($AA237&gt;=60,"B - worth pursuing",IF($AA237&gt;=40,"C - nurture","D - do not spend time here"))))</f>
        <v/>
      </c>
      <c r="AC237" s="46" t="str">
        <f aca="false">IF($C237="","",IF($S237="Converted","7 Certification / Enterprise opportunity",IF($S237="Application Started","7 Certification / Enterprise opportunity",IF($S237="Meeting Booked","6 Meeting / Application",IF(OR($S237="Interested",$S237="Info Requested"),"5 Interested",IF(OR($S237="Declined",$S237="Not Relevant"),"0 Closed - no",IF($R237="Yes","4 Contacted",IF($N237="Yes","2 Engaged",IF($M237="Yes","1 Awareness",IF($AA237&gt;=60,"3 Qualified","1 Awareness"))))))))))</f>
        <v/>
      </c>
    </row>
    <row r="238" customFormat="false" ht="30" hidden="false" customHeight="true" outlineLevel="0" collapsed="false">
      <c r="A238" s="36"/>
      <c r="B238" s="37"/>
      <c r="C238" s="37"/>
      <c r="D238" s="37"/>
      <c r="E238" s="37"/>
      <c r="F238" s="37"/>
      <c r="G238" s="37"/>
      <c r="H238" s="37"/>
      <c r="I238" s="37"/>
      <c r="J238" s="47"/>
      <c r="K238" s="41" t="str">
        <f aca="false">IF(J238="","",IF(J238&gt;=8,"Yes","Check"))</f>
        <v/>
      </c>
      <c r="L238" s="38"/>
      <c r="M238" s="47"/>
      <c r="N238" s="47"/>
      <c r="O238" s="37"/>
      <c r="P238" s="38"/>
      <c r="Q238" s="42" t="str">
        <f aca="false">IF(P238="","",LEN(P238))</f>
        <v/>
      </c>
      <c r="R238" s="47"/>
      <c r="S238" s="37"/>
      <c r="T238" s="38"/>
      <c r="U238" s="43" t="str">
        <f aca="false">IF(OR(R238&lt;&gt;"Yes",A238=""),"",A238+4)</f>
        <v/>
      </c>
      <c r="V238" s="47"/>
      <c r="W238" s="38"/>
      <c r="X238" s="38"/>
      <c r="Y238" s="44"/>
      <c r="Z238" s="44"/>
      <c r="AA238" s="45" t="str">
        <f aca="false">IF(AND($Y238="",$Z238=""),"",ROUND(IFERROR(VALUE(LEFT($Y238,1)),0)*12+IFERROR(VALUE(LEFT($Z238,1)),0)*8,0))</f>
        <v/>
      </c>
      <c r="AB238" s="45" t="str">
        <f aca="false">IF($AA238="","",IF($AA238&gt;=80,"A - call first",IF($AA238&gt;=60,"B - worth pursuing",IF($AA238&gt;=40,"C - nurture","D - do not spend time here"))))</f>
        <v/>
      </c>
      <c r="AC238" s="46" t="str">
        <f aca="false">IF($C238="","",IF($S238="Converted","7 Certification / Enterprise opportunity",IF($S238="Application Started","7 Certification / Enterprise opportunity",IF($S238="Meeting Booked","6 Meeting / Application",IF(OR($S238="Interested",$S238="Info Requested"),"5 Interested",IF(OR($S238="Declined",$S238="Not Relevant"),"0 Closed - no",IF($R238="Yes","4 Contacted",IF($N238="Yes","2 Engaged",IF($M238="Yes","1 Awareness",IF($AA238&gt;=60,"3 Qualified","1 Awareness"))))))))))</f>
        <v/>
      </c>
    </row>
    <row r="239" customFormat="false" ht="30" hidden="false" customHeight="true" outlineLevel="0" collapsed="false">
      <c r="A239" s="36"/>
      <c r="B239" s="37"/>
      <c r="C239" s="37"/>
      <c r="D239" s="37"/>
      <c r="E239" s="37"/>
      <c r="F239" s="37"/>
      <c r="G239" s="37"/>
      <c r="H239" s="37"/>
      <c r="I239" s="37"/>
      <c r="J239" s="47"/>
      <c r="K239" s="41" t="str">
        <f aca="false">IF(J239="","",IF(J239&gt;=8,"Yes","Check"))</f>
        <v/>
      </c>
      <c r="L239" s="38"/>
      <c r="M239" s="47"/>
      <c r="N239" s="47"/>
      <c r="O239" s="37"/>
      <c r="P239" s="38"/>
      <c r="Q239" s="42" t="str">
        <f aca="false">IF(P239="","",LEN(P239))</f>
        <v/>
      </c>
      <c r="R239" s="47"/>
      <c r="S239" s="37"/>
      <c r="T239" s="38"/>
      <c r="U239" s="43" t="str">
        <f aca="false">IF(OR(R239&lt;&gt;"Yes",A239=""),"",A239+4)</f>
        <v/>
      </c>
      <c r="V239" s="47"/>
      <c r="W239" s="38"/>
      <c r="X239" s="38"/>
      <c r="Y239" s="44"/>
      <c r="Z239" s="44"/>
      <c r="AA239" s="45" t="str">
        <f aca="false">IF(AND($Y239="",$Z239=""),"",ROUND(IFERROR(VALUE(LEFT($Y239,1)),0)*12+IFERROR(VALUE(LEFT($Z239,1)),0)*8,0))</f>
        <v/>
      </c>
      <c r="AB239" s="45" t="str">
        <f aca="false">IF($AA239="","",IF($AA239&gt;=80,"A - call first",IF($AA239&gt;=60,"B - worth pursuing",IF($AA239&gt;=40,"C - nurture","D - do not spend time here"))))</f>
        <v/>
      </c>
      <c r="AC239" s="46" t="str">
        <f aca="false">IF($C239="","",IF($S239="Converted","7 Certification / Enterprise opportunity",IF($S239="Application Started","7 Certification / Enterprise opportunity",IF($S239="Meeting Booked","6 Meeting / Application",IF(OR($S239="Interested",$S239="Info Requested"),"5 Interested",IF(OR($S239="Declined",$S239="Not Relevant"),"0 Closed - no",IF($R239="Yes","4 Contacted",IF($N239="Yes","2 Engaged",IF($M239="Yes","1 Awareness",IF($AA239&gt;=60,"3 Qualified","1 Awareness"))))))))))</f>
        <v/>
      </c>
    </row>
    <row r="240" customFormat="false" ht="30" hidden="false" customHeight="true" outlineLevel="0" collapsed="false">
      <c r="A240" s="36"/>
      <c r="B240" s="37"/>
      <c r="C240" s="37"/>
      <c r="D240" s="37"/>
      <c r="E240" s="37"/>
      <c r="F240" s="37"/>
      <c r="G240" s="37"/>
      <c r="H240" s="37"/>
      <c r="I240" s="37"/>
      <c r="J240" s="47"/>
      <c r="K240" s="41" t="str">
        <f aca="false">IF(J240="","",IF(J240&gt;=8,"Yes","Check"))</f>
        <v/>
      </c>
      <c r="L240" s="38"/>
      <c r="M240" s="47"/>
      <c r="N240" s="47"/>
      <c r="O240" s="37"/>
      <c r="P240" s="38"/>
      <c r="Q240" s="42" t="str">
        <f aca="false">IF(P240="","",LEN(P240))</f>
        <v/>
      </c>
      <c r="R240" s="47"/>
      <c r="S240" s="37"/>
      <c r="T240" s="38"/>
      <c r="U240" s="43" t="str">
        <f aca="false">IF(OR(R240&lt;&gt;"Yes",A240=""),"",A240+4)</f>
        <v/>
      </c>
      <c r="V240" s="47"/>
      <c r="W240" s="38"/>
      <c r="X240" s="38"/>
      <c r="Y240" s="44"/>
      <c r="Z240" s="44"/>
      <c r="AA240" s="45" t="str">
        <f aca="false">IF(AND($Y240="",$Z240=""),"",ROUND(IFERROR(VALUE(LEFT($Y240,1)),0)*12+IFERROR(VALUE(LEFT($Z240,1)),0)*8,0))</f>
        <v/>
      </c>
      <c r="AB240" s="45" t="str">
        <f aca="false">IF($AA240="","",IF($AA240&gt;=80,"A - call first",IF($AA240&gt;=60,"B - worth pursuing",IF($AA240&gt;=40,"C - nurture","D - do not spend time here"))))</f>
        <v/>
      </c>
      <c r="AC240" s="46" t="str">
        <f aca="false">IF($C240="","",IF($S240="Converted","7 Certification / Enterprise opportunity",IF($S240="Application Started","7 Certification / Enterprise opportunity",IF($S240="Meeting Booked","6 Meeting / Application",IF(OR($S240="Interested",$S240="Info Requested"),"5 Interested",IF(OR($S240="Declined",$S240="Not Relevant"),"0 Closed - no",IF($R240="Yes","4 Contacted",IF($N240="Yes","2 Engaged",IF($M240="Yes","1 Awareness",IF($AA240&gt;=60,"3 Qualified","1 Awareness"))))))))))</f>
        <v/>
      </c>
    </row>
    <row r="241" customFormat="false" ht="30" hidden="false" customHeight="true" outlineLevel="0" collapsed="false">
      <c r="A241" s="36"/>
      <c r="B241" s="37"/>
      <c r="C241" s="37"/>
      <c r="D241" s="37"/>
      <c r="E241" s="37"/>
      <c r="F241" s="37"/>
      <c r="G241" s="37"/>
      <c r="H241" s="37"/>
      <c r="I241" s="37"/>
      <c r="J241" s="47"/>
      <c r="K241" s="41" t="str">
        <f aca="false">IF(J241="","",IF(J241&gt;=8,"Yes","Check"))</f>
        <v/>
      </c>
      <c r="L241" s="38"/>
      <c r="M241" s="47"/>
      <c r="N241" s="47"/>
      <c r="O241" s="37"/>
      <c r="P241" s="38"/>
      <c r="Q241" s="42" t="str">
        <f aca="false">IF(P241="","",LEN(P241))</f>
        <v/>
      </c>
      <c r="R241" s="47"/>
      <c r="S241" s="37"/>
      <c r="T241" s="38"/>
      <c r="U241" s="43" t="str">
        <f aca="false">IF(OR(R241&lt;&gt;"Yes",A241=""),"",A241+4)</f>
        <v/>
      </c>
      <c r="V241" s="47"/>
      <c r="W241" s="38"/>
      <c r="X241" s="38"/>
      <c r="Y241" s="44"/>
      <c r="Z241" s="44"/>
      <c r="AA241" s="45" t="str">
        <f aca="false">IF(AND($Y241="",$Z241=""),"",ROUND(IFERROR(VALUE(LEFT($Y241,1)),0)*12+IFERROR(VALUE(LEFT($Z241,1)),0)*8,0))</f>
        <v/>
      </c>
      <c r="AB241" s="45" t="str">
        <f aca="false">IF($AA241="","",IF($AA241&gt;=80,"A - call first",IF($AA241&gt;=60,"B - worth pursuing",IF($AA241&gt;=40,"C - nurture","D - do not spend time here"))))</f>
        <v/>
      </c>
      <c r="AC241" s="46" t="str">
        <f aca="false">IF($C241="","",IF($S241="Converted","7 Certification / Enterprise opportunity",IF($S241="Application Started","7 Certification / Enterprise opportunity",IF($S241="Meeting Booked","6 Meeting / Application",IF(OR($S241="Interested",$S241="Info Requested"),"5 Interested",IF(OR($S241="Declined",$S241="Not Relevant"),"0 Closed - no",IF($R241="Yes","4 Contacted",IF($N241="Yes","2 Engaged",IF($M241="Yes","1 Awareness",IF($AA241&gt;=60,"3 Qualified","1 Awareness"))))))))))</f>
        <v/>
      </c>
    </row>
    <row r="242" customFormat="false" ht="30" hidden="false" customHeight="true" outlineLevel="0" collapsed="false">
      <c r="A242" s="36"/>
      <c r="B242" s="37"/>
      <c r="C242" s="37"/>
      <c r="D242" s="37"/>
      <c r="E242" s="37"/>
      <c r="F242" s="37"/>
      <c r="G242" s="37"/>
      <c r="H242" s="37"/>
      <c r="I242" s="37"/>
      <c r="J242" s="47"/>
      <c r="K242" s="41" t="str">
        <f aca="false">IF(J242="","",IF(J242&gt;=8,"Yes","Check"))</f>
        <v/>
      </c>
      <c r="L242" s="38"/>
      <c r="M242" s="47"/>
      <c r="N242" s="47"/>
      <c r="O242" s="37"/>
      <c r="P242" s="38"/>
      <c r="Q242" s="42" t="str">
        <f aca="false">IF(P242="","",LEN(P242))</f>
        <v/>
      </c>
      <c r="R242" s="47"/>
      <c r="S242" s="37"/>
      <c r="T242" s="38"/>
      <c r="U242" s="43" t="str">
        <f aca="false">IF(OR(R242&lt;&gt;"Yes",A242=""),"",A242+4)</f>
        <v/>
      </c>
      <c r="V242" s="47"/>
      <c r="W242" s="38"/>
      <c r="X242" s="38"/>
      <c r="Y242" s="44"/>
      <c r="Z242" s="44"/>
      <c r="AA242" s="45" t="str">
        <f aca="false">IF(AND($Y242="",$Z242=""),"",ROUND(IFERROR(VALUE(LEFT($Y242,1)),0)*12+IFERROR(VALUE(LEFT($Z242,1)),0)*8,0))</f>
        <v/>
      </c>
      <c r="AB242" s="45" t="str">
        <f aca="false">IF($AA242="","",IF($AA242&gt;=80,"A - call first",IF($AA242&gt;=60,"B - worth pursuing",IF($AA242&gt;=40,"C - nurture","D - do not spend time here"))))</f>
        <v/>
      </c>
      <c r="AC242" s="46" t="str">
        <f aca="false">IF($C242="","",IF($S242="Converted","7 Certification / Enterprise opportunity",IF($S242="Application Started","7 Certification / Enterprise opportunity",IF($S242="Meeting Booked","6 Meeting / Application",IF(OR($S242="Interested",$S242="Info Requested"),"5 Interested",IF(OR($S242="Declined",$S242="Not Relevant"),"0 Closed - no",IF($R242="Yes","4 Contacted",IF($N242="Yes","2 Engaged",IF($M242="Yes","1 Awareness",IF($AA242&gt;=60,"3 Qualified","1 Awareness"))))))))))</f>
        <v/>
      </c>
    </row>
    <row r="243" customFormat="false" ht="30" hidden="false" customHeight="true" outlineLevel="0" collapsed="false">
      <c r="A243" s="36"/>
      <c r="B243" s="37"/>
      <c r="C243" s="37"/>
      <c r="D243" s="37"/>
      <c r="E243" s="37"/>
      <c r="F243" s="37"/>
      <c r="G243" s="37"/>
      <c r="H243" s="37"/>
      <c r="I243" s="37"/>
      <c r="J243" s="47"/>
      <c r="K243" s="41" t="str">
        <f aca="false">IF(J243="","",IF(J243&gt;=8,"Yes","Check"))</f>
        <v/>
      </c>
      <c r="L243" s="38"/>
      <c r="M243" s="47"/>
      <c r="N243" s="47"/>
      <c r="O243" s="37"/>
      <c r="P243" s="38"/>
      <c r="Q243" s="42" t="str">
        <f aca="false">IF(P243="","",LEN(P243))</f>
        <v/>
      </c>
      <c r="R243" s="47"/>
      <c r="S243" s="37"/>
      <c r="T243" s="38"/>
      <c r="U243" s="43" t="str">
        <f aca="false">IF(OR(R243&lt;&gt;"Yes",A243=""),"",A243+4)</f>
        <v/>
      </c>
      <c r="V243" s="47"/>
      <c r="W243" s="38"/>
      <c r="X243" s="38"/>
      <c r="Y243" s="44"/>
      <c r="Z243" s="44"/>
      <c r="AA243" s="45" t="str">
        <f aca="false">IF(AND($Y243="",$Z243=""),"",ROUND(IFERROR(VALUE(LEFT($Y243,1)),0)*12+IFERROR(VALUE(LEFT($Z243,1)),0)*8,0))</f>
        <v/>
      </c>
      <c r="AB243" s="45" t="str">
        <f aca="false">IF($AA243="","",IF($AA243&gt;=80,"A - call first",IF($AA243&gt;=60,"B - worth pursuing",IF($AA243&gt;=40,"C - nurture","D - do not spend time here"))))</f>
        <v/>
      </c>
      <c r="AC243" s="46" t="str">
        <f aca="false">IF($C243="","",IF($S243="Converted","7 Certification / Enterprise opportunity",IF($S243="Application Started","7 Certification / Enterprise opportunity",IF($S243="Meeting Booked","6 Meeting / Application",IF(OR($S243="Interested",$S243="Info Requested"),"5 Interested",IF(OR($S243="Declined",$S243="Not Relevant"),"0 Closed - no",IF($R243="Yes","4 Contacted",IF($N243="Yes","2 Engaged",IF($M243="Yes","1 Awareness",IF($AA243&gt;=60,"3 Qualified","1 Awareness"))))))))))</f>
        <v/>
      </c>
    </row>
    <row r="244" customFormat="false" ht="30" hidden="false" customHeight="true" outlineLevel="0" collapsed="false">
      <c r="A244" s="36"/>
      <c r="B244" s="37"/>
      <c r="C244" s="37"/>
      <c r="D244" s="37"/>
      <c r="E244" s="37"/>
      <c r="F244" s="37"/>
      <c r="G244" s="37"/>
      <c r="H244" s="37"/>
      <c r="I244" s="37"/>
      <c r="J244" s="47"/>
      <c r="K244" s="41" t="str">
        <f aca="false">IF(J244="","",IF(J244&gt;=8,"Yes","Check"))</f>
        <v/>
      </c>
      <c r="L244" s="38"/>
      <c r="M244" s="47"/>
      <c r="N244" s="47"/>
      <c r="O244" s="37"/>
      <c r="P244" s="38"/>
      <c r="Q244" s="42" t="str">
        <f aca="false">IF(P244="","",LEN(P244))</f>
        <v/>
      </c>
      <c r="R244" s="47"/>
      <c r="S244" s="37"/>
      <c r="T244" s="38"/>
      <c r="U244" s="43" t="str">
        <f aca="false">IF(OR(R244&lt;&gt;"Yes",A244=""),"",A244+4)</f>
        <v/>
      </c>
      <c r="V244" s="47"/>
      <c r="W244" s="38"/>
      <c r="X244" s="38"/>
      <c r="Y244" s="44"/>
      <c r="Z244" s="44"/>
      <c r="AA244" s="45" t="str">
        <f aca="false">IF(AND($Y244="",$Z244=""),"",ROUND(IFERROR(VALUE(LEFT($Y244,1)),0)*12+IFERROR(VALUE(LEFT($Z244,1)),0)*8,0))</f>
        <v/>
      </c>
      <c r="AB244" s="45" t="str">
        <f aca="false">IF($AA244="","",IF($AA244&gt;=80,"A - call first",IF($AA244&gt;=60,"B - worth pursuing",IF($AA244&gt;=40,"C - nurture","D - do not spend time here"))))</f>
        <v/>
      </c>
      <c r="AC244" s="46" t="str">
        <f aca="false">IF($C244="","",IF($S244="Converted","7 Certification / Enterprise opportunity",IF($S244="Application Started","7 Certification / Enterprise opportunity",IF($S244="Meeting Booked","6 Meeting / Application",IF(OR($S244="Interested",$S244="Info Requested"),"5 Interested",IF(OR($S244="Declined",$S244="Not Relevant"),"0 Closed - no",IF($R244="Yes","4 Contacted",IF($N244="Yes","2 Engaged",IF($M244="Yes","1 Awareness",IF($AA244&gt;=60,"3 Qualified","1 Awareness"))))))))))</f>
        <v/>
      </c>
    </row>
    <row r="245" customFormat="false" ht="30" hidden="false" customHeight="true" outlineLevel="0" collapsed="false">
      <c r="A245" s="36"/>
      <c r="B245" s="37"/>
      <c r="C245" s="37"/>
      <c r="D245" s="37"/>
      <c r="E245" s="37"/>
      <c r="F245" s="37"/>
      <c r="G245" s="37"/>
      <c r="H245" s="37"/>
      <c r="I245" s="37"/>
      <c r="J245" s="47"/>
      <c r="K245" s="41" t="str">
        <f aca="false">IF(J245="","",IF(J245&gt;=8,"Yes","Check"))</f>
        <v/>
      </c>
      <c r="L245" s="38"/>
      <c r="M245" s="47"/>
      <c r="N245" s="47"/>
      <c r="O245" s="37"/>
      <c r="P245" s="38"/>
      <c r="Q245" s="42" t="str">
        <f aca="false">IF(P245="","",LEN(P245))</f>
        <v/>
      </c>
      <c r="R245" s="47"/>
      <c r="S245" s="37"/>
      <c r="T245" s="38"/>
      <c r="U245" s="43" t="str">
        <f aca="false">IF(OR(R245&lt;&gt;"Yes",A245=""),"",A245+4)</f>
        <v/>
      </c>
      <c r="V245" s="47"/>
      <c r="W245" s="38"/>
      <c r="X245" s="38"/>
      <c r="Y245" s="44"/>
      <c r="Z245" s="44"/>
      <c r="AA245" s="45" t="str">
        <f aca="false">IF(AND($Y245="",$Z245=""),"",ROUND(IFERROR(VALUE(LEFT($Y245,1)),0)*12+IFERROR(VALUE(LEFT($Z245,1)),0)*8,0))</f>
        <v/>
      </c>
      <c r="AB245" s="45" t="str">
        <f aca="false">IF($AA245="","",IF($AA245&gt;=80,"A - call first",IF($AA245&gt;=60,"B - worth pursuing",IF($AA245&gt;=40,"C - nurture","D - do not spend time here"))))</f>
        <v/>
      </c>
      <c r="AC245" s="46" t="str">
        <f aca="false">IF($C245="","",IF($S245="Converted","7 Certification / Enterprise opportunity",IF($S245="Application Started","7 Certification / Enterprise opportunity",IF($S245="Meeting Booked","6 Meeting / Application",IF(OR($S245="Interested",$S245="Info Requested"),"5 Interested",IF(OR($S245="Declined",$S245="Not Relevant"),"0 Closed - no",IF($R245="Yes","4 Contacted",IF($N245="Yes","2 Engaged",IF($M245="Yes","1 Awareness",IF($AA245&gt;=60,"3 Qualified","1 Awareness"))))))))))</f>
        <v/>
      </c>
    </row>
    <row r="246" customFormat="false" ht="30" hidden="false" customHeight="true" outlineLevel="0" collapsed="false">
      <c r="A246" s="36"/>
      <c r="B246" s="37"/>
      <c r="C246" s="37"/>
      <c r="D246" s="37"/>
      <c r="E246" s="37"/>
      <c r="F246" s="37"/>
      <c r="G246" s="37"/>
      <c r="H246" s="37"/>
      <c r="I246" s="37"/>
      <c r="J246" s="47"/>
      <c r="K246" s="41" t="str">
        <f aca="false">IF(J246="","",IF(J246&gt;=8,"Yes","Check"))</f>
        <v/>
      </c>
      <c r="L246" s="38"/>
      <c r="M246" s="47"/>
      <c r="N246" s="47"/>
      <c r="O246" s="37"/>
      <c r="P246" s="38"/>
      <c r="Q246" s="42" t="str">
        <f aca="false">IF(P246="","",LEN(P246))</f>
        <v/>
      </c>
      <c r="R246" s="47"/>
      <c r="S246" s="37"/>
      <c r="T246" s="38"/>
      <c r="U246" s="43" t="str">
        <f aca="false">IF(OR(R246&lt;&gt;"Yes",A246=""),"",A246+4)</f>
        <v/>
      </c>
      <c r="V246" s="47"/>
      <c r="W246" s="38"/>
      <c r="X246" s="38"/>
      <c r="Y246" s="44"/>
      <c r="Z246" s="44"/>
      <c r="AA246" s="45" t="str">
        <f aca="false">IF(AND($Y246="",$Z246=""),"",ROUND(IFERROR(VALUE(LEFT($Y246,1)),0)*12+IFERROR(VALUE(LEFT($Z246,1)),0)*8,0))</f>
        <v/>
      </c>
      <c r="AB246" s="45" t="str">
        <f aca="false">IF($AA246="","",IF($AA246&gt;=80,"A - call first",IF($AA246&gt;=60,"B - worth pursuing",IF($AA246&gt;=40,"C - nurture","D - do not spend time here"))))</f>
        <v/>
      </c>
      <c r="AC246" s="46" t="str">
        <f aca="false">IF($C246="","",IF($S246="Converted","7 Certification / Enterprise opportunity",IF($S246="Application Started","7 Certification / Enterprise opportunity",IF($S246="Meeting Booked","6 Meeting / Application",IF(OR($S246="Interested",$S246="Info Requested"),"5 Interested",IF(OR($S246="Declined",$S246="Not Relevant"),"0 Closed - no",IF($R246="Yes","4 Contacted",IF($N246="Yes","2 Engaged",IF($M246="Yes","1 Awareness",IF($AA246&gt;=60,"3 Qualified","1 Awareness"))))))))))</f>
        <v/>
      </c>
    </row>
    <row r="247" customFormat="false" ht="30" hidden="false" customHeight="true" outlineLevel="0" collapsed="false">
      <c r="A247" s="36"/>
      <c r="B247" s="37"/>
      <c r="C247" s="37"/>
      <c r="D247" s="37"/>
      <c r="E247" s="37"/>
      <c r="F247" s="37"/>
      <c r="G247" s="37"/>
      <c r="H247" s="37"/>
      <c r="I247" s="37"/>
      <c r="J247" s="47"/>
      <c r="K247" s="41" t="str">
        <f aca="false">IF(J247="","",IF(J247&gt;=8,"Yes","Check"))</f>
        <v/>
      </c>
      <c r="L247" s="38"/>
      <c r="M247" s="47"/>
      <c r="N247" s="47"/>
      <c r="O247" s="37"/>
      <c r="P247" s="38"/>
      <c r="Q247" s="42" t="str">
        <f aca="false">IF(P247="","",LEN(P247))</f>
        <v/>
      </c>
      <c r="R247" s="47"/>
      <c r="S247" s="37"/>
      <c r="T247" s="38"/>
      <c r="U247" s="43" t="str">
        <f aca="false">IF(OR(R247&lt;&gt;"Yes",A247=""),"",A247+4)</f>
        <v/>
      </c>
      <c r="V247" s="47"/>
      <c r="W247" s="38"/>
      <c r="X247" s="38"/>
      <c r="Y247" s="44"/>
      <c r="Z247" s="44"/>
      <c r="AA247" s="45" t="str">
        <f aca="false">IF(AND($Y247="",$Z247=""),"",ROUND(IFERROR(VALUE(LEFT($Y247,1)),0)*12+IFERROR(VALUE(LEFT($Z247,1)),0)*8,0))</f>
        <v/>
      </c>
      <c r="AB247" s="45" t="str">
        <f aca="false">IF($AA247="","",IF($AA247&gt;=80,"A - call first",IF($AA247&gt;=60,"B - worth pursuing",IF($AA247&gt;=40,"C - nurture","D - do not spend time here"))))</f>
        <v/>
      </c>
      <c r="AC247" s="46" t="str">
        <f aca="false">IF($C247="","",IF($S247="Converted","7 Certification / Enterprise opportunity",IF($S247="Application Started","7 Certification / Enterprise opportunity",IF($S247="Meeting Booked","6 Meeting / Application",IF(OR($S247="Interested",$S247="Info Requested"),"5 Interested",IF(OR($S247="Declined",$S247="Not Relevant"),"0 Closed - no",IF($R247="Yes","4 Contacted",IF($N247="Yes","2 Engaged",IF($M247="Yes","1 Awareness",IF($AA247&gt;=60,"3 Qualified","1 Awareness"))))))))))</f>
        <v/>
      </c>
    </row>
    <row r="248" customFormat="false" ht="30" hidden="false" customHeight="true" outlineLevel="0" collapsed="false">
      <c r="A248" s="36"/>
      <c r="B248" s="37"/>
      <c r="C248" s="37"/>
      <c r="D248" s="37"/>
      <c r="E248" s="37"/>
      <c r="F248" s="37"/>
      <c r="G248" s="37"/>
      <c r="H248" s="37"/>
      <c r="I248" s="37"/>
      <c r="J248" s="47"/>
      <c r="K248" s="41" t="str">
        <f aca="false">IF(J248="","",IF(J248&gt;=8,"Yes","Check"))</f>
        <v/>
      </c>
      <c r="L248" s="38"/>
      <c r="M248" s="47"/>
      <c r="N248" s="47"/>
      <c r="O248" s="37"/>
      <c r="P248" s="38"/>
      <c r="Q248" s="42" t="str">
        <f aca="false">IF(P248="","",LEN(P248))</f>
        <v/>
      </c>
      <c r="R248" s="47"/>
      <c r="S248" s="37"/>
      <c r="T248" s="38"/>
      <c r="U248" s="43" t="str">
        <f aca="false">IF(OR(R248&lt;&gt;"Yes",A248=""),"",A248+4)</f>
        <v/>
      </c>
      <c r="V248" s="47"/>
      <c r="W248" s="38"/>
      <c r="X248" s="38"/>
      <c r="Y248" s="44"/>
      <c r="Z248" s="44"/>
      <c r="AA248" s="45" t="str">
        <f aca="false">IF(AND($Y248="",$Z248=""),"",ROUND(IFERROR(VALUE(LEFT($Y248,1)),0)*12+IFERROR(VALUE(LEFT($Z248,1)),0)*8,0))</f>
        <v/>
      </c>
      <c r="AB248" s="45" t="str">
        <f aca="false">IF($AA248="","",IF($AA248&gt;=80,"A - call first",IF($AA248&gt;=60,"B - worth pursuing",IF($AA248&gt;=40,"C - nurture","D - do not spend time here"))))</f>
        <v/>
      </c>
      <c r="AC248" s="46" t="str">
        <f aca="false">IF($C248="","",IF($S248="Converted","7 Certification / Enterprise opportunity",IF($S248="Application Started","7 Certification / Enterprise opportunity",IF($S248="Meeting Booked","6 Meeting / Application",IF(OR($S248="Interested",$S248="Info Requested"),"5 Interested",IF(OR($S248="Declined",$S248="Not Relevant"),"0 Closed - no",IF($R248="Yes","4 Contacted",IF($N248="Yes","2 Engaged",IF($M248="Yes","1 Awareness",IF($AA248&gt;=60,"3 Qualified","1 Awareness"))))))))))</f>
        <v/>
      </c>
    </row>
    <row r="249" customFormat="false" ht="30" hidden="false" customHeight="true" outlineLevel="0" collapsed="false">
      <c r="A249" s="36"/>
      <c r="B249" s="37"/>
      <c r="C249" s="37"/>
      <c r="D249" s="37"/>
      <c r="E249" s="37"/>
      <c r="F249" s="37"/>
      <c r="G249" s="37"/>
      <c r="H249" s="37"/>
      <c r="I249" s="37"/>
      <c r="J249" s="47"/>
      <c r="K249" s="41" t="str">
        <f aca="false">IF(J249="","",IF(J249&gt;=8,"Yes","Check"))</f>
        <v/>
      </c>
      <c r="L249" s="38"/>
      <c r="M249" s="47"/>
      <c r="N249" s="47"/>
      <c r="O249" s="37"/>
      <c r="P249" s="38"/>
      <c r="Q249" s="42" t="str">
        <f aca="false">IF(P249="","",LEN(P249))</f>
        <v/>
      </c>
      <c r="R249" s="47"/>
      <c r="S249" s="37"/>
      <c r="T249" s="38"/>
      <c r="U249" s="43" t="str">
        <f aca="false">IF(OR(R249&lt;&gt;"Yes",A249=""),"",A249+4)</f>
        <v/>
      </c>
      <c r="V249" s="47"/>
      <c r="W249" s="38"/>
      <c r="X249" s="38"/>
      <c r="Y249" s="44"/>
      <c r="Z249" s="44"/>
      <c r="AA249" s="45" t="str">
        <f aca="false">IF(AND($Y249="",$Z249=""),"",ROUND(IFERROR(VALUE(LEFT($Y249,1)),0)*12+IFERROR(VALUE(LEFT($Z249,1)),0)*8,0))</f>
        <v/>
      </c>
      <c r="AB249" s="45" t="str">
        <f aca="false">IF($AA249="","",IF($AA249&gt;=80,"A - call first",IF($AA249&gt;=60,"B - worth pursuing",IF($AA249&gt;=40,"C - nurture","D - do not spend time here"))))</f>
        <v/>
      </c>
      <c r="AC249" s="46" t="str">
        <f aca="false">IF($C249="","",IF($S249="Converted","7 Certification / Enterprise opportunity",IF($S249="Application Started","7 Certification / Enterprise opportunity",IF($S249="Meeting Booked","6 Meeting / Application",IF(OR($S249="Interested",$S249="Info Requested"),"5 Interested",IF(OR($S249="Declined",$S249="Not Relevant"),"0 Closed - no",IF($R249="Yes","4 Contacted",IF($N249="Yes","2 Engaged",IF($M249="Yes","1 Awareness",IF($AA249&gt;=60,"3 Qualified","1 Awareness"))))))))))</f>
        <v/>
      </c>
    </row>
    <row r="250" customFormat="false" ht="30" hidden="false" customHeight="true" outlineLevel="0" collapsed="false">
      <c r="A250" s="36"/>
      <c r="B250" s="37"/>
      <c r="C250" s="37"/>
      <c r="D250" s="37"/>
      <c r="E250" s="37"/>
      <c r="F250" s="37"/>
      <c r="G250" s="37"/>
      <c r="H250" s="37"/>
      <c r="I250" s="37"/>
      <c r="J250" s="47"/>
      <c r="K250" s="41" t="str">
        <f aca="false">IF(J250="","",IF(J250&gt;=8,"Yes","Check"))</f>
        <v/>
      </c>
      <c r="L250" s="38"/>
      <c r="M250" s="47"/>
      <c r="N250" s="47"/>
      <c r="O250" s="37"/>
      <c r="P250" s="38"/>
      <c r="Q250" s="42" t="str">
        <f aca="false">IF(P250="","",LEN(P250))</f>
        <v/>
      </c>
      <c r="R250" s="47"/>
      <c r="S250" s="37"/>
      <c r="T250" s="38"/>
      <c r="U250" s="43" t="str">
        <f aca="false">IF(OR(R250&lt;&gt;"Yes",A250=""),"",A250+4)</f>
        <v/>
      </c>
      <c r="V250" s="47"/>
      <c r="W250" s="38"/>
      <c r="X250" s="38"/>
      <c r="Y250" s="44"/>
      <c r="Z250" s="44"/>
      <c r="AA250" s="45" t="str">
        <f aca="false">IF(AND($Y250="",$Z250=""),"",ROUND(IFERROR(VALUE(LEFT($Y250,1)),0)*12+IFERROR(VALUE(LEFT($Z250,1)),0)*8,0))</f>
        <v/>
      </c>
      <c r="AB250" s="45" t="str">
        <f aca="false">IF($AA250="","",IF($AA250&gt;=80,"A - call first",IF($AA250&gt;=60,"B - worth pursuing",IF($AA250&gt;=40,"C - nurture","D - do not spend time here"))))</f>
        <v/>
      </c>
      <c r="AC250" s="46" t="str">
        <f aca="false">IF($C250="","",IF($S250="Converted","7 Certification / Enterprise opportunity",IF($S250="Application Started","7 Certification / Enterprise opportunity",IF($S250="Meeting Booked","6 Meeting / Application",IF(OR($S250="Interested",$S250="Info Requested"),"5 Interested",IF(OR($S250="Declined",$S250="Not Relevant"),"0 Closed - no",IF($R250="Yes","4 Contacted",IF($N250="Yes","2 Engaged",IF($M250="Yes","1 Awareness",IF($AA250&gt;=60,"3 Qualified","1 Awareness"))))))))))</f>
        <v/>
      </c>
    </row>
    <row r="251" customFormat="false" ht="30" hidden="false" customHeight="true" outlineLevel="0" collapsed="false">
      <c r="A251" s="36"/>
      <c r="B251" s="37"/>
      <c r="C251" s="37"/>
      <c r="D251" s="37"/>
      <c r="E251" s="37"/>
      <c r="F251" s="37"/>
      <c r="G251" s="37"/>
      <c r="H251" s="37"/>
      <c r="I251" s="37"/>
      <c r="J251" s="47"/>
      <c r="K251" s="41" t="str">
        <f aca="false">IF(J251="","",IF(J251&gt;=8,"Yes","Check"))</f>
        <v/>
      </c>
      <c r="L251" s="38"/>
      <c r="M251" s="47"/>
      <c r="N251" s="47"/>
      <c r="O251" s="37"/>
      <c r="P251" s="38"/>
      <c r="Q251" s="42" t="str">
        <f aca="false">IF(P251="","",LEN(P251))</f>
        <v/>
      </c>
      <c r="R251" s="47"/>
      <c r="S251" s="37"/>
      <c r="T251" s="38"/>
      <c r="U251" s="43" t="str">
        <f aca="false">IF(OR(R251&lt;&gt;"Yes",A251=""),"",A251+4)</f>
        <v/>
      </c>
      <c r="V251" s="47"/>
      <c r="W251" s="38"/>
      <c r="X251" s="38"/>
      <c r="Y251" s="44"/>
      <c r="Z251" s="44"/>
      <c r="AA251" s="45" t="str">
        <f aca="false">IF(AND($Y251="",$Z251=""),"",ROUND(IFERROR(VALUE(LEFT($Y251,1)),0)*12+IFERROR(VALUE(LEFT($Z251,1)),0)*8,0))</f>
        <v/>
      </c>
      <c r="AB251" s="45" t="str">
        <f aca="false">IF($AA251="","",IF($AA251&gt;=80,"A - call first",IF($AA251&gt;=60,"B - worth pursuing",IF($AA251&gt;=40,"C - nurture","D - do not spend time here"))))</f>
        <v/>
      </c>
      <c r="AC251" s="46" t="str">
        <f aca="false">IF($C251="","",IF($S251="Converted","7 Certification / Enterprise opportunity",IF($S251="Application Started","7 Certification / Enterprise opportunity",IF($S251="Meeting Booked","6 Meeting / Application",IF(OR($S251="Interested",$S251="Info Requested"),"5 Interested",IF(OR($S251="Declined",$S251="Not Relevant"),"0 Closed - no",IF($R251="Yes","4 Contacted",IF($N251="Yes","2 Engaged",IF($M251="Yes","1 Awareness",IF($AA251&gt;=60,"3 Qualified","1 Awareness"))))))))))</f>
        <v/>
      </c>
    </row>
    <row r="252" customFormat="false" ht="30" hidden="false" customHeight="true" outlineLevel="0" collapsed="false">
      <c r="A252" s="36"/>
      <c r="B252" s="37"/>
      <c r="C252" s="37"/>
      <c r="D252" s="37"/>
      <c r="E252" s="37"/>
      <c r="F252" s="37"/>
      <c r="G252" s="37"/>
      <c r="H252" s="37"/>
      <c r="I252" s="37"/>
      <c r="J252" s="47"/>
      <c r="K252" s="41" t="str">
        <f aca="false">IF(J252="","",IF(J252&gt;=8,"Yes","Check"))</f>
        <v/>
      </c>
      <c r="L252" s="38"/>
      <c r="M252" s="47"/>
      <c r="N252" s="47"/>
      <c r="O252" s="37"/>
      <c r="P252" s="38"/>
      <c r="Q252" s="42" t="str">
        <f aca="false">IF(P252="","",LEN(P252))</f>
        <v/>
      </c>
      <c r="R252" s="47"/>
      <c r="S252" s="37"/>
      <c r="T252" s="38"/>
      <c r="U252" s="43" t="str">
        <f aca="false">IF(OR(R252&lt;&gt;"Yes",A252=""),"",A252+4)</f>
        <v/>
      </c>
      <c r="V252" s="47"/>
      <c r="W252" s="38"/>
      <c r="X252" s="38"/>
      <c r="Y252" s="44"/>
      <c r="Z252" s="44"/>
      <c r="AA252" s="45" t="str">
        <f aca="false">IF(AND($Y252="",$Z252=""),"",ROUND(IFERROR(VALUE(LEFT($Y252,1)),0)*12+IFERROR(VALUE(LEFT($Z252,1)),0)*8,0))</f>
        <v/>
      </c>
      <c r="AB252" s="45" t="str">
        <f aca="false">IF($AA252="","",IF($AA252&gt;=80,"A - call first",IF($AA252&gt;=60,"B - worth pursuing",IF($AA252&gt;=40,"C - nurture","D - do not spend time here"))))</f>
        <v/>
      </c>
      <c r="AC252" s="46" t="str">
        <f aca="false">IF($C252="","",IF($S252="Converted","7 Certification / Enterprise opportunity",IF($S252="Application Started","7 Certification / Enterprise opportunity",IF($S252="Meeting Booked","6 Meeting / Application",IF(OR($S252="Interested",$S252="Info Requested"),"5 Interested",IF(OR($S252="Declined",$S252="Not Relevant"),"0 Closed - no",IF($R252="Yes","4 Contacted",IF($N252="Yes","2 Engaged",IF($M252="Yes","1 Awareness",IF($AA252&gt;=60,"3 Qualified","1 Awareness"))))))))))</f>
        <v/>
      </c>
    </row>
    <row r="253" customFormat="false" ht="30" hidden="false" customHeight="true" outlineLevel="0" collapsed="false">
      <c r="A253" s="36"/>
      <c r="B253" s="37"/>
      <c r="C253" s="37"/>
      <c r="D253" s="37"/>
      <c r="E253" s="37"/>
      <c r="F253" s="37"/>
      <c r="G253" s="37"/>
      <c r="H253" s="37"/>
      <c r="I253" s="37"/>
      <c r="J253" s="47"/>
      <c r="K253" s="41" t="str">
        <f aca="false">IF(J253="","",IF(J253&gt;=8,"Yes","Check"))</f>
        <v/>
      </c>
      <c r="L253" s="38"/>
      <c r="M253" s="47"/>
      <c r="N253" s="47"/>
      <c r="O253" s="37"/>
      <c r="P253" s="38"/>
      <c r="Q253" s="42" t="str">
        <f aca="false">IF(P253="","",LEN(P253))</f>
        <v/>
      </c>
      <c r="R253" s="47"/>
      <c r="S253" s="37"/>
      <c r="T253" s="38"/>
      <c r="U253" s="43" t="str">
        <f aca="false">IF(OR(R253&lt;&gt;"Yes",A253=""),"",A253+4)</f>
        <v/>
      </c>
      <c r="V253" s="47"/>
      <c r="W253" s="38"/>
      <c r="X253" s="38"/>
      <c r="Y253" s="44"/>
      <c r="Z253" s="44"/>
      <c r="AA253" s="45" t="str">
        <f aca="false">IF(AND($Y253="",$Z253=""),"",ROUND(IFERROR(VALUE(LEFT($Y253,1)),0)*12+IFERROR(VALUE(LEFT($Z253,1)),0)*8,0))</f>
        <v/>
      </c>
      <c r="AB253" s="45" t="str">
        <f aca="false">IF($AA253="","",IF($AA253&gt;=80,"A - call first",IF($AA253&gt;=60,"B - worth pursuing",IF($AA253&gt;=40,"C - nurture","D - do not spend time here"))))</f>
        <v/>
      </c>
      <c r="AC253" s="46" t="str">
        <f aca="false">IF($C253="","",IF($S253="Converted","7 Certification / Enterprise opportunity",IF($S253="Application Started","7 Certification / Enterprise opportunity",IF($S253="Meeting Booked","6 Meeting / Application",IF(OR($S253="Interested",$S253="Info Requested"),"5 Interested",IF(OR($S253="Declined",$S253="Not Relevant"),"0 Closed - no",IF($R253="Yes","4 Contacted",IF($N253="Yes","2 Engaged",IF($M253="Yes","1 Awareness",IF($AA253&gt;=60,"3 Qualified","1 Awareness"))))))))))</f>
        <v/>
      </c>
    </row>
    <row r="254" customFormat="false" ht="30" hidden="false" customHeight="true" outlineLevel="0" collapsed="false">
      <c r="A254" s="36"/>
      <c r="B254" s="37"/>
      <c r="C254" s="37"/>
      <c r="D254" s="37"/>
      <c r="E254" s="37"/>
      <c r="F254" s="37"/>
      <c r="G254" s="37"/>
      <c r="H254" s="37"/>
      <c r="I254" s="37"/>
      <c r="J254" s="47"/>
      <c r="K254" s="41" t="str">
        <f aca="false">IF(J254="","",IF(J254&gt;=8,"Yes","Check"))</f>
        <v/>
      </c>
      <c r="L254" s="38"/>
      <c r="M254" s="47"/>
      <c r="N254" s="47"/>
      <c r="O254" s="37"/>
      <c r="P254" s="38"/>
      <c r="Q254" s="42" t="str">
        <f aca="false">IF(P254="","",LEN(P254))</f>
        <v/>
      </c>
      <c r="R254" s="47"/>
      <c r="S254" s="37"/>
      <c r="T254" s="38"/>
      <c r="U254" s="43" t="str">
        <f aca="false">IF(OR(R254&lt;&gt;"Yes",A254=""),"",A254+4)</f>
        <v/>
      </c>
      <c r="V254" s="47"/>
      <c r="W254" s="38"/>
      <c r="X254" s="38"/>
      <c r="Y254" s="44"/>
      <c r="Z254" s="44"/>
      <c r="AA254" s="45" t="str">
        <f aca="false">IF(AND($Y254="",$Z254=""),"",ROUND(IFERROR(VALUE(LEFT($Y254,1)),0)*12+IFERROR(VALUE(LEFT($Z254,1)),0)*8,0))</f>
        <v/>
      </c>
      <c r="AB254" s="45" t="str">
        <f aca="false">IF($AA254="","",IF($AA254&gt;=80,"A - call first",IF($AA254&gt;=60,"B - worth pursuing",IF($AA254&gt;=40,"C - nurture","D - do not spend time here"))))</f>
        <v/>
      </c>
      <c r="AC254" s="46" t="str">
        <f aca="false">IF($C254="","",IF($S254="Converted","7 Certification / Enterprise opportunity",IF($S254="Application Started","7 Certification / Enterprise opportunity",IF($S254="Meeting Booked","6 Meeting / Application",IF(OR($S254="Interested",$S254="Info Requested"),"5 Interested",IF(OR($S254="Declined",$S254="Not Relevant"),"0 Closed - no",IF($R254="Yes","4 Contacted",IF($N254="Yes","2 Engaged",IF($M254="Yes","1 Awareness",IF($AA254&gt;=60,"3 Qualified","1 Awareness"))))))))))</f>
        <v/>
      </c>
    </row>
    <row r="255" customFormat="false" ht="30" hidden="false" customHeight="true" outlineLevel="0" collapsed="false">
      <c r="A255" s="36"/>
      <c r="B255" s="37"/>
      <c r="C255" s="37"/>
      <c r="D255" s="37"/>
      <c r="E255" s="37"/>
      <c r="F255" s="37"/>
      <c r="G255" s="37"/>
      <c r="H255" s="37"/>
      <c r="I255" s="37"/>
      <c r="J255" s="47"/>
      <c r="K255" s="41" t="str">
        <f aca="false">IF(J255="","",IF(J255&gt;=8,"Yes","Check"))</f>
        <v/>
      </c>
      <c r="L255" s="38"/>
      <c r="M255" s="47"/>
      <c r="N255" s="47"/>
      <c r="O255" s="37"/>
      <c r="P255" s="38"/>
      <c r="Q255" s="42" t="str">
        <f aca="false">IF(P255="","",LEN(P255))</f>
        <v/>
      </c>
      <c r="R255" s="47"/>
      <c r="S255" s="37"/>
      <c r="T255" s="38"/>
      <c r="U255" s="43" t="str">
        <f aca="false">IF(OR(R255&lt;&gt;"Yes",A255=""),"",A255+4)</f>
        <v/>
      </c>
      <c r="V255" s="47"/>
      <c r="W255" s="38"/>
      <c r="X255" s="38"/>
      <c r="Y255" s="44"/>
      <c r="Z255" s="44"/>
      <c r="AA255" s="45" t="str">
        <f aca="false">IF(AND($Y255="",$Z255=""),"",ROUND(IFERROR(VALUE(LEFT($Y255,1)),0)*12+IFERROR(VALUE(LEFT($Z255,1)),0)*8,0))</f>
        <v/>
      </c>
      <c r="AB255" s="45" t="str">
        <f aca="false">IF($AA255="","",IF($AA255&gt;=80,"A - call first",IF($AA255&gt;=60,"B - worth pursuing",IF($AA255&gt;=40,"C - nurture","D - do not spend time here"))))</f>
        <v/>
      </c>
      <c r="AC255" s="46" t="str">
        <f aca="false">IF($C255="","",IF($S255="Converted","7 Certification / Enterprise opportunity",IF($S255="Application Started","7 Certification / Enterprise opportunity",IF($S255="Meeting Booked","6 Meeting / Application",IF(OR($S255="Interested",$S255="Info Requested"),"5 Interested",IF(OR($S255="Declined",$S255="Not Relevant"),"0 Closed - no",IF($R255="Yes","4 Contacted",IF($N255="Yes","2 Engaged",IF($M255="Yes","1 Awareness",IF($AA255&gt;=60,"3 Qualified","1 Awareness"))))))))))</f>
        <v/>
      </c>
    </row>
    <row r="256" customFormat="false" ht="30" hidden="false" customHeight="true" outlineLevel="0" collapsed="false">
      <c r="A256" s="36"/>
      <c r="B256" s="37"/>
      <c r="C256" s="37"/>
      <c r="D256" s="37"/>
      <c r="E256" s="37"/>
      <c r="F256" s="37"/>
      <c r="G256" s="37"/>
      <c r="H256" s="37"/>
      <c r="I256" s="37"/>
      <c r="J256" s="47"/>
      <c r="K256" s="41" t="str">
        <f aca="false">IF(J256="","",IF(J256&gt;=8,"Yes","Check"))</f>
        <v/>
      </c>
      <c r="L256" s="38"/>
      <c r="M256" s="47"/>
      <c r="N256" s="47"/>
      <c r="O256" s="37"/>
      <c r="P256" s="38"/>
      <c r="Q256" s="42" t="str">
        <f aca="false">IF(P256="","",LEN(P256))</f>
        <v/>
      </c>
      <c r="R256" s="47"/>
      <c r="S256" s="37"/>
      <c r="T256" s="38"/>
      <c r="U256" s="43" t="str">
        <f aca="false">IF(OR(R256&lt;&gt;"Yes",A256=""),"",A256+4)</f>
        <v/>
      </c>
      <c r="V256" s="47"/>
      <c r="W256" s="38"/>
      <c r="X256" s="38"/>
      <c r="Y256" s="44"/>
      <c r="Z256" s="44"/>
      <c r="AA256" s="45" t="str">
        <f aca="false">IF(AND($Y256="",$Z256=""),"",ROUND(IFERROR(VALUE(LEFT($Y256,1)),0)*12+IFERROR(VALUE(LEFT($Z256,1)),0)*8,0))</f>
        <v/>
      </c>
      <c r="AB256" s="45" t="str">
        <f aca="false">IF($AA256="","",IF($AA256&gt;=80,"A - call first",IF($AA256&gt;=60,"B - worth pursuing",IF($AA256&gt;=40,"C - nurture","D - do not spend time here"))))</f>
        <v/>
      </c>
      <c r="AC256" s="46" t="str">
        <f aca="false">IF($C256="","",IF($S256="Converted","7 Certification / Enterprise opportunity",IF($S256="Application Started","7 Certification / Enterprise opportunity",IF($S256="Meeting Booked","6 Meeting / Application",IF(OR($S256="Interested",$S256="Info Requested"),"5 Interested",IF(OR($S256="Declined",$S256="Not Relevant"),"0 Closed - no",IF($R256="Yes","4 Contacted",IF($N256="Yes","2 Engaged",IF($M256="Yes","1 Awareness",IF($AA256&gt;=60,"3 Qualified","1 Awareness"))))))))))</f>
        <v/>
      </c>
    </row>
    <row r="257" customFormat="false" ht="30" hidden="false" customHeight="true" outlineLevel="0" collapsed="false">
      <c r="A257" s="36"/>
      <c r="B257" s="37"/>
      <c r="C257" s="37"/>
      <c r="D257" s="37"/>
      <c r="E257" s="37"/>
      <c r="F257" s="37"/>
      <c r="G257" s="37"/>
      <c r="H257" s="37"/>
      <c r="I257" s="37"/>
      <c r="J257" s="47"/>
      <c r="K257" s="41" t="str">
        <f aca="false">IF(J257="","",IF(J257&gt;=8,"Yes","Check"))</f>
        <v/>
      </c>
      <c r="L257" s="38"/>
      <c r="M257" s="47"/>
      <c r="N257" s="47"/>
      <c r="O257" s="37"/>
      <c r="P257" s="38"/>
      <c r="Q257" s="42" t="str">
        <f aca="false">IF(P257="","",LEN(P257))</f>
        <v/>
      </c>
      <c r="R257" s="47"/>
      <c r="S257" s="37"/>
      <c r="T257" s="38"/>
      <c r="U257" s="43" t="str">
        <f aca="false">IF(OR(R257&lt;&gt;"Yes",A257=""),"",A257+4)</f>
        <v/>
      </c>
      <c r="V257" s="47"/>
      <c r="W257" s="38"/>
      <c r="X257" s="38"/>
      <c r="Y257" s="44"/>
      <c r="Z257" s="44"/>
      <c r="AA257" s="45" t="str">
        <f aca="false">IF(AND($Y257="",$Z257=""),"",ROUND(IFERROR(VALUE(LEFT($Y257,1)),0)*12+IFERROR(VALUE(LEFT($Z257,1)),0)*8,0))</f>
        <v/>
      </c>
      <c r="AB257" s="45" t="str">
        <f aca="false">IF($AA257="","",IF($AA257&gt;=80,"A - call first",IF($AA257&gt;=60,"B - worth pursuing",IF($AA257&gt;=40,"C - nurture","D - do not spend time here"))))</f>
        <v/>
      </c>
      <c r="AC257" s="46" t="str">
        <f aca="false">IF($C257="","",IF($S257="Converted","7 Certification / Enterprise opportunity",IF($S257="Application Started","7 Certification / Enterprise opportunity",IF($S257="Meeting Booked","6 Meeting / Application",IF(OR($S257="Interested",$S257="Info Requested"),"5 Interested",IF(OR($S257="Declined",$S257="Not Relevant"),"0 Closed - no",IF($R257="Yes","4 Contacted",IF($N257="Yes","2 Engaged",IF($M257="Yes","1 Awareness",IF($AA257&gt;=60,"3 Qualified","1 Awareness"))))))))))</f>
        <v/>
      </c>
    </row>
    <row r="258" customFormat="false" ht="30" hidden="false" customHeight="true" outlineLevel="0" collapsed="false">
      <c r="A258" s="36"/>
      <c r="B258" s="37"/>
      <c r="C258" s="37"/>
      <c r="D258" s="37"/>
      <c r="E258" s="37"/>
      <c r="F258" s="37"/>
      <c r="G258" s="37"/>
      <c r="H258" s="37"/>
      <c r="I258" s="37"/>
      <c r="J258" s="47"/>
      <c r="K258" s="41" t="str">
        <f aca="false">IF(J258="","",IF(J258&gt;=8,"Yes","Check"))</f>
        <v/>
      </c>
      <c r="L258" s="38"/>
      <c r="M258" s="47"/>
      <c r="N258" s="47"/>
      <c r="O258" s="37"/>
      <c r="P258" s="38"/>
      <c r="Q258" s="42" t="str">
        <f aca="false">IF(P258="","",LEN(P258))</f>
        <v/>
      </c>
      <c r="R258" s="47"/>
      <c r="S258" s="37"/>
      <c r="T258" s="38"/>
      <c r="U258" s="43" t="str">
        <f aca="false">IF(OR(R258&lt;&gt;"Yes",A258=""),"",A258+4)</f>
        <v/>
      </c>
      <c r="V258" s="47"/>
      <c r="W258" s="38"/>
      <c r="X258" s="38"/>
      <c r="Y258" s="44"/>
      <c r="Z258" s="44"/>
      <c r="AA258" s="45" t="str">
        <f aca="false">IF(AND($Y258="",$Z258=""),"",ROUND(IFERROR(VALUE(LEFT($Y258,1)),0)*12+IFERROR(VALUE(LEFT($Z258,1)),0)*8,0))</f>
        <v/>
      </c>
      <c r="AB258" s="45" t="str">
        <f aca="false">IF($AA258="","",IF($AA258&gt;=80,"A - call first",IF($AA258&gt;=60,"B - worth pursuing",IF($AA258&gt;=40,"C - nurture","D - do not spend time here"))))</f>
        <v/>
      </c>
      <c r="AC258" s="46" t="str">
        <f aca="false">IF($C258="","",IF($S258="Converted","7 Certification / Enterprise opportunity",IF($S258="Application Started","7 Certification / Enterprise opportunity",IF($S258="Meeting Booked","6 Meeting / Application",IF(OR($S258="Interested",$S258="Info Requested"),"5 Interested",IF(OR($S258="Declined",$S258="Not Relevant"),"0 Closed - no",IF($R258="Yes","4 Contacted",IF($N258="Yes","2 Engaged",IF($M258="Yes","1 Awareness",IF($AA258&gt;=60,"3 Qualified","1 Awareness"))))))))))</f>
        <v/>
      </c>
    </row>
    <row r="259" customFormat="false" ht="30" hidden="false" customHeight="true" outlineLevel="0" collapsed="false">
      <c r="A259" s="36"/>
      <c r="B259" s="37"/>
      <c r="C259" s="37"/>
      <c r="D259" s="37"/>
      <c r="E259" s="37"/>
      <c r="F259" s="37"/>
      <c r="G259" s="37"/>
      <c r="H259" s="37"/>
      <c r="I259" s="37"/>
      <c r="J259" s="47"/>
      <c r="K259" s="41" t="str">
        <f aca="false">IF(J259="","",IF(J259&gt;=8,"Yes","Check"))</f>
        <v/>
      </c>
      <c r="L259" s="38"/>
      <c r="M259" s="47"/>
      <c r="N259" s="47"/>
      <c r="O259" s="37"/>
      <c r="P259" s="38"/>
      <c r="Q259" s="42" t="str">
        <f aca="false">IF(P259="","",LEN(P259))</f>
        <v/>
      </c>
      <c r="R259" s="47"/>
      <c r="S259" s="37"/>
      <c r="T259" s="38"/>
      <c r="U259" s="43" t="str">
        <f aca="false">IF(OR(R259&lt;&gt;"Yes",A259=""),"",A259+4)</f>
        <v/>
      </c>
      <c r="V259" s="47"/>
      <c r="W259" s="38"/>
      <c r="X259" s="38"/>
      <c r="Y259" s="44"/>
      <c r="Z259" s="44"/>
      <c r="AA259" s="45" t="str">
        <f aca="false">IF(AND($Y259="",$Z259=""),"",ROUND(IFERROR(VALUE(LEFT($Y259,1)),0)*12+IFERROR(VALUE(LEFT($Z259,1)),0)*8,0))</f>
        <v/>
      </c>
      <c r="AB259" s="45" t="str">
        <f aca="false">IF($AA259="","",IF($AA259&gt;=80,"A - call first",IF($AA259&gt;=60,"B - worth pursuing",IF($AA259&gt;=40,"C - nurture","D - do not spend time here"))))</f>
        <v/>
      </c>
      <c r="AC259" s="46" t="str">
        <f aca="false">IF($C259="","",IF($S259="Converted","7 Certification / Enterprise opportunity",IF($S259="Application Started","7 Certification / Enterprise opportunity",IF($S259="Meeting Booked","6 Meeting / Application",IF(OR($S259="Interested",$S259="Info Requested"),"5 Interested",IF(OR($S259="Declined",$S259="Not Relevant"),"0 Closed - no",IF($R259="Yes","4 Contacted",IF($N259="Yes","2 Engaged",IF($M259="Yes","1 Awareness",IF($AA259&gt;=60,"3 Qualified","1 Awareness"))))))))))</f>
        <v/>
      </c>
    </row>
    <row r="260" customFormat="false" ht="30" hidden="false" customHeight="true" outlineLevel="0" collapsed="false">
      <c r="A260" s="36"/>
      <c r="B260" s="37"/>
      <c r="C260" s="37"/>
      <c r="D260" s="37"/>
      <c r="E260" s="37"/>
      <c r="F260" s="37"/>
      <c r="G260" s="37"/>
      <c r="H260" s="37"/>
      <c r="I260" s="37"/>
      <c r="J260" s="47"/>
      <c r="K260" s="41" t="str">
        <f aca="false">IF(J260="","",IF(J260&gt;=8,"Yes","Check"))</f>
        <v/>
      </c>
      <c r="L260" s="38"/>
      <c r="M260" s="47"/>
      <c r="N260" s="47"/>
      <c r="O260" s="37"/>
      <c r="P260" s="38"/>
      <c r="Q260" s="42" t="str">
        <f aca="false">IF(P260="","",LEN(P260))</f>
        <v/>
      </c>
      <c r="R260" s="47"/>
      <c r="S260" s="37"/>
      <c r="T260" s="38"/>
      <c r="U260" s="43" t="str">
        <f aca="false">IF(OR(R260&lt;&gt;"Yes",A260=""),"",A260+4)</f>
        <v/>
      </c>
      <c r="V260" s="47"/>
      <c r="W260" s="38"/>
      <c r="X260" s="38"/>
      <c r="Y260" s="44"/>
      <c r="Z260" s="44"/>
      <c r="AA260" s="45" t="str">
        <f aca="false">IF(AND($Y260="",$Z260=""),"",ROUND(IFERROR(VALUE(LEFT($Y260,1)),0)*12+IFERROR(VALUE(LEFT($Z260,1)),0)*8,0))</f>
        <v/>
      </c>
      <c r="AB260" s="45" t="str">
        <f aca="false">IF($AA260="","",IF($AA260&gt;=80,"A - call first",IF($AA260&gt;=60,"B - worth pursuing",IF($AA260&gt;=40,"C - nurture","D - do not spend time here"))))</f>
        <v/>
      </c>
      <c r="AC260" s="46" t="str">
        <f aca="false">IF($C260="","",IF($S260="Converted","7 Certification / Enterprise opportunity",IF($S260="Application Started","7 Certification / Enterprise opportunity",IF($S260="Meeting Booked","6 Meeting / Application",IF(OR($S260="Interested",$S260="Info Requested"),"5 Interested",IF(OR($S260="Declined",$S260="Not Relevant"),"0 Closed - no",IF($R260="Yes","4 Contacted",IF($N260="Yes","2 Engaged",IF($M260="Yes","1 Awareness",IF($AA260&gt;=60,"3 Qualified","1 Awareness"))))))))))</f>
        <v/>
      </c>
    </row>
    <row r="261" customFormat="false" ht="30" hidden="false" customHeight="true" outlineLevel="0" collapsed="false">
      <c r="A261" s="36"/>
      <c r="B261" s="37"/>
      <c r="C261" s="37"/>
      <c r="D261" s="37"/>
      <c r="E261" s="37"/>
      <c r="F261" s="37"/>
      <c r="G261" s="37"/>
      <c r="H261" s="37"/>
      <c r="I261" s="37"/>
      <c r="J261" s="47"/>
      <c r="K261" s="41" t="str">
        <f aca="false">IF(J261="","",IF(J261&gt;=8,"Yes","Check"))</f>
        <v/>
      </c>
      <c r="L261" s="38"/>
      <c r="M261" s="47"/>
      <c r="N261" s="47"/>
      <c r="O261" s="37"/>
      <c r="P261" s="38"/>
      <c r="Q261" s="42" t="str">
        <f aca="false">IF(P261="","",LEN(P261))</f>
        <v/>
      </c>
      <c r="R261" s="47"/>
      <c r="S261" s="37"/>
      <c r="T261" s="38"/>
      <c r="U261" s="43" t="str">
        <f aca="false">IF(OR(R261&lt;&gt;"Yes",A261=""),"",A261+4)</f>
        <v/>
      </c>
      <c r="V261" s="47"/>
      <c r="W261" s="38"/>
      <c r="X261" s="38"/>
      <c r="Y261" s="44"/>
      <c r="Z261" s="44"/>
      <c r="AA261" s="45" t="str">
        <f aca="false">IF(AND($Y261="",$Z261=""),"",ROUND(IFERROR(VALUE(LEFT($Y261,1)),0)*12+IFERROR(VALUE(LEFT($Z261,1)),0)*8,0))</f>
        <v/>
      </c>
      <c r="AB261" s="45" t="str">
        <f aca="false">IF($AA261="","",IF($AA261&gt;=80,"A - call first",IF($AA261&gt;=60,"B - worth pursuing",IF($AA261&gt;=40,"C - nurture","D - do not spend time here"))))</f>
        <v/>
      </c>
      <c r="AC261" s="46" t="str">
        <f aca="false">IF($C261="","",IF($S261="Converted","7 Certification / Enterprise opportunity",IF($S261="Application Started","7 Certification / Enterprise opportunity",IF($S261="Meeting Booked","6 Meeting / Application",IF(OR($S261="Interested",$S261="Info Requested"),"5 Interested",IF(OR($S261="Declined",$S261="Not Relevant"),"0 Closed - no",IF($R261="Yes","4 Contacted",IF($N261="Yes","2 Engaged",IF($M261="Yes","1 Awareness",IF($AA261&gt;=60,"3 Qualified","1 Awareness"))))))))))</f>
        <v/>
      </c>
    </row>
    <row r="262" customFormat="false" ht="30" hidden="false" customHeight="true" outlineLevel="0" collapsed="false">
      <c r="A262" s="36"/>
      <c r="B262" s="37"/>
      <c r="C262" s="37"/>
      <c r="D262" s="37"/>
      <c r="E262" s="37"/>
      <c r="F262" s="37"/>
      <c r="G262" s="37"/>
      <c r="H262" s="37"/>
      <c r="I262" s="37"/>
      <c r="J262" s="47"/>
      <c r="K262" s="41" t="str">
        <f aca="false">IF(J262="","",IF(J262&gt;=8,"Yes","Check"))</f>
        <v/>
      </c>
      <c r="L262" s="38"/>
      <c r="M262" s="47"/>
      <c r="N262" s="47"/>
      <c r="O262" s="37"/>
      <c r="P262" s="38"/>
      <c r="Q262" s="42" t="str">
        <f aca="false">IF(P262="","",LEN(P262))</f>
        <v/>
      </c>
      <c r="R262" s="47"/>
      <c r="S262" s="37"/>
      <c r="T262" s="38"/>
      <c r="U262" s="43" t="str">
        <f aca="false">IF(OR(R262&lt;&gt;"Yes",A262=""),"",A262+4)</f>
        <v/>
      </c>
      <c r="V262" s="47"/>
      <c r="W262" s="38"/>
      <c r="X262" s="38"/>
      <c r="Y262" s="44"/>
      <c r="Z262" s="44"/>
      <c r="AA262" s="45" t="str">
        <f aca="false">IF(AND($Y262="",$Z262=""),"",ROUND(IFERROR(VALUE(LEFT($Y262,1)),0)*12+IFERROR(VALUE(LEFT($Z262,1)),0)*8,0))</f>
        <v/>
      </c>
      <c r="AB262" s="45" t="str">
        <f aca="false">IF($AA262="","",IF($AA262&gt;=80,"A - call first",IF($AA262&gt;=60,"B - worth pursuing",IF($AA262&gt;=40,"C - nurture","D - do not spend time here"))))</f>
        <v/>
      </c>
      <c r="AC262" s="46" t="str">
        <f aca="false">IF($C262="","",IF($S262="Converted","7 Certification / Enterprise opportunity",IF($S262="Application Started","7 Certification / Enterprise opportunity",IF($S262="Meeting Booked","6 Meeting / Application",IF(OR($S262="Interested",$S262="Info Requested"),"5 Interested",IF(OR($S262="Declined",$S262="Not Relevant"),"0 Closed - no",IF($R262="Yes","4 Contacted",IF($N262="Yes","2 Engaged",IF($M262="Yes","1 Awareness",IF($AA262&gt;=60,"3 Qualified","1 Awareness"))))))))))</f>
        <v/>
      </c>
    </row>
    <row r="263" customFormat="false" ht="30" hidden="false" customHeight="true" outlineLevel="0" collapsed="false">
      <c r="A263" s="36"/>
      <c r="B263" s="37"/>
      <c r="C263" s="37"/>
      <c r="D263" s="37"/>
      <c r="E263" s="37"/>
      <c r="F263" s="37"/>
      <c r="G263" s="37"/>
      <c r="H263" s="37"/>
      <c r="I263" s="37"/>
      <c r="J263" s="47"/>
      <c r="K263" s="41" t="str">
        <f aca="false">IF(J263="","",IF(J263&gt;=8,"Yes","Check"))</f>
        <v/>
      </c>
      <c r="L263" s="38"/>
      <c r="M263" s="47"/>
      <c r="N263" s="47"/>
      <c r="O263" s="37"/>
      <c r="P263" s="38"/>
      <c r="Q263" s="42" t="str">
        <f aca="false">IF(P263="","",LEN(P263))</f>
        <v/>
      </c>
      <c r="R263" s="47"/>
      <c r="S263" s="37"/>
      <c r="T263" s="38"/>
      <c r="U263" s="43" t="str">
        <f aca="false">IF(OR(R263&lt;&gt;"Yes",A263=""),"",A263+4)</f>
        <v/>
      </c>
      <c r="V263" s="47"/>
      <c r="W263" s="38"/>
      <c r="X263" s="38"/>
      <c r="Y263" s="44"/>
      <c r="Z263" s="44"/>
      <c r="AA263" s="45" t="str">
        <f aca="false">IF(AND($Y263="",$Z263=""),"",ROUND(IFERROR(VALUE(LEFT($Y263,1)),0)*12+IFERROR(VALUE(LEFT($Z263,1)),0)*8,0))</f>
        <v/>
      </c>
      <c r="AB263" s="45" t="str">
        <f aca="false">IF($AA263="","",IF($AA263&gt;=80,"A - call first",IF($AA263&gt;=60,"B - worth pursuing",IF($AA263&gt;=40,"C - nurture","D - do not spend time here"))))</f>
        <v/>
      </c>
      <c r="AC263" s="46" t="str">
        <f aca="false">IF($C263="","",IF($S263="Converted","7 Certification / Enterprise opportunity",IF($S263="Application Started","7 Certification / Enterprise opportunity",IF($S263="Meeting Booked","6 Meeting / Application",IF(OR($S263="Interested",$S263="Info Requested"),"5 Interested",IF(OR($S263="Declined",$S263="Not Relevant"),"0 Closed - no",IF($R263="Yes","4 Contacted",IF($N263="Yes","2 Engaged",IF($M263="Yes","1 Awareness",IF($AA263&gt;=60,"3 Qualified","1 Awareness"))))))))))</f>
        <v/>
      </c>
    </row>
    <row r="264" customFormat="false" ht="30" hidden="false" customHeight="true" outlineLevel="0" collapsed="false">
      <c r="A264" s="36"/>
      <c r="B264" s="37"/>
      <c r="C264" s="37"/>
      <c r="D264" s="37"/>
      <c r="E264" s="37"/>
      <c r="F264" s="37"/>
      <c r="G264" s="37"/>
      <c r="H264" s="37"/>
      <c r="I264" s="37"/>
      <c r="J264" s="47"/>
      <c r="K264" s="41" t="str">
        <f aca="false">IF(J264="","",IF(J264&gt;=8,"Yes","Check"))</f>
        <v/>
      </c>
      <c r="L264" s="38"/>
      <c r="M264" s="47"/>
      <c r="N264" s="47"/>
      <c r="O264" s="37"/>
      <c r="P264" s="38"/>
      <c r="Q264" s="42" t="str">
        <f aca="false">IF(P264="","",LEN(P264))</f>
        <v/>
      </c>
      <c r="R264" s="47"/>
      <c r="S264" s="37"/>
      <c r="T264" s="38"/>
      <c r="U264" s="43" t="str">
        <f aca="false">IF(OR(R264&lt;&gt;"Yes",A264=""),"",A264+4)</f>
        <v/>
      </c>
      <c r="V264" s="47"/>
      <c r="W264" s="38"/>
      <c r="X264" s="38"/>
      <c r="Y264" s="44"/>
      <c r="Z264" s="44"/>
      <c r="AA264" s="45" t="str">
        <f aca="false">IF(AND($Y264="",$Z264=""),"",ROUND(IFERROR(VALUE(LEFT($Y264,1)),0)*12+IFERROR(VALUE(LEFT($Z264,1)),0)*8,0))</f>
        <v/>
      </c>
      <c r="AB264" s="45" t="str">
        <f aca="false">IF($AA264="","",IF($AA264&gt;=80,"A - call first",IF($AA264&gt;=60,"B - worth pursuing",IF($AA264&gt;=40,"C - nurture","D - do not spend time here"))))</f>
        <v/>
      </c>
      <c r="AC264" s="46" t="str">
        <f aca="false">IF($C264="","",IF($S264="Converted","7 Certification / Enterprise opportunity",IF($S264="Application Started","7 Certification / Enterprise opportunity",IF($S264="Meeting Booked","6 Meeting / Application",IF(OR($S264="Interested",$S264="Info Requested"),"5 Interested",IF(OR($S264="Declined",$S264="Not Relevant"),"0 Closed - no",IF($R264="Yes","4 Contacted",IF($N264="Yes","2 Engaged",IF($M264="Yes","1 Awareness",IF($AA264&gt;=60,"3 Qualified","1 Awareness"))))))))))</f>
        <v/>
      </c>
    </row>
    <row r="265" customFormat="false" ht="30" hidden="false" customHeight="true" outlineLevel="0" collapsed="false">
      <c r="A265" s="36"/>
      <c r="B265" s="37"/>
      <c r="C265" s="37"/>
      <c r="D265" s="37"/>
      <c r="E265" s="37"/>
      <c r="F265" s="37"/>
      <c r="G265" s="37"/>
      <c r="H265" s="37"/>
      <c r="I265" s="37"/>
      <c r="J265" s="47"/>
      <c r="K265" s="41" t="str">
        <f aca="false">IF(J265="","",IF(J265&gt;=8,"Yes","Check"))</f>
        <v/>
      </c>
      <c r="L265" s="38"/>
      <c r="M265" s="47"/>
      <c r="N265" s="47"/>
      <c r="O265" s="37"/>
      <c r="P265" s="38"/>
      <c r="Q265" s="42" t="str">
        <f aca="false">IF(P265="","",LEN(P265))</f>
        <v/>
      </c>
      <c r="R265" s="47"/>
      <c r="S265" s="37"/>
      <c r="T265" s="38"/>
      <c r="U265" s="43" t="str">
        <f aca="false">IF(OR(R265&lt;&gt;"Yes",A265=""),"",A265+4)</f>
        <v/>
      </c>
      <c r="V265" s="47"/>
      <c r="W265" s="38"/>
      <c r="X265" s="38"/>
      <c r="Y265" s="44"/>
      <c r="Z265" s="44"/>
      <c r="AA265" s="45" t="str">
        <f aca="false">IF(AND($Y265="",$Z265=""),"",ROUND(IFERROR(VALUE(LEFT($Y265,1)),0)*12+IFERROR(VALUE(LEFT($Z265,1)),0)*8,0))</f>
        <v/>
      </c>
      <c r="AB265" s="45" t="str">
        <f aca="false">IF($AA265="","",IF($AA265&gt;=80,"A - call first",IF($AA265&gt;=60,"B - worth pursuing",IF($AA265&gt;=40,"C - nurture","D - do not spend time here"))))</f>
        <v/>
      </c>
      <c r="AC265" s="46" t="str">
        <f aca="false">IF($C265="","",IF($S265="Converted","7 Certification / Enterprise opportunity",IF($S265="Application Started","7 Certification / Enterprise opportunity",IF($S265="Meeting Booked","6 Meeting / Application",IF(OR($S265="Interested",$S265="Info Requested"),"5 Interested",IF(OR($S265="Declined",$S265="Not Relevant"),"0 Closed - no",IF($R265="Yes","4 Contacted",IF($N265="Yes","2 Engaged",IF($M265="Yes","1 Awareness",IF($AA265&gt;=60,"3 Qualified","1 Awareness"))))))))))</f>
        <v/>
      </c>
    </row>
    <row r="266" customFormat="false" ht="30" hidden="false" customHeight="true" outlineLevel="0" collapsed="false">
      <c r="A266" s="36"/>
      <c r="B266" s="37"/>
      <c r="C266" s="37"/>
      <c r="D266" s="37"/>
      <c r="E266" s="37"/>
      <c r="F266" s="37"/>
      <c r="G266" s="37"/>
      <c r="H266" s="37"/>
      <c r="I266" s="37"/>
      <c r="J266" s="47"/>
      <c r="K266" s="41" t="str">
        <f aca="false">IF(J266="","",IF(J266&gt;=8,"Yes","Check"))</f>
        <v/>
      </c>
      <c r="L266" s="38"/>
      <c r="M266" s="47"/>
      <c r="N266" s="47"/>
      <c r="O266" s="37"/>
      <c r="P266" s="38"/>
      <c r="Q266" s="42" t="str">
        <f aca="false">IF(P266="","",LEN(P266))</f>
        <v/>
      </c>
      <c r="R266" s="47"/>
      <c r="S266" s="37"/>
      <c r="T266" s="38"/>
      <c r="U266" s="43" t="str">
        <f aca="false">IF(OR(R266&lt;&gt;"Yes",A266=""),"",A266+4)</f>
        <v/>
      </c>
      <c r="V266" s="47"/>
      <c r="W266" s="38"/>
      <c r="X266" s="38"/>
      <c r="Y266" s="44"/>
      <c r="Z266" s="44"/>
      <c r="AA266" s="45" t="str">
        <f aca="false">IF(AND($Y266="",$Z266=""),"",ROUND(IFERROR(VALUE(LEFT($Y266,1)),0)*12+IFERROR(VALUE(LEFT($Z266,1)),0)*8,0))</f>
        <v/>
      </c>
      <c r="AB266" s="45" t="str">
        <f aca="false">IF($AA266="","",IF($AA266&gt;=80,"A - call first",IF($AA266&gt;=60,"B - worth pursuing",IF($AA266&gt;=40,"C - nurture","D - do not spend time here"))))</f>
        <v/>
      </c>
      <c r="AC266" s="46" t="str">
        <f aca="false">IF($C266="","",IF($S266="Converted","7 Certification / Enterprise opportunity",IF($S266="Application Started","7 Certification / Enterprise opportunity",IF($S266="Meeting Booked","6 Meeting / Application",IF(OR($S266="Interested",$S266="Info Requested"),"5 Interested",IF(OR($S266="Declined",$S266="Not Relevant"),"0 Closed - no",IF($R266="Yes","4 Contacted",IF($N266="Yes","2 Engaged",IF($M266="Yes","1 Awareness",IF($AA266&gt;=60,"3 Qualified","1 Awareness"))))))))))</f>
        <v/>
      </c>
    </row>
    <row r="267" customFormat="false" ht="30" hidden="false" customHeight="true" outlineLevel="0" collapsed="false">
      <c r="A267" s="36"/>
      <c r="B267" s="37"/>
      <c r="C267" s="37"/>
      <c r="D267" s="37"/>
      <c r="E267" s="37"/>
      <c r="F267" s="37"/>
      <c r="G267" s="37"/>
      <c r="H267" s="37"/>
      <c r="I267" s="37"/>
      <c r="J267" s="47"/>
      <c r="K267" s="41" t="str">
        <f aca="false">IF(J267="","",IF(J267&gt;=8,"Yes","Check"))</f>
        <v/>
      </c>
      <c r="L267" s="38"/>
      <c r="M267" s="47"/>
      <c r="N267" s="47"/>
      <c r="O267" s="37"/>
      <c r="P267" s="38"/>
      <c r="Q267" s="42" t="str">
        <f aca="false">IF(P267="","",LEN(P267))</f>
        <v/>
      </c>
      <c r="R267" s="47"/>
      <c r="S267" s="37"/>
      <c r="T267" s="38"/>
      <c r="U267" s="43" t="str">
        <f aca="false">IF(OR(R267&lt;&gt;"Yes",A267=""),"",A267+4)</f>
        <v/>
      </c>
      <c r="V267" s="47"/>
      <c r="W267" s="38"/>
      <c r="X267" s="38"/>
      <c r="Y267" s="44"/>
      <c r="Z267" s="44"/>
      <c r="AA267" s="45" t="str">
        <f aca="false">IF(AND($Y267="",$Z267=""),"",ROUND(IFERROR(VALUE(LEFT($Y267,1)),0)*12+IFERROR(VALUE(LEFT($Z267,1)),0)*8,0))</f>
        <v/>
      </c>
      <c r="AB267" s="45" t="str">
        <f aca="false">IF($AA267="","",IF($AA267&gt;=80,"A - call first",IF($AA267&gt;=60,"B - worth pursuing",IF($AA267&gt;=40,"C - nurture","D - do not spend time here"))))</f>
        <v/>
      </c>
      <c r="AC267" s="46" t="str">
        <f aca="false">IF($C267="","",IF($S267="Converted","7 Certification / Enterprise opportunity",IF($S267="Application Started","7 Certification / Enterprise opportunity",IF($S267="Meeting Booked","6 Meeting / Application",IF(OR($S267="Interested",$S267="Info Requested"),"5 Interested",IF(OR($S267="Declined",$S267="Not Relevant"),"0 Closed - no",IF($R267="Yes","4 Contacted",IF($N267="Yes","2 Engaged",IF($M267="Yes","1 Awareness",IF($AA267&gt;=60,"3 Qualified","1 Awareness"))))))))))</f>
        <v/>
      </c>
    </row>
    <row r="268" customFormat="false" ht="30" hidden="false" customHeight="true" outlineLevel="0" collapsed="false">
      <c r="A268" s="36"/>
      <c r="B268" s="37"/>
      <c r="C268" s="37"/>
      <c r="D268" s="37"/>
      <c r="E268" s="37"/>
      <c r="F268" s="37"/>
      <c r="G268" s="37"/>
      <c r="H268" s="37"/>
      <c r="I268" s="37"/>
      <c r="J268" s="47"/>
      <c r="K268" s="41" t="str">
        <f aca="false">IF(J268="","",IF(J268&gt;=8,"Yes","Check"))</f>
        <v/>
      </c>
      <c r="L268" s="38"/>
      <c r="M268" s="47"/>
      <c r="N268" s="47"/>
      <c r="O268" s="37"/>
      <c r="P268" s="38"/>
      <c r="Q268" s="42" t="str">
        <f aca="false">IF(P268="","",LEN(P268))</f>
        <v/>
      </c>
      <c r="R268" s="47"/>
      <c r="S268" s="37"/>
      <c r="T268" s="38"/>
      <c r="U268" s="43" t="str">
        <f aca="false">IF(OR(R268&lt;&gt;"Yes",A268=""),"",A268+4)</f>
        <v/>
      </c>
      <c r="V268" s="47"/>
      <c r="W268" s="38"/>
      <c r="X268" s="38"/>
      <c r="Y268" s="44"/>
      <c r="Z268" s="44"/>
      <c r="AA268" s="45" t="str">
        <f aca="false">IF(AND($Y268="",$Z268=""),"",ROUND(IFERROR(VALUE(LEFT($Y268,1)),0)*12+IFERROR(VALUE(LEFT($Z268,1)),0)*8,0))</f>
        <v/>
      </c>
      <c r="AB268" s="45" t="str">
        <f aca="false">IF($AA268="","",IF($AA268&gt;=80,"A - call first",IF($AA268&gt;=60,"B - worth pursuing",IF($AA268&gt;=40,"C - nurture","D - do not spend time here"))))</f>
        <v/>
      </c>
      <c r="AC268" s="46" t="str">
        <f aca="false">IF($C268="","",IF($S268="Converted","7 Certification / Enterprise opportunity",IF($S268="Application Started","7 Certification / Enterprise opportunity",IF($S268="Meeting Booked","6 Meeting / Application",IF(OR($S268="Interested",$S268="Info Requested"),"5 Interested",IF(OR($S268="Declined",$S268="Not Relevant"),"0 Closed - no",IF($R268="Yes","4 Contacted",IF($N268="Yes","2 Engaged",IF($M268="Yes","1 Awareness",IF($AA268&gt;=60,"3 Qualified","1 Awareness"))))))))))</f>
        <v/>
      </c>
    </row>
    <row r="269" customFormat="false" ht="30" hidden="false" customHeight="true" outlineLevel="0" collapsed="false">
      <c r="A269" s="36"/>
      <c r="B269" s="37"/>
      <c r="C269" s="37"/>
      <c r="D269" s="37"/>
      <c r="E269" s="37"/>
      <c r="F269" s="37"/>
      <c r="G269" s="37"/>
      <c r="H269" s="37"/>
      <c r="I269" s="37"/>
      <c r="J269" s="47"/>
      <c r="K269" s="41" t="str">
        <f aca="false">IF(J269="","",IF(J269&gt;=8,"Yes","Check"))</f>
        <v/>
      </c>
      <c r="L269" s="38"/>
      <c r="M269" s="47"/>
      <c r="N269" s="47"/>
      <c r="O269" s="37"/>
      <c r="P269" s="38"/>
      <c r="Q269" s="42" t="str">
        <f aca="false">IF(P269="","",LEN(P269))</f>
        <v/>
      </c>
      <c r="R269" s="47"/>
      <c r="S269" s="37"/>
      <c r="T269" s="38"/>
      <c r="U269" s="43" t="str">
        <f aca="false">IF(OR(R269&lt;&gt;"Yes",A269=""),"",A269+4)</f>
        <v/>
      </c>
      <c r="V269" s="47"/>
      <c r="W269" s="38"/>
      <c r="X269" s="38"/>
      <c r="Y269" s="44"/>
      <c r="Z269" s="44"/>
      <c r="AA269" s="45" t="str">
        <f aca="false">IF(AND($Y269="",$Z269=""),"",ROUND(IFERROR(VALUE(LEFT($Y269,1)),0)*12+IFERROR(VALUE(LEFT($Z269,1)),0)*8,0))</f>
        <v/>
      </c>
      <c r="AB269" s="45" t="str">
        <f aca="false">IF($AA269="","",IF($AA269&gt;=80,"A - call first",IF($AA269&gt;=60,"B - worth pursuing",IF($AA269&gt;=40,"C - nurture","D - do not spend time here"))))</f>
        <v/>
      </c>
      <c r="AC269" s="46" t="str">
        <f aca="false">IF($C269="","",IF($S269="Converted","7 Certification / Enterprise opportunity",IF($S269="Application Started","7 Certification / Enterprise opportunity",IF($S269="Meeting Booked","6 Meeting / Application",IF(OR($S269="Interested",$S269="Info Requested"),"5 Interested",IF(OR($S269="Declined",$S269="Not Relevant"),"0 Closed - no",IF($R269="Yes","4 Contacted",IF($N269="Yes","2 Engaged",IF($M269="Yes","1 Awareness",IF($AA269&gt;=60,"3 Qualified","1 Awareness"))))))))))</f>
        <v/>
      </c>
    </row>
    <row r="270" customFormat="false" ht="30" hidden="false" customHeight="true" outlineLevel="0" collapsed="false">
      <c r="A270" s="36"/>
      <c r="B270" s="37"/>
      <c r="C270" s="37"/>
      <c r="D270" s="37"/>
      <c r="E270" s="37"/>
      <c r="F270" s="37"/>
      <c r="G270" s="37"/>
      <c r="H270" s="37"/>
      <c r="I270" s="37"/>
      <c r="J270" s="47"/>
      <c r="K270" s="41" t="str">
        <f aca="false">IF(J270="","",IF(J270&gt;=8,"Yes","Check"))</f>
        <v/>
      </c>
      <c r="L270" s="38"/>
      <c r="M270" s="47"/>
      <c r="N270" s="47"/>
      <c r="O270" s="37"/>
      <c r="P270" s="38"/>
      <c r="Q270" s="42" t="str">
        <f aca="false">IF(P270="","",LEN(P270))</f>
        <v/>
      </c>
      <c r="R270" s="47"/>
      <c r="S270" s="37"/>
      <c r="T270" s="38"/>
      <c r="U270" s="43" t="str">
        <f aca="false">IF(OR(R270&lt;&gt;"Yes",A270=""),"",A270+4)</f>
        <v/>
      </c>
      <c r="V270" s="47"/>
      <c r="W270" s="38"/>
      <c r="X270" s="38"/>
      <c r="Y270" s="44"/>
      <c r="Z270" s="44"/>
      <c r="AA270" s="45" t="str">
        <f aca="false">IF(AND($Y270="",$Z270=""),"",ROUND(IFERROR(VALUE(LEFT($Y270,1)),0)*12+IFERROR(VALUE(LEFT($Z270,1)),0)*8,0))</f>
        <v/>
      </c>
      <c r="AB270" s="45" t="str">
        <f aca="false">IF($AA270="","",IF($AA270&gt;=80,"A - call first",IF($AA270&gt;=60,"B - worth pursuing",IF($AA270&gt;=40,"C - nurture","D - do not spend time here"))))</f>
        <v/>
      </c>
      <c r="AC270" s="46" t="str">
        <f aca="false">IF($C270="","",IF($S270="Converted","7 Certification / Enterprise opportunity",IF($S270="Application Started","7 Certification / Enterprise opportunity",IF($S270="Meeting Booked","6 Meeting / Application",IF(OR($S270="Interested",$S270="Info Requested"),"5 Interested",IF(OR($S270="Declined",$S270="Not Relevant"),"0 Closed - no",IF($R270="Yes","4 Contacted",IF($N270="Yes","2 Engaged",IF($M270="Yes","1 Awareness",IF($AA270&gt;=60,"3 Qualified","1 Awareness"))))))))))</f>
        <v/>
      </c>
    </row>
    <row r="271" customFormat="false" ht="30" hidden="false" customHeight="true" outlineLevel="0" collapsed="false">
      <c r="A271" s="36"/>
      <c r="B271" s="37"/>
      <c r="C271" s="37"/>
      <c r="D271" s="37"/>
      <c r="E271" s="37"/>
      <c r="F271" s="37"/>
      <c r="G271" s="37"/>
      <c r="H271" s="37"/>
      <c r="I271" s="37"/>
      <c r="J271" s="47"/>
      <c r="K271" s="41" t="str">
        <f aca="false">IF(J271="","",IF(J271&gt;=8,"Yes","Check"))</f>
        <v/>
      </c>
      <c r="L271" s="38"/>
      <c r="M271" s="47"/>
      <c r="N271" s="47"/>
      <c r="O271" s="37"/>
      <c r="P271" s="38"/>
      <c r="Q271" s="42" t="str">
        <f aca="false">IF(P271="","",LEN(P271))</f>
        <v/>
      </c>
      <c r="R271" s="47"/>
      <c r="S271" s="37"/>
      <c r="T271" s="38"/>
      <c r="U271" s="43" t="str">
        <f aca="false">IF(OR(R271&lt;&gt;"Yes",A271=""),"",A271+4)</f>
        <v/>
      </c>
      <c r="V271" s="47"/>
      <c r="W271" s="38"/>
      <c r="X271" s="38"/>
      <c r="Y271" s="44"/>
      <c r="Z271" s="44"/>
      <c r="AA271" s="45" t="str">
        <f aca="false">IF(AND($Y271="",$Z271=""),"",ROUND(IFERROR(VALUE(LEFT($Y271,1)),0)*12+IFERROR(VALUE(LEFT($Z271,1)),0)*8,0))</f>
        <v/>
      </c>
      <c r="AB271" s="45" t="str">
        <f aca="false">IF($AA271="","",IF($AA271&gt;=80,"A - call first",IF($AA271&gt;=60,"B - worth pursuing",IF($AA271&gt;=40,"C - nurture","D - do not spend time here"))))</f>
        <v/>
      </c>
      <c r="AC271" s="46" t="str">
        <f aca="false">IF($C271="","",IF($S271="Converted","7 Certification / Enterprise opportunity",IF($S271="Application Started","7 Certification / Enterprise opportunity",IF($S271="Meeting Booked","6 Meeting / Application",IF(OR($S271="Interested",$S271="Info Requested"),"5 Interested",IF(OR($S271="Declined",$S271="Not Relevant"),"0 Closed - no",IF($R271="Yes","4 Contacted",IF($N271="Yes","2 Engaged",IF($M271="Yes","1 Awareness",IF($AA271&gt;=60,"3 Qualified","1 Awareness"))))))))))</f>
        <v/>
      </c>
    </row>
    <row r="272" customFormat="false" ht="30" hidden="false" customHeight="true" outlineLevel="0" collapsed="false">
      <c r="A272" s="36"/>
      <c r="B272" s="37"/>
      <c r="C272" s="37"/>
      <c r="D272" s="37"/>
      <c r="E272" s="37"/>
      <c r="F272" s="37"/>
      <c r="G272" s="37"/>
      <c r="H272" s="37"/>
      <c r="I272" s="37"/>
      <c r="J272" s="47"/>
      <c r="K272" s="41" t="str">
        <f aca="false">IF(J272="","",IF(J272&gt;=8,"Yes","Check"))</f>
        <v/>
      </c>
      <c r="L272" s="38"/>
      <c r="M272" s="47"/>
      <c r="N272" s="47"/>
      <c r="O272" s="37"/>
      <c r="P272" s="38"/>
      <c r="Q272" s="42" t="str">
        <f aca="false">IF(P272="","",LEN(P272))</f>
        <v/>
      </c>
      <c r="R272" s="47"/>
      <c r="S272" s="37"/>
      <c r="T272" s="38"/>
      <c r="U272" s="43" t="str">
        <f aca="false">IF(OR(R272&lt;&gt;"Yes",A272=""),"",A272+4)</f>
        <v/>
      </c>
      <c r="V272" s="47"/>
      <c r="W272" s="38"/>
      <c r="X272" s="38"/>
      <c r="Y272" s="44"/>
      <c r="Z272" s="44"/>
      <c r="AA272" s="45" t="str">
        <f aca="false">IF(AND($Y272="",$Z272=""),"",ROUND(IFERROR(VALUE(LEFT($Y272,1)),0)*12+IFERROR(VALUE(LEFT($Z272,1)),0)*8,0))</f>
        <v/>
      </c>
      <c r="AB272" s="45" t="str">
        <f aca="false">IF($AA272="","",IF($AA272&gt;=80,"A - call first",IF($AA272&gt;=60,"B - worth pursuing",IF($AA272&gt;=40,"C - nurture","D - do not spend time here"))))</f>
        <v/>
      </c>
      <c r="AC272" s="46" t="str">
        <f aca="false">IF($C272="","",IF($S272="Converted","7 Certification / Enterprise opportunity",IF($S272="Application Started","7 Certification / Enterprise opportunity",IF($S272="Meeting Booked","6 Meeting / Application",IF(OR($S272="Interested",$S272="Info Requested"),"5 Interested",IF(OR($S272="Declined",$S272="Not Relevant"),"0 Closed - no",IF($R272="Yes","4 Contacted",IF($N272="Yes","2 Engaged",IF($M272="Yes","1 Awareness",IF($AA272&gt;=60,"3 Qualified","1 Awareness"))))))))))</f>
        <v/>
      </c>
    </row>
    <row r="273" customFormat="false" ht="30" hidden="false" customHeight="true" outlineLevel="0" collapsed="false">
      <c r="A273" s="36"/>
      <c r="B273" s="37"/>
      <c r="C273" s="37"/>
      <c r="D273" s="37"/>
      <c r="E273" s="37"/>
      <c r="F273" s="37"/>
      <c r="G273" s="37"/>
      <c r="H273" s="37"/>
      <c r="I273" s="37"/>
      <c r="J273" s="47"/>
      <c r="K273" s="41" t="str">
        <f aca="false">IF(J273="","",IF(J273&gt;=8,"Yes","Check"))</f>
        <v/>
      </c>
      <c r="L273" s="38"/>
      <c r="M273" s="47"/>
      <c r="N273" s="47"/>
      <c r="O273" s="37"/>
      <c r="P273" s="38"/>
      <c r="Q273" s="42" t="str">
        <f aca="false">IF(P273="","",LEN(P273))</f>
        <v/>
      </c>
      <c r="R273" s="47"/>
      <c r="S273" s="37"/>
      <c r="T273" s="38"/>
      <c r="U273" s="43" t="str">
        <f aca="false">IF(OR(R273&lt;&gt;"Yes",A273=""),"",A273+4)</f>
        <v/>
      </c>
      <c r="V273" s="47"/>
      <c r="W273" s="38"/>
      <c r="X273" s="38"/>
      <c r="Y273" s="44"/>
      <c r="Z273" s="44"/>
      <c r="AA273" s="45" t="str">
        <f aca="false">IF(AND($Y273="",$Z273=""),"",ROUND(IFERROR(VALUE(LEFT($Y273,1)),0)*12+IFERROR(VALUE(LEFT($Z273,1)),0)*8,0))</f>
        <v/>
      </c>
      <c r="AB273" s="45" t="str">
        <f aca="false">IF($AA273="","",IF($AA273&gt;=80,"A - call first",IF($AA273&gt;=60,"B - worth pursuing",IF($AA273&gt;=40,"C - nurture","D - do not spend time here"))))</f>
        <v/>
      </c>
      <c r="AC273" s="46" t="str">
        <f aca="false">IF($C273="","",IF($S273="Converted","7 Certification / Enterprise opportunity",IF($S273="Application Started","7 Certification / Enterprise opportunity",IF($S273="Meeting Booked","6 Meeting / Application",IF(OR($S273="Interested",$S273="Info Requested"),"5 Interested",IF(OR($S273="Declined",$S273="Not Relevant"),"0 Closed - no",IF($R273="Yes","4 Contacted",IF($N273="Yes","2 Engaged",IF($M273="Yes","1 Awareness",IF($AA273&gt;=60,"3 Qualified","1 Awareness"))))))))))</f>
        <v/>
      </c>
    </row>
    <row r="274" customFormat="false" ht="30" hidden="false" customHeight="true" outlineLevel="0" collapsed="false">
      <c r="A274" s="36"/>
      <c r="B274" s="37"/>
      <c r="C274" s="37"/>
      <c r="D274" s="37"/>
      <c r="E274" s="37"/>
      <c r="F274" s="37"/>
      <c r="G274" s="37"/>
      <c r="H274" s="37"/>
      <c r="I274" s="37"/>
      <c r="J274" s="47"/>
      <c r="K274" s="41" t="str">
        <f aca="false">IF(J274="","",IF(J274&gt;=8,"Yes","Check"))</f>
        <v/>
      </c>
      <c r="L274" s="38"/>
      <c r="M274" s="47"/>
      <c r="N274" s="47"/>
      <c r="O274" s="37"/>
      <c r="P274" s="38"/>
      <c r="Q274" s="42" t="str">
        <f aca="false">IF(P274="","",LEN(P274))</f>
        <v/>
      </c>
      <c r="R274" s="47"/>
      <c r="S274" s="37"/>
      <c r="T274" s="38"/>
      <c r="U274" s="43" t="str">
        <f aca="false">IF(OR(R274&lt;&gt;"Yes",A274=""),"",A274+4)</f>
        <v/>
      </c>
      <c r="V274" s="47"/>
      <c r="W274" s="38"/>
      <c r="X274" s="38"/>
      <c r="Y274" s="44"/>
      <c r="Z274" s="44"/>
      <c r="AA274" s="45" t="str">
        <f aca="false">IF(AND($Y274="",$Z274=""),"",ROUND(IFERROR(VALUE(LEFT($Y274,1)),0)*12+IFERROR(VALUE(LEFT($Z274,1)),0)*8,0))</f>
        <v/>
      </c>
      <c r="AB274" s="45" t="str">
        <f aca="false">IF($AA274="","",IF($AA274&gt;=80,"A - call first",IF($AA274&gt;=60,"B - worth pursuing",IF($AA274&gt;=40,"C - nurture","D - do not spend time here"))))</f>
        <v/>
      </c>
      <c r="AC274" s="46" t="str">
        <f aca="false">IF($C274="","",IF($S274="Converted","7 Certification / Enterprise opportunity",IF($S274="Application Started","7 Certification / Enterprise opportunity",IF($S274="Meeting Booked","6 Meeting / Application",IF(OR($S274="Interested",$S274="Info Requested"),"5 Interested",IF(OR($S274="Declined",$S274="Not Relevant"),"0 Closed - no",IF($R274="Yes","4 Contacted",IF($N274="Yes","2 Engaged",IF($M274="Yes","1 Awareness",IF($AA274&gt;=60,"3 Qualified","1 Awareness"))))))))))</f>
        <v/>
      </c>
    </row>
    <row r="275" customFormat="false" ht="30" hidden="false" customHeight="true" outlineLevel="0" collapsed="false">
      <c r="A275" s="36"/>
      <c r="B275" s="37"/>
      <c r="C275" s="37"/>
      <c r="D275" s="37"/>
      <c r="E275" s="37"/>
      <c r="F275" s="37"/>
      <c r="G275" s="37"/>
      <c r="H275" s="37"/>
      <c r="I275" s="37"/>
      <c r="J275" s="47"/>
      <c r="K275" s="41" t="str">
        <f aca="false">IF(J275="","",IF(J275&gt;=8,"Yes","Check"))</f>
        <v/>
      </c>
      <c r="L275" s="38"/>
      <c r="M275" s="47"/>
      <c r="N275" s="47"/>
      <c r="O275" s="37"/>
      <c r="P275" s="38"/>
      <c r="Q275" s="42" t="str">
        <f aca="false">IF(P275="","",LEN(P275))</f>
        <v/>
      </c>
      <c r="R275" s="47"/>
      <c r="S275" s="37"/>
      <c r="T275" s="38"/>
      <c r="U275" s="43" t="str">
        <f aca="false">IF(OR(R275&lt;&gt;"Yes",A275=""),"",A275+4)</f>
        <v/>
      </c>
      <c r="V275" s="47"/>
      <c r="W275" s="38"/>
      <c r="X275" s="38"/>
      <c r="Y275" s="44"/>
      <c r="Z275" s="44"/>
      <c r="AA275" s="45" t="str">
        <f aca="false">IF(AND($Y275="",$Z275=""),"",ROUND(IFERROR(VALUE(LEFT($Y275,1)),0)*12+IFERROR(VALUE(LEFT($Z275,1)),0)*8,0))</f>
        <v/>
      </c>
      <c r="AB275" s="45" t="str">
        <f aca="false">IF($AA275="","",IF($AA275&gt;=80,"A - call first",IF($AA275&gt;=60,"B - worth pursuing",IF($AA275&gt;=40,"C - nurture","D - do not spend time here"))))</f>
        <v/>
      </c>
      <c r="AC275" s="46" t="str">
        <f aca="false">IF($C275="","",IF($S275="Converted","7 Certification / Enterprise opportunity",IF($S275="Application Started","7 Certification / Enterprise opportunity",IF($S275="Meeting Booked","6 Meeting / Application",IF(OR($S275="Interested",$S275="Info Requested"),"5 Interested",IF(OR($S275="Declined",$S275="Not Relevant"),"0 Closed - no",IF($R275="Yes","4 Contacted",IF($N275="Yes","2 Engaged",IF($M275="Yes","1 Awareness",IF($AA275&gt;=60,"3 Qualified","1 Awareness"))))))))))</f>
        <v/>
      </c>
    </row>
    <row r="276" customFormat="false" ht="30" hidden="false" customHeight="true" outlineLevel="0" collapsed="false">
      <c r="A276" s="36"/>
      <c r="B276" s="37"/>
      <c r="C276" s="37"/>
      <c r="D276" s="37"/>
      <c r="E276" s="37"/>
      <c r="F276" s="37"/>
      <c r="G276" s="37"/>
      <c r="H276" s="37"/>
      <c r="I276" s="37"/>
      <c r="J276" s="47"/>
      <c r="K276" s="41" t="str">
        <f aca="false">IF(J276="","",IF(J276&gt;=8,"Yes","Check"))</f>
        <v/>
      </c>
      <c r="L276" s="38"/>
      <c r="M276" s="47"/>
      <c r="N276" s="47"/>
      <c r="O276" s="37"/>
      <c r="P276" s="38"/>
      <c r="Q276" s="42" t="str">
        <f aca="false">IF(P276="","",LEN(P276))</f>
        <v/>
      </c>
      <c r="R276" s="47"/>
      <c r="S276" s="37"/>
      <c r="T276" s="38"/>
      <c r="U276" s="43" t="str">
        <f aca="false">IF(OR(R276&lt;&gt;"Yes",A276=""),"",A276+4)</f>
        <v/>
      </c>
      <c r="V276" s="47"/>
      <c r="W276" s="38"/>
      <c r="X276" s="38"/>
      <c r="Y276" s="44"/>
      <c r="Z276" s="44"/>
      <c r="AA276" s="45" t="str">
        <f aca="false">IF(AND($Y276="",$Z276=""),"",ROUND(IFERROR(VALUE(LEFT($Y276,1)),0)*12+IFERROR(VALUE(LEFT($Z276,1)),0)*8,0))</f>
        <v/>
      </c>
      <c r="AB276" s="45" t="str">
        <f aca="false">IF($AA276="","",IF($AA276&gt;=80,"A - call first",IF($AA276&gt;=60,"B - worth pursuing",IF($AA276&gt;=40,"C - nurture","D - do not spend time here"))))</f>
        <v/>
      </c>
      <c r="AC276" s="46" t="str">
        <f aca="false">IF($C276="","",IF($S276="Converted","7 Certification / Enterprise opportunity",IF($S276="Application Started","7 Certification / Enterprise opportunity",IF($S276="Meeting Booked","6 Meeting / Application",IF(OR($S276="Interested",$S276="Info Requested"),"5 Interested",IF(OR($S276="Declined",$S276="Not Relevant"),"0 Closed - no",IF($R276="Yes","4 Contacted",IF($N276="Yes","2 Engaged",IF($M276="Yes","1 Awareness",IF($AA276&gt;=60,"3 Qualified","1 Awareness"))))))))))</f>
        <v/>
      </c>
    </row>
    <row r="277" customFormat="false" ht="30" hidden="false" customHeight="true" outlineLevel="0" collapsed="false">
      <c r="A277" s="36"/>
      <c r="B277" s="37"/>
      <c r="C277" s="37"/>
      <c r="D277" s="37"/>
      <c r="E277" s="37"/>
      <c r="F277" s="37"/>
      <c r="G277" s="37"/>
      <c r="H277" s="37"/>
      <c r="I277" s="37"/>
      <c r="J277" s="47"/>
      <c r="K277" s="41" t="str">
        <f aca="false">IF(J277="","",IF(J277&gt;=8,"Yes","Check"))</f>
        <v/>
      </c>
      <c r="L277" s="38"/>
      <c r="M277" s="47"/>
      <c r="N277" s="47"/>
      <c r="O277" s="37"/>
      <c r="P277" s="38"/>
      <c r="Q277" s="42" t="str">
        <f aca="false">IF(P277="","",LEN(P277))</f>
        <v/>
      </c>
      <c r="R277" s="47"/>
      <c r="S277" s="37"/>
      <c r="T277" s="38"/>
      <c r="U277" s="43" t="str">
        <f aca="false">IF(OR(R277&lt;&gt;"Yes",A277=""),"",A277+4)</f>
        <v/>
      </c>
      <c r="V277" s="47"/>
      <c r="W277" s="38"/>
      <c r="X277" s="38"/>
      <c r="Y277" s="44"/>
      <c r="Z277" s="44"/>
      <c r="AA277" s="45" t="str">
        <f aca="false">IF(AND($Y277="",$Z277=""),"",ROUND(IFERROR(VALUE(LEFT($Y277,1)),0)*12+IFERROR(VALUE(LEFT($Z277,1)),0)*8,0))</f>
        <v/>
      </c>
      <c r="AB277" s="45" t="str">
        <f aca="false">IF($AA277="","",IF($AA277&gt;=80,"A - call first",IF($AA277&gt;=60,"B - worth pursuing",IF($AA277&gt;=40,"C - nurture","D - do not spend time here"))))</f>
        <v/>
      </c>
      <c r="AC277" s="46" t="str">
        <f aca="false">IF($C277="","",IF($S277="Converted","7 Certification / Enterprise opportunity",IF($S277="Application Started","7 Certification / Enterprise opportunity",IF($S277="Meeting Booked","6 Meeting / Application",IF(OR($S277="Interested",$S277="Info Requested"),"5 Interested",IF(OR($S277="Declined",$S277="Not Relevant"),"0 Closed - no",IF($R277="Yes","4 Contacted",IF($N277="Yes","2 Engaged",IF($M277="Yes","1 Awareness",IF($AA277&gt;=60,"3 Qualified","1 Awareness"))))))))))</f>
        <v/>
      </c>
    </row>
    <row r="278" customFormat="false" ht="30" hidden="false" customHeight="true" outlineLevel="0" collapsed="false">
      <c r="A278" s="36"/>
      <c r="B278" s="37"/>
      <c r="C278" s="37"/>
      <c r="D278" s="37"/>
      <c r="E278" s="37"/>
      <c r="F278" s="37"/>
      <c r="G278" s="37"/>
      <c r="H278" s="37"/>
      <c r="I278" s="37"/>
      <c r="J278" s="47"/>
      <c r="K278" s="41" t="str">
        <f aca="false">IF(J278="","",IF(J278&gt;=8,"Yes","Check"))</f>
        <v/>
      </c>
      <c r="L278" s="38"/>
      <c r="M278" s="47"/>
      <c r="N278" s="47"/>
      <c r="O278" s="37"/>
      <c r="P278" s="38"/>
      <c r="Q278" s="42" t="str">
        <f aca="false">IF(P278="","",LEN(P278))</f>
        <v/>
      </c>
      <c r="R278" s="47"/>
      <c r="S278" s="37"/>
      <c r="T278" s="38"/>
      <c r="U278" s="43" t="str">
        <f aca="false">IF(OR(R278&lt;&gt;"Yes",A278=""),"",A278+4)</f>
        <v/>
      </c>
      <c r="V278" s="47"/>
      <c r="W278" s="38"/>
      <c r="X278" s="38"/>
      <c r="Y278" s="44"/>
      <c r="Z278" s="44"/>
      <c r="AA278" s="45" t="str">
        <f aca="false">IF(AND($Y278="",$Z278=""),"",ROUND(IFERROR(VALUE(LEFT($Y278,1)),0)*12+IFERROR(VALUE(LEFT($Z278,1)),0)*8,0))</f>
        <v/>
      </c>
      <c r="AB278" s="45" t="str">
        <f aca="false">IF($AA278="","",IF($AA278&gt;=80,"A - call first",IF($AA278&gt;=60,"B - worth pursuing",IF($AA278&gt;=40,"C - nurture","D - do not spend time here"))))</f>
        <v/>
      </c>
      <c r="AC278" s="46" t="str">
        <f aca="false">IF($C278="","",IF($S278="Converted","7 Certification / Enterprise opportunity",IF($S278="Application Started","7 Certification / Enterprise opportunity",IF($S278="Meeting Booked","6 Meeting / Application",IF(OR($S278="Interested",$S278="Info Requested"),"5 Interested",IF(OR($S278="Declined",$S278="Not Relevant"),"0 Closed - no",IF($R278="Yes","4 Contacted",IF($N278="Yes","2 Engaged",IF($M278="Yes","1 Awareness",IF($AA278&gt;=60,"3 Qualified","1 Awareness"))))))))))</f>
        <v/>
      </c>
    </row>
    <row r="279" customFormat="false" ht="30" hidden="false" customHeight="true" outlineLevel="0" collapsed="false">
      <c r="A279" s="36"/>
      <c r="B279" s="37"/>
      <c r="C279" s="37"/>
      <c r="D279" s="37"/>
      <c r="E279" s="37"/>
      <c r="F279" s="37"/>
      <c r="G279" s="37"/>
      <c r="H279" s="37"/>
      <c r="I279" s="37"/>
      <c r="J279" s="47"/>
      <c r="K279" s="41" t="str">
        <f aca="false">IF(J279="","",IF(J279&gt;=8,"Yes","Check"))</f>
        <v/>
      </c>
      <c r="L279" s="38"/>
      <c r="M279" s="47"/>
      <c r="N279" s="47"/>
      <c r="O279" s="37"/>
      <c r="P279" s="38"/>
      <c r="Q279" s="42" t="str">
        <f aca="false">IF(P279="","",LEN(P279))</f>
        <v/>
      </c>
      <c r="R279" s="47"/>
      <c r="S279" s="37"/>
      <c r="T279" s="38"/>
      <c r="U279" s="43" t="str">
        <f aca="false">IF(OR(R279&lt;&gt;"Yes",A279=""),"",A279+4)</f>
        <v/>
      </c>
      <c r="V279" s="47"/>
      <c r="W279" s="38"/>
      <c r="X279" s="38"/>
      <c r="Y279" s="44"/>
      <c r="Z279" s="44"/>
      <c r="AA279" s="45" t="str">
        <f aca="false">IF(AND($Y279="",$Z279=""),"",ROUND(IFERROR(VALUE(LEFT($Y279,1)),0)*12+IFERROR(VALUE(LEFT($Z279,1)),0)*8,0))</f>
        <v/>
      </c>
      <c r="AB279" s="45" t="str">
        <f aca="false">IF($AA279="","",IF($AA279&gt;=80,"A - call first",IF($AA279&gt;=60,"B - worth pursuing",IF($AA279&gt;=40,"C - nurture","D - do not spend time here"))))</f>
        <v/>
      </c>
      <c r="AC279" s="46" t="str">
        <f aca="false">IF($C279="","",IF($S279="Converted","7 Certification / Enterprise opportunity",IF($S279="Application Started","7 Certification / Enterprise opportunity",IF($S279="Meeting Booked","6 Meeting / Application",IF(OR($S279="Interested",$S279="Info Requested"),"5 Interested",IF(OR($S279="Declined",$S279="Not Relevant"),"0 Closed - no",IF($R279="Yes","4 Contacted",IF($N279="Yes","2 Engaged",IF($M279="Yes","1 Awareness",IF($AA279&gt;=60,"3 Qualified","1 Awareness"))))))))))</f>
        <v/>
      </c>
    </row>
    <row r="280" customFormat="false" ht="30" hidden="false" customHeight="true" outlineLevel="0" collapsed="false">
      <c r="A280" s="36"/>
      <c r="B280" s="37"/>
      <c r="C280" s="37"/>
      <c r="D280" s="37"/>
      <c r="E280" s="37"/>
      <c r="F280" s="37"/>
      <c r="G280" s="37"/>
      <c r="H280" s="37"/>
      <c r="I280" s="37"/>
      <c r="J280" s="47"/>
      <c r="K280" s="41" t="str">
        <f aca="false">IF(J280="","",IF(J280&gt;=8,"Yes","Check"))</f>
        <v/>
      </c>
      <c r="L280" s="38"/>
      <c r="M280" s="47"/>
      <c r="N280" s="47"/>
      <c r="O280" s="37"/>
      <c r="P280" s="38"/>
      <c r="Q280" s="42" t="str">
        <f aca="false">IF(P280="","",LEN(P280))</f>
        <v/>
      </c>
      <c r="R280" s="47"/>
      <c r="S280" s="37"/>
      <c r="T280" s="38"/>
      <c r="U280" s="43" t="str">
        <f aca="false">IF(OR(R280&lt;&gt;"Yes",A280=""),"",A280+4)</f>
        <v/>
      </c>
      <c r="V280" s="47"/>
      <c r="W280" s="38"/>
      <c r="X280" s="38"/>
      <c r="Y280" s="44"/>
      <c r="Z280" s="44"/>
      <c r="AA280" s="45" t="str">
        <f aca="false">IF(AND($Y280="",$Z280=""),"",ROUND(IFERROR(VALUE(LEFT($Y280,1)),0)*12+IFERROR(VALUE(LEFT($Z280,1)),0)*8,0))</f>
        <v/>
      </c>
      <c r="AB280" s="45" t="str">
        <f aca="false">IF($AA280="","",IF($AA280&gt;=80,"A - call first",IF($AA280&gt;=60,"B - worth pursuing",IF($AA280&gt;=40,"C - nurture","D - do not spend time here"))))</f>
        <v/>
      </c>
      <c r="AC280" s="46" t="str">
        <f aca="false">IF($C280="","",IF($S280="Converted","7 Certification / Enterprise opportunity",IF($S280="Application Started","7 Certification / Enterprise opportunity",IF($S280="Meeting Booked","6 Meeting / Application",IF(OR($S280="Interested",$S280="Info Requested"),"5 Interested",IF(OR($S280="Declined",$S280="Not Relevant"),"0 Closed - no",IF($R280="Yes","4 Contacted",IF($N280="Yes","2 Engaged",IF($M280="Yes","1 Awareness",IF($AA280&gt;=60,"3 Qualified","1 Awareness"))))))))))</f>
        <v/>
      </c>
    </row>
    <row r="281" customFormat="false" ht="30" hidden="false" customHeight="true" outlineLevel="0" collapsed="false">
      <c r="A281" s="36"/>
      <c r="B281" s="37"/>
      <c r="C281" s="37"/>
      <c r="D281" s="37"/>
      <c r="E281" s="37"/>
      <c r="F281" s="37"/>
      <c r="G281" s="37"/>
      <c r="H281" s="37"/>
      <c r="I281" s="37"/>
      <c r="J281" s="47"/>
      <c r="K281" s="41" t="str">
        <f aca="false">IF(J281="","",IF(J281&gt;=8,"Yes","Check"))</f>
        <v/>
      </c>
      <c r="L281" s="38"/>
      <c r="M281" s="47"/>
      <c r="N281" s="47"/>
      <c r="O281" s="37"/>
      <c r="P281" s="38"/>
      <c r="Q281" s="42" t="str">
        <f aca="false">IF(P281="","",LEN(P281))</f>
        <v/>
      </c>
      <c r="R281" s="47"/>
      <c r="S281" s="37"/>
      <c r="T281" s="38"/>
      <c r="U281" s="43" t="str">
        <f aca="false">IF(OR(R281&lt;&gt;"Yes",A281=""),"",A281+4)</f>
        <v/>
      </c>
      <c r="V281" s="47"/>
      <c r="W281" s="38"/>
      <c r="X281" s="38"/>
      <c r="Y281" s="44"/>
      <c r="Z281" s="44"/>
      <c r="AA281" s="45" t="str">
        <f aca="false">IF(AND($Y281="",$Z281=""),"",ROUND(IFERROR(VALUE(LEFT($Y281,1)),0)*12+IFERROR(VALUE(LEFT($Z281,1)),0)*8,0))</f>
        <v/>
      </c>
      <c r="AB281" s="45" t="str">
        <f aca="false">IF($AA281="","",IF($AA281&gt;=80,"A - call first",IF($AA281&gt;=60,"B - worth pursuing",IF($AA281&gt;=40,"C - nurture","D - do not spend time here"))))</f>
        <v/>
      </c>
      <c r="AC281" s="46" t="str">
        <f aca="false">IF($C281="","",IF($S281="Converted","7 Certification / Enterprise opportunity",IF($S281="Application Started","7 Certification / Enterprise opportunity",IF($S281="Meeting Booked","6 Meeting / Application",IF(OR($S281="Interested",$S281="Info Requested"),"5 Interested",IF(OR($S281="Declined",$S281="Not Relevant"),"0 Closed - no",IF($R281="Yes","4 Contacted",IF($N281="Yes","2 Engaged",IF($M281="Yes","1 Awareness",IF($AA281&gt;=60,"3 Qualified","1 Awareness"))))))))))</f>
        <v/>
      </c>
    </row>
    <row r="282" customFormat="false" ht="30" hidden="false" customHeight="true" outlineLevel="0" collapsed="false">
      <c r="A282" s="36"/>
      <c r="B282" s="37"/>
      <c r="C282" s="37"/>
      <c r="D282" s="37"/>
      <c r="E282" s="37"/>
      <c r="F282" s="37"/>
      <c r="G282" s="37"/>
      <c r="H282" s="37"/>
      <c r="I282" s="37"/>
      <c r="J282" s="47"/>
      <c r="K282" s="41" t="str">
        <f aca="false">IF(J282="","",IF(J282&gt;=8,"Yes","Check"))</f>
        <v/>
      </c>
      <c r="L282" s="38"/>
      <c r="M282" s="47"/>
      <c r="N282" s="47"/>
      <c r="O282" s="37"/>
      <c r="P282" s="38"/>
      <c r="Q282" s="42" t="str">
        <f aca="false">IF(P282="","",LEN(P282))</f>
        <v/>
      </c>
      <c r="R282" s="47"/>
      <c r="S282" s="37"/>
      <c r="T282" s="38"/>
      <c r="U282" s="43" t="str">
        <f aca="false">IF(OR(R282&lt;&gt;"Yes",A282=""),"",A282+4)</f>
        <v/>
      </c>
      <c r="V282" s="47"/>
      <c r="W282" s="38"/>
      <c r="X282" s="38"/>
      <c r="Y282" s="44"/>
      <c r="Z282" s="44"/>
      <c r="AA282" s="45" t="str">
        <f aca="false">IF(AND($Y282="",$Z282=""),"",ROUND(IFERROR(VALUE(LEFT($Y282,1)),0)*12+IFERROR(VALUE(LEFT($Z282,1)),0)*8,0))</f>
        <v/>
      </c>
      <c r="AB282" s="45" t="str">
        <f aca="false">IF($AA282="","",IF($AA282&gt;=80,"A - call first",IF($AA282&gt;=60,"B - worth pursuing",IF($AA282&gt;=40,"C - nurture","D - do not spend time here"))))</f>
        <v/>
      </c>
      <c r="AC282" s="46" t="str">
        <f aca="false">IF($C282="","",IF($S282="Converted","7 Certification / Enterprise opportunity",IF($S282="Application Started","7 Certification / Enterprise opportunity",IF($S282="Meeting Booked","6 Meeting / Application",IF(OR($S282="Interested",$S282="Info Requested"),"5 Interested",IF(OR($S282="Declined",$S282="Not Relevant"),"0 Closed - no",IF($R282="Yes","4 Contacted",IF($N282="Yes","2 Engaged",IF($M282="Yes","1 Awareness",IF($AA282&gt;=60,"3 Qualified","1 Awareness"))))))))))</f>
        <v/>
      </c>
    </row>
    <row r="283" customFormat="false" ht="30" hidden="false" customHeight="true" outlineLevel="0" collapsed="false">
      <c r="A283" s="36"/>
      <c r="B283" s="37"/>
      <c r="C283" s="37"/>
      <c r="D283" s="37"/>
      <c r="E283" s="37"/>
      <c r="F283" s="37"/>
      <c r="G283" s="37"/>
      <c r="H283" s="37"/>
      <c r="I283" s="37"/>
      <c r="J283" s="47"/>
      <c r="K283" s="41" t="str">
        <f aca="false">IF(J283="","",IF(J283&gt;=8,"Yes","Check"))</f>
        <v/>
      </c>
      <c r="L283" s="38"/>
      <c r="M283" s="47"/>
      <c r="N283" s="47"/>
      <c r="O283" s="37"/>
      <c r="P283" s="38"/>
      <c r="Q283" s="42" t="str">
        <f aca="false">IF(P283="","",LEN(P283))</f>
        <v/>
      </c>
      <c r="R283" s="47"/>
      <c r="S283" s="37"/>
      <c r="T283" s="38"/>
      <c r="U283" s="43" t="str">
        <f aca="false">IF(OR(R283&lt;&gt;"Yes",A283=""),"",A283+4)</f>
        <v/>
      </c>
      <c r="V283" s="47"/>
      <c r="W283" s="38"/>
      <c r="X283" s="38"/>
      <c r="Y283" s="44"/>
      <c r="Z283" s="44"/>
      <c r="AA283" s="45" t="str">
        <f aca="false">IF(AND($Y283="",$Z283=""),"",ROUND(IFERROR(VALUE(LEFT($Y283,1)),0)*12+IFERROR(VALUE(LEFT($Z283,1)),0)*8,0))</f>
        <v/>
      </c>
      <c r="AB283" s="45" t="str">
        <f aca="false">IF($AA283="","",IF($AA283&gt;=80,"A - call first",IF($AA283&gt;=60,"B - worth pursuing",IF($AA283&gt;=40,"C - nurture","D - do not spend time here"))))</f>
        <v/>
      </c>
      <c r="AC283" s="46" t="str">
        <f aca="false">IF($C283="","",IF($S283="Converted","7 Certification / Enterprise opportunity",IF($S283="Application Started","7 Certification / Enterprise opportunity",IF($S283="Meeting Booked","6 Meeting / Application",IF(OR($S283="Interested",$S283="Info Requested"),"5 Interested",IF(OR($S283="Declined",$S283="Not Relevant"),"0 Closed - no",IF($R283="Yes","4 Contacted",IF($N283="Yes","2 Engaged",IF($M283="Yes","1 Awareness",IF($AA283&gt;=60,"3 Qualified","1 Awareness"))))))))))</f>
        <v/>
      </c>
    </row>
    <row r="284" customFormat="false" ht="30" hidden="false" customHeight="true" outlineLevel="0" collapsed="false">
      <c r="A284" s="36"/>
      <c r="B284" s="37"/>
      <c r="C284" s="37"/>
      <c r="D284" s="37"/>
      <c r="E284" s="37"/>
      <c r="F284" s="37"/>
      <c r="G284" s="37"/>
      <c r="H284" s="37"/>
      <c r="I284" s="37"/>
      <c r="J284" s="47"/>
      <c r="K284" s="41" t="str">
        <f aca="false">IF(J284="","",IF(J284&gt;=8,"Yes","Check"))</f>
        <v/>
      </c>
      <c r="L284" s="38"/>
      <c r="M284" s="47"/>
      <c r="N284" s="47"/>
      <c r="O284" s="37"/>
      <c r="P284" s="38"/>
      <c r="Q284" s="42" t="str">
        <f aca="false">IF(P284="","",LEN(P284))</f>
        <v/>
      </c>
      <c r="R284" s="47"/>
      <c r="S284" s="37"/>
      <c r="T284" s="38"/>
      <c r="U284" s="43" t="str">
        <f aca="false">IF(OR(R284&lt;&gt;"Yes",A284=""),"",A284+4)</f>
        <v/>
      </c>
      <c r="V284" s="47"/>
      <c r="W284" s="38"/>
      <c r="X284" s="38"/>
      <c r="Y284" s="44"/>
      <c r="Z284" s="44"/>
      <c r="AA284" s="45" t="str">
        <f aca="false">IF(AND($Y284="",$Z284=""),"",ROUND(IFERROR(VALUE(LEFT($Y284,1)),0)*12+IFERROR(VALUE(LEFT($Z284,1)),0)*8,0))</f>
        <v/>
      </c>
      <c r="AB284" s="45" t="str">
        <f aca="false">IF($AA284="","",IF($AA284&gt;=80,"A - call first",IF($AA284&gt;=60,"B - worth pursuing",IF($AA284&gt;=40,"C - nurture","D - do not spend time here"))))</f>
        <v/>
      </c>
      <c r="AC284" s="46" t="str">
        <f aca="false">IF($C284="","",IF($S284="Converted","7 Certification / Enterprise opportunity",IF($S284="Application Started","7 Certification / Enterprise opportunity",IF($S284="Meeting Booked","6 Meeting / Application",IF(OR($S284="Interested",$S284="Info Requested"),"5 Interested",IF(OR($S284="Declined",$S284="Not Relevant"),"0 Closed - no",IF($R284="Yes","4 Contacted",IF($N284="Yes","2 Engaged",IF($M284="Yes","1 Awareness",IF($AA284&gt;=60,"3 Qualified","1 Awareness"))))))))))</f>
        <v/>
      </c>
    </row>
    <row r="285" customFormat="false" ht="30" hidden="false" customHeight="true" outlineLevel="0" collapsed="false">
      <c r="A285" s="36"/>
      <c r="B285" s="37"/>
      <c r="C285" s="37"/>
      <c r="D285" s="37"/>
      <c r="E285" s="37"/>
      <c r="F285" s="37"/>
      <c r="G285" s="37"/>
      <c r="H285" s="37"/>
      <c r="I285" s="37"/>
      <c r="J285" s="47"/>
      <c r="K285" s="41" t="str">
        <f aca="false">IF(J285="","",IF(J285&gt;=8,"Yes","Check"))</f>
        <v/>
      </c>
      <c r="L285" s="38"/>
      <c r="M285" s="47"/>
      <c r="N285" s="47"/>
      <c r="O285" s="37"/>
      <c r="P285" s="38"/>
      <c r="Q285" s="42" t="str">
        <f aca="false">IF(P285="","",LEN(P285))</f>
        <v/>
      </c>
      <c r="R285" s="47"/>
      <c r="S285" s="37"/>
      <c r="T285" s="38"/>
      <c r="U285" s="43" t="str">
        <f aca="false">IF(OR(R285&lt;&gt;"Yes",A285=""),"",A285+4)</f>
        <v/>
      </c>
      <c r="V285" s="47"/>
      <c r="W285" s="38"/>
      <c r="X285" s="38"/>
      <c r="Y285" s="44"/>
      <c r="Z285" s="44"/>
      <c r="AA285" s="45" t="str">
        <f aca="false">IF(AND($Y285="",$Z285=""),"",ROUND(IFERROR(VALUE(LEFT($Y285,1)),0)*12+IFERROR(VALUE(LEFT($Z285,1)),0)*8,0))</f>
        <v/>
      </c>
      <c r="AB285" s="45" t="str">
        <f aca="false">IF($AA285="","",IF($AA285&gt;=80,"A - call first",IF($AA285&gt;=60,"B - worth pursuing",IF($AA285&gt;=40,"C - nurture","D - do not spend time here"))))</f>
        <v/>
      </c>
      <c r="AC285" s="46" t="str">
        <f aca="false">IF($C285="","",IF($S285="Converted","7 Certification / Enterprise opportunity",IF($S285="Application Started","7 Certification / Enterprise opportunity",IF($S285="Meeting Booked","6 Meeting / Application",IF(OR($S285="Interested",$S285="Info Requested"),"5 Interested",IF(OR($S285="Declined",$S285="Not Relevant"),"0 Closed - no",IF($R285="Yes","4 Contacted",IF($N285="Yes","2 Engaged",IF($M285="Yes","1 Awareness",IF($AA285&gt;=60,"3 Qualified","1 Awareness"))))))))))</f>
        <v/>
      </c>
    </row>
    <row r="286" customFormat="false" ht="30" hidden="false" customHeight="true" outlineLevel="0" collapsed="false">
      <c r="A286" s="36"/>
      <c r="B286" s="37"/>
      <c r="C286" s="37"/>
      <c r="D286" s="37"/>
      <c r="E286" s="37"/>
      <c r="F286" s="37"/>
      <c r="G286" s="37"/>
      <c r="H286" s="37"/>
      <c r="I286" s="37"/>
      <c r="J286" s="47"/>
      <c r="K286" s="41" t="str">
        <f aca="false">IF(J286="","",IF(J286&gt;=8,"Yes","Check"))</f>
        <v/>
      </c>
      <c r="L286" s="38"/>
      <c r="M286" s="47"/>
      <c r="N286" s="47"/>
      <c r="O286" s="37"/>
      <c r="P286" s="38"/>
      <c r="Q286" s="42" t="str">
        <f aca="false">IF(P286="","",LEN(P286))</f>
        <v/>
      </c>
      <c r="R286" s="47"/>
      <c r="S286" s="37"/>
      <c r="T286" s="38"/>
      <c r="U286" s="43" t="str">
        <f aca="false">IF(OR(R286&lt;&gt;"Yes",A286=""),"",A286+4)</f>
        <v/>
      </c>
      <c r="V286" s="47"/>
      <c r="W286" s="38"/>
      <c r="X286" s="38"/>
      <c r="Y286" s="44"/>
      <c r="Z286" s="44"/>
      <c r="AA286" s="45" t="str">
        <f aca="false">IF(AND($Y286="",$Z286=""),"",ROUND(IFERROR(VALUE(LEFT($Y286,1)),0)*12+IFERROR(VALUE(LEFT($Z286,1)),0)*8,0))</f>
        <v/>
      </c>
      <c r="AB286" s="45" t="str">
        <f aca="false">IF($AA286="","",IF($AA286&gt;=80,"A - call first",IF($AA286&gt;=60,"B - worth pursuing",IF($AA286&gt;=40,"C - nurture","D - do not spend time here"))))</f>
        <v/>
      </c>
      <c r="AC286" s="46" t="str">
        <f aca="false">IF($C286="","",IF($S286="Converted","7 Certification / Enterprise opportunity",IF($S286="Application Started","7 Certification / Enterprise opportunity",IF($S286="Meeting Booked","6 Meeting / Application",IF(OR($S286="Interested",$S286="Info Requested"),"5 Interested",IF(OR($S286="Declined",$S286="Not Relevant"),"0 Closed - no",IF($R286="Yes","4 Contacted",IF($N286="Yes","2 Engaged",IF($M286="Yes","1 Awareness",IF($AA286&gt;=60,"3 Qualified","1 Awareness"))))))))))</f>
        <v/>
      </c>
    </row>
    <row r="287" customFormat="false" ht="30" hidden="false" customHeight="true" outlineLevel="0" collapsed="false">
      <c r="A287" s="36"/>
      <c r="B287" s="37"/>
      <c r="C287" s="37"/>
      <c r="D287" s="37"/>
      <c r="E287" s="37"/>
      <c r="F287" s="37"/>
      <c r="G287" s="37"/>
      <c r="H287" s="37"/>
      <c r="I287" s="37"/>
      <c r="J287" s="47"/>
      <c r="K287" s="41" t="str">
        <f aca="false">IF(J287="","",IF(J287&gt;=8,"Yes","Check"))</f>
        <v/>
      </c>
      <c r="L287" s="38"/>
      <c r="M287" s="47"/>
      <c r="N287" s="47"/>
      <c r="O287" s="37"/>
      <c r="P287" s="38"/>
      <c r="Q287" s="42" t="str">
        <f aca="false">IF(P287="","",LEN(P287))</f>
        <v/>
      </c>
      <c r="R287" s="47"/>
      <c r="S287" s="37"/>
      <c r="T287" s="38"/>
      <c r="U287" s="43" t="str">
        <f aca="false">IF(OR(R287&lt;&gt;"Yes",A287=""),"",A287+4)</f>
        <v/>
      </c>
      <c r="V287" s="47"/>
      <c r="W287" s="38"/>
      <c r="X287" s="38"/>
      <c r="Y287" s="44"/>
      <c r="Z287" s="44"/>
      <c r="AA287" s="45" t="str">
        <f aca="false">IF(AND($Y287="",$Z287=""),"",ROUND(IFERROR(VALUE(LEFT($Y287,1)),0)*12+IFERROR(VALUE(LEFT($Z287,1)),0)*8,0))</f>
        <v/>
      </c>
      <c r="AB287" s="45" t="str">
        <f aca="false">IF($AA287="","",IF($AA287&gt;=80,"A - call first",IF($AA287&gt;=60,"B - worth pursuing",IF($AA287&gt;=40,"C - nurture","D - do not spend time here"))))</f>
        <v/>
      </c>
      <c r="AC287" s="46" t="str">
        <f aca="false">IF($C287="","",IF($S287="Converted","7 Certification / Enterprise opportunity",IF($S287="Application Started","7 Certification / Enterprise opportunity",IF($S287="Meeting Booked","6 Meeting / Application",IF(OR($S287="Interested",$S287="Info Requested"),"5 Interested",IF(OR($S287="Declined",$S287="Not Relevant"),"0 Closed - no",IF($R287="Yes","4 Contacted",IF($N287="Yes","2 Engaged",IF($M287="Yes","1 Awareness",IF($AA287&gt;=60,"3 Qualified","1 Awareness"))))))))))</f>
        <v/>
      </c>
    </row>
    <row r="288" customFormat="false" ht="30" hidden="false" customHeight="true" outlineLevel="0" collapsed="false">
      <c r="A288" s="36"/>
      <c r="B288" s="37"/>
      <c r="C288" s="37"/>
      <c r="D288" s="37"/>
      <c r="E288" s="37"/>
      <c r="F288" s="37"/>
      <c r="G288" s="37"/>
      <c r="H288" s="37"/>
      <c r="I288" s="37"/>
      <c r="J288" s="47"/>
      <c r="K288" s="41" t="str">
        <f aca="false">IF(J288="","",IF(J288&gt;=8,"Yes","Check"))</f>
        <v/>
      </c>
      <c r="L288" s="38"/>
      <c r="M288" s="47"/>
      <c r="N288" s="47"/>
      <c r="O288" s="37"/>
      <c r="P288" s="38"/>
      <c r="Q288" s="42" t="str">
        <f aca="false">IF(P288="","",LEN(P288))</f>
        <v/>
      </c>
      <c r="R288" s="47"/>
      <c r="S288" s="37"/>
      <c r="T288" s="38"/>
      <c r="U288" s="43" t="str">
        <f aca="false">IF(OR(R288&lt;&gt;"Yes",A288=""),"",A288+4)</f>
        <v/>
      </c>
      <c r="V288" s="47"/>
      <c r="W288" s="38"/>
      <c r="X288" s="38"/>
      <c r="Y288" s="44"/>
      <c r="Z288" s="44"/>
      <c r="AA288" s="45" t="str">
        <f aca="false">IF(AND($Y288="",$Z288=""),"",ROUND(IFERROR(VALUE(LEFT($Y288,1)),0)*12+IFERROR(VALUE(LEFT($Z288,1)),0)*8,0))</f>
        <v/>
      </c>
      <c r="AB288" s="45" t="str">
        <f aca="false">IF($AA288="","",IF($AA288&gt;=80,"A - call first",IF($AA288&gt;=60,"B - worth pursuing",IF($AA288&gt;=40,"C - nurture","D - do not spend time here"))))</f>
        <v/>
      </c>
      <c r="AC288" s="46" t="str">
        <f aca="false">IF($C288="","",IF($S288="Converted","7 Certification / Enterprise opportunity",IF($S288="Application Started","7 Certification / Enterprise opportunity",IF($S288="Meeting Booked","6 Meeting / Application",IF(OR($S288="Interested",$S288="Info Requested"),"5 Interested",IF(OR($S288="Declined",$S288="Not Relevant"),"0 Closed - no",IF($R288="Yes","4 Contacted",IF($N288="Yes","2 Engaged",IF($M288="Yes","1 Awareness",IF($AA288&gt;=60,"3 Qualified","1 Awareness"))))))))))</f>
        <v/>
      </c>
    </row>
    <row r="289" customFormat="false" ht="30" hidden="false" customHeight="true" outlineLevel="0" collapsed="false">
      <c r="A289" s="36"/>
      <c r="B289" s="37"/>
      <c r="C289" s="37"/>
      <c r="D289" s="37"/>
      <c r="E289" s="37"/>
      <c r="F289" s="37"/>
      <c r="G289" s="37"/>
      <c r="H289" s="37"/>
      <c r="I289" s="37"/>
      <c r="J289" s="47"/>
      <c r="K289" s="41" t="str">
        <f aca="false">IF(J289="","",IF(J289&gt;=8,"Yes","Check"))</f>
        <v/>
      </c>
      <c r="L289" s="38"/>
      <c r="M289" s="47"/>
      <c r="N289" s="47"/>
      <c r="O289" s="37"/>
      <c r="P289" s="38"/>
      <c r="Q289" s="42" t="str">
        <f aca="false">IF(P289="","",LEN(P289))</f>
        <v/>
      </c>
      <c r="R289" s="47"/>
      <c r="S289" s="37"/>
      <c r="T289" s="38"/>
      <c r="U289" s="43" t="str">
        <f aca="false">IF(OR(R289&lt;&gt;"Yes",A289=""),"",A289+4)</f>
        <v/>
      </c>
      <c r="V289" s="47"/>
      <c r="W289" s="38"/>
      <c r="X289" s="38"/>
      <c r="Y289" s="44"/>
      <c r="Z289" s="44"/>
      <c r="AA289" s="45" t="str">
        <f aca="false">IF(AND($Y289="",$Z289=""),"",ROUND(IFERROR(VALUE(LEFT($Y289,1)),0)*12+IFERROR(VALUE(LEFT($Z289,1)),0)*8,0))</f>
        <v/>
      </c>
      <c r="AB289" s="45" t="str">
        <f aca="false">IF($AA289="","",IF($AA289&gt;=80,"A - call first",IF($AA289&gt;=60,"B - worth pursuing",IF($AA289&gt;=40,"C - nurture","D - do not spend time here"))))</f>
        <v/>
      </c>
      <c r="AC289" s="46" t="str">
        <f aca="false">IF($C289="","",IF($S289="Converted","7 Certification / Enterprise opportunity",IF($S289="Application Started","7 Certification / Enterprise opportunity",IF($S289="Meeting Booked","6 Meeting / Application",IF(OR($S289="Interested",$S289="Info Requested"),"5 Interested",IF(OR($S289="Declined",$S289="Not Relevant"),"0 Closed - no",IF($R289="Yes","4 Contacted",IF($N289="Yes","2 Engaged",IF($M289="Yes","1 Awareness",IF($AA289&gt;=60,"3 Qualified","1 Awareness"))))))))))</f>
        <v/>
      </c>
    </row>
    <row r="290" customFormat="false" ht="30" hidden="false" customHeight="true" outlineLevel="0" collapsed="false">
      <c r="A290" s="36"/>
      <c r="B290" s="37"/>
      <c r="C290" s="37"/>
      <c r="D290" s="37"/>
      <c r="E290" s="37"/>
      <c r="F290" s="37"/>
      <c r="G290" s="37"/>
      <c r="H290" s="37"/>
      <c r="I290" s="37"/>
      <c r="J290" s="47"/>
      <c r="K290" s="41" t="str">
        <f aca="false">IF(J290="","",IF(J290&gt;=8,"Yes","Check"))</f>
        <v/>
      </c>
      <c r="L290" s="38"/>
      <c r="M290" s="47"/>
      <c r="N290" s="47"/>
      <c r="O290" s="37"/>
      <c r="P290" s="38"/>
      <c r="Q290" s="42" t="str">
        <f aca="false">IF(P290="","",LEN(P290))</f>
        <v/>
      </c>
      <c r="R290" s="47"/>
      <c r="S290" s="37"/>
      <c r="T290" s="38"/>
      <c r="U290" s="43" t="str">
        <f aca="false">IF(OR(R290&lt;&gt;"Yes",A290=""),"",A290+4)</f>
        <v/>
      </c>
      <c r="V290" s="47"/>
      <c r="W290" s="38"/>
      <c r="X290" s="38"/>
      <c r="Y290" s="44"/>
      <c r="Z290" s="44"/>
      <c r="AA290" s="45" t="str">
        <f aca="false">IF(AND($Y290="",$Z290=""),"",ROUND(IFERROR(VALUE(LEFT($Y290,1)),0)*12+IFERROR(VALUE(LEFT($Z290,1)),0)*8,0))</f>
        <v/>
      </c>
      <c r="AB290" s="45" t="str">
        <f aca="false">IF($AA290="","",IF($AA290&gt;=80,"A - call first",IF($AA290&gt;=60,"B - worth pursuing",IF($AA290&gt;=40,"C - nurture","D - do not spend time here"))))</f>
        <v/>
      </c>
      <c r="AC290" s="46" t="str">
        <f aca="false">IF($C290="","",IF($S290="Converted","7 Certification / Enterprise opportunity",IF($S290="Application Started","7 Certification / Enterprise opportunity",IF($S290="Meeting Booked","6 Meeting / Application",IF(OR($S290="Interested",$S290="Info Requested"),"5 Interested",IF(OR($S290="Declined",$S290="Not Relevant"),"0 Closed - no",IF($R290="Yes","4 Contacted",IF($N290="Yes","2 Engaged",IF($M290="Yes","1 Awareness",IF($AA290&gt;=60,"3 Qualified","1 Awareness"))))))))))</f>
        <v/>
      </c>
    </row>
    <row r="291" customFormat="false" ht="30" hidden="false" customHeight="true" outlineLevel="0" collapsed="false">
      <c r="A291" s="36"/>
      <c r="B291" s="37"/>
      <c r="C291" s="37"/>
      <c r="D291" s="37"/>
      <c r="E291" s="37"/>
      <c r="F291" s="37"/>
      <c r="G291" s="37"/>
      <c r="H291" s="37"/>
      <c r="I291" s="37"/>
      <c r="J291" s="47"/>
      <c r="K291" s="41" t="str">
        <f aca="false">IF(J291="","",IF(J291&gt;=8,"Yes","Check"))</f>
        <v/>
      </c>
      <c r="L291" s="38"/>
      <c r="M291" s="47"/>
      <c r="N291" s="47"/>
      <c r="O291" s="37"/>
      <c r="P291" s="38"/>
      <c r="Q291" s="42" t="str">
        <f aca="false">IF(P291="","",LEN(P291))</f>
        <v/>
      </c>
      <c r="R291" s="47"/>
      <c r="S291" s="37"/>
      <c r="T291" s="38"/>
      <c r="U291" s="43" t="str">
        <f aca="false">IF(OR(R291&lt;&gt;"Yes",A291=""),"",A291+4)</f>
        <v/>
      </c>
      <c r="V291" s="47"/>
      <c r="W291" s="38"/>
      <c r="X291" s="38"/>
      <c r="Y291" s="44"/>
      <c r="Z291" s="44"/>
      <c r="AA291" s="45" t="str">
        <f aca="false">IF(AND($Y291="",$Z291=""),"",ROUND(IFERROR(VALUE(LEFT($Y291,1)),0)*12+IFERROR(VALUE(LEFT($Z291,1)),0)*8,0))</f>
        <v/>
      </c>
      <c r="AB291" s="45" t="str">
        <f aca="false">IF($AA291="","",IF($AA291&gt;=80,"A - call first",IF($AA291&gt;=60,"B - worth pursuing",IF($AA291&gt;=40,"C - nurture","D - do not spend time here"))))</f>
        <v/>
      </c>
      <c r="AC291" s="46" t="str">
        <f aca="false">IF($C291="","",IF($S291="Converted","7 Certification / Enterprise opportunity",IF($S291="Application Started","7 Certification / Enterprise opportunity",IF($S291="Meeting Booked","6 Meeting / Application",IF(OR($S291="Interested",$S291="Info Requested"),"5 Interested",IF(OR($S291="Declined",$S291="Not Relevant"),"0 Closed - no",IF($R291="Yes","4 Contacted",IF($N291="Yes","2 Engaged",IF($M291="Yes","1 Awareness",IF($AA291&gt;=60,"3 Qualified","1 Awareness"))))))))))</f>
        <v/>
      </c>
    </row>
    <row r="292" customFormat="false" ht="30" hidden="false" customHeight="true" outlineLevel="0" collapsed="false">
      <c r="A292" s="36"/>
      <c r="B292" s="37"/>
      <c r="C292" s="37"/>
      <c r="D292" s="37"/>
      <c r="E292" s="37"/>
      <c r="F292" s="37"/>
      <c r="G292" s="37"/>
      <c r="H292" s="37"/>
      <c r="I292" s="37"/>
      <c r="J292" s="47"/>
      <c r="K292" s="41" t="str">
        <f aca="false">IF(J292="","",IF(J292&gt;=8,"Yes","Check"))</f>
        <v/>
      </c>
      <c r="L292" s="38"/>
      <c r="M292" s="47"/>
      <c r="N292" s="47"/>
      <c r="O292" s="37"/>
      <c r="P292" s="38"/>
      <c r="Q292" s="42" t="str">
        <f aca="false">IF(P292="","",LEN(P292))</f>
        <v/>
      </c>
      <c r="R292" s="47"/>
      <c r="S292" s="37"/>
      <c r="T292" s="38"/>
      <c r="U292" s="43" t="str">
        <f aca="false">IF(OR(R292&lt;&gt;"Yes",A292=""),"",A292+4)</f>
        <v/>
      </c>
      <c r="V292" s="47"/>
      <c r="W292" s="38"/>
      <c r="X292" s="38"/>
      <c r="Y292" s="44"/>
      <c r="Z292" s="44"/>
      <c r="AA292" s="45" t="str">
        <f aca="false">IF(AND($Y292="",$Z292=""),"",ROUND(IFERROR(VALUE(LEFT($Y292,1)),0)*12+IFERROR(VALUE(LEFT($Z292,1)),0)*8,0))</f>
        <v/>
      </c>
      <c r="AB292" s="45" t="str">
        <f aca="false">IF($AA292="","",IF($AA292&gt;=80,"A - call first",IF($AA292&gt;=60,"B - worth pursuing",IF($AA292&gt;=40,"C - nurture","D - do not spend time here"))))</f>
        <v/>
      </c>
      <c r="AC292" s="46" t="str">
        <f aca="false">IF($C292="","",IF($S292="Converted","7 Certification / Enterprise opportunity",IF($S292="Application Started","7 Certification / Enterprise opportunity",IF($S292="Meeting Booked","6 Meeting / Application",IF(OR($S292="Interested",$S292="Info Requested"),"5 Interested",IF(OR($S292="Declined",$S292="Not Relevant"),"0 Closed - no",IF($R292="Yes","4 Contacted",IF($N292="Yes","2 Engaged",IF($M292="Yes","1 Awareness",IF($AA292&gt;=60,"3 Qualified","1 Awareness"))))))))))</f>
        <v/>
      </c>
    </row>
    <row r="293" customFormat="false" ht="30" hidden="false" customHeight="true" outlineLevel="0" collapsed="false">
      <c r="A293" s="36"/>
      <c r="B293" s="37"/>
      <c r="C293" s="37"/>
      <c r="D293" s="37"/>
      <c r="E293" s="37"/>
      <c r="F293" s="37"/>
      <c r="G293" s="37"/>
      <c r="H293" s="37"/>
      <c r="I293" s="37"/>
      <c r="J293" s="47"/>
      <c r="K293" s="41" t="str">
        <f aca="false">IF(J293="","",IF(J293&gt;=8,"Yes","Check"))</f>
        <v/>
      </c>
      <c r="L293" s="38"/>
      <c r="M293" s="47"/>
      <c r="N293" s="47"/>
      <c r="O293" s="37"/>
      <c r="P293" s="38"/>
      <c r="Q293" s="42" t="str">
        <f aca="false">IF(P293="","",LEN(P293))</f>
        <v/>
      </c>
      <c r="R293" s="47"/>
      <c r="S293" s="37"/>
      <c r="T293" s="38"/>
      <c r="U293" s="43" t="str">
        <f aca="false">IF(OR(R293&lt;&gt;"Yes",A293=""),"",A293+4)</f>
        <v/>
      </c>
      <c r="V293" s="47"/>
      <c r="W293" s="38"/>
      <c r="X293" s="38"/>
      <c r="Y293" s="44"/>
      <c r="Z293" s="44"/>
      <c r="AA293" s="45" t="str">
        <f aca="false">IF(AND($Y293="",$Z293=""),"",ROUND(IFERROR(VALUE(LEFT($Y293,1)),0)*12+IFERROR(VALUE(LEFT($Z293,1)),0)*8,0))</f>
        <v/>
      </c>
      <c r="AB293" s="45" t="str">
        <f aca="false">IF($AA293="","",IF($AA293&gt;=80,"A - call first",IF($AA293&gt;=60,"B - worth pursuing",IF($AA293&gt;=40,"C - nurture","D - do not spend time here"))))</f>
        <v/>
      </c>
      <c r="AC293" s="46" t="str">
        <f aca="false">IF($C293="","",IF($S293="Converted","7 Certification / Enterprise opportunity",IF($S293="Application Started","7 Certification / Enterprise opportunity",IF($S293="Meeting Booked","6 Meeting / Application",IF(OR($S293="Interested",$S293="Info Requested"),"5 Interested",IF(OR($S293="Declined",$S293="Not Relevant"),"0 Closed - no",IF($R293="Yes","4 Contacted",IF($N293="Yes","2 Engaged",IF($M293="Yes","1 Awareness",IF($AA293&gt;=60,"3 Qualified","1 Awareness"))))))))))</f>
        <v/>
      </c>
    </row>
    <row r="294" customFormat="false" ht="30" hidden="false" customHeight="true" outlineLevel="0" collapsed="false">
      <c r="A294" s="36"/>
      <c r="B294" s="37"/>
      <c r="C294" s="37"/>
      <c r="D294" s="37"/>
      <c r="E294" s="37"/>
      <c r="F294" s="37"/>
      <c r="G294" s="37"/>
      <c r="H294" s="37"/>
      <c r="I294" s="37"/>
      <c r="J294" s="47"/>
      <c r="K294" s="41" t="str">
        <f aca="false">IF(J294="","",IF(J294&gt;=8,"Yes","Check"))</f>
        <v/>
      </c>
      <c r="L294" s="38"/>
      <c r="M294" s="47"/>
      <c r="N294" s="47"/>
      <c r="O294" s="37"/>
      <c r="P294" s="38"/>
      <c r="Q294" s="42" t="str">
        <f aca="false">IF(P294="","",LEN(P294))</f>
        <v/>
      </c>
      <c r="R294" s="47"/>
      <c r="S294" s="37"/>
      <c r="T294" s="38"/>
      <c r="U294" s="43" t="str">
        <f aca="false">IF(OR(R294&lt;&gt;"Yes",A294=""),"",A294+4)</f>
        <v/>
      </c>
      <c r="V294" s="47"/>
      <c r="W294" s="38"/>
      <c r="X294" s="38"/>
      <c r="Y294" s="44"/>
      <c r="Z294" s="44"/>
      <c r="AA294" s="45" t="str">
        <f aca="false">IF(AND($Y294="",$Z294=""),"",ROUND(IFERROR(VALUE(LEFT($Y294,1)),0)*12+IFERROR(VALUE(LEFT($Z294,1)),0)*8,0))</f>
        <v/>
      </c>
      <c r="AB294" s="45" t="str">
        <f aca="false">IF($AA294="","",IF($AA294&gt;=80,"A - call first",IF($AA294&gt;=60,"B - worth pursuing",IF($AA294&gt;=40,"C - nurture","D - do not spend time here"))))</f>
        <v/>
      </c>
      <c r="AC294" s="46" t="str">
        <f aca="false">IF($C294="","",IF($S294="Converted","7 Certification / Enterprise opportunity",IF($S294="Application Started","7 Certification / Enterprise opportunity",IF($S294="Meeting Booked","6 Meeting / Application",IF(OR($S294="Interested",$S294="Info Requested"),"5 Interested",IF(OR($S294="Declined",$S294="Not Relevant"),"0 Closed - no",IF($R294="Yes","4 Contacted",IF($N294="Yes","2 Engaged",IF($M294="Yes","1 Awareness",IF($AA294&gt;=60,"3 Qualified","1 Awareness"))))))))))</f>
        <v/>
      </c>
    </row>
    <row r="295" customFormat="false" ht="30" hidden="false" customHeight="true" outlineLevel="0" collapsed="false">
      <c r="A295" s="36"/>
      <c r="B295" s="37"/>
      <c r="C295" s="37"/>
      <c r="D295" s="37"/>
      <c r="E295" s="37"/>
      <c r="F295" s="37"/>
      <c r="G295" s="37"/>
      <c r="H295" s="37"/>
      <c r="I295" s="37"/>
      <c r="J295" s="47"/>
      <c r="K295" s="41" t="str">
        <f aca="false">IF(J295="","",IF(J295&gt;=8,"Yes","Check"))</f>
        <v/>
      </c>
      <c r="L295" s="38"/>
      <c r="M295" s="47"/>
      <c r="N295" s="47"/>
      <c r="O295" s="37"/>
      <c r="P295" s="38"/>
      <c r="Q295" s="42" t="str">
        <f aca="false">IF(P295="","",LEN(P295))</f>
        <v/>
      </c>
      <c r="R295" s="47"/>
      <c r="S295" s="37"/>
      <c r="T295" s="38"/>
      <c r="U295" s="43" t="str">
        <f aca="false">IF(OR(R295&lt;&gt;"Yes",A295=""),"",A295+4)</f>
        <v/>
      </c>
      <c r="V295" s="47"/>
      <c r="W295" s="38"/>
      <c r="X295" s="38"/>
      <c r="Y295" s="44"/>
      <c r="Z295" s="44"/>
      <c r="AA295" s="45" t="str">
        <f aca="false">IF(AND($Y295="",$Z295=""),"",ROUND(IFERROR(VALUE(LEFT($Y295,1)),0)*12+IFERROR(VALUE(LEFT($Z295,1)),0)*8,0))</f>
        <v/>
      </c>
      <c r="AB295" s="45" t="str">
        <f aca="false">IF($AA295="","",IF($AA295&gt;=80,"A - call first",IF($AA295&gt;=60,"B - worth pursuing",IF($AA295&gt;=40,"C - nurture","D - do not spend time here"))))</f>
        <v/>
      </c>
      <c r="AC295" s="46" t="str">
        <f aca="false">IF($C295="","",IF($S295="Converted","7 Certification / Enterprise opportunity",IF($S295="Application Started","7 Certification / Enterprise opportunity",IF($S295="Meeting Booked","6 Meeting / Application",IF(OR($S295="Interested",$S295="Info Requested"),"5 Interested",IF(OR($S295="Declined",$S295="Not Relevant"),"0 Closed - no",IF($R295="Yes","4 Contacted",IF($N295="Yes","2 Engaged",IF($M295="Yes","1 Awareness",IF($AA295&gt;=60,"3 Qualified","1 Awareness"))))))))))</f>
        <v/>
      </c>
    </row>
    <row r="296" customFormat="false" ht="30" hidden="false" customHeight="true" outlineLevel="0" collapsed="false">
      <c r="A296" s="36"/>
      <c r="B296" s="37"/>
      <c r="C296" s="37"/>
      <c r="D296" s="37"/>
      <c r="E296" s="37"/>
      <c r="F296" s="37"/>
      <c r="G296" s="37"/>
      <c r="H296" s="37"/>
      <c r="I296" s="37"/>
      <c r="J296" s="47"/>
      <c r="K296" s="41" t="str">
        <f aca="false">IF(J296="","",IF(J296&gt;=8,"Yes","Check"))</f>
        <v/>
      </c>
      <c r="L296" s="38"/>
      <c r="M296" s="47"/>
      <c r="N296" s="47"/>
      <c r="O296" s="37"/>
      <c r="P296" s="38"/>
      <c r="Q296" s="42" t="str">
        <f aca="false">IF(P296="","",LEN(P296))</f>
        <v/>
      </c>
      <c r="R296" s="47"/>
      <c r="S296" s="37"/>
      <c r="T296" s="38"/>
      <c r="U296" s="43" t="str">
        <f aca="false">IF(OR(R296&lt;&gt;"Yes",A296=""),"",A296+4)</f>
        <v/>
      </c>
      <c r="V296" s="47"/>
      <c r="W296" s="38"/>
      <c r="X296" s="38"/>
      <c r="Y296" s="44"/>
      <c r="Z296" s="44"/>
      <c r="AA296" s="45" t="str">
        <f aca="false">IF(AND($Y296="",$Z296=""),"",ROUND(IFERROR(VALUE(LEFT($Y296,1)),0)*12+IFERROR(VALUE(LEFT($Z296,1)),0)*8,0))</f>
        <v/>
      </c>
      <c r="AB296" s="45" t="str">
        <f aca="false">IF($AA296="","",IF($AA296&gt;=80,"A - call first",IF($AA296&gt;=60,"B - worth pursuing",IF($AA296&gt;=40,"C - nurture","D - do not spend time here"))))</f>
        <v/>
      </c>
      <c r="AC296" s="46" t="str">
        <f aca="false">IF($C296="","",IF($S296="Converted","7 Certification / Enterprise opportunity",IF($S296="Application Started","7 Certification / Enterprise opportunity",IF($S296="Meeting Booked","6 Meeting / Application",IF(OR($S296="Interested",$S296="Info Requested"),"5 Interested",IF(OR($S296="Declined",$S296="Not Relevant"),"0 Closed - no",IF($R296="Yes","4 Contacted",IF($N296="Yes","2 Engaged",IF($M296="Yes","1 Awareness",IF($AA296&gt;=60,"3 Qualified","1 Awareness"))))))))))</f>
        <v/>
      </c>
    </row>
    <row r="297" customFormat="false" ht="30" hidden="false" customHeight="true" outlineLevel="0" collapsed="false">
      <c r="A297" s="36"/>
      <c r="B297" s="37"/>
      <c r="C297" s="37"/>
      <c r="D297" s="37"/>
      <c r="E297" s="37"/>
      <c r="F297" s="37"/>
      <c r="G297" s="37"/>
      <c r="H297" s="37"/>
      <c r="I297" s="37"/>
      <c r="J297" s="47"/>
      <c r="K297" s="41" t="str">
        <f aca="false">IF(J297="","",IF(J297&gt;=8,"Yes","Check"))</f>
        <v/>
      </c>
      <c r="L297" s="38"/>
      <c r="M297" s="47"/>
      <c r="N297" s="47"/>
      <c r="O297" s="37"/>
      <c r="P297" s="38"/>
      <c r="Q297" s="42" t="str">
        <f aca="false">IF(P297="","",LEN(P297))</f>
        <v/>
      </c>
      <c r="R297" s="47"/>
      <c r="S297" s="37"/>
      <c r="T297" s="38"/>
      <c r="U297" s="43" t="str">
        <f aca="false">IF(OR(R297&lt;&gt;"Yes",A297=""),"",A297+4)</f>
        <v/>
      </c>
      <c r="V297" s="47"/>
      <c r="W297" s="38"/>
      <c r="X297" s="38"/>
      <c r="Y297" s="44"/>
      <c r="Z297" s="44"/>
      <c r="AA297" s="45" t="str">
        <f aca="false">IF(AND($Y297="",$Z297=""),"",ROUND(IFERROR(VALUE(LEFT($Y297,1)),0)*12+IFERROR(VALUE(LEFT($Z297,1)),0)*8,0))</f>
        <v/>
      </c>
      <c r="AB297" s="45" t="str">
        <f aca="false">IF($AA297="","",IF($AA297&gt;=80,"A - call first",IF($AA297&gt;=60,"B - worth pursuing",IF($AA297&gt;=40,"C - nurture","D - do not spend time here"))))</f>
        <v/>
      </c>
      <c r="AC297" s="46" t="str">
        <f aca="false">IF($C297="","",IF($S297="Converted","7 Certification / Enterprise opportunity",IF($S297="Application Started","7 Certification / Enterprise opportunity",IF($S297="Meeting Booked","6 Meeting / Application",IF(OR($S297="Interested",$S297="Info Requested"),"5 Interested",IF(OR($S297="Declined",$S297="Not Relevant"),"0 Closed - no",IF($R297="Yes","4 Contacted",IF($N297="Yes","2 Engaged",IF($M297="Yes","1 Awareness",IF($AA297&gt;=60,"3 Qualified","1 Awareness"))))))))))</f>
        <v/>
      </c>
    </row>
    <row r="298" customFormat="false" ht="30" hidden="false" customHeight="true" outlineLevel="0" collapsed="false">
      <c r="A298" s="36"/>
      <c r="B298" s="37"/>
      <c r="C298" s="37"/>
      <c r="D298" s="37"/>
      <c r="E298" s="37"/>
      <c r="F298" s="37"/>
      <c r="G298" s="37"/>
      <c r="H298" s="37"/>
      <c r="I298" s="37"/>
      <c r="J298" s="47"/>
      <c r="K298" s="41" t="str">
        <f aca="false">IF(J298="","",IF(J298&gt;=8,"Yes","Check"))</f>
        <v/>
      </c>
      <c r="L298" s="38"/>
      <c r="M298" s="47"/>
      <c r="N298" s="47"/>
      <c r="O298" s="37"/>
      <c r="P298" s="38"/>
      <c r="Q298" s="42" t="str">
        <f aca="false">IF(P298="","",LEN(P298))</f>
        <v/>
      </c>
      <c r="R298" s="47"/>
      <c r="S298" s="37"/>
      <c r="T298" s="38"/>
      <c r="U298" s="43" t="str">
        <f aca="false">IF(OR(R298&lt;&gt;"Yes",A298=""),"",A298+4)</f>
        <v/>
      </c>
      <c r="V298" s="47"/>
      <c r="W298" s="38"/>
      <c r="X298" s="38"/>
      <c r="Y298" s="44"/>
      <c r="Z298" s="44"/>
      <c r="AA298" s="45" t="str">
        <f aca="false">IF(AND($Y298="",$Z298=""),"",ROUND(IFERROR(VALUE(LEFT($Y298,1)),0)*12+IFERROR(VALUE(LEFT($Z298,1)),0)*8,0))</f>
        <v/>
      </c>
      <c r="AB298" s="45" t="str">
        <f aca="false">IF($AA298="","",IF($AA298&gt;=80,"A - call first",IF($AA298&gt;=60,"B - worth pursuing",IF($AA298&gt;=40,"C - nurture","D - do not spend time here"))))</f>
        <v/>
      </c>
      <c r="AC298" s="46" t="str">
        <f aca="false">IF($C298="","",IF($S298="Converted","7 Certification / Enterprise opportunity",IF($S298="Application Started","7 Certification / Enterprise opportunity",IF($S298="Meeting Booked","6 Meeting / Application",IF(OR($S298="Interested",$S298="Info Requested"),"5 Interested",IF(OR($S298="Declined",$S298="Not Relevant"),"0 Closed - no",IF($R298="Yes","4 Contacted",IF($N298="Yes","2 Engaged",IF($M298="Yes","1 Awareness",IF($AA298&gt;=60,"3 Qualified","1 Awareness"))))))))))</f>
        <v/>
      </c>
    </row>
    <row r="299" customFormat="false" ht="30" hidden="false" customHeight="true" outlineLevel="0" collapsed="false">
      <c r="A299" s="36"/>
      <c r="B299" s="37"/>
      <c r="C299" s="37"/>
      <c r="D299" s="37"/>
      <c r="E299" s="37"/>
      <c r="F299" s="37"/>
      <c r="G299" s="37"/>
      <c r="H299" s="37"/>
      <c r="I299" s="37"/>
      <c r="J299" s="47"/>
      <c r="K299" s="41" t="str">
        <f aca="false">IF(J299="","",IF(J299&gt;=8,"Yes","Check"))</f>
        <v/>
      </c>
      <c r="L299" s="38"/>
      <c r="M299" s="47"/>
      <c r="N299" s="47"/>
      <c r="O299" s="37"/>
      <c r="P299" s="38"/>
      <c r="Q299" s="42" t="str">
        <f aca="false">IF(P299="","",LEN(P299))</f>
        <v/>
      </c>
      <c r="R299" s="47"/>
      <c r="S299" s="37"/>
      <c r="T299" s="38"/>
      <c r="U299" s="43" t="str">
        <f aca="false">IF(OR(R299&lt;&gt;"Yes",A299=""),"",A299+4)</f>
        <v/>
      </c>
      <c r="V299" s="47"/>
      <c r="W299" s="38"/>
      <c r="X299" s="38"/>
      <c r="Y299" s="44"/>
      <c r="Z299" s="44"/>
      <c r="AA299" s="45" t="str">
        <f aca="false">IF(AND($Y299="",$Z299=""),"",ROUND(IFERROR(VALUE(LEFT($Y299,1)),0)*12+IFERROR(VALUE(LEFT($Z299,1)),0)*8,0))</f>
        <v/>
      </c>
      <c r="AB299" s="45" t="str">
        <f aca="false">IF($AA299="","",IF($AA299&gt;=80,"A - call first",IF($AA299&gt;=60,"B - worth pursuing",IF($AA299&gt;=40,"C - nurture","D - do not spend time here"))))</f>
        <v/>
      </c>
      <c r="AC299" s="46" t="str">
        <f aca="false">IF($C299="","",IF($S299="Converted","7 Certification / Enterprise opportunity",IF($S299="Application Started","7 Certification / Enterprise opportunity",IF($S299="Meeting Booked","6 Meeting / Application",IF(OR($S299="Interested",$S299="Info Requested"),"5 Interested",IF(OR($S299="Declined",$S299="Not Relevant"),"0 Closed - no",IF($R299="Yes","4 Contacted",IF($N299="Yes","2 Engaged",IF($M299="Yes","1 Awareness",IF($AA299&gt;=60,"3 Qualified","1 Awareness"))))))))))</f>
        <v/>
      </c>
    </row>
    <row r="300" customFormat="false" ht="30" hidden="false" customHeight="true" outlineLevel="0" collapsed="false">
      <c r="A300" s="36"/>
      <c r="B300" s="37"/>
      <c r="C300" s="37"/>
      <c r="D300" s="37"/>
      <c r="E300" s="37"/>
      <c r="F300" s="37"/>
      <c r="G300" s="37"/>
      <c r="H300" s="37"/>
      <c r="I300" s="37"/>
      <c r="J300" s="47"/>
      <c r="K300" s="41" t="str">
        <f aca="false">IF(J300="","",IF(J300&gt;=8,"Yes","Check"))</f>
        <v/>
      </c>
      <c r="L300" s="38"/>
      <c r="M300" s="47"/>
      <c r="N300" s="47"/>
      <c r="O300" s="37"/>
      <c r="P300" s="38"/>
      <c r="Q300" s="42" t="str">
        <f aca="false">IF(P300="","",LEN(P300))</f>
        <v/>
      </c>
      <c r="R300" s="47"/>
      <c r="S300" s="37"/>
      <c r="T300" s="38"/>
      <c r="U300" s="43" t="str">
        <f aca="false">IF(OR(R300&lt;&gt;"Yes",A300=""),"",A300+4)</f>
        <v/>
      </c>
      <c r="V300" s="47"/>
      <c r="W300" s="38"/>
      <c r="X300" s="38"/>
      <c r="Y300" s="44"/>
      <c r="Z300" s="44"/>
      <c r="AA300" s="45" t="str">
        <f aca="false">IF(AND($Y300="",$Z300=""),"",ROUND(IFERROR(VALUE(LEFT($Y300,1)),0)*12+IFERROR(VALUE(LEFT($Z300,1)),0)*8,0))</f>
        <v/>
      </c>
      <c r="AB300" s="45" t="str">
        <f aca="false">IF($AA300="","",IF($AA300&gt;=80,"A - call first",IF($AA300&gt;=60,"B - worth pursuing",IF($AA300&gt;=40,"C - nurture","D - do not spend time here"))))</f>
        <v/>
      </c>
      <c r="AC300" s="46" t="str">
        <f aca="false">IF($C300="","",IF($S300="Converted","7 Certification / Enterprise opportunity",IF($S300="Application Started","7 Certification / Enterprise opportunity",IF($S300="Meeting Booked","6 Meeting / Application",IF(OR($S300="Interested",$S300="Info Requested"),"5 Interested",IF(OR($S300="Declined",$S300="Not Relevant"),"0 Closed - no",IF($R300="Yes","4 Contacted",IF($N300="Yes","2 Engaged",IF($M300="Yes","1 Awareness",IF($AA300&gt;=60,"3 Qualified","1 Awareness"))))))))))</f>
        <v/>
      </c>
    </row>
    <row r="301" customFormat="false" ht="30" hidden="false" customHeight="true" outlineLevel="0" collapsed="false">
      <c r="A301" s="36"/>
      <c r="B301" s="37"/>
      <c r="C301" s="37"/>
      <c r="D301" s="37"/>
      <c r="E301" s="37"/>
      <c r="F301" s="37"/>
      <c r="G301" s="37"/>
      <c r="H301" s="37"/>
      <c r="I301" s="37"/>
      <c r="J301" s="47"/>
      <c r="K301" s="41" t="str">
        <f aca="false">IF(J301="","",IF(J301&gt;=8,"Yes","Check"))</f>
        <v/>
      </c>
      <c r="L301" s="38"/>
      <c r="M301" s="47"/>
      <c r="N301" s="47"/>
      <c r="O301" s="37"/>
      <c r="P301" s="38"/>
      <c r="Q301" s="42" t="str">
        <f aca="false">IF(P301="","",LEN(P301))</f>
        <v/>
      </c>
      <c r="R301" s="47"/>
      <c r="S301" s="37"/>
      <c r="T301" s="38"/>
      <c r="U301" s="43" t="str">
        <f aca="false">IF(OR(R301&lt;&gt;"Yes",A301=""),"",A301+4)</f>
        <v/>
      </c>
      <c r="V301" s="47"/>
      <c r="W301" s="38"/>
      <c r="X301" s="38"/>
      <c r="Y301" s="44"/>
      <c r="Z301" s="44"/>
      <c r="AA301" s="45" t="str">
        <f aca="false">IF(AND($Y301="",$Z301=""),"",ROUND(IFERROR(VALUE(LEFT($Y301,1)),0)*12+IFERROR(VALUE(LEFT($Z301,1)),0)*8,0))</f>
        <v/>
      </c>
      <c r="AB301" s="45" t="str">
        <f aca="false">IF($AA301="","",IF($AA301&gt;=80,"A - call first",IF($AA301&gt;=60,"B - worth pursuing",IF($AA301&gt;=40,"C - nurture","D - do not spend time here"))))</f>
        <v/>
      </c>
      <c r="AC301" s="46" t="str">
        <f aca="false">IF($C301="","",IF($S301="Converted","7 Certification / Enterprise opportunity",IF($S301="Application Started","7 Certification / Enterprise opportunity",IF($S301="Meeting Booked","6 Meeting / Application",IF(OR($S301="Interested",$S301="Info Requested"),"5 Interested",IF(OR($S301="Declined",$S301="Not Relevant"),"0 Closed - no",IF($R301="Yes","4 Contacted",IF($N301="Yes","2 Engaged",IF($M301="Yes","1 Awareness",IF($AA301&gt;=60,"3 Qualified","1 Awareness"))))))))))</f>
        <v/>
      </c>
    </row>
    <row r="302" customFormat="false" ht="30" hidden="false" customHeight="true" outlineLevel="0" collapsed="false">
      <c r="A302" s="36"/>
      <c r="B302" s="37"/>
      <c r="C302" s="37"/>
      <c r="D302" s="37"/>
      <c r="E302" s="37"/>
      <c r="F302" s="37"/>
      <c r="G302" s="37"/>
      <c r="H302" s="37"/>
      <c r="I302" s="37"/>
      <c r="J302" s="47"/>
      <c r="K302" s="41" t="str">
        <f aca="false">IF(J302="","",IF(J302&gt;=8,"Yes","Check"))</f>
        <v/>
      </c>
      <c r="L302" s="38"/>
      <c r="M302" s="47"/>
      <c r="N302" s="47"/>
      <c r="O302" s="37"/>
      <c r="P302" s="38"/>
      <c r="Q302" s="42" t="str">
        <f aca="false">IF(P302="","",LEN(P302))</f>
        <v/>
      </c>
      <c r="R302" s="47"/>
      <c r="S302" s="37"/>
      <c r="T302" s="38"/>
      <c r="U302" s="43" t="str">
        <f aca="false">IF(OR(R302&lt;&gt;"Yes",A302=""),"",A302+4)</f>
        <v/>
      </c>
      <c r="V302" s="47"/>
      <c r="W302" s="38"/>
      <c r="X302" s="38"/>
      <c r="Y302" s="44"/>
      <c r="Z302" s="44"/>
      <c r="AA302" s="45" t="str">
        <f aca="false">IF(AND($Y302="",$Z302=""),"",ROUND(IFERROR(VALUE(LEFT($Y302,1)),0)*12+IFERROR(VALUE(LEFT($Z302,1)),0)*8,0))</f>
        <v/>
      </c>
      <c r="AB302" s="45" t="str">
        <f aca="false">IF($AA302="","",IF($AA302&gt;=80,"A - call first",IF($AA302&gt;=60,"B - worth pursuing",IF($AA302&gt;=40,"C - nurture","D - do not spend time here"))))</f>
        <v/>
      </c>
      <c r="AC302" s="46" t="str">
        <f aca="false">IF($C302="","",IF($S302="Converted","7 Certification / Enterprise opportunity",IF($S302="Application Started","7 Certification / Enterprise opportunity",IF($S302="Meeting Booked","6 Meeting / Application",IF(OR($S302="Interested",$S302="Info Requested"),"5 Interested",IF(OR($S302="Declined",$S302="Not Relevant"),"0 Closed - no",IF($R302="Yes","4 Contacted",IF($N302="Yes","2 Engaged",IF($M302="Yes","1 Awareness",IF($AA302&gt;=60,"3 Qualified","1 Awareness"))))))))))</f>
        <v/>
      </c>
    </row>
    <row r="303" customFormat="false" ht="30" hidden="false" customHeight="true" outlineLevel="0" collapsed="false">
      <c r="A303" s="36"/>
      <c r="B303" s="37"/>
      <c r="C303" s="37"/>
      <c r="D303" s="37"/>
      <c r="E303" s="37"/>
      <c r="F303" s="37"/>
      <c r="G303" s="37"/>
      <c r="H303" s="37"/>
      <c r="I303" s="37"/>
      <c r="J303" s="47"/>
      <c r="K303" s="41" t="str">
        <f aca="false">IF(J303="","",IF(J303&gt;=8,"Yes","Check"))</f>
        <v/>
      </c>
      <c r="L303" s="38"/>
      <c r="M303" s="47"/>
      <c r="N303" s="47"/>
      <c r="O303" s="37"/>
      <c r="P303" s="38"/>
      <c r="Q303" s="42" t="str">
        <f aca="false">IF(P303="","",LEN(P303))</f>
        <v/>
      </c>
      <c r="R303" s="47"/>
      <c r="S303" s="37"/>
      <c r="T303" s="38"/>
      <c r="U303" s="43" t="str">
        <f aca="false">IF(OR(R303&lt;&gt;"Yes",A303=""),"",A303+4)</f>
        <v/>
      </c>
      <c r="V303" s="47"/>
      <c r="W303" s="38"/>
      <c r="X303" s="38"/>
      <c r="Y303" s="44"/>
      <c r="Z303" s="44"/>
      <c r="AA303" s="45" t="str">
        <f aca="false">IF(AND($Y303="",$Z303=""),"",ROUND(IFERROR(VALUE(LEFT($Y303,1)),0)*12+IFERROR(VALUE(LEFT($Z303,1)),0)*8,0))</f>
        <v/>
      </c>
      <c r="AB303" s="45" t="str">
        <f aca="false">IF($AA303="","",IF($AA303&gt;=80,"A - call first",IF($AA303&gt;=60,"B - worth pursuing",IF($AA303&gt;=40,"C - nurture","D - do not spend time here"))))</f>
        <v/>
      </c>
      <c r="AC303" s="46" t="str">
        <f aca="false">IF($C303="","",IF($S303="Converted","7 Certification / Enterprise opportunity",IF($S303="Application Started","7 Certification / Enterprise opportunity",IF($S303="Meeting Booked","6 Meeting / Application",IF(OR($S303="Interested",$S303="Info Requested"),"5 Interested",IF(OR($S303="Declined",$S303="Not Relevant"),"0 Closed - no",IF($R303="Yes","4 Contacted",IF($N303="Yes","2 Engaged",IF($M303="Yes","1 Awareness",IF($AA303&gt;=60,"3 Qualified","1 Awareness"))))))))))</f>
        <v/>
      </c>
    </row>
    <row r="304" customFormat="false" ht="30" hidden="false" customHeight="true" outlineLevel="0" collapsed="false">
      <c r="A304" s="36"/>
      <c r="B304" s="37"/>
      <c r="C304" s="37"/>
      <c r="D304" s="37"/>
      <c r="E304" s="37"/>
      <c r="F304" s="37"/>
      <c r="G304" s="37"/>
      <c r="H304" s="37"/>
      <c r="I304" s="37"/>
      <c r="J304" s="47"/>
      <c r="K304" s="41" t="str">
        <f aca="false">IF(J304="","",IF(J304&gt;=8,"Yes","Check"))</f>
        <v/>
      </c>
      <c r="L304" s="38"/>
      <c r="M304" s="47"/>
      <c r="N304" s="47"/>
      <c r="O304" s="37"/>
      <c r="P304" s="38"/>
      <c r="Q304" s="42" t="str">
        <f aca="false">IF(P304="","",LEN(P304))</f>
        <v/>
      </c>
      <c r="R304" s="47"/>
      <c r="S304" s="37"/>
      <c r="T304" s="38"/>
      <c r="U304" s="43" t="str">
        <f aca="false">IF(OR(R304&lt;&gt;"Yes",A304=""),"",A304+4)</f>
        <v/>
      </c>
      <c r="V304" s="47"/>
      <c r="W304" s="38"/>
      <c r="X304" s="38"/>
      <c r="Y304" s="44"/>
      <c r="Z304" s="44"/>
      <c r="AA304" s="45" t="str">
        <f aca="false">IF(AND($Y304="",$Z304=""),"",ROUND(IFERROR(VALUE(LEFT($Y304,1)),0)*12+IFERROR(VALUE(LEFT($Z304,1)),0)*8,0))</f>
        <v/>
      </c>
      <c r="AB304" s="45" t="str">
        <f aca="false">IF($AA304="","",IF($AA304&gt;=80,"A - call first",IF($AA304&gt;=60,"B - worth pursuing",IF($AA304&gt;=40,"C - nurture","D - do not spend time here"))))</f>
        <v/>
      </c>
      <c r="AC304" s="46" t="str">
        <f aca="false">IF($C304="","",IF($S304="Converted","7 Certification / Enterprise opportunity",IF($S304="Application Started","7 Certification / Enterprise opportunity",IF($S304="Meeting Booked","6 Meeting / Application",IF(OR($S304="Interested",$S304="Info Requested"),"5 Interested",IF(OR($S304="Declined",$S304="Not Relevant"),"0 Closed - no",IF($R304="Yes","4 Contacted",IF($N304="Yes","2 Engaged",IF($M304="Yes","1 Awareness",IF($AA304&gt;=60,"3 Qualified","1 Awareness"))))))))))</f>
        <v/>
      </c>
    </row>
    <row r="305" customFormat="false" ht="30" hidden="false" customHeight="true" outlineLevel="0" collapsed="false">
      <c r="A305" s="36"/>
      <c r="B305" s="37"/>
      <c r="C305" s="37"/>
      <c r="D305" s="37"/>
      <c r="E305" s="37"/>
      <c r="F305" s="37"/>
      <c r="G305" s="37"/>
      <c r="H305" s="37"/>
      <c r="I305" s="37"/>
      <c r="J305" s="47"/>
      <c r="K305" s="41" t="str">
        <f aca="false">IF(J305="","",IF(J305&gt;=8,"Yes","Check"))</f>
        <v/>
      </c>
      <c r="L305" s="38"/>
      <c r="M305" s="47"/>
      <c r="N305" s="47"/>
      <c r="O305" s="37"/>
      <c r="P305" s="38"/>
      <c r="Q305" s="42" t="str">
        <f aca="false">IF(P305="","",LEN(P305))</f>
        <v/>
      </c>
      <c r="R305" s="47"/>
      <c r="S305" s="37"/>
      <c r="T305" s="38"/>
      <c r="U305" s="43" t="str">
        <f aca="false">IF(OR(R305&lt;&gt;"Yes",A305=""),"",A305+4)</f>
        <v/>
      </c>
      <c r="V305" s="47"/>
      <c r="W305" s="38"/>
      <c r="X305" s="38"/>
      <c r="Y305" s="44"/>
      <c r="Z305" s="44"/>
      <c r="AA305" s="45" t="str">
        <f aca="false">IF(AND($Y305="",$Z305=""),"",ROUND(IFERROR(VALUE(LEFT($Y305,1)),0)*12+IFERROR(VALUE(LEFT($Z305,1)),0)*8,0))</f>
        <v/>
      </c>
      <c r="AB305" s="45" t="str">
        <f aca="false">IF($AA305="","",IF($AA305&gt;=80,"A - call first",IF($AA305&gt;=60,"B - worth pursuing",IF($AA305&gt;=40,"C - nurture","D - do not spend time here"))))</f>
        <v/>
      </c>
      <c r="AC305" s="46" t="str">
        <f aca="false">IF($C305="","",IF($S305="Converted","7 Certification / Enterprise opportunity",IF($S305="Application Started","7 Certification / Enterprise opportunity",IF($S305="Meeting Booked","6 Meeting / Application",IF(OR($S305="Interested",$S305="Info Requested"),"5 Interested",IF(OR($S305="Declined",$S305="Not Relevant"),"0 Closed - no",IF($R305="Yes","4 Contacted",IF($N305="Yes","2 Engaged",IF($M305="Yes","1 Awareness",IF($AA305&gt;=60,"3 Qualified","1 Awareness"))))))))))</f>
        <v/>
      </c>
    </row>
    <row r="306" customFormat="false" ht="30" hidden="false" customHeight="true" outlineLevel="0" collapsed="false">
      <c r="A306" s="36"/>
      <c r="B306" s="37"/>
      <c r="C306" s="37"/>
      <c r="D306" s="37"/>
      <c r="E306" s="37"/>
      <c r="F306" s="37"/>
      <c r="G306" s="37"/>
      <c r="H306" s="37"/>
      <c r="I306" s="37"/>
      <c r="J306" s="47"/>
      <c r="K306" s="41" t="str">
        <f aca="false">IF(J306="","",IF(J306&gt;=8,"Yes","Check"))</f>
        <v/>
      </c>
      <c r="L306" s="38"/>
      <c r="M306" s="47"/>
      <c r="N306" s="47"/>
      <c r="O306" s="37"/>
      <c r="P306" s="38"/>
      <c r="Q306" s="42" t="str">
        <f aca="false">IF(P306="","",LEN(P306))</f>
        <v/>
      </c>
      <c r="R306" s="47"/>
      <c r="S306" s="37"/>
      <c r="T306" s="38"/>
      <c r="U306" s="43" t="str">
        <f aca="false">IF(OR(R306&lt;&gt;"Yes",A306=""),"",A306+4)</f>
        <v/>
      </c>
      <c r="V306" s="47"/>
      <c r="W306" s="38"/>
      <c r="X306" s="38"/>
      <c r="Y306" s="44"/>
      <c r="Z306" s="44"/>
      <c r="AA306" s="45" t="str">
        <f aca="false">IF(AND($Y306="",$Z306=""),"",ROUND(IFERROR(VALUE(LEFT($Y306,1)),0)*12+IFERROR(VALUE(LEFT($Z306,1)),0)*8,0))</f>
        <v/>
      </c>
      <c r="AB306" s="45" t="str">
        <f aca="false">IF($AA306="","",IF($AA306&gt;=80,"A - call first",IF($AA306&gt;=60,"B - worth pursuing",IF($AA306&gt;=40,"C - nurture","D - do not spend time here"))))</f>
        <v/>
      </c>
      <c r="AC306" s="46" t="str">
        <f aca="false">IF($C306="","",IF($S306="Converted","7 Certification / Enterprise opportunity",IF($S306="Application Started","7 Certification / Enterprise opportunity",IF($S306="Meeting Booked","6 Meeting / Application",IF(OR($S306="Interested",$S306="Info Requested"),"5 Interested",IF(OR($S306="Declined",$S306="Not Relevant"),"0 Closed - no",IF($R306="Yes","4 Contacted",IF($N306="Yes","2 Engaged",IF($M306="Yes","1 Awareness",IF($AA306&gt;=60,"3 Qualified","1 Awareness"))))))))))</f>
        <v/>
      </c>
    </row>
    <row r="307" customFormat="false" ht="30" hidden="false" customHeight="true" outlineLevel="0" collapsed="false">
      <c r="A307" s="36"/>
      <c r="B307" s="37"/>
      <c r="C307" s="37"/>
      <c r="D307" s="37"/>
      <c r="E307" s="37"/>
      <c r="F307" s="37"/>
      <c r="G307" s="37"/>
      <c r="H307" s="37"/>
      <c r="I307" s="37"/>
      <c r="J307" s="47"/>
      <c r="K307" s="41" t="str">
        <f aca="false">IF(J307="","",IF(J307&gt;=8,"Yes","Check"))</f>
        <v/>
      </c>
      <c r="L307" s="38"/>
      <c r="M307" s="47"/>
      <c r="N307" s="47"/>
      <c r="O307" s="37"/>
      <c r="P307" s="38"/>
      <c r="Q307" s="42" t="str">
        <f aca="false">IF(P307="","",LEN(P307))</f>
        <v/>
      </c>
      <c r="R307" s="47"/>
      <c r="S307" s="37"/>
      <c r="T307" s="38"/>
      <c r="U307" s="43" t="str">
        <f aca="false">IF(OR(R307&lt;&gt;"Yes",A307=""),"",A307+4)</f>
        <v/>
      </c>
      <c r="V307" s="47"/>
      <c r="W307" s="38"/>
      <c r="X307" s="38"/>
      <c r="Y307" s="44"/>
      <c r="Z307" s="44"/>
      <c r="AA307" s="45" t="str">
        <f aca="false">IF(AND($Y307="",$Z307=""),"",ROUND(IFERROR(VALUE(LEFT($Y307,1)),0)*12+IFERROR(VALUE(LEFT($Z307,1)),0)*8,0))</f>
        <v/>
      </c>
      <c r="AB307" s="45" t="str">
        <f aca="false">IF($AA307="","",IF($AA307&gt;=80,"A - call first",IF($AA307&gt;=60,"B - worth pursuing",IF($AA307&gt;=40,"C - nurture","D - do not spend time here"))))</f>
        <v/>
      </c>
      <c r="AC307" s="46" t="str">
        <f aca="false">IF($C307="","",IF($S307="Converted","7 Certification / Enterprise opportunity",IF($S307="Application Started","7 Certification / Enterprise opportunity",IF($S307="Meeting Booked","6 Meeting / Application",IF(OR($S307="Interested",$S307="Info Requested"),"5 Interested",IF(OR($S307="Declined",$S307="Not Relevant"),"0 Closed - no",IF($R307="Yes","4 Contacted",IF($N307="Yes","2 Engaged",IF($M307="Yes","1 Awareness",IF($AA307&gt;=60,"3 Qualified","1 Awareness"))))))))))</f>
        <v/>
      </c>
    </row>
    <row r="308" customFormat="false" ht="30" hidden="false" customHeight="true" outlineLevel="0" collapsed="false">
      <c r="A308" s="36"/>
      <c r="B308" s="37"/>
      <c r="C308" s="37"/>
      <c r="D308" s="37"/>
      <c r="E308" s="37"/>
      <c r="F308" s="37"/>
      <c r="G308" s="37"/>
      <c r="H308" s="37"/>
      <c r="I308" s="37"/>
      <c r="J308" s="47"/>
      <c r="K308" s="41" t="str">
        <f aca="false">IF(J308="","",IF(J308&gt;=8,"Yes","Check"))</f>
        <v/>
      </c>
      <c r="L308" s="38"/>
      <c r="M308" s="47"/>
      <c r="N308" s="47"/>
      <c r="O308" s="37"/>
      <c r="P308" s="38"/>
      <c r="Q308" s="42" t="str">
        <f aca="false">IF(P308="","",LEN(P308))</f>
        <v/>
      </c>
      <c r="R308" s="47"/>
      <c r="S308" s="37"/>
      <c r="T308" s="38"/>
      <c r="U308" s="43" t="str">
        <f aca="false">IF(OR(R308&lt;&gt;"Yes",A308=""),"",A308+4)</f>
        <v/>
      </c>
      <c r="V308" s="47"/>
      <c r="W308" s="38"/>
      <c r="X308" s="38"/>
      <c r="Y308" s="44"/>
      <c r="Z308" s="44"/>
      <c r="AA308" s="45" t="str">
        <f aca="false">IF(AND($Y308="",$Z308=""),"",ROUND(IFERROR(VALUE(LEFT($Y308,1)),0)*12+IFERROR(VALUE(LEFT($Z308,1)),0)*8,0))</f>
        <v/>
      </c>
      <c r="AB308" s="45" t="str">
        <f aca="false">IF($AA308="","",IF($AA308&gt;=80,"A - call first",IF($AA308&gt;=60,"B - worth pursuing",IF($AA308&gt;=40,"C - nurture","D - do not spend time here"))))</f>
        <v/>
      </c>
      <c r="AC308" s="46" t="str">
        <f aca="false">IF($C308="","",IF($S308="Converted","7 Certification / Enterprise opportunity",IF($S308="Application Started","7 Certification / Enterprise opportunity",IF($S308="Meeting Booked","6 Meeting / Application",IF(OR($S308="Interested",$S308="Info Requested"),"5 Interested",IF(OR($S308="Declined",$S308="Not Relevant"),"0 Closed - no",IF($R308="Yes","4 Contacted",IF($N308="Yes","2 Engaged",IF($M308="Yes","1 Awareness",IF($AA308&gt;=60,"3 Qualified","1 Awareness"))))))))))</f>
        <v/>
      </c>
    </row>
    <row r="309" customFormat="false" ht="30" hidden="false" customHeight="true" outlineLevel="0" collapsed="false">
      <c r="A309" s="36"/>
      <c r="B309" s="37"/>
      <c r="C309" s="37"/>
      <c r="D309" s="37"/>
      <c r="E309" s="37"/>
      <c r="F309" s="37"/>
      <c r="G309" s="37"/>
      <c r="H309" s="37"/>
      <c r="I309" s="37"/>
      <c r="J309" s="47"/>
      <c r="K309" s="41" t="str">
        <f aca="false">IF(J309="","",IF(J309&gt;=8,"Yes","Check"))</f>
        <v/>
      </c>
      <c r="L309" s="38"/>
      <c r="M309" s="47"/>
      <c r="N309" s="47"/>
      <c r="O309" s="37"/>
      <c r="P309" s="38"/>
      <c r="Q309" s="42" t="str">
        <f aca="false">IF(P309="","",LEN(P309))</f>
        <v/>
      </c>
      <c r="R309" s="47"/>
      <c r="S309" s="37"/>
      <c r="T309" s="38"/>
      <c r="U309" s="43" t="str">
        <f aca="false">IF(OR(R309&lt;&gt;"Yes",A309=""),"",A309+4)</f>
        <v/>
      </c>
      <c r="V309" s="47"/>
      <c r="W309" s="38"/>
      <c r="X309" s="38"/>
      <c r="Y309" s="44"/>
      <c r="Z309" s="44"/>
      <c r="AA309" s="45" t="str">
        <f aca="false">IF(AND($Y309="",$Z309=""),"",ROUND(IFERROR(VALUE(LEFT($Y309,1)),0)*12+IFERROR(VALUE(LEFT($Z309,1)),0)*8,0))</f>
        <v/>
      </c>
      <c r="AB309" s="45" t="str">
        <f aca="false">IF($AA309="","",IF($AA309&gt;=80,"A - call first",IF($AA309&gt;=60,"B - worth pursuing",IF($AA309&gt;=40,"C - nurture","D - do not spend time here"))))</f>
        <v/>
      </c>
      <c r="AC309" s="46" t="str">
        <f aca="false">IF($C309="","",IF($S309="Converted","7 Certification / Enterprise opportunity",IF($S309="Application Started","7 Certification / Enterprise opportunity",IF($S309="Meeting Booked","6 Meeting / Application",IF(OR($S309="Interested",$S309="Info Requested"),"5 Interested",IF(OR($S309="Declined",$S309="Not Relevant"),"0 Closed - no",IF($R309="Yes","4 Contacted",IF($N309="Yes","2 Engaged",IF($M309="Yes","1 Awareness",IF($AA309&gt;=60,"3 Qualified","1 Awareness"))))))))))</f>
        <v/>
      </c>
    </row>
    <row r="310" customFormat="false" ht="30" hidden="false" customHeight="true" outlineLevel="0" collapsed="false">
      <c r="A310" s="36"/>
      <c r="B310" s="37"/>
      <c r="C310" s="37"/>
      <c r="D310" s="37"/>
      <c r="E310" s="37"/>
      <c r="F310" s="37"/>
      <c r="G310" s="37"/>
      <c r="H310" s="37"/>
      <c r="I310" s="37"/>
      <c r="J310" s="47"/>
      <c r="K310" s="41" t="str">
        <f aca="false">IF(J310="","",IF(J310&gt;=8,"Yes","Check"))</f>
        <v/>
      </c>
      <c r="L310" s="38"/>
      <c r="M310" s="47"/>
      <c r="N310" s="47"/>
      <c r="O310" s="37"/>
      <c r="P310" s="38"/>
      <c r="Q310" s="42" t="str">
        <f aca="false">IF(P310="","",LEN(P310))</f>
        <v/>
      </c>
      <c r="R310" s="47"/>
      <c r="S310" s="37"/>
      <c r="T310" s="38"/>
      <c r="U310" s="43" t="str">
        <f aca="false">IF(OR(R310&lt;&gt;"Yes",A310=""),"",A310+4)</f>
        <v/>
      </c>
      <c r="V310" s="47"/>
      <c r="W310" s="38"/>
      <c r="X310" s="38"/>
      <c r="Y310" s="44"/>
      <c r="Z310" s="44"/>
      <c r="AA310" s="45" t="str">
        <f aca="false">IF(AND($Y310="",$Z310=""),"",ROUND(IFERROR(VALUE(LEFT($Y310,1)),0)*12+IFERROR(VALUE(LEFT($Z310,1)),0)*8,0))</f>
        <v/>
      </c>
      <c r="AB310" s="45" t="str">
        <f aca="false">IF($AA310="","",IF($AA310&gt;=80,"A - call first",IF($AA310&gt;=60,"B - worth pursuing",IF($AA310&gt;=40,"C - nurture","D - do not spend time here"))))</f>
        <v/>
      </c>
      <c r="AC310" s="46" t="str">
        <f aca="false">IF($C310="","",IF($S310="Converted","7 Certification / Enterprise opportunity",IF($S310="Application Started","7 Certification / Enterprise opportunity",IF($S310="Meeting Booked","6 Meeting / Application",IF(OR($S310="Interested",$S310="Info Requested"),"5 Interested",IF(OR($S310="Declined",$S310="Not Relevant"),"0 Closed - no",IF($R310="Yes","4 Contacted",IF($N310="Yes","2 Engaged",IF($M310="Yes","1 Awareness",IF($AA310&gt;=60,"3 Qualified","1 Awareness"))))))))))</f>
        <v/>
      </c>
    </row>
    <row r="311" customFormat="false" ht="30" hidden="false" customHeight="true" outlineLevel="0" collapsed="false">
      <c r="A311" s="36"/>
      <c r="B311" s="37"/>
      <c r="C311" s="37"/>
      <c r="D311" s="37"/>
      <c r="E311" s="37"/>
      <c r="F311" s="37"/>
      <c r="G311" s="37"/>
      <c r="H311" s="37"/>
      <c r="I311" s="37"/>
      <c r="J311" s="47"/>
      <c r="K311" s="41" t="str">
        <f aca="false">IF(J311="","",IF(J311&gt;=8,"Yes","Check"))</f>
        <v/>
      </c>
      <c r="L311" s="38"/>
      <c r="M311" s="47"/>
      <c r="N311" s="47"/>
      <c r="O311" s="37"/>
      <c r="P311" s="38"/>
      <c r="Q311" s="42" t="str">
        <f aca="false">IF(P311="","",LEN(P311))</f>
        <v/>
      </c>
      <c r="R311" s="47"/>
      <c r="S311" s="37"/>
      <c r="T311" s="38"/>
      <c r="U311" s="43" t="str">
        <f aca="false">IF(OR(R311&lt;&gt;"Yes",A311=""),"",A311+4)</f>
        <v/>
      </c>
      <c r="V311" s="47"/>
      <c r="W311" s="38"/>
      <c r="X311" s="38"/>
      <c r="Y311" s="44"/>
      <c r="Z311" s="44"/>
      <c r="AA311" s="45" t="str">
        <f aca="false">IF(AND($Y311="",$Z311=""),"",ROUND(IFERROR(VALUE(LEFT($Y311,1)),0)*12+IFERROR(VALUE(LEFT($Z311,1)),0)*8,0))</f>
        <v/>
      </c>
      <c r="AB311" s="45" t="str">
        <f aca="false">IF($AA311="","",IF($AA311&gt;=80,"A - call first",IF($AA311&gt;=60,"B - worth pursuing",IF($AA311&gt;=40,"C - nurture","D - do not spend time here"))))</f>
        <v/>
      </c>
      <c r="AC311" s="46" t="str">
        <f aca="false">IF($C311="","",IF($S311="Converted","7 Certification / Enterprise opportunity",IF($S311="Application Started","7 Certification / Enterprise opportunity",IF($S311="Meeting Booked","6 Meeting / Application",IF(OR($S311="Interested",$S311="Info Requested"),"5 Interested",IF(OR($S311="Declined",$S311="Not Relevant"),"0 Closed - no",IF($R311="Yes","4 Contacted",IF($N311="Yes","2 Engaged",IF($M311="Yes","1 Awareness",IF($AA311&gt;=60,"3 Qualified","1 Awareness"))))))))))</f>
        <v/>
      </c>
    </row>
    <row r="312" customFormat="false" ht="30" hidden="false" customHeight="true" outlineLevel="0" collapsed="false">
      <c r="A312" s="36"/>
      <c r="B312" s="37"/>
      <c r="C312" s="37"/>
      <c r="D312" s="37"/>
      <c r="E312" s="37"/>
      <c r="F312" s="37"/>
      <c r="G312" s="37"/>
      <c r="H312" s="37"/>
      <c r="I312" s="37"/>
      <c r="J312" s="47"/>
      <c r="K312" s="41" t="str">
        <f aca="false">IF(J312="","",IF(J312&gt;=8,"Yes","Check"))</f>
        <v/>
      </c>
      <c r="L312" s="38"/>
      <c r="M312" s="47"/>
      <c r="N312" s="47"/>
      <c r="O312" s="37"/>
      <c r="P312" s="38"/>
      <c r="Q312" s="42" t="str">
        <f aca="false">IF(P312="","",LEN(P312))</f>
        <v/>
      </c>
      <c r="R312" s="47"/>
      <c r="S312" s="37"/>
      <c r="T312" s="38"/>
      <c r="U312" s="43" t="str">
        <f aca="false">IF(OR(R312&lt;&gt;"Yes",A312=""),"",A312+4)</f>
        <v/>
      </c>
      <c r="V312" s="47"/>
      <c r="W312" s="38"/>
      <c r="X312" s="38"/>
      <c r="Y312" s="44"/>
      <c r="Z312" s="44"/>
      <c r="AA312" s="45" t="str">
        <f aca="false">IF(AND($Y312="",$Z312=""),"",ROUND(IFERROR(VALUE(LEFT($Y312,1)),0)*12+IFERROR(VALUE(LEFT($Z312,1)),0)*8,0))</f>
        <v/>
      </c>
      <c r="AB312" s="45" t="str">
        <f aca="false">IF($AA312="","",IF($AA312&gt;=80,"A - call first",IF($AA312&gt;=60,"B - worth pursuing",IF($AA312&gt;=40,"C - nurture","D - do not spend time here"))))</f>
        <v/>
      </c>
      <c r="AC312" s="46" t="str">
        <f aca="false">IF($C312="","",IF($S312="Converted","7 Certification / Enterprise opportunity",IF($S312="Application Started","7 Certification / Enterprise opportunity",IF($S312="Meeting Booked","6 Meeting / Application",IF(OR($S312="Interested",$S312="Info Requested"),"5 Interested",IF(OR($S312="Declined",$S312="Not Relevant"),"0 Closed - no",IF($R312="Yes","4 Contacted",IF($N312="Yes","2 Engaged",IF($M312="Yes","1 Awareness",IF($AA312&gt;=60,"3 Qualified","1 Awareness"))))))))))</f>
        <v/>
      </c>
    </row>
    <row r="313" customFormat="false" ht="30" hidden="false" customHeight="true" outlineLevel="0" collapsed="false">
      <c r="A313" s="36"/>
      <c r="B313" s="37"/>
      <c r="C313" s="37"/>
      <c r="D313" s="37"/>
      <c r="E313" s="37"/>
      <c r="F313" s="37"/>
      <c r="G313" s="37"/>
      <c r="H313" s="37"/>
      <c r="I313" s="37"/>
      <c r="J313" s="47"/>
      <c r="K313" s="41" t="str">
        <f aca="false">IF(J313="","",IF(J313&gt;=8,"Yes","Check"))</f>
        <v/>
      </c>
      <c r="L313" s="38"/>
      <c r="M313" s="47"/>
      <c r="N313" s="47"/>
      <c r="O313" s="37"/>
      <c r="P313" s="38"/>
      <c r="Q313" s="42" t="str">
        <f aca="false">IF(P313="","",LEN(P313))</f>
        <v/>
      </c>
      <c r="R313" s="47"/>
      <c r="S313" s="37"/>
      <c r="T313" s="38"/>
      <c r="U313" s="43" t="str">
        <f aca="false">IF(OR(R313&lt;&gt;"Yes",A313=""),"",A313+4)</f>
        <v/>
      </c>
      <c r="V313" s="47"/>
      <c r="W313" s="38"/>
      <c r="X313" s="38"/>
      <c r="Y313" s="44"/>
      <c r="Z313" s="44"/>
      <c r="AA313" s="45" t="str">
        <f aca="false">IF(AND($Y313="",$Z313=""),"",ROUND(IFERROR(VALUE(LEFT($Y313,1)),0)*12+IFERROR(VALUE(LEFT($Z313,1)),0)*8,0))</f>
        <v/>
      </c>
      <c r="AB313" s="45" t="str">
        <f aca="false">IF($AA313="","",IF($AA313&gt;=80,"A - call first",IF($AA313&gt;=60,"B - worth pursuing",IF($AA313&gt;=40,"C - nurture","D - do not spend time here"))))</f>
        <v/>
      </c>
      <c r="AC313" s="46" t="str">
        <f aca="false">IF($C313="","",IF($S313="Converted","7 Certification / Enterprise opportunity",IF($S313="Application Started","7 Certification / Enterprise opportunity",IF($S313="Meeting Booked","6 Meeting / Application",IF(OR($S313="Interested",$S313="Info Requested"),"5 Interested",IF(OR($S313="Declined",$S313="Not Relevant"),"0 Closed - no",IF($R313="Yes","4 Contacted",IF($N313="Yes","2 Engaged",IF($M313="Yes","1 Awareness",IF($AA313&gt;=60,"3 Qualified","1 Awareness"))))))))))</f>
        <v/>
      </c>
    </row>
    <row r="314" customFormat="false" ht="30" hidden="false" customHeight="true" outlineLevel="0" collapsed="false">
      <c r="A314" s="36"/>
      <c r="B314" s="37"/>
      <c r="C314" s="37"/>
      <c r="D314" s="37"/>
      <c r="E314" s="37"/>
      <c r="F314" s="37"/>
      <c r="G314" s="37"/>
      <c r="H314" s="37"/>
      <c r="I314" s="37"/>
      <c r="J314" s="47"/>
      <c r="K314" s="41" t="str">
        <f aca="false">IF(J314="","",IF(J314&gt;=8,"Yes","Check"))</f>
        <v/>
      </c>
      <c r="L314" s="38"/>
      <c r="M314" s="47"/>
      <c r="N314" s="47"/>
      <c r="O314" s="37"/>
      <c r="P314" s="38"/>
      <c r="Q314" s="42" t="str">
        <f aca="false">IF(P314="","",LEN(P314))</f>
        <v/>
      </c>
      <c r="R314" s="47"/>
      <c r="S314" s="37"/>
      <c r="T314" s="38"/>
      <c r="U314" s="43" t="str">
        <f aca="false">IF(OR(R314&lt;&gt;"Yes",A314=""),"",A314+4)</f>
        <v/>
      </c>
      <c r="V314" s="47"/>
      <c r="W314" s="38"/>
      <c r="X314" s="38"/>
      <c r="Y314" s="44"/>
      <c r="Z314" s="44"/>
      <c r="AA314" s="45" t="str">
        <f aca="false">IF(AND($Y314="",$Z314=""),"",ROUND(IFERROR(VALUE(LEFT($Y314,1)),0)*12+IFERROR(VALUE(LEFT($Z314,1)),0)*8,0))</f>
        <v/>
      </c>
      <c r="AB314" s="45" t="str">
        <f aca="false">IF($AA314="","",IF($AA314&gt;=80,"A - call first",IF($AA314&gt;=60,"B - worth pursuing",IF($AA314&gt;=40,"C - nurture","D - do not spend time here"))))</f>
        <v/>
      </c>
      <c r="AC314" s="46" t="str">
        <f aca="false">IF($C314="","",IF($S314="Converted","7 Certification / Enterprise opportunity",IF($S314="Application Started","7 Certification / Enterprise opportunity",IF($S314="Meeting Booked","6 Meeting / Application",IF(OR($S314="Interested",$S314="Info Requested"),"5 Interested",IF(OR($S314="Declined",$S314="Not Relevant"),"0 Closed - no",IF($R314="Yes","4 Contacted",IF($N314="Yes","2 Engaged",IF($M314="Yes","1 Awareness",IF($AA314&gt;=60,"3 Qualified","1 Awareness"))))))))))</f>
        <v/>
      </c>
    </row>
    <row r="315" customFormat="false" ht="30" hidden="false" customHeight="true" outlineLevel="0" collapsed="false">
      <c r="A315" s="36"/>
      <c r="B315" s="37"/>
      <c r="C315" s="37"/>
      <c r="D315" s="37"/>
      <c r="E315" s="37"/>
      <c r="F315" s="37"/>
      <c r="G315" s="37"/>
      <c r="H315" s="37"/>
      <c r="I315" s="37"/>
      <c r="J315" s="47"/>
      <c r="K315" s="41" t="str">
        <f aca="false">IF(J315="","",IF(J315&gt;=8,"Yes","Check"))</f>
        <v/>
      </c>
      <c r="L315" s="38"/>
      <c r="M315" s="47"/>
      <c r="N315" s="47"/>
      <c r="O315" s="37"/>
      <c r="P315" s="38"/>
      <c r="Q315" s="42" t="str">
        <f aca="false">IF(P315="","",LEN(P315))</f>
        <v/>
      </c>
      <c r="R315" s="47"/>
      <c r="S315" s="37"/>
      <c r="T315" s="38"/>
      <c r="U315" s="43" t="str">
        <f aca="false">IF(OR(R315&lt;&gt;"Yes",A315=""),"",A315+4)</f>
        <v/>
      </c>
      <c r="V315" s="47"/>
      <c r="W315" s="38"/>
      <c r="X315" s="38"/>
      <c r="Y315" s="44"/>
      <c r="Z315" s="44"/>
      <c r="AA315" s="45" t="str">
        <f aca="false">IF(AND($Y315="",$Z315=""),"",ROUND(IFERROR(VALUE(LEFT($Y315,1)),0)*12+IFERROR(VALUE(LEFT($Z315,1)),0)*8,0))</f>
        <v/>
      </c>
      <c r="AB315" s="45" t="str">
        <f aca="false">IF($AA315="","",IF($AA315&gt;=80,"A - call first",IF($AA315&gt;=60,"B - worth pursuing",IF($AA315&gt;=40,"C - nurture","D - do not spend time here"))))</f>
        <v/>
      </c>
      <c r="AC315" s="46" t="str">
        <f aca="false">IF($C315="","",IF($S315="Converted","7 Certification / Enterprise opportunity",IF($S315="Application Started","7 Certification / Enterprise opportunity",IF($S315="Meeting Booked","6 Meeting / Application",IF(OR($S315="Interested",$S315="Info Requested"),"5 Interested",IF(OR($S315="Declined",$S315="Not Relevant"),"0 Closed - no",IF($R315="Yes","4 Contacted",IF($N315="Yes","2 Engaged",IF($M315="Yes","1 Awareness",IF($AA315&gt;=60,"3 Qualified","1 Awareness"))))))))))</f>
        <v/>
      </c>
    </row>
    <row r="316" customFormat="false" ht="30" hidden="false" customHeight="true" outlineLevel="0" collapsed="false">
      <c r="A316" s="36"/>
      <c r="B316" s="37"/>
      <c r="C316" s="37"/>
      <c r="D316" s="37"/>
      <c r="E316" s="37"/>
      <c r="F316" s="37"/>
      <c r="G316" s="37"/>
      <c r="H316" s="37"/>
      <c r="I316" s="37"/>
      <c r="J316" s="47"/>
      <c r="K316" s="41" t="str">
        <f aca="false">IF(J316="","",IF(J316&gt;=8,"Yes","Check"))</f>
        <v/>
      </c>
      <c r="L316" s="38"/>
      <c r="M316" s="47"/>
      <c r="N316" s="47"/>
      <c r="O316" s="37"/>
      <c r="P316" s="38"/>
      <c r="Q316" s="42" t="str">
        <f aca="false">IF(P316="","",LEN(P316))</f>
        <v/>
      </c>
      <c r="R316" s="47"/>
      <c r="S316" s="37"/>
      <c r="T316" s="38"/>
      <c r="U316" s="43" t="str">
        <f aca="false">IF(OR(R316&lt;&gt;"Yes",A316=""),"",A316+4)</f>
        <v/>
      </c>
      <c r="V316" s="47"/>
      <c r="W316" s="38"/>
      <c r="X316" s="38"/>
      <c r="Y316" s="44"/>
      <c r="Z316" s="44"/>
      <c r="AA316" s="45" t="str">
        <f aca="false">IF(AND($Y316="",$Z316=""),"",ROUND(IFERROR(VALUE(LEFT($Y316,1)),0)*12+IFERROR(VALUE(LEFT($Z316,1)),0)*8,0))</f>
        <v/>
      </c>
      <c r="AB316" s="45" t="str">
        <f aca="false">IF($AA316="","",IF($AA316&gt;=80,"A - call first",IF($AA316&gt;=60,"B - worth pursuing",IF($AA316&gt;=40,"C - nurture","D - do not spend time here"))))</f>
        <v/>
      </c>
      <c r="AC316" s="46" t="str">
        <f aca="false">IF($C316="","",IF($S316="Converted","7 Certification / Enterprise opportunity",IF($S316="Application Started","7 Certification / Enterprise opportunity",IF($S316="Meeting Booked","6 Meeting / Application",IF(OR($S316="Interested",$S316="Info Requested"),"5 Interested",IF(OR($S316="Declined",$S316="Not Relevant"),"0 Closed - no",IF($R316="Yes","4 Contacted",IF($N316="Yes","2 Engaged",IF($M316="Yes","1 Awareness",IF($AA316&gt;=60,"3 Qualified","1 Awareness"))))))))))</f>
        <v/>
      </c>
    </row>
    <row r="317" customFormat="false" ht="30" hidden="false" customHeight="true" outlineLevel="0" collapsed="false">
      <c r="A317" s="36"/>
      <c r="B317" s="37"/>
      <c r="C317" s="37"/>
      <c r="D317" s="37"/>
      <c r="E317" s="37"/>
      <c r="F317" s="37"/>
      <c r="G317" s="37"/>
      <c r="H317" s="37"/>
      <c r="I317" s="37"/>
      <c r="J317" s="47"/>
      <c r="K317" s="41" t="str">
        <f aca="false">IF(J317="","",IF(J317&gt;=8,"Yes","Check"))</f>
        <v/>
      </c>
      <c r="L317" s="38"/>
      <c r="M317" s="47"/>
      <c r="N317" s="47"/>
      <c r="O317" s="37"/>
      <c r="P317" s="38"/>
      <c r="Q317" s="42" t="str">
        <f aca="false">IF(P317="","",LEN(P317))</f>
        <v/>
      </c>
      <c r="R317" s="47"/>
      <c r="S317" s="37"/>
      <c r="T317" s="38"/>
      <c r="U317" s="43" t="str">
        <f aca="false">IF(OR(R317&lt;&gt;"Yes",A317=""),"",A317+4)</f>
        <v/>
      </c>
      <c r="V317" s="47"/>
      <c r="W317" s="38"/>
      <c r="X317" s="38"/>
      <c r="Y317" s="44"/>
      <c r="Z317" s="44"/>
      <c r="AA317" s="45" t="str">
        <f aca="false">IF(AND($Y317="",$Z317=""),"",ROUND(IFERROR(VALUE(LEFT($Y317,1)),0)*12+IFERROR(VALUE(LEFT($Z317,1)),0)*8,0))</f>
        <v/>
      </c>
      <c r="AB317" s="45" t="str">
        <f aca="false">IF($AA317="","",IF($AA317&gt;=80,"A - call first",IF($AA317&gt;=60,"B - worth pursuing",IF($AA317&gt;=40,"C - nurture","D - do not spend time here"))))</f>
        <v/>
      </c>
      <c r="AC317" s="46" t="str">
        <f aca="false">IF($C317="","",IF($S317="Converted","7 Certification / Enterprise opportunity",IF($S317="Application Started","7 Certification / Enterprise opportunity",IF($S317="Meeting Booked","6 Meeting / Application",IF(OR($S317="Interested",$S317="Info Requested"),"5 Interested",IF(OR($S317="Declined",$S317="Not Relevant"),"0 Closed - no",IF($R317="Yes","4 Contacted",IF($N317="Yes","2 Engaged",IF($M317="Yes","1 Awareness",IF($AA317&gt;=60,"3 Qualified","1 Awareness"))))))))))</f>
        <v/>
      </c>
    </row>
    <row r="318" customFormat="false" ht="30" hidden="false" customHeight="true" outlineLevel="0" collapsed="false">
      <c r="A318" s="36"/>
      <c r="B318" s="37"/>
      <c r="C318" s="37"/>
      <c r="D318" s="37"/>
      <c r="E318" s="37"/>
      <c r="F318" s="37"/>
      <c r="G318" s="37"/>
      <c r="H318" s="37"/>
      <c r="I318" s="37"/>
      <c r="J318" s="47"/>
      <c r="K318" s="41" t="str">
        <f aca="false">IF(J318="","",IF(J318&gt;=8,"Yes","Check"))</f>
        <v/>
      </c>
      <c r="L318" s="38"/>
      <c r="M318" s="47"/>
      <c r="N318" s="47"/>
      <c r="O318" s="37"/>
      <c r="P318" s="38"/>
      <c r="Q318" s="42" t="str">
        <f aca="false">IF(P318="","",LEN(P318))</f>
        <v/>
      </c>
      <c r="R318" s="47"/>
      <c r="S318" s="37"/>
      <c r="T318" s="38"/>
      <c r="U318" s="43" t="str">
        <f aca="false">IF(OR(R318&lt;&gt;"Yes",A318=""),"",A318+4)</f>
        <v/>
      </c>
      <c r="V318" s="47"/>
      <c r="W318" s="38"/>
      <c r="X318" s="38"/>
      <c r="Y318" s="44"/>
      <c r="Z318" s="44"/>
      <c r="AA318" s="45" t="str">
        <f aca="false">IF(AND($Y318="",$Z318=""),"",ROUND(IFERROR(VALUE(LEFT($Y318,1)),0)*12+IFERROR(VALUE(LEFT($Z318,1)),0)*8,0))</f>
        <v/>
      </c>
      <c r="AB318" s="45" t="str">
        <f aca="false">IF($AA318="","",IF($AA318&gt;=80,"A - call first",IF($AA318&gt;=60,"B - worth pursuing",IF($AA318&gt;=40,"C - nurture","D - do not spend time here"))))</f>
        <v/>
      </c>
      <c r="AC318" s="46" t="str">
        <f aca="false">IF($C318="","",IF($S318="Converted","7 Certification / Enterprise opportunity",IF($S318="Application Started","7 Certification / Enterprise opportunity",IF($S318="Meeting Booked","6 Meeting / Application",IF(OR($S318="Interested",$S318="Info Requested"),"5 Interested",IF(OR($S318="Declined",$S318="Not Relevant"),"0 Closed - no",IF($R318="Yes","4 Contacted",IF($N318="Yes","2 Engaged",IF($M318="Yes","1 Awareness",IF($AA318&gt;=60,"3 Qualified","1 Awareness"))))))))))</f>
        <v/>
      </c>
    </row>
    <row r="319" customFormat="false" ht="30" hidden="false" customHeight="true" outlineLevel="0" collapsed="false">
      <c r="A319" s="36"/>
      <c r="B319" s="37"/>
      <c r="C319" s="37"/>
      <c r="D319" s="37"/>
      <c r="E319" s="37"/>
      <c r="F319" s="37"/>
      <c r="G319" s="37"/>
      <c r="H319" s="37"/>
      <c r="I319" s="37"/>
      <c r="J319" s="47"/>
      <c r="K319" s="41" t="str">
        <f aca="false">IF(J319="","",IF(J319&gt;=8,"Yes","Check"))</f>
        <v/>
      </c>
      <c r="L319" s="38"/>
      <c r="M319" s="47"/>
      <c r="N319" s="47"/>
      <c r="O319" s="37"/>
      <c r="P319" s="38"/>
      <c r="Q319" s="42" t="str">
        <f aca="false">IF(P319="","",LEN(P319))</f>
        <v/>
      </c>
      <c r="R319" s="47"/>
      <c r="S319" s="37"/>
      <c r="T319" s="38"/>
      <c r="U319" s="43" t="str">
        <f aca="false">IF(OR(R319&lt;&gt;"Yes",A319=""),"",A319+4)</f>
        <v/>
      </c>
      <c r="V319" s="47"/>
      <c r="W319" s="38"/>
      <c r="X319" s="38"/>
      <c r="Y319" s="44"/>
      <c r="Z319" s="44"/>
      <c r="AA319" s="45" t="str">
        <f aca="false">IF(AND($Y319="",$Z319=""),"",ROUND(IFERROR(VALUE(LEFT($Y319,1)),0)*12+IFERROR(VALUE(LEFT($Z319,1)),0)*8,0))</f>
        <v/>
      </c>
      <c r="AB319" s="45" t="str">
        <f aca="false">IF($AA319="","",IF($AA319&gt;=80,"A - call first",IF($AA319&gt;=60,"B - worth pursuing",IF($AA319&gt;=40,"C - nurture","D - do not spend time here"))))</f>
        <v/>
      </c>
      <c r="AC319" s="46" t="str">
        <f aca="false">IF($C319="","",IF($S319="Converted","7 Certification / Enterprise opportunity",IF($S319="Application Started","7 Certification / Enterprise opportunity",IF($S319="Meeting Booked","6 Meeting / Application",IF(OR($S319="Interested",$S319="Info Requested"),"5 Interested",IF(OR($S319="Declined",$S319="Not Relevant"),"0 Closed - no",IF($R319="Yes","4 Contacted",IF($N319="Yes","2 Engaged",IF($M319="Yes","1 Awareness",IF($AA319&gt;=60,"3 Qualified","1 Awareness"))))))))))</f>
        <v/>
      </c>
    </row>
    <row r="320" customFormat="false" ht="30" hidden="false" customHeight="true" outlineLevel="0" collapsed="false">
      <c r="A320" s="36"/>
      <c r="B320" s="37"/>
      <c r="C320" s="37"/>
      <c r="D320" s="37"/>
      <c r="E320" s="37"/>
      <c r="F320" s="37"/>
      <c r="G320" s="37"/>
      <c r="H320" s="37"/>
      <c r="I320" s="37"/>
      <c r="J320" s="47"/>
      <c r="K320" s="41" t="str">
        <f aca="false">IF(J320="","",IF(J320&gt;=8,"Yes","Check"))</f>
        <v/>
      </c>
      <c r="L320" s="38"/>
      <c r="M320" s="47"/>
      <c r="N320" s="47"/>
      <c r="O320" s="37"/>
      <c r="P320" s="38"/>
      <c r="Q320" s="42" t="str">
        <f aca="false">IF(P320="","",LEN(P320))</f>
        <v/>
      </c>
      <c r="R320" s="47"/>
      <c r="S320" s="37"/>
      <c r="T320" s="38"/>
      <c r="U320" s="43" t="str">
        <f aca="false">IF(OR(R320&lt;&gt;"Yes",A320=""),"",A320+4)</f>
        <v/>
      </c>
      <c r="V320" s="47"/>
      <c r="W320" s="38"/>
      <c r="X320" s="38"/>
      <c r="Y320" s="44"/>
      <c r="Z320" s="44"/>
      <c r="AA320" s="45" t="str">
        <f aca="false">IF(AND($Y320="",$Z320=""),"",ROUND(IFERROR(VALUE(LEFT($Y320,1)),0)*12+IFERROR(VALUE(LEFT($Z320,1)),0)*8,0))</f>
        <v/>
      </c>
      <c r="AB320" s="45" t="str">
        <f aca="false">IF($AA320="","",IF($AA320&gt;=80,"A - call first",IF($AA320&gt;=60,"B - worth pursuing",IF($AA320&gt;=40,"C - nurture","D - do not spend time here"))))</f>
        <v/>
      </c>
      <c r="AC320" s="46" t="str">
        <f aca="false">IF($C320="","",IF($S320="Converted","7 Certification / Enterprise opportunity",IF($S320="Application Started","7 Certification / Enterprise opportunity",IF($S320="Meeting Booked","6 Meeting / Application",IF(OR($S320="Interested",$S320="Info Requested"),"5 Interested",IF(OR($S320="Declined",$S320="Not Relevant"),"0 Closed - no",IF($R320="Yes","4 Contacted",IF($N320="Yes","2 Engaged",IF($M320="Yes","1 Awareness",IF($AA320&gt;=60,"3 Qualified","1 Awareness"))))))))))</f>
        <v/>
      </c>
    </row>
    <row r="321" customFormat="false" ht="30" hidden="false" customHeight="true" outlineLevel="0" collapsed="false">
      <c r="A321" s="36"/>
      <c r="B321" s="37"/>
      <c r="C321" s="37"/>
      <c r="D321" s="37"/>
      <c r="E321" s="37"/>
      <c r="F321" s="37"/>
      <c r="G321" s="37"/>
      <c r="H321" s="37"/>
      <c r="I321" s="37"/>
      <c r="J321" s="47"/>
      <c r="K321" s="41" t="str">
        <f aca="false">IF(J321="","",IF(J321&gt;=8,"Yes","Check"))</f>
        <v/>
      </c>
      <c r="L321" s="38"/>
      <c r="M321" s="47"/>
      <c r="N321" s="47"/>
      <c r="O321" s="37"/>
      <c r="P321" s="38"/>
      <c r="Q321" s="42" t="str">
        <f aca="false">IF(P321="","",LEN(P321))</f>
        <v/>
      </c>
      <c r="R321" s="47"/>
      <c r="S321" s="37"/>
      <c r="T321" s="38"/>
      <c r="U321" s="43" t="str">
        <f aca="false">IF(OR(R321&lt;&gt;"Yes",A321=""),"",A321+4)</f>
        <v/>
      </c>
      <c r="V321" s="47"/>
      <c r="W321" s="38"/>
      <c r="X321" s="38"/>
      <c r="Y321" s="44"/>
      <c r="Z321" s="44"/>
      <c r="AA321" s="45" t="str">
        <f aca="false">IF(AND($Y321="",$Z321=""),"",ROUND(IFERROR(VALUE(LEFT($Y321,1)),0)*12+IFERROR(VALUE(LEFT($Z321,1)),0)*8,0))</f>
        <v/>
      </c>
      <c r="AB321" s="45" t="str">
        <f aca="false">IF($AA321="","",IF($AA321&gt;=80,"A - call first",IF($AA321&gt;=60,"B - worth pursuing",IF($AA321&gt;=40,"C - nurture","D - do not spend time here"))))</f>
        <v/>
      </c>
      <c r="AC321" s="46" t="str">
        <f aca="false">IF($C321="","",IF($S321="Converted","7 Certification / Enterprise opportunity",IF($S321="Application Started","7 Certification / Enterprise opportunity",IF($S321="Meeting Booked","6 Meeting / Application",IF(OR($S321="Interested",$S321="Info Requested"),"5 Interested",IF(OR($S321="Declined",$S321="Not Relevant"),"0 Closed - no",IF($R321="Yes","4 Contacted",IF($N321="Yes","2 Engaged",IF($M321="Yes","1 Awareness",IF($AA321&gt;=60,"3 Qualified","1 Awareness"))))))))))</f>
        <v/>
      </c>
    </row>
    <row r="322" customFormat="false" ht="30" hidden="false" customHeight="true" outlineLevel="0" collapsed="false">
      <c r="A322" s="36"/>
      <c r="B322" s="37"/>
      <c r="C322" s="37"/>
      <c r="D322" s="37"/>
      <c r="E322" s="37"/>
      <c r="F322" s="37"/>
      <c r="G322" s="37"/>
      <c r="H322" s="37"/>
      <c r="I322" s="37"/>
      <c r="J322" s="47"/>
      <c r="K322" s="41" t="str">
        <f aca="false">IF(J322="","",IF(J322&gt;=8,"Yes","Check"))</f>
        <v/>
      </c>
      <c r="L322" s="38"/>
      <c r="M322" s="47"/>
      <c r="N322" s="47"/>
      <c r="O322" s="37"/>
      <c r="P322" s="38"/>
      <c r="Q322" s="42" t="str">
        <f aca="false">IF(P322="","",LEN(P322))</f>
        <v/>
      </c>
      <c r="R322" s="47"/>
      <c r="S322" s="37"/>
      <c r="T322" s="38"/>
      <c r="U322" s="43" t="str">
        <f aca="false">IF(OR(R322&lt;&gt;"Yes",A322=""),"",A322+4)</f>
        <v/>
      </c>
      <c r="V322" s="47"/>
      <c r="W322" s="38"/>
      <c r="X322" s="38"/>
      <c r="Y322" s="44"/>
      <c r="Z322" s="44"/>
      <c r="AA322" s="45" t="str">
        <f aca="false">IF(AND($Y322="",$Z322=""),"",ROUND(IFERROR(VALUE(LEFT($Y322,1)),0)*12+IFERROR(VALUE(LEFT($Z322,1)),0)*8,0))</f>
        <v/>
      </c>
      <c r="AB322" s="45" t="str">
        <f aca="false">IF($AA322="","",IF($AA322&gt;=80,"A - call first",IF($AA322&gt;=60,"B - worth pursuing",IF($AA322&gt;=40,"C - nurture","D - do not spend time here"))))</f>
        <v/>
      </c>
      <c r="AC322" s="46" t="str">
        <f aca="false">IF($C322="","",IF($S322="Converted","7 Certification / Enterprise opportunity",IF($S322="Application Started","7 Certification / Enterprise opportunity",IF($S322="Meeting Booked","6 Meeting / Application",IF(OR($S322="Interested",$S322="Info Requested"),"5 Interested",IF(OR($S322="Declined",$S322="Not Relevant"),"0 Closed - no",IF($R322="Yes","4 Contacted",IF($N322="Yes","2 Engaged",IF($M322="Yes","1 Awareness",IF($AA322&gt;=60,"3 Qualified","1 Awareness"))))))))))</f>
        <v/>
      </c>
    </row>
    <row r="323" customFormat="false" ht="30" hidden="false" customHeight="true" outlineLevel="0" collapsed="false">
      <c r="A323" s="36"/>
      <c r="B323" s="37"/>
      <c r="C323" s="37"/>
      <c r="D323" s="37"/>
      <c r="E323" s="37"/>
      <c r="F323" s="37"/>
      <c r="G323" s="37"/>
      <c r="H323" s="37"/>
      <c r="I323" s="37"/>
      <c r="J323" s="47"/>
      <c r="K323" s="41" t="str">
        <f aca="false">IF(J323="","",IF(J323&gt;=8,"Yes","Check"))</f>
        <v/>
      </c>
      <c r="L323" s="38"/>
      <c r="M323" s="47"/>
      <c r="N323" s="47"/>
      <c r="O323" s="37"/>
      <c r="P323" s="38"/>
      <c r="Q323" s="42" t="str">
        <f aca="false">IF(P323="","",LEN(P323))</f>
        <v/>
      </c>
      <c r="R323" s="47"/>
      <c r="S323" s="37"/>
      <c r="T323" s="38"/>
      <c r="U323" s="43" t="str">
        <f aca="false">IF(OR(R323&lt;&gt;"Yes",A323=""),"",A323+4)</f>
        <v/>
      </c>
      <c r="V323" s="47"/>
      <c r="W323" s="38"/>
      <c r="X323" s="38"/>
      <c r="Y323" s="44"/>
      <c r="Z323" s="44"/>
      <c r="AA323" s="45" t="str">
        <f aca="false">IF(AND($Y323="",$Z323=""),"",ROUND(IFERROR(VALUE(LEFT($Y323,1)),0)*12+IFERROR(VALUE(LEFT($Z323,1)),0)*8,0))</f>
        <v/>
      </c>
      <c r="AB323" s="45" t="str">
        <f aca="false">IF($AA323="","",IF($AA323&gt;=80,"A - call first",IF($AA323&gt;=60,"B - worth pursuing",IF($AA323&gt;=40,"C - nurture","D - do not spend time here"))))</f>
        <v/>
      </c>
      <c r="AC323" s="46" t="str">
        <f aca="false">IF($C323="","",IF($S323="Converted","7 Certification / Enterprise opportunity",IF($S323="Application Started","7 Certification / Enterprise opportunity",IF($S323="Meeting Booked","6 Meeting / Application",IF(OR($S323="Interested",$S323="Info Requested"),"5 Interested",IF(OR($S323="Declined",$S323="Not Relevant"),"0 Closed - no",IF($R323="Yes","4 Contacted",IF($N323="Yes","2 Engaged",IF($M323="Yes","1 Awareness",IF($AA323&gt;=60,"3 Qualified","1 Awareness"))))))))))</f>
        <v/>
      </c>
    </row>
    <row r="324" customFormat="false" ht="30" hidden="false" customHeight="true" outlineLevel="0" collapsed="false">
      <c r="A324" s="36"/>
      <c r="B324" s="37"/>
      <c r="C324" s="37"/>
      <c r="D324" s="37"/>
      <c r="E324" s="37"/>
      <c r="F324" s="37"/>
      <c r="G324" s="37"/>
      <c r="H324" s="37"/>
      <c r="I324" s="37"/>
      <c r="J324" s="47"/>
      <c r="K324" s="41" t="str">
        <f aca="false">IF(J324="","",IF(J324&gt;=8,"Yes","Check"))</f>
        <v/>
      </c>
      <c r="L324" s="38"/>
      <c r="M324" s="47"/>
      <c r="N324" s="47"/>
      <c r="O324" s="37"/>
      <c r="P324" s="38"/>
      <c r="Q324" s="42" t="str">
        <f aca="false">IF(P324="","",LEN(P324))</f>
        <v/>
      </c>
      <c r="R324" s="47"/>
      <c r="S324" s="37"/>
      <c r="T324" s="38"/>
      <c r="U324" s="43" t="str">
        <f aca="false">IF(OR(R324&lt;&gt;"Yes",A324=""),"",A324+4)</f>
        <v/>
      </c>
      <c r="V324" s="47"/>
      <c r="W324" s="38"/>
      <c r="X324" s="38"/>
      <c r="Y324" s="44"/>
      <c r="Z324" s="44"/>
      <c r="AA324" s="45" t="str">
        <f aca="false">IF(AND($Y324="",$Z324=""),"",ROUND(IFERROR(VALUE(LEFT($Y324,1)),0)*12+IFERROR(VALUE(LEFT($Z324,1)),0)*8,0))</f>
        <v/>
      </c>
      <c r="AB324" s="45" t="str">
        <f aca="false">IF($AA324="","",IF($AA324&gt;=80,"A - call first",IF($AA324&gt;=60,"B - worth pursuing",IF($AA324&gt;=40,"C - nurture","D - do not spend time here"))))</f>
        <v/>
      </c>
      <c r="AC324" s="46" t="str">
        <f aca="false">IF($C324="","",IF($S324="Converted","7 Certification / Enterprise opportunity",IF($S324="Application Started","7 Certification / Enterprise opportunity",IF($S324="Meeting Booked","6 Meeting / Application",IF(OR($S324="Interested",$S324="Info Requested"),"5 Interested",IF(OR($S324="Declined",$S324="Not Relevant"),"0 Closed - no",IF($R324="Yes","4 Contacted",IF($N324="Yes","2 Engaged",IF($M324="Yes","1 Awareness",IF($AA324&gt;=60,"3 Qualified","1 Awareness"))))))))))</f>
        <v/>
      </c>
    </row>
    <row r="325" customFormat="false" ht="30" hidden="false" customHeight="true" outlineLevel="0" collapsed="false">
      <c r="A325" s="36"/>
      <c r="B325" s="37"/>
      <c r="C325" s="37"/>
      <c r="D325" s="37"/>
      <c r="E325" s="37"/>
      <c r="F325" s="37"/>
      <c r="G325" s="37"/>
      <c r="H325" s="37"/>
      <c r="I325" s="37"/>
      <c r="J325" s="47"/>
      <c r="K325" s="41" t="str">
        <f aca="false">IF(J325="","",IF(J325&gt;=8,"Yes","Check"))</f>
        <v/>
      </c>
      <c r="L325" s="38"/>
      <c r="M325" s="47"/>
      <c r="N325" s="47"/>
      <c r="O325" s="37"/>
      <c r="P325" s="38"/>
      <c r="Q325" s="42" t="str">
        <f aca="false">IF(P325="","",LEN(P325))</f>
        <v/>
      </c>
      <c r="R325" s="47"/>
      <c r="S325" s="37"/>
      <c r="T325" s="38"/>
      <c r="U325" s="43" t="str">
        <f aca="false">IF(OR(R325&lt;&gt;"Yes",A325=""),"",A325+4)</f>
        <v/>
      </c>
      <c r="V325" s="47"/>
      <c r="W325" s="38"/>
      <c r="X325" s="38"/>
      <c r="Y325" s="44"/>
      <c r="Z325" s="44"/>
      <c r="AA325" s="45" t="str">
        <f aca="false">IF(AND($Y325="",$Z325=""),"",ROUND(IFERROR(VALUE(LEFT($Y325,1)),0)*12+IFERROR(VALUE(LEFT($Z325,1)),0)*8,0))</f>
        <v/>
      </c>
      <c r="AB325" s="45" t="str">
        <f aca="false">IF($AA325="","",IF($AA325&gt;=80,"A - call first",IF($AA325&gt;=60,"B - worth pursuing",IF($AA325&gt;=40,"C - nurture","D - do not spend time here"))))</f>
        <v/>
      </c>
      <c r="AC325" s="46" t="str">
        <f aca="false">IF($C325="","",IF($S325="Converted","7 Certification / Enterprise opportunity",IF($S325="Application Started","7 Certification / Enterprise opportunity",IF($S325="Meeting Booked","6 Meeting / Application",IF(OR($S325="Interested",$S325="Info Requested"),"5 Interested",IF(OR($S325="Declined",$S325="Not Relevant"),"0 Closed - no",IF($R325="Yes","4 Contacted",IF($N325="Yes","2 Engaged",IF($M325="Yes","1 Awareness",IF($AA325&gt;=60,"3 Qualified","1 Awareness"))))))))))</f>
        <v/>
      </c>
    </row>
    <row r="326" customFormat="false" ht="30" hidden="false" customHeight="true" outlineLevel="0" collapsed="false">
      <c r="A326" s="36"/>
      <c r="B326" s="37"/>
      <c r="C326" s="37"/>
      <c r="D326" s="37"/>
      <c r="E326" s="37"/>
      <c r="F326" s="37"/>
      <c r="G326" s="37"/>
      <c r="H326" s="37"/>
      <c r="I326" s="37"/>
      <c r="J326" s="47"/>
      <c r="K326" s="41" t="str">
        <f aca="false">IF(J326="","",IF(J326&gt;=8,"Yes","Check"))</f>
        <v/>
      </c>
      <c r="L326" s="38"/>
      <c r="M326" s="47"/>
      <c r="N326" s="47"/>
      <c r="O326" s="37"/>
      <c r="P326" s="38"/>
      <c r="Q326" s="42" t="str">
        <f aca="false">IF(P326="","",LEN(P326))</f>
        <v/>
      </c>
      <c r="R326" s="47"/>
      <c r="S326" s="37"/>
      <c r="T326" s="38"/>
      <c r="U326" s="43" t="str">
        <f aca="false">IF(OR(R326&lt;&gt;"Yes",A326=""),"",A326+4)</f>
        <v/>
      </c>
      <c r="V326" s="47"/>
      <c r="W326" s="38"/>
      <c r="X326" s="38"/>
      <c r="Y326" s="44"/>
      <c r="Z326" s="44"/>
      <c r="AA326" s="45" t="str">
        <f aca="false">IF(AND($Y326="",$Z326=""),"",ROUND(IFERROR(VALUE(LEFT($Y326,1)),0)*12+IFERROR(VALUE(LEFT($Z326,1)),0)*8,0))</f>
        <v/>
      </c>
      <c r="AB326" s="45" t="str">
        <f aca="false">IF($AA326="","",IF($AA326&gt;=80,"A - call first",IF($AA326&gt;=60,"B - worth pursuing",IF($AA326&gt;=40,"C - nurture","D - do not spend time here"))))</f>
        <v/>
      </c>
      <c r="AC326" s="46" t="str">
        <f aca="false">IF($C326="","",IF($S326="Converted","7 Certification / Enterprise opportunity",IF($S326="Application Started","7 Certification / Enterprise opportunity",IF($S326="Meeting Booked","6 Meeting / Application",IF(OR($S326="Interested",$S326="Info Requested"),"5 Interested",IF(OR($S326="Declined",$S326="Not Relevant"),"0 Closed - no",IF($R326="Yes","4 Contacted",IF($N326="Yes","2 Engaged",IF($M326="Yes","1 Awareness",IF($AA326&gt;=60,"3 Qualified","1 Awareness"))))))))))</f>
        <v/>
      </c>
    </row>
    <row r="327" customFormat="false" ht="30" hidden="false" customHeight="true" outlineLevel="0" collapsed="false">
      <c r="A327" s="36"/>
      <c r="B327" s="37"/>
      <c r="C327" s="37"/>
      <c r="D327" s="37"/>
      <c r="E327" s="37"/>
      <c r="F327" s="37"/>
      <c r="G327" s="37"/>
      <c r="H327" s="37"/>
      <c r="I327" s="37"/>
      <c r="J327" s="47"/>
      <c r="K327" s="41" t="str">
        <f aca="false">IF(J327="","",IF(J327&gt;=8,"Yes","Check"))</f>
        <v/>
      </c>
      <c r="L327" s="38"/>
      <c r="M327" s="47"/>
      <c r="N327" s="47"/>
      <c r="O327" s="37"/>
      <c r="P327" s="38"/>
      <c r="Q327" s="42" t="str">
        <f aca="false">IF(P327="","",LEN(P327))</f>
        <v/>
      </c>
      <c r="R327" s="47"/>
      <c r="S327" s="37"/>
      <c r="T327" s="38"/>
      <c r="U327" s="43" t="str">
        <f aca="false">IF(OR(R327&lt;&gt;"Yes",A327=""),"",A327+4)</f>
        <v/>
      </c>
      <c r="V327" s="47"/>
      <c r="W327" s="38"/>
      <c r="X327" s="38"/>
      <c r="Y327" s="44"/>
      <c r="Z327" s="44"/>
      <c r="AA327" s="45" t="str">
        <f aca="false">IF(AND($Y327="",$Z327=""),"",ROUND(IFERROR(VALUE(LEFT($Y327,1)),0)*12+IFERROR(VALUE(LEFT($Z327,1)),0)*8,0))</f>
        <v/>
      </c>
      <c r="AB327" s="45" t="str">
        <f aca="false">IF($AA327="","",IF($AA327&gt;=80,"A - call first",IF($AA327&gt;=60,"B - worth pursuing",IF($AA327&gt;=40,"C - nurture","D - do not spend time here"))))</f>
        <v/>
      </c>
      <c r="AC327" s="46" t="str">
        <f aca="false">IF($C327="","",IF($S327="Converted","7 Certification / Enterprise opportunity",IF($S327="Application Started","7 Certification / Enterprise opportunity",IF($S327="Meeting Booked","6 Meeting / Application",IF(OR($S327="Interested",$S327="Info Requested"),"5 Interested",IF(OR($S327="Declined",$S327="Not Relevant"),"0 Closed - no",IF($R327="Yes","4 Contacted",IF($N327="Yes","2 Engaged",IF($M327="Yes","1 Awareness",IF($AA327&gt;=60,"3 Qualified","1 Awareness"))))))))))</f>
        <v/>
      </c>
    </row>
    <row r="328" customFormat="false" ht="30" hidden="false" customHeight="true" outlineLevel="0" collapsed="false">
      <c r="A328" s="36"/>
      <c r="B328" s="37"/>
      <c r="C328" s="37"/>
      <c r="D328" s="37"/>
      <c r="E328" s="37"/>
      <c r="F328" s="37"/>
      <c r="G328" s="37"/>
      <c r="H328" s="37"/>
      <c r="I328" s="37"/>
      <c r="J328" s="47"/>
      <c r="K328" s="41" t="str">
        <f aca="false">IF(J328="","",IF(J328&gt;=8,"Yes","Check"))</f>
        <v/>
      </c>
      <c r="L328" s="38"/>
      <c r="M328" s="47"/>
      <c r="N328" s="47"/>
      <c r="O328" s="37"/>
      <c r="P328" s="38"/>
      <c r="Q328" s="42" t="str">
        <f aca="false">IF(P328="","",LEN(P328))</f>
        <v/>
      </c>
      <c r="R328" s="47"/>
      <c r="S328" s="37"/>
      <c r="T328" s="38"/>
      <c r="U328" s="43" t="str">
        <f aca="false">IF(OR(R328&lt;&gt;"Yes",A328=""),"",A328+4)</f>
        <v/>
      </c>
      <c r="V328" s="47"/>
      <c r="W328" s="38"/>
      <c r="X328" s="38"/>
      <c r="Y328" s="44"/>
      <c r="Z328" s="44"/>
      <c r="AA328" s="45" t="str">
        <f aca="false">IF(AND($Y328="",$Z328=""),"",ROUND(IFERROR(VALUE(LEFT($Y328,1)),0)*12+IFERROR(VALUE(LEFT($Z328,1)),0)*8,0))</f>
        <v/>
      </c>
      <c r="AB328" s="45" t="str">
        <f aca="false">IF($AA328="","",IF($AA328&gt;=80,"A - call first",IF($AA328&gt;=60,"B - worth pursuing",IF($AA328&gt;=40,"C - nurture","D - do not spend time here"))))</f>
        <v/>
      </c>
      <c r="AC328" s="46" t="str">
        <f aca="false">IF($C328="","",IF($S328="Converted","7 Certification / Enterprise opportunity",IF($S328="Application Started","7 Certification / Enterprise opportunity",IF($S328="Meeting Booked","6 Meeting / Application",IF(OR($S328="Interested",$S328="Info Requested"),"5 Interested",IF(OR($S328="Declined",$S328="Not Relevant"),"0 Closed - no",IF($R328="Yes","4 Contacted",IF($N328="Yes","2 Engaged",IF($M328="Yes","1 Awareness",IF($AA328&gt;=60,"3 Qualified","1 Awareness"))))))))))</f>
        <v/>
      </c>
    </row>
    <row r="329" customFormat="false" ht="30" hidden="false" customHeight="true" outlineLevel="0" collapsed="false">
      <c r="A329" s="36"/>
      <c r="B329" s="37"/>
      <c r="C329" s="37"/>
      <c r="D329" s="37"/>
      <c r="E329" s="37"/>
      <c r="F329" s="37"/>
      <c r="G329" s="37"/>
      <c r="H329" s="37"/>
      <c r="I329" s="37"/>
      <c r="J329" s="47"/>
      <c r="K329" s="41" t="str">
        <f aca="false">IF(J329="","",IF(J329&gt;=8,"Yes","Check"))</f>
        <v/>
      </c>
      <c r="L329" s="38"/>
      <c r="M329" s="47"/>
      <c r="N329" s="47"/>
      <c r="O329" s="37"/>
      <c r="P329" s="38"/>
      <c r="Q329" s="42" t="str">
        <f aca="false">IF(P329="","",LEN(P329))</f>
        <v/>
      </c>
      <c r="R329" s="47"/>
      <c r="S329" s="37"/>
      <c r="T329" s="38"/>
      <c r="U329" s="43" t="str">
        <f aca="false">IF(OR(R329&lt;&gt;"Yes",A329=""),"",A329+4)</f>
        <v/>
      </c>
      <c r="V329" s="47"/>
      <c r="W329" s="38"/>
      <c r="X329" s="38"/>
      <c r="Y329" s="44"/>
      <c r="Z329" s="44"/>
      <c r="AA329" s="45" t="str">
        <f aca="false">IF(AND($Y329="",$Z329=""),"",ROUND(IFERROR(VALUE(LEFT($Y329,1)),0)*12+IFERROR(VALUE(LEFT($Z329,1)),0)*8,0))</f>
        <v/>
      </c>
      <c r="AB329" s="45" t="str">
        <f aca="false">IF($AA329="","",IF($AA329&gt;=80,"A - call first",IF($AA329&gt;=60,"B - worth pursuing",IF($AA329&gt;=40,"C - nurture","D - do not spend time here"))))</f>
        <v/>
      </c>
      <c r="AC329" s="46" t="str">
        <f aca="false">IF($C329="","",IF($S329="Converted","7 Certification / Enterprise opportunity",IF($S329="Application Started","7 Certification / Enterprise opportunity",IF($S329="Meeting Booked","6 Meeting / Application",IF(OR($S329="Interested",$S329="Info Requested"),"5 Interested",IF(OR($S329="Declined",$S329="Not Relevant"),"0 Closed - no",IF($R329="Yes","4 Contacted",IF($N329="Yes","2 Engaged",IF($M329="Yes","1 Awareness",IF($AA329&gt;=60,"3 Qualified","1 Awareness"))))))))))</f>
        <v/>
      </c>
    </row>
    <row r="330" customFormat="false" ht="30" hidden="false" customHeight="true" outlineLevel="0" collapsed="false">
      <c r="A330" s="36"/>
      <c r="B330" s="37"/>
      <c r="C330" s="37"/>
      <c r="D330" s="37"/>
      <c r="E330" s="37"/>
      <c r="F330" s="37"/>
      <c r="G330" s="37"/>
      <c r="H330" s="37"/>
      <c r="I330" s="37"/>
      <c r="J330" s="47"/>
      <c r="K330" s="41" t="str">
        <f aca="false">IF(J330="","",IF(J330&gt;=8,"Yes","Check"))</f>
        <v/>
      </c>
      <c r="L330" s="38"/>
      <c r="M330" s="47"/>
      <c r="N330" s="47"/>
      <c r="O330" s="37"/>
      <c r="P330" s="38"/>
      <c r="Q330" s="42" t="str">
        <f aca="false">IF(P330="","",LEN(P330))</f>
        <v/>
      </c>
      <c r="R330" s="47"/>
      <c r="S330" s="37"/>
      <c r="T330" s="38"/>
      <c r="U330" s="43" t="str">
        <f aca="false">IF(OR(R330&lt;&gt;"Yes",A330=""),"",A330+4)</f>
        <v/>
      </c>
      <c r="V330" s="47"/>
      <c r="W330" s="38"/>
      <c r="X330" s="38"/>
      <c r="Y330" s="44"/>
      <c r="Z330" s="44"/>
      <c r="AA330" s="45" t="str">
        <f aca="false">IF(AND($Y330="",$Z330=""),"",ROUND(IFERROR(VALUE(LEFT($Y330,1)),0)*12+IFERROR(VALUE(LEFT($Z330,1)),0)*8,0))</f>
        <v/>
      </c>
      <c r="AB330" s="45" t="str">
        <f aca="false">IF($AA330="","",IF($AA330&gt;=80,"A - call first",IF($AA330&gt;=60,"B - worth pursuing",IF($AA330&gt;=40,"C - nurture","D - do not spend time here"))))</f>
        <v/>
      </c>
      <c r="AC330" s="46" t="str">
        <f aca="false">IF($C330="","",IF($S330="Converted","7 Certification / Enterprise opportunity",IF($S330="Application Started","7 Certification / Enterprise opportunity",IF($S330="Meeting Booked","6 Meeting / Application",IF(OR($S330="Interested",$S330="Info Requested"),"5 Interested",IF(OR($S330="Declined",$S330="Not Relevant"),"0 Closed - no",IF($R330="Yes","4 Contacted",IF($N330="Yes","2 Engaged",IF($M330="Yes","1 Awareness",IF($AA330&gt;=60,"3 Qualified","1 Awareness"))))))))))</f>
        <v/>
      </c>
    </row>
    <row r="331" customFormat="false" ht="30" hidden="false" customHeight="true" outlineLevel="0" collapsed="false">
      <c r="A331" s="36"/>
      <c r="B331" s="37"/>
      <c r="C331" s="37"/>
      <c r="D331" s="37"/>
      <c r="E331" s="37"/>
      <c r="F331" s="37"/>
      <c r="G331" s="37"/>
      <c r="H331" s="37"/>
      <c r="I331" s="37"/>
      <c r="J331" s="47"/>
      <c r="K331" s="41" t="str">
        <f aca="false">IF(J331="","",IF(J331&gt;=8,"Yes","Check"))</f>
        <v/>
      </c>
      <c r="L331" s="38"/>
      <c r="M331" s="47"/>
      <c r="N331" s="47"/>
      <c r="O331" s="37"/>
      <c r="P331" s="38"/>
      <c r="Q331" s="42" t="str">
        <f aca="false">IF(P331="","",LEN(P331))</f>
        <v/>
      </c>
      <c r="R331" s="47"/>
      <c r="S331" s="37"/>
      <c r="T331" s="38"/>
      <c r="U331" s="43" t="str">
        <f aca="false">IF(OR(R331&lt;&gt;"Yes",A331=""),"",A331+4)</f>
        <v/>
      </c>
      <c r="V331" s="47"/>
      <c r="W331" s="38"/>
      <c r="X331" s="38"/>
      <c r="Y331" s="44"/>
      <c r="Z331" s="44"/>
      <c r="AA331" s="45" t="str">
        <f aca="false">IF(AND($Y331="",$Z331=""),"",ROUND(IFERROR(VALUE(LEFT($Y331,1)),0)*12+IFERROR(VALUE(LEFT($Z331,1)),0)*8,0))</f>
        <v/>
      </c>
      <c r="AB331" s="45" t="str">
        <f aca="false">IF($AA331="","",IF($AA331&gt;=80,"A - call first",IF($AA331&gt;=60,"B - worth pursuing",IF($AA331&gt;=40,"C - nurture","D - do not spend time here"))))</f>
        <v/>
      </c>
      <c r="AC331" s="46" t="str">
        <f aca="false">IF($C331="","",IF($S331="Converted","7 Certification / Enterprise opportunity",IF($S331="Application Started","7 Certification / Enterprise opportunity",IF($S331="Meeting Booked","6 Meeting / Application",IF(OR($S331="Interested",$S331="Info Requested"),"5 Interested",IF(OR($S331="Declined",$S331="Not Relevant"),"0 Closed - no",IF($R331="Yes","4 Contacted",IF($N331="Yes","2 Engaged",IF($M331="Yes","1 Awareness",IF($AA331&gt;=60,"3 Qualified","1 Awareness"))))))))))</f>
        <v/>
      </c>
    </row>
    <row r="332" customFormat="false" ht="30" hidden="false" customHeight="true" outlineLevel="0" collapsed="false">
      <c r="A332" s="36"/>
      <c r="B332" s="37"/>
      <c r="C332" s="37"/>
      <c r="D332" s="37"/>
      <c r="E332" s="37"/>
      <c r="F332" s="37"/>
      <c r="G332" s="37"/>
      <c r="H332" s="37"/>
      <c r="I332" s="37"/>
      <c r="J332" s="47"/>
      <c r="K332" s="41" t="str">
        <f aca="false">IF(J332="","",IF(J332&gt;=8,"Yes","Check"))</f>
        <v/>
      </c>
      <c r="L332" s="38"/>
      <c r="M332" s="47"/>
      <c r="N332" s="47"/>
      <c r="O332" s="37"/>
      <c r="P332" s="38"/>
      <c r="Q332" s="42" t="str">
        <f aca="false">IF(P332="","",LEN(P332))</f>
        <v/>
      </c>
      <c r="R332" s="47"/>
      <c r="S332" s="37"/>
      <c r="T332" s="38"/>
      <c r="U332" s="43" t="str">
        <f aca="false">IF(OR(R332&lt;&gt;"Yes",A332=""),"",A332+4)</f>
        <v/>
      </c>
      <c r="V332" s="47"/>
      <c r="W332" s="38"/>
      <c r="X332" s="38"/>
      <c r="Y332" s="44"/>
      <c r="Z332" s="44"/>
      <c r="AA332" s="45" t="str">
        <f aca="false">IF(AND($Y332="",$Z332=""),"",ROUND(IFERROR(VALUE(LEFT($Y332,1)),0)*12+IFERROR(VALUE(LEFT($Z332,1)),0)*8,0))</f>
        <v/>
      </c>
      <c r="AB332" s="45" t="str">
        <f aca="false">IF($AA332="","",IF($AA332&gt;=80,"A - call first",IF($AA332&gt;=60,"B - worth pursuing",IF($AA332&gt;=40,"C - nurture","D - do not spend time here"))))</f>
        <v/>
      </c>
      <c r="AC332" s="46" t="str">
        <f aca="false">IF($C332="","",IF($S332="Converted","7 Certification / Enterprise opportunity",IF($S332="Application Started","7 Certification / Enterprise opportunity",IF($S332="Meeting Booked","6 Meeting / Application",IF(OR($S332="Interested",$S332="Info Requested"),"5 Interested",IF(OR($S332="Declined",$S332="Not Relevant"),"0 Closed - no",IF($R332="Yes","4 Contacted",IF($N332="Yes","2 Engaged",IF($M332="Yes","1 Awareness",IF($AA332&gt;=60,"3 Qualified","1 Awareness"))))))))))</f>
        <v/>
      </c>
    </row>
    <row r="333" customFormat="false" ht="30" hidden="false" customHeight="true" outlineLevel="0" collapsed="false">
      <c r="A333" s="36"/>
      <c r="B333" s="37"/>
      <c r="C333" s="37"/>
      <c r="D333" s="37"/>
      <c r="E333" s="37"/>
      <c r="F333" s="37"/>
      <c r="G333" s="37"/>
      <c r="H333" s="37"/>
      <c r="I333" s="37"/>
      <c r="J333" s="47"/>
      <c r="K333" s="41" t="str">
        <f aca="false">IF(J333="","",IF(J333&gt;=8,"Yes","Check"))</f>
        <v/>
      </c>
      <c r="L333" s="38"/>
      <c r="M333" s="47"/>
      <c r="N333" s="47"/>
      <c r="O333" s="37"/>
      <c r="P333" s="38"/>
      <c r="Q333" s="42" t="str">
        <f aca="false">IF(P333="","",LEN(P333))</f>
        <v/>
      </c>
      <c r="R333" s="47"/>
      <c r="S333" s="37"/>
      <c r="T333" s="38"/>
      <c r="U333" s="43" t="str">
        <f aca="false">IF(OR(R333&lt;&gt;"Yes",A333=""),"",A333+4)</f>
        <v/>
      </c>
      <c r="V333" s="47"/>
      <c r="W333" s="38"/>
      <c r="X333" s="38"/>
      <c r="Y333" s="44"/>
      <c r="Z333" s="44"/>
      <c r="AA333" s="45" t="str">
        <f aca="false">IF(AND($Y333="",$Z333=""),"",ROUND(IFERROR(VALUE(LEFT($Y333,1)),0)*12+IFERROR(VALUE(LEFT($Z333,1)),0)*8,0))</f>
        <v/>
      </c>
      <c r="AB333" s="45" t="str">
        <f aca="false">IF($AA333="","",IF($AA333&gt;=80,"A - call first",IF($AA333&gt;=60,"B - worth pursuing",IF($AA333&gt;=40,"C - nurture","D - do not spend time here"))))</f>
        <v/>
      </c>
      <c r="AC333" s="46" t="str">
        <f aca="false">IF($C333="","",IF($S333="Converted","7 Certification / Enterprise opportunity",IF($S333="Application Started","7 Certification / Enterprise opportunity",IF($S333="Meeting Booked","6 Meeting / Application",IF(OR($S333="Interested",$S333="Info Requested"),"5 Interested",IF(OR($S333="Declined",$S333="Not Relevant"),"0 Closed - no",IF($R333="Yes","4 Contacted",IF($N333="Yes","2 Engaged",IF($M333="Yes","1 Awareness",IF($AA333&gt;=60,"3 Qualified","1 Awareness"))))))))))</f>
        <v/>
      </c>
    </row>
    <row r="334" customFormat="false" ht="30" hidden="false" customHeight="true" outlineLevel="0" collapsed="false">
      <c r="A334" s="36"/>
      <c r="B334" s="37"/>
      <c r="C334" s="37"/>
      <c r="D334" s="37"/>
      <c r="E334" s="37"/>
      <c r="F334" s="37"/>
      <c r="G334" s="37"/>
      <c r="H334" s="37"/>
      <c r="I334" s="37"/>
      <c r="J334" s="47"/>
      <c r="K334" s="41" t="str">
        <f aca="false">IF(J334="","",IF(J334&gt;=8,"Yes","Check"))</f>
        <v/>
      </c>
      <c r="L334" s="38"/>
      <c r="M334" s="47"/>
      <c r="N334" s="47"/>
      <c r="O334" s="37"/>
      <c r="P334" s="38"/>
      <c r="Q334" s="42" t="str">
        <f aca="false">IF(P334="","",LEN(P334))</f>
        <v/>
      </c>
      <c r="R334" s="47"/>
      <c r="S334" s="37"/>
      <c r="T334" s="38"/>
      <c r="U334" s="43" t="str">
        <f aca="false">IF(OR(R334&lt;&gt;"Yes",A334=""),"",A334+4)</f>
        <v/>
      </c>
      <c r="V334" s="47"/>
      <c r="W334" s="38"/>
      <c r="X334" s="38"/>
      <c r="Y334" s="44"/>
      <c r="Z334" s="44"/>
      <c r="AA334" s="45" t="str">
        <f aca="false">IF(AND($Y334="",$Z334=""),"",ROUND(IFERROR(VALUE(LEFT($Y334,1)),0)*12+IFERROR(VALUE(LEFT($Z334,1)),0)*8,0))</f>
        <v/>
      </c>
      <c r="AB334" s="45" t="str">
        <f aca="false">IF($AA334="","",IF($AA334&gt;=80,"A - call first",IF($AA334&gt;=60,"B - worth pursuing",IF($AA334&gt;=40,"C - nurture","D - do not spend time here"))))</f>
        <v/>
      </c>
      <c r="AC334" s="46" t="str">
        <f aca="false">IF($C334="","",IF($S334="Converted","7 Certification / Enterprise opportunity",IF($S334="Application Started","7 Certification / Enterprise opportunity",IF($S334="Meeting Booked","6 Meeting / Application",IF(OR($S334="Interested",$S334="Info Requested"),"5 Interested",IF(OR($S334="Declined",$S334="Not Relevant"),"0 Closed - no",IF($R334="Yes","4 Contacted",IF($N334="Yes","2 Engaged",IF($M334="Yes","1 Awareness",IF($AA334&gt;=60,"3 Qualified","1 Awareness"))))))))))</f>
        <v/>
      </c>
    </row>
    <row r="335" customFormat="false" ht="30" hidden="false" customHeight="true" outlineLevel="0" collapsed="false">
      <c r="A335" s="36"/>
      <c r="B335" s="37"/>
      <c r="C335" s="37"/>
      <c r="D335" s="37"/>
      <c r="E335" s="37"/>
      <c r="F335" s="37"/>
      <c r="G335" s="37"/>
      <c r="H335" s="37"/>
      <c r="I335" s="37"/>
      <c r="J335" s="47"/>
      <c r="K335" s="41" t="str">
        <f aca="false">IF(J335="","",IF(J335&gt;=8,"Yes","Check"))</f>
        <v/>
      </c>
      <c r="L335" s="38"/>
      <c r="M335" s="47"/>
      <c r="N335" s="47"/>
      <c r="O335" s="37"/>
      <c r="P335" s="38"/>
      <c r="Q335" s="42" t="str">
        <f aca="false">IF(P335="","",LEN(P335))</f>
        <v/>
      </c>
      <c r="R335" s="47"/>
      <c r="S335" s="37"/>
      <c r="T335" s="38"/>
      <c r="U335" s="43" t="str">
        <f aca="false">IF(OR(R335&lt;&gt;"Yes",A335=""),"",A335+4)</f>
        <v/>
      </c>
      <c r="V335" s="47"/>
      <c r="W335" s="38"/>
      <c r="X335" s="38"/>
      <c r="Y335" s="44"/>
      <c r="Z335" s="44"/>
      <c r="AA335" s="45" t="str">
        <f aca="false">IF(AND($Y335="",$Z335=""),"",ROUND(IFERROR(VALUE(LEFT($Y335,1)),0)*12+IFERROR(VALUE(LEFT($Z335,1)),0)*8,0))</f>
        <v/>
      </c>
      <c r="AB335" s="45" t="str">
        <f aca="false">IF($AA335="","",IF($AA335&gt;=80,"A - call first",IF($AA335&gt;=60,"B - worth pursuing",IF($AA335&gt;=40,"C - nurture","D - do not spend time here"))))</f>
        <v/>
      </c>
      <c r="AC335" s="46" t="str">
        <f aca="false">IF($C335="","",IF($S335="Converted","7 Certification / Enterprise opportunity",IF($S335="Application Started","7 Certification / Enterprise opportunity",IF($S335="Meeting Booked","6 Meeting / Application",IF(OR($S335="Interested",$S335="Info Requested"),"5 Interested",IF(OR($S335="Declined",$S335="Not Relevant"),"0 Closed - no",IF($R335="Yes","4 Contacted",IF($N335="Yes","2 Engaged",IF($M335="Yes","1 Awareness",IF($AA335&gt;=60,"3 Qualified","1 Awareness"))))))))))</f>
        <v/>
      </c>
    </row>
    <row r="336" customFormat="false" ht="30" hidden="false" customHeight="true" outlineLevel="0" collapsed="false">
      <c r="A336" s="36"/>
      <c r="B336" s="37"/>
      <c r="C336" s="37"/>
      <c r="D336" s="37"/>
      <c r="E336" s="37"/>
      <c r="F336" s="37"/>
      <c r="G336" s="37"/>
      <c r="H336" s="37"/>
      <c r="I336" s="37"/>
      <c r="J336" s="47"/>
      <c r="K336" s="41" t="str">
        <f aca="false">IF(J336="","",IF(J336&gt;=8,"Yes","Check"))</f>
        <v/>
      </c>
      <c r="L336" s="38"/>
      <c r="M336" s="47"/>
      <c r="N336" s="47"/>
      <c r="O336" s="37"/>
      <c r="P336" s="38"/>
      <c r="Q336" s="42" t="str">
        <f aca="false">IF(P336="","",LEN(P336))</f>
        <v/>
      </c>
      <c r="R336" s="47"/>
      <c r="S336" s="37"/>
      <c r="T336" s="38"/>
      <c r="U336" s="43" t="str">
        <f aca="false">IF(OR(R336&lt;&gt;"Yes",A336=""),"",A336+4)</f>
        <v/>
      </c>
      <c r="V336" s="47"/>
      <c r="W336" s="38"/>
      <c r="X336" s="38"/>
      <c r="Y336" s="44"/>
      <c r="Z336" s="44"/>
      <c r="AA336" s="45" t="str">
        <f aca="false">IF(AND($Y336="",$Z336=""),"",ROUND(IFERROR(VALUE(LEFT($Y336,1)),0)*12+IFERROR(VALUE(LEFT($Z336,1)),0)*8,0))</f>
        <v/>
      </c>
      <c r="AB336" s="45" t="str">
        <f aca="false">IF($AA336="","",IF($AA336&gt;=80,"A - call first",IF($AA336&gt;=60,"B - worth pursuing",IF($AA336&gt;=40,"C - nurture","D - do not spend time here"))))</f>
        <v/>
      </c>
      <c r="AC336" s="46" t="str">
        <f aca="false">IF($C336="","",IF($S336="Converted","7 Certification / Enterprise opportunity",IF($S336="Application Started","7 Certification / Enterprise opportunity",IF($S336="Meeting Booked","6 Meeting / Application",IF(OR($S336="Interested",$S336="Info Requested"),"5 Interested",IF(OR($S336="Declined",$S336="Not Relevant"),"0 Closed - no",IF($R336="Yes","4 Contacted",IF($N336="Yes","2 Engaged",IF($M336="Yes","1 Awareness",IF($AA336&gt;=60,"3 Qualified","1 Awareness"))))))))))</f>
        <v/>
      </c>
    </row>
    <row r="337" customFormat="false" ht="30" hidden="false" customHeight="true" outlineLevel="0" collapsed="false">
      <c r="A337" s="36"/>
      <c r="B337" s="37"/>
      <c r="C337" s="37"/>
      <c r="D337" s="37"/>
      <c r="E337" s="37"/>
      <c r="F337" s="37"/>
      <c r="G337" s="37"/>
      <c r="H337" s="37"/>
      <c r="I337" s="37"/>
      <c r="J337" s="47"/>
      <c r="K337" s="41" t="str">
        <f aca="false">IF(J337="","",IF(J337&gt;=8,"Yes","Check"))</f>
        <v/>
      </c>
      <c r="L337" s="38"/>
      <c r="M337" s="47"/>
      <c r="N337" s="47"/>
      <c r="O337" s="37"/>
      <c r="P337" s="38"/>
      <c r="Q337" s="42" t="str">
        <f aca="false">IF(P337="","",LEN(P337))</f>
        <v/>
      </c>
      <c r="R337" s="47"/>
      <c r="S337" s="37"/>
      <c r="T337" s="38"/>
      <c r="U337" s="43" t="str">
        <f aca="false">IF(OR(R337&lt;&gt;"Yes",A337=""),"",A337+4)</f>
        <v/>
      </c>
      <c r="V337" s="47"/>
      <c r="W337" s="38"/>
      <c r="X337" s="38"/>
      <c r="Y337" s="44"/>
      <c r="Z337" s="44"/>
      <c r="AA337" s="45" t="str">
        <f aca="false">IF(AND($Y337="",$Z337=""),"",ROUND(IFERROR(VALUE(LEFT($Y337,1)),0)*12+IFERROR(VALUE(LEFT($Z337,1)),0)*8,0))</f>
        <v/>
      </c>
      <c r="AB337" s="45" t="str">
        <f aca="false">IF($AA337="","",IF($AA337&gt;=80,"A - call first",IF($AA337&gt;=60,"B - worth pursuing",IF($AA337&gt;=40,"C - nurture","D - do not spend time here"))))</f>
        <v/>
      </c>
      <c r="AC337" s="46" t="str">
        <f aca="false">IF($C337="","",IF($S337="Converted","7 Certification / Enterprise opportunity",IF($S337="Application Started","7 Certification / Enterprise opportunity",IF($S337="Meeting Booked","6 Meeting / Application",IF(OR($S337="Interested",$S337="Info Requested"),"5 Interested",IF(OR($S337="Declined",$S337="Not Relevant"),"0 Closed - no",IF($R337="Yes","4 Contacted",IF($N337="Yes","2 Engaged",IF($M337="Yes","1 Awareness",IF($AA337&gt;=60,"3 Qualified","1 Awareness"))))))))))</f>
        <v/>
      </c>
    </row>
    <row r="338" customFormat="false" ht="30" hidden="false" customHeight="true" outlineLevel="0" collapsed="false">
      <c r="A338" s="36"/>
      <c r="B338" s="37"/>
      <c r="C338" s="37"/>
      <c r="D338" s="37"/>
      <c r="E338" s="37"/>
      <c r="F338" s="37"/>
      <c r="G338" s="37"/>
      <c r="H338" s="37"/>
      <c r="I338" s="37"/>
      <c r="J338" s="47"/>
      <c r="K338" s="41" t="str">
        <f aca="false">IF(J338="","",IF(J338&gt;=8,"Yes","Check"))</f>
        <v/>
      </c>
      <c r="L338" s="38"/>
      <c r="M338" s="47"/>
      <c r="N338" s="47"/>
      <c r="O338" s="37"/>
      <c r="P338" s="38"/>
      <c r="Q338" s="42" t="str">
        <f aca="false">IF(P338="","",LEN(P338))</f>
        <v/>
      </c>
      <c r="R338" s="47"/>
      <c r="S338" s="37"/>
      <c r="T338" s="38"/>
      <c r="U338" s="43" t="str">
        <f aca="false">IF(OR(R338&lt;&gt;"Yes",A338=""),"",A338+4)</f>
        <v/>
      </c>
      <c r="V338" s="47"/>
      <c r="W338" s="38"/>
      <c r="X338" s="38"/>
      <c r="Y338" s="44"/>
      <c r="Z338" s="44"/>
      <c r="AA338" s="45" t="str">
        <f aca="false">IF(AND($Y338="",$Z338=""),"",ROUND(IFERROR(VALUE(LEFT($Y338,1)),0)*12+IFERROR(VALUE(LEFT($Z338,1)),0)*8,0))</f>
        <v/>
      </c>
      <c r="AB338" s="45" t="str">
        <f aca="false">IF($AA338="","",IF($AA338&gt;=80,"A - call first",IF($AA338&gt;=60,"B - worth pursuing",IF($AA338&gt;=40,"C - nurture","D - do not spend time here"))))</f>
        <v/>
      </c>
      <c r="AC338" s="46" t="str">
        <f aca="false">IF($C338="","",IF($S338="Converted","7 Certification / Enterprise opportunity",IF($S338="Application Started","7 Certification / Enterprise opportunity",IF($S338="Meeting Booked","6 Meeting / Application",IF(OR($S338="Interested",$S338="Info Requested"),"5 Interested",IF(OR($S338="Declined",$S338="Not Relevant"),"0 Closed - no",IF($R338="Yes","4 Contacted",IF($N338="Yes","2 Engaged",IF($M338="Yes","1 Awareness",IF($AA338&gt;=60,"3 Qualified","1 Awareness"))))))))))</f>
        <v/>
      </c>
    </row>
    <row r="339" customFormat="false" ht="30" hidden="false" customHeight="true" outlineLevel="0" collapsed="false">
      <c r="A339" s="36"/>
      <c r="B339" s="37"/>
      <c r="C339" s="37"/>
      <c r="D339" s="37"/>
      <c r="E339" s="37"/>
      <c r="F339" s="37"/>
      <c r="G339" s="37"/>
      <c r="H339" s="37"/>
      <c r="I339" s="37"/>
      <c r="J339" s="47"/>
      <c r="K339" s="41" t="str">
        <f aca="false">IF(J339="","",IF(J339&gt;=8,"Yes","Check"))</f>
        <v/>
      </c>
      <c r="L339" s="38"/>
      <c r="M339" s="47"/>
      <c r="N339" s="47"/>
      <c r="O339" s="37"/>
      <c r="P339" s="38"/>
      <c r="Q339" s="42" t="str">
        <f aca="false">IF(P339="","",LEN(P339))</f>
        <v/>
      </c>
      <c r="R339" s="47"/>
      <c r="S339" s="37"/>
      <c r="T339" s="38"/>
      <c r="U339" s="43" t="str">
        <f aca="false">IF(OR(R339&lt;&gt;"Yes",A339=""),"",A339+4)</f>
        <v/>
      </c>
      <c r="V339" s="47"/>
      <c r="W339" s="38"/>
      <c r="X339" s="38"/>
      <c r="Y339" s="44"/>
      <c r="Z339" s="44"/>
      <c r="AA339" s="45" t="str">
        <f aca="false">IF(AND($Y339="",$Z339=""),"",ROUND(IFERROR(VALUE(LEFT($Y339,1)),0)*12+IFERROR(VALUE(LEFT($Z339,1)),0)*8,0))</f>
        <v/>
      </c>
      <c r="AB339" s="45" t="str">
        <f aca="false">IF($AA339="","",IF($AA339&gt;=80,"A - call first",IF($AA339&gt;=60,"B - worth pursuing",IF($AA339&gt;=40,"C - nurture","D - do not spend time here"))))</f>
        <v/>
      </c>
      <c r="AC339" s="46" t="str">
        <f aca="false">IF($C339="","",IF($S339="Converted","7 Certification / Enterprise opportunity",IF($S339="Application Started","7 Certification / Enterprise opportunity",IF($S339="Meeting Booked","6 Meeting / Application",IF(OR($S339="Interested",$S339="Info Requested"),"5 Interested",IF(OR($S339="Declined",$S339="Not Relevant"),"0 Closed - no",IF($R339="Yes","4 Contacted",IF($N339="Yes","2 Engaged",IF($M339="Yes","1 Awareness",IF($AA339&gt;=60,"3 Qualified","1 Awareness"))))))))))</f>
        <v/>
      </c>
    </row>
    <row r="340" customFormat="false" ht="30" hidden="false" customHeight="true" outlineLevel="0" collapsed="false">
      <c r="A340" s="36"/>
      <c r="B340" s="37"/>
      <c r="C340" s="37"/>
      <c r="D340" s="37"/>
      <c r="E340" s="37"/>
      <c r="F340" s="37"/>
      <c r="G340" s="37"/>
      <c r="H340" s="37"/>
      <c r="I340" s="37"/>
      <c r="J340" s="47"/>
      <c r="K340" s="41" t="str">
        <f aca="false">IF(J340="","",IF(J340&gt;=8,"Yes","Check"))</f>
        <v/>
      </c>
      <c r="L340" s="38"/>
      <c r="M340" s="47"/>
      <c r="N340" s="47"/>
      <c r="O340" s="37"/>
      <c r="P340" s="38"/>
      <c r="Q340" s="42" t="str">
        <f aca="false">IF(P340="","",LEN(P340))</f>
        <v/>
      </c>
      <c r="R340" s="47"/>
      <c r="S340" s="37"/>
      <c r="T340" s="38"/>
      <c r="U340" s="43" t="str">
        <f aca="false">IF(OR(R340&lt;&gt;"Yes",A340=""),"",A340+4)</f>
        <v/>
      </c>
      <c r="V340" s="47"/>
      <c r="W340" s="38"/>
      <c r="X340" s="38"/>
      <c r="Y340" s="44"/>
      <c r="Z340" s="44"/>
      <c r="AA340" s="45" t="str">
        <f aca="false">IF(AND($Y340="",$Z340=""),"",ROUND(IFERROR(VALUE(LEFT($Y340,1)),0)*12+IFERROR(VALUE(LEFT($Z340,1)),0)*8,0))</f>
        <v/>
      </c>
      <c r="AB340" s="45" t="str">
        <f aca="false">IF($AA340="","",IF($AA340&gt;=80,"A - call first",IF($AA340&gt;=60,"B - worth pursuing",IF($AA340&gt;=40,"C - nurture","D - do not spend time here"))))</f>
        <v/>
      </c>
      <c r="AC340" s="46" t="str">
        <f aca="false">IF($C340="","",IF($S340="Converted","7 Certification / Enterprise opportunity",IF($S340="Application Started","7 Certification / Enterprise opportunity",IF($S340="Meeting Booked","6 Meeting / Application",IF(OR($S340="Interested",$S340="Info Requested"),"5 Interested",IF(OR($S340="Declined",$S340="Not Relevant"),"0 Closed - no",IF($R340="Yes","4 Contacted",IF($N340="Yes","2 Engaged",IF($M340="Yes","1 Awareness",IF($AA340&gt;=60,"3 Qualified","1 Awareness"))))))))))</f>
        <v/>
      </c>
    </row>
    <row r="341" customFormat="false" ht="30" hidden="false" customHeight="true" outlineLevel="0" collapsed="false">
      <c r="A341" s="36"/>
      <c r="B341" s="37"/>
      <c r="C341" s="37"/>
      <c r="D341" s="37"/>
      <c r="E341" s="37"/>
      <c r="F341" s="37"/>
      <c r="G341" s="37"/>
      <c r="H341" s="37"/>
      <c r="I341" s="37"/>
      <c r="J341" s="47"/>
      <c r="K341" s="41" t="str">
        <f aca="false">IF(J341="","",IF(J341&gt;=8,"Yes","Check"))</f>
        <v/>
      </c>
      <c r="L341" s="38"/>
      <c r="M341" s="47"/>
      <c r="N341" s="47"/>
      <c r="O341" s="37"/>
      <c r="P341" s="38"/>
      <c r="Q341" s="42" t="str">
        <f aca="false">IF(P341="","",LEN(P341))</f>
        <v/>
      </c>
      <c r="R341" s="47"/>
      <c r="S341" s="37"/>
      <c r="T341" s="38"/>
      <c r="U341" s="43" t="str">
        <f aca="false">IF(OR(R341&lt;&gt;"Yes",A341=""),"",A341+4)</f>
        <v/>
      </c>
      <c r="V341" s="47"/>
      <c r="W341" s="38"/>
      <c r="X341" s="38"/>
      <c r="Y341" s="44"/>
      <c r="Z341" s="44"/>
      <c r="AA341" s="45" t="str">
        <f aca="false">IF(AND($Y341="",$Z341=""),"",ROUND(IFERROR(VALUE(LEFT($Y341,1)),0)*12+IFERROR(VALUE(LEFT($Z341,1)),0)*8,0))</f>
        <v/>
      </c>
      <c r="AB341" s="45" t="str">
        <f aca="false">IF($AA341="","",IF($AA341&gt;=80,"A - call first",IF($AA341&gt;=60,"B - worth pursuing",IF($AA341&gt;=40,"C - nurture","D - do not spend time here"))))</f>
        <v/>
      </c>
      <c r="AC341" s="46" t="str">
        <f aca="false">IF($C341="","",IF($S341="Converted","7 Certification / Enterprise opportunity",IF($S341="Application Started","7 Certification / Enterprise opportunity",IF($S341="Meeting Booked","6 Meeting / Application",IF(OR($S341="Interested",$S341="Info Requested"),"5 Interested",IF(OR($S341="Declined",$S341="Not Relevant"),"0 Closed - no",IF($R341="Yes","4 Contacted",IF($N341="Yes","2 Engaged",IF($M341="Yes","1 Awareness",IF($AA341&gt;=60,"3 Qualified","1 Awareness"))))))))))</f>
        <v/>
      </c>
    </row>
    <row r="342" customFormat="false" ht="30" hidden="false" customHeight="true" outlineLevel="0" collapsed="false">
      <c r="A342" s="36"/>
      <c r="B342" s="37"/>
      <c r="C342" s="37"/>
      <c r="D342" s="37"/>
      <c r="E342" s="37"/>
      <c r="F342" s="37"/>
      <c r="G342" s="37"/>
      <c r="H342" s="37"/>
      <c r="I342" s="37"/>
      <c r="J342" s="47"/>
      <c r="K342" s="41" t="str">
        <f aca="false">IF(J342="","",IF(J342&gt;=8,"Yes","Check"))</f>
        <v/>
      </c>
      <c r="L342" s="38"/>
      <c r="M342" s="47"/>
      <c r="N342" s="47"/>
      <c r="O342" s="37"/>
      <c r="P342" s="38"/>
      <c r="Q342" s="42" t="str">
        <f aca="false">IF(P342="","",LEN(P342))</f>
        <v/>
      </c>
      <c r="R342" s="47"/>
      <c r="S342" s="37"/>
      <c r="T342" s="38"/>
      <c r="U342" s="43" t="str">
        <f aca="false">IF(OR(R342&lt;&gt;"Yes",A342=""),"",A342+4)</f>
        <v/>
      </c>
      <c r="V342" s="47"/>
      <c r="W342" s="38"/>
      <c r="X342" s="38"/>
      <c r="Y342" s="44"/>
      <c r="Z342" s="44"/>
      <c r="AA342" s="45" t="str">
        <f aca="false">IF(AND($Y342="",$Z342=""),"",ROUND(IFERROR(VALUE(LEFT($Y342,1)),0)*12+IFERROR(VALUE(LEFT($Z342,1)),0)*8,0))</f>
        <v/>
      </c>
      <c r="AB342" s="45" t="str">
        <f aca="false">IF($AA342="","",IF($AA342&gt;=80,"A - call first",IF($AA342&gt;=60,"B - worth pursuing",IF($AA342&gt;=40,"C - nurture","D - do not spend time here"))))</f>
        <v/>
      </c>
      <c r="AC342" s="46" t="str">
        <f aca="false">IF($C342="","",IF($S342="Converted","7 Certification / Enterprise opportunity",IF($S342="Application Started","7 Certification / Enterprise opportunity",IF($S342="Meeting Booked","6 Meeting / Application",IF(OR($S342="Interested",$S342="Info Requested"),"5 Interested",IF(OR($S342="Declined",$S342="Not Relevant"),"0 Closed - no",IF($R342="Yes","4 Contacted",IF($N342="Yes","2 Engaged",IF($M342="Yes","1 Awareness",IF($AA342&gt;=60,"3 Qualified","1 Awareness"))))))))))</f>
        <v/>
      </c>
    </row>
    <row r="343" customFormat="false" ht="30" hidden="false" customHeight="true" outlineLevel="0" collapsed="false">
      <c r="A343" s="36"/>
      <c r="B343" s="37"/>
      <c r="C343" s="37"/>
      <c r="D343" s="37"/>
      <c r="E343" s="37"/>
      <c r="F343" s="37"/>
      <c r="G343" s="37"/>
      <c r="H343" s="37"/>
      <c r="I343" s="37"/>
      <c r="J343" s="47"/>
      <c r="K343" s="41" t="str">
        <f aca="false">IF(J343="","",IF(J343&gt;=8,"Yes","Check"))</f>
        <v/>
      </c>
      <c r="L343" s="38"/>
      <c r="M343" s="47"/>
      <c r="N343" s="47"/>
      <c r="O343" s="37"/>
      <c r="P343" s="38"/>
      <c r="Q343" s="42" t="str">
        <f aca="false">IF(P343="","",LEN(P343))</f>
        <v/>
      </c>
      <c r="R343" s="47"/>
      <c r="S343" s="37"/>
      <c r="T343" s="38"/>
      <c r="U343" s="43" t="str">
        <f aca="false">IF(OR(R343&lt;&gt;"Yes",A343=""),"",A343+4)</f>
        <v/>
      </c>
      <c r="V343" s="47"/>
      <c r="W343" s="38"/>
      <c r="X343" s="38"/>
      <c r="Y343" s="44"/>
      <c r="Z343" s="44"/>
      <c r="AA343" s="45" t="str">
        <f aca="false">IF(AND($Y343="",$Z343=""),"",ROUND(IFERROR(VALUE(LEFT($Y343,1)),0)*12+IFERROR(VALUE(LEFT($Z343,1)),0)*8,0))</f>
        <v/>
      </c>
      <c r="AB343" s="45" t="str">
        <f aca="false">IF($AA343="","",IF($AA343&gt;=80,"A - call first",IF($AA343&gt;=60,"B - worth pursuing",IF($AA343&gt;=40,"C - nurture","D - do not spend time here"))))</f>
        <v/>
      </c>
      <c r="AC343" s="46" t="str">
        <f aca="false">IF($C343="","",IF($S343="Converted","7 Certification / Enterprise opportunity",IF($S343="Application Started","7 Certification / Enterprise opportunity",IF($S343="Meeting Booked","6 Meeting / Application",IF(OR($S343="Interested",$S343="Info Requested"),"5 Interested",IF(OR($S343="Declined",$S343="Not Relevant"),"0 Closed - no",IF($R343="Yes","4 Contacted",IF($N343="Yes","2 Engaged",IF($M343="Yes","1 Awareness",IF($AA343&gt;=60,"3 Qualified","1 Awareness"))))))))))</f>
        <v/>
      </c>
    </row>
    <row r="344" customFormat="false" ht="30" hidden="false" customHeight="true" outlineLevel="0" collapsed="false">
      <c r="A344" s="36"/>
      <c r="B344" s="37"/>
      <c r="C344" s="37"/>
      <c r="D344" s="37"/>
      <c r="E344" s="37"/>
      <c r="F344" s="37"/>
      <c r="G344" s="37"/>
      <c r="H344" s="37"/>
      <c r="I344" s="37"/>
      <c r="J344" s="47"/>
      <c r="K344" s="41" t="str">
        <f aca="false">IF(J344="","",IF(J344&gt;=8,"Yes","Check"))</f>
        <v/>
      </c>
      <c r="L344" s="38"/>
      <c r="M344" s="47"/>
      <c r="N344" s="47"/>
      <c r="O344" s="37"/>
      <c r="P344" s="38"/>
      <c r="Q344" s="42" t="str">
        <f aca="false">IF(P344="","",LEN(P344))</f>
        <v/>
      </c>
      <c r="R344" s="47"/>
      <c r="S344" s="37"/>
      <c r="T344" s="38"/>
      <c r="U344" s="43" t="str">
        <f aca="false">IF(OR(R344&lt;&gt;"Yes",A344=""),"",A344+4)</f>
        <v/>
      </c>
      <c r="V344" s="47"/>
      <c r="W344" s="38"/>
      <c r="X344" s="38"/>
      <c r="Y344" s="44"/>
      <c r="Z344" s="44"/>
      <c r="AA344" s="45" t="str">
        <f aca="false">IF(AND($Y344="",$Z344=""),"",ROUND(IFERROR(VALUE(LEFT($Y344,1)),0)*12+IFERROR(VALUE(LEFT($Z344,1)),0)*8,0))</f>
        <v/>
      </c>
      <c r="AB344" s="45" t="str">
        <f aca="false">IF($AA344="","",IF($AA344&gt;=80,"A - call first",IF($AA344&gt;=60,"B - worth pursuing",IF($AA344&gt;=40,"C - nurture","D - do not spend time here"))))</f>
        <v/>
      </c>
      <c r="AC344" s="46" t="str">
        <f aca="false">IF($C344="","",IF($S344="Converted","7 Certification / Enterprise opportunity",IF($S344="Application Started","7 Certification / Enterprise opportunity",IF($S344="Meeting Booked","6 Meeting / Application",IF(OR($S344="Interested",$S344="Info Requested"),"5 Interested",IF(OR($S344="Declined",$S344="Not Relevant"),"0 Closed - no",IF($R344="Yes","4 Contacted",IF($N344="Yes","2 Engaged",IF($M344="Yes","1 Awareness",IF($AA344&gt;=60,"3 Qualified","1 Awareness"))))))))))</f>
        <v/>
      </c>
    </row>
    <row r="345" customFormat="false" ht="30" hidden="false" customHeight="true" outlineLevel="0" collapsed="false">
      <c r="A345" s="36"/>
      <c r="B345" s="37"/>
      <c r="C345" s="37"/>
      <c r="D345" s="37"/>
      <c r="E345" s="37"/>
      <c r="F345" s="37"/>
      <c r="G345" s="37"/>
      <c r="H345" s="37"/>
      <c r="I345" s="37"/>
      <c r="J345" s="47"/>
      <c r="K345" s="41" t="str">
        <f aca="false">IF(J345="","",IF(J345&gt;=8,"Yes","Check"))</f>
        <v/>
      </c>
      <c r="L345" s="38"/>
      <c r="M345" s="47"/>
      <c r="N345" s="47"/>
      <c r="O345" s="37"/>
      <c r="P345" s="38"/>
      <c r="Q345" s="42" t="str">
        <f aca="false">IF(P345="","",LEN(P345))</f>
        <v/>
      </c>
      <c r="R345" s="47"/>
      <c r="S345" s="37"/>
      <c r="T345" s="38"/>
      <c r="U345" s="43" t="str">
        <f aca="false">IF(OR(R345&lt;&gt;"Yes",A345=""),"",A345+4)</f>
        <v/>
      </c>
      <c r="V345" s="47"/>
      <c r="W345" s="38"/>
      <c r="X345" s="38"/>
      <c r="Y345" s="44"/>
      <c r="Z345" s="44"/>
      <c r="AA345" s="45" t="str">
        <f aca="false">IF(AND($Y345="",$Z345=""),"",ROUND(IFERROR(VALUE(LEFT($Y345,1)),0)*12+IFERROR(VALUE(LEFT($Z345,1)),0)*8,0))</f>
        <v/>
      </c>
      <c r="AB345" s="45" t="str">
        <f aca="false">IF($AA345="","",IF($AA345&gt;=80,"A - call first",IF($AA345&gt;=60,"B - worth pursuing",IF($AA345&gt;=40,"C - nurture","D - do not spend time here"))))</f>
        <v/>
      </c>
      <c r="AC345" s="46" t="str">
        <f aca="false">IF($C345="","",IF($S345="Converted","7 Certification / Enterprise opportunity",IF($S345="Application Started","7 Certification / Enterprise opportunity",IF($S345="Meeting Booked","6 Meeting / Application",IF(OR($S345="Interested",$S345="Info Requested"),"5 Interested",IF(OR($S345="Declined",$S345="Not Relevant"),"0 Closed - no",IF($R345="Yes","4 Contacted",IF($N345="Yes","2 Engaged",IF($M345="Yes","1 Awareness",IF($AA345&gt;=60,"3 Qualified","1 Awareness"))))))))))</f>
        <v/>
      </c>
    </row>
    <row r="346" customFormat="false" ht="30" hidden="false" customHeight="true" outlineLevel="0" collapsed="false">
      <c r="A346" s="36"/>
      <c r="B346" s="37"/>
      <c r="C346" s="37"/>
      <c r="D346" s="37"/>
      <c r="E346" s="37"/>
      <c r="F346" s="37"/>
      <c r="G346" s="37"/>
      <c r="H346" s="37"/>
      <c r="I346" s="37"/>
      <c r="J346" s="47"/>
      <c r="K346" s="41" t="str">
        <f aca="false">IF(J346="","",IF(J346&gt;=8,"Yes","Check"))</f>
        <v/>
      </c>
      <c r="L346" s="38"/>
      <c r="M346" s="47"/>
      <c r="N346" s="47"/>
      <c r="O346" s="37"/>
      <c r="P346" s="38"/>
      <c r="Q346" s="42" t="str">
        <f aca="false">IF(P346="","",LEN(P346))</f>
        <v/>
      </c>
      <c r="R346" s="47"/>
      <c r="S346" s="37"/>
      <c r="T346" s="38"/>
      <c r="U346" s="43" t="str">
        <f aca="false">IF(OR(R346&lt;&gt;"Yes",A346=""),"",A346+4)</f>
        <v/>
      </c>
      <c r="V346" s="47"/>
      <c r="W346" s="38"/>
      <c r="X346" s="38"/>
      <c r="Y346" s="44"/>
      <c r="Z346" s="44"/>
      <c r="AA346" s="45" t="str">
        <f aca="false">IF(AND($Y346="",$Z346=""),"",ROUND(IFERROR(VALUE(LEFT($Y346,1)),0)*12+IFERROR(VALUE(LEFT($Z346,1)),0)*8,0))</f>
        <v/>
      </c>
      <c r="AB346" s="45" t="str">
        <f aca="false">IF($AA346="","",IF($AA346&gt;=80,"A - call first",IF($AA346&gt;=60,"B - worth pursuing",IF($AA346&gt;=40,"C - nurture","D - do not spend time here"))))</f>
        <v/>
      </c>
      <c r="AC346" s="46" t="str">
        <f aca="false">IF($C346="","",IF($S346="Converted","7 Certification / Enterprise opportunity",IF($S346="Application Started","7 Certification / Enterprise opportunity",IF($S346="Meeting Booked","6 Meeting / Application",IF(OR($S346="Interested",$S346="Info Requested"),"5 Interested",IF(OR($S346="Declined",$S346="Not Relevant"),"0 Closed - no",IF($R346="Yes","4 Contacted",IF($N346="Yes","2 Engaged",IF($M346="Yes","1 Awareness",IF($AA346&gt;=60,"3 Qualified","1 Awareness"))))))))))</f>
        <v/>
      </c>
    </row>
    <row r="347" customFormat="false" ht="30" hidden="false" customHeight="true" outlineLevel="0" collapsed="false">
      <c r="A347" s="36"/>
      <c r="B347" s="37"/>
      <c r="C347" s="37"/>
      <c r="D347" s="37"/>
      <c r="E347" s="37"/>
      <c r="F347" s="37"/>
      <c r="G347" s="37"/>
      <c r="H347" s="37"/>
      <c r="I347" s="37"/>
      <c r="J347" s="47"/>
      <c r="K347" s="41" t="str">
        <f aca="false">IF(J347="","",IF(J347&gt;=8,"Yes","Check"))</f>
        <v/>
      </c>
      <c r="L347" s="38"/>
      <c r="M347" s="47"/>
      <c r="N347" s="47"/>
      <c r="O347" s="37"/>
      <c r="P347" s="38"/>
      <c r="Q347" s="42" t="str">
        <f aca="false">IF(P347="","",LEN(P347))</f>
        <v/>
      </c>
      <c r="R347" s="47"/>
      <c r="S347" s="37"/>
      <c r="T347" s="38"/>
      <c r="U347" s="43" t="str">
        <f aca="false">IF(OR(R347&lt;&gt;"Yes",A347=""),"",A347+4)</f>
        <v/>
      </c>
      <c r="V347" s="47"/>
      <c r="W347" s="38"/>
      <c r="X347" s="38"/>
      <c r="Y347" s="44"/>
      <c r="Z347" s="44"/>
      <c r="AA347" s="45" t="str">
        <f aca="false">IF(AND($Y347="",$Z347=""),"",ROUND(IFERROR(VALUE(LEFT($Y347,1)),0)*12+IFERROR(VALUE(LEFT($Z347,1)),0)*8,0))</f>
        <v/>
      </c>
      <c r="AB347" s="45" t="str">
        <f aca="false">IF($AA347="","",IF($AA347&gt;=80,"A - call first",IF($AA347&gt;=60,"B - worth pursuing",IF($AA347&gt;=40,"C - nurture","D - do not spend time here"))))</f>
        <v/>
      </c>
      <c r="AC347" s="46" t="str">
        <f aca="false">IF($C347="","",IF($S347="Converted","7 Certification / Enterprise opportunity",IF($S347="Application Started","7 Certification / Enterprise opportunity",IF($S347="Meeting Booked","6 Meeting / Application",IF(OR($S347="Interested",$S347="Info Requested"),"5 Interested",IF(OR($S347="Declined",$S347="Not Relevant"),"0 Closed - no",IF($R347="Yes","4 Contacted",IF($N347="Yes","2 Engaged",IF($M347="Yes","1 Awareness",IF($AA347&gt;=60,"3 Qualified","1 Awareness"))))))))))</f>
        <v/>
      </c>
    </row>
    <row r="348" customFormat="false" ht="30" hidden="false" customHeight="true" outlineLevel="0" collapsed="false">
      <c r="A348" s="36"/>
      <c r="B348" s="37"/>
      <c r="C348" s="37"/>
      <c r="D348" s="37"/>
      <c r="E348" s="37"/>
      <c r="F348" s="37"/>
      <c r="G348" s="37"/>
      <c r="H348" s="37"/>
      <c r="I348" s="37"/>
      <c r="J348" s="47"/>
      <c r="K348" s="41" t="str">
        <f aca="false">IF(J348="","",IF(J348&gt;=8,"Yes","Check"))</f>
        <v/>
      </c>
      <c r="L348" s="38"/>
      <c r="M348" s="47"/>
      <c r="N348" s="47"/>
      <c r="O348" s="37"/>
      <c r="P348" s="38"/>
      <c r="Q348" s="42" t="str">
        <f aca="false">IF(P348="","",LEN(P348))</f>
        <v/>
      </c>
      <c r="R348" s="47"/>
      <c r="S348" s="37"/>
      <c r="T348" s="38"/>
      <c r="U348" s="43" t="str">
        <f aca="false">IF(OR(R348&lt;&gt;"Yes",A348=""),"",A348+4)</f>
        <v/>
      </c>
      <c r="V348" s="47"/>
      <c r="W348" s="38"/>
      <c r="X348" s="38"/>
      <c r="Y348" s="44"/>
      <c r="Z348" s="44"/>
      <c r="AA348" s="45" t="str">
        <f aca="false">IF(AND($Y348="",$Z348=""),"",ROUND(IFERROR(VALUE(LEFT($Y348,1)),0)*12+IFERROR(VALUE(LEFT($Z348,1)),0)*8,0))</f>
        <v/>
      </c>
      <c r="AB348" s="45" t="str">
        <f aca="false">IF($AA348="","",IF($AA348&gt;=80,"A - call first",IF($AA348&gt;=60,"B - worth pursuing",IF($AA348&gt;=40,"C - nurture","D - do not spend time here"))))</f>
        <v/>
      </c>
      <c r="AC348" s="46" t="str">
        <f aca="false">IF($C348="","",IF($S348="Converted","7 Certification / Enterprise opportunity",IF($S348="Application Started","7 Certification / Enterprise opportunity",IF($S348="Meeting Booked","6 Meeting / Application",IF(OR($S348="Interested",$S348="Info Requested"),"5 Interested",IF(OR($S348="Declined",$S348="Not Relevant"),"0 Closed - no",IF($R348="Yes","4 Contacted",IF($N348="Yes","2 Engaged",IF($M348="Yes","1 Awareness",IF($AA348&gt;=60,"3 Qualified","1 Awareness"))))))))))</f>
        <v/>
      </c>
    </row>
    <row r="349" customFormat="false" ht="30" hidden="false" customHeight="true" outlineLevel="0" collapsed="false">
      <c r="A349" s="36"/>
      <c r="B349" s="37"/>
      <c r="C349" s="37"/>
      <c r="D349" s="37"/>
      <c r="E349" s="37"/>
      <c r="F349" s="37"/>
      <c r="G349" s="37"/>
      <c r="H349" s="37"/>
      <c r="I349" s="37"/>
      <c r="J349" s="47"/>
      <c r="K349" s="41" t="str">
        <f aca="false">IF(J349="","",IF(J349&gt;=8,"Yes","Check"))</f>
        <v/>
      </c>
      <c r="L349" s="38"/>
      <c r="M349" s="47"/>
      <c r="N349" s="47"/>
      <c r="O349" s="37"/>
      <c r="P349" s="38"/>
      <c r="Q349" s="42" t="str">
        <f aca="false">IF(P349="","",LEN(P349))</f>
        <v/>
      </c>
      <c r="R349" s="47"/>
      <c r="S349" s="37"/>
      <c r="T349" s="38"/>
      <c r="U349" s="43" t="str">
        <f aca="false">IF(OR(R349&lt;&gt;"Yes",A349=""),"",A349+4)</f>
        <v/>
      </c>
      <c r="V349" s="47"/>
      <c r="W349" s="38"/>
      <c r="X349" s="38"/>
      <c r="Y349" s="44"/>
      <c r="Z349" s="44"/>
      <c r="AA349" s="45" t="str">
        <f aca="false">IF(AND($Y349="",$Z349=""),"",ROUND(IFERROR(VALUE(LEFT($Y349,1)),0)*12+IFERROR(VALUE(LEFT($Z349,1)),0)*8,0))</f>
        <v/>
      </c>
      <c r="AB349" s="45" t="str">
        <f aca="false">IF($AA349="","",IF($AA349&gt;=80,"A - call first",IF($AA349&gt;=60,"B - worth pursuing",IF($AA349&gt;=40,"C - nurture","D - do not spend time here"))))</f>
        <v/>
      </c>
      <c r="AC349" s="46" t="str">
        <f aca="false">IF($C349="","",IF($S349="Converted","7 Certification / Enterprise opportunity",IF($S349="Application Started","7 Certification / Enterprise opportunity",IF($S349="Meeting Booked","6 Meeting / Application",IF(OR($S349="Interested",$S349="Info Requested"),"5 Interested",IF(OR($S349="Declined",$S349="Not Relevant"),"0 Closed - no",IF($R349="Yes","4 Contacted",IF($N349="Yes","2 Engaged",IF($M349="Yes","1 Awareness",IF($AA349&gt;=60,"3 Qualified","1 Awareness"))))))))))</f>
        <v/>
      </c>
    </row>
    <row r="350" customFormat="false" ht="30" hidden="false" customHeight="true" outlineLevel="0" collapsed="false">
      <c r="A350" s="36"/>
      <c r="B350" s="37"/>
      <c r="C350" s="37"/>
      <c r="D350" s="37"/>
      <c r="E350" s="37"/>
      <c r="F350" s="37"/>
      <c r="G350" s="37"/>
      <c r="H350" s="37"/>
      <c r="I350" s="37"/>
      <c r="J350" s="47"/>
      <c r="K350" s="41" t="str">
        <f aca="false">IF(J350="","",IF(J350&gt;=8,"Yes","Check"))</f>
        <v/>
      </c>
      <c r="L350" s="38"/>
      <c r="M350" s="47"/>
      <c r="N350" s="47"/>
      <c r="O350" s="37"/>
      <c r="P350" s="38"/>
      <c r="Q350" s="42" t="str">
        <f aca="false">IF(P350="","",LEN(P350))</f>
        <v/>
      </c>
      <c r="R350" s="47"/>
      <c r="S350" s="37"/>
      <c r="T350" s="38"/>
      <c r="U350" s="43" t="str">
        <f aca="false">IF(OR(R350&lt;&gt;"Yes",A350=""),"",A350+4)</f>
        <v/>
      </c>
      <c r="V350" s="47"/>
      <c r="W350" s="38"/>
      <c r="X350" s="38"/>
      <c r="Y350" s="44"/>
      <c r="Z350" s="44"/>
      <c r="AA350" s="45" t="str">
        <f aca="false">IF(AND($Y350="",$Z350=""),"",ROUND(IFERROR(VALUE(LEFT($Y350,1)),0)*12+IFERROR(VALUE(LEFT($Z350,1)),0)*8,0))</f>
        <v/>
      </c>
      <c r="AB350" s="45" t="str">
        <f aca="false">IF($AA350="","",IF($AA350&gt;=80,"A - call first",IF($AA350&gt;=60,"B - worth pursuing",IF($AA350&gt;=40,"C - nurture","D - do not spend time here"))))</f>
        <v/>
      </c>
      <c r="AC350" s="46" t="str">
        <f aca="false">IF($C350="","",IF($S350="Converted","7 Certification / Enterprise opportunity",IF($S350="Application Started","7 Certification / Enterprise opportunity",IF($S350="Meeting Booked","6 Meeting / Application",IF(OR($S350="Interested",$S350="Info Requested"),"5 Interested",IF(OR($S350="Declined",$S350="Not Relevant"),"0 Closed - no",IF($R350="Yes","4 Contacted",IF($N350="Yes","2 Engaged",IF($M350="Yes","1 Awareness",IF($AA350&gt;=60,"3 Qualified","1 Awareness"))))))))))</f>
        <v/>
      </c>
    </row>
    <row r="351" customFormat="false" ht="30" hidden="false" customHeight="true" outlineLevel="0" collapsed="false">
      <c r="A351" s="36"/>
      <c r="B351" s="37"/>
      <c r="C351" s="37"/>
      <c r="D351" s="37"/>
      <c r="E351" s="37"/>
      <c r="F351" s="37"/>
      <c r="G351" s="37"/>
      <c r="H351" s="37"/>
      <c r="I351" s="37"/>
      <c r="J351" s="47"/>
      <c r="K351" s="41" t="str">
        <f aca="false">IF(J351="","",IF(J351&gt;=8,"Yes","Check"))</f>
        <v/>
      </c>
      <c r="L351" s="38"/>
      <c r="M351" s="47"/>
      <c r="N351" s="47"/>
      <c r="O351" s="37"/>
      <c r="P351" s="38"/>
      <c r="Q351" s="42" t="str">
        <f aca="false">IF(P351="","",LEN(P351))</f>
        <v/>
      </c>
      <c r="R351" s="47"/>
      <c r="S351" s="37"/>
      <c r="T351" s="38"/>
      <c r="U351" s="43" t="str">
        <f aca="false">IF(OR(R351&lt;&gt;"Yes",A351=""),"",A351+4)</f>
        <v/>
      </c>
      <c r="V351" s="47"/>
      <c r="W351" s="38"/>
      <c r="X351" s="38"/>
      <c r="Y351" s="44"/>
      <c r="Z351" s="44"/>
      <c r="AA351" s="45" t="str">
        <f aca="false">IF(AND($Y351="",$Z351=""),"",ROUND(IFERROR(VALUE(LEFT($Y351,1)),0)*12+IFERROR(VALUE(LEFT($Z351,1)),0)*8,0))</f>
        <v/>
      </c>
      <c r="AB351" s="45" t="str">
        <f aca="false">IF($AA351="","",IF($AA351&gt;=80,"A - call first",IF($AA351&gt;=60,"B - worth pursuing",IF($AA351&gt;=40,"C - nurture","D - do not spend time here"))))</f>
        <v/>
      </c>
      <c r="AC351" s="46" t="str">
        <f aca="false">IF($C351="","",IF($S351="Converted","7 Certification / Enterprise opportunity",IF($S351="Application Started","7 Certification / Enterprise opportunity",IF($S351="Meeting Booked","6 Meeting / Application",IF(OR($S351="Interested",$S351="Info Requested"),"5 Interested",IF(OR($S351="Declined",$S351="Not Relevant"),"0 Closed - no",IF($R351="Yes","4 Contacted",IF($N351="Yes","2 Engaged",IF($M351="Yes","1 Awareness",IF($AA351&gt;=60,"3 Qualified","1 Awareness"))))))))))</f>
        <v/>
      </c>
    </row>
    <row r="352" customFormat="false" ht="30" hidden="false" customHeight="true" outlineLevel="0" collapsed="false">
      <c r="A352" s="36"/>
      <c r="B352" s="37"/>
      <c r="C352" s="37"/>
      <c r="D352" s="37"/>
      <c r="E352" s="37"/>
      <c r="F352" s="37"/>
      <c r="G352" s="37"/>
      <c r="H352" s="37"/>
      <c r="I352" s="37"/>
      <c r="J352" s="47"/>
      <c r="K352" s="41" t="str">
        <f aca="false">IF(J352="","",IF(J352&gt;=8,"Yes","Check"))</f>
        <v/>
      </c>
      <c r="L352" s="38"/>
      <c r="M352" s="47"/>
      <c r="N352" s="47"/>
      <c r="O352" s="37"/>
      <c r="P352" s="38"/>
      <c r="Q352" s="42" t="str">
        <f aca="false">IF(P352="","",LEN(P352))</f>
        <v/>
      </c>
      <c r="R352" s="47"/>
      <c r="S352" s="37"/>
      <c r="T352" s="38"/>
      <c r="U352" s="43" t="str">
        <f aca="false">IF(OR(R352&lt;&gt;"Yes",A352=""),"",A352+4)</f>
        <v/>
      </c>
      <c r="V352" s="47"/>
      <c r="W352" s="38"/>
      <c r="X352" s="38"/>
      <c r="Y352" s="44"/>
      <c r="Z352" s="44"/>
      <c r="AA352" s="45" t="str">
        <f aca="false">IF(AND($Y352="",$Z352=""),"",ROUND(IFERROR(VALUE(LEFT($Y352,1)),0)*12+IFERROR(VALUE(LEFT($Z352,1)),0)*8,0))</f>
        <v/>
      </c>
      <c r="AB352" s="45" t="str">
        <f aca="false">IF($AA352="","",IF($AA352&gt;=80,"A - call first",IF($AA352&gt;=60,"B - worth pursuing",IF($AA352&gt;=40,"C - nurture","D - do not spend time here"))))</f>
        <v/>
      </c>
      <c r="AC352" s="46" t="str">
        <f aca="false">IF($C352="","",IF($S352="Converted","7 Certification / Enterprise opportunity",IF($S352="Application Started","7 Certification / Enterprise opportunity",IF($S352="Meeting Booked","6 Meeting / Application",IF(OR($S352="Interested",$S352="Info Requested"),"5 Interested",IF(OR($S352="Declined",$S352="Not Relevant"),"0 Closed - no",IF($R352="Yes","4 Contacted",IF($N352="Yes","2 Engaged",IF($M352="Yes","1 Awareness",IF($AA352&gt;=60,"3 Qualified","1 Awareness"))))))))))</f>
        <v/>
      </c>
    </row>
    <row r="353" customFormat="false" ht="30" hidden="false" customHeight="true" outlineLevel="0" collapsed="false">
      <c r="A353" s="36"/>
      <c r="B353" s="37"/>
      <c r="C353" s="37"/>
      <c r="D353" s="37"/>
      <c r="E353" s="37"/>
      <c r="F353" s="37"/>
      <c r="G353" s="37"/>
      <c r="H353" s="37"/>
      <c r="I353" s="37"/>
      <c r="J353" s="47"/>
      <c r="K353" s="41" t="str">
        <f aca="false">IF(J353="","",IF(J353&gt;=8,"Yes","Check"))</f>
        <v/>
      </c>
      <c r="L353" s="38"/>
      <c r="M353" s="47"/>
      <c r="N353" s="47"/>
      <c r="O353" s="37"/>
      <c r="P353" s="38"/>
      <c r="Q353" s="42" t="str">
        <f aca="false">IF(P353="","",LEN(P353))</f>
        <v/>
      </c>
      <c r="R353" s="47"/>
      <c r="S353" s="37"/>
      <c r="T353" s="38"/>
      <c r="U353" s="43" t="str">
        <f aca="false">IF(OR(R353&lt;&gt;"Yes",A353=""),"",A353+4)</f>
        <v/>
      </c>
      <c r="V353" s="47"/>
      <c r="W353" s="38"/>
      <c r="X353" s="38"/>
      <c r="Y353" s="44"/>
      <c r="Z353" s="44"/>
      <c r="AA353" s="45" t="str">
        <f aca="false">IF(AND($Y353="",$Z353=""),"",ROUND(IFERROR(VALUE(LEFT($Y353,1)),0)*12+IFERROR(VALUE(LEFT($Z353,1)),0)*8,0))</f>
        <v/>
      </c>
      <c r="AB353" s="45" t="str">
        <f aca="false">IF($AA353="","",IF($AA353&gt;=80,"A - call first",IF($AA353&gt;=60,"B - worth pursuing",IF($AA353&gt;=40,"C - nurture","D - do not spend time here"))))</f>
        <v/>
      </c>
      <c r="AC353" s="46" t="str">
        <f aca="false">IF($C353="","",IF($S353="Converted","7 Certification / Enterprise opportunity",IF($S353="Application Started","7 Certification / Enterprise opportunity",IF($S353="Meeting Booked","6 Meeting / Application",IF(OR($S353="Interested",$S353="Info Requested"),"5 Interested",IF(OR($S353="Declined",$S353="Not Relevant"),"0 Closed - no",IF($R353="Yes","4 Contacted",IF($N353="Yes","2 Engaged",IF($M353="Yes","1 Awareness",IF($AA353&gt;=60,"3 Qualified","1 Awareness"))))))))))</f>
        <v/>
      </c>
    </row>
    <row r="354" customFormat="false" ht="30" hidden="false" customHeight="true" outlineLevel="0" collapsed="false">
      <c r="A354" s="36"/>
      <c r="B354" s="37"/>
      <c r="C354" s="37"/>
      <c r="D354" s="37"/>
      <c r="E354" s="37"/>
      <c r="F354" s="37"/>
      <c r="G354" s="37"/>
      <c r="H354" s="37"/>
      <c r="I354" s="37"/>
      <c r="J354" s="47"/>
      <c r="K354" s="41" t="str">
        <f aca="false">IF(J354="","",IF(J354&gt;=8,"Yes","Check"))</f>
        <v/>
      </c>
      <c r="L354" s="38"/>
      <c r="M354" s="47"/>
      <c r="N354" s="47"/>
      <c r="O354" s="37"/>
      <c r="P354" s="38"/>
      <c r="Q354" s="42" t="str">
        <f aca="false">IF(P354="","",LEN(P354))</f>
        <v/>
      </c>
      <c r="R354" s="47"/>
      <c r="S354" s="37"/>
      <c r="T354" s="38"/>
      <c r="U354" s="43" t="str">
        <f aca="false">IF(OR(R354&lt;&gt;"Yes",A354=""),"",A354+4)</f>
        <v/>
      </c>
      <c r="V354" s="47"/>
      <c r="W354" s="38"/>
      <c r="X354" s="38"/>
      <c r="Y354" s="44"/>
      <c r="Z354" s="44"/>
      <c r="AA354" s="45" t="str">
        <f aca="false">IF(AND($Y354="",$Z354=""),"",ROUND(IFERROR(VALUE(LEFT($Y354,1)),0)*12+IFERROR(VALUE(LEFT($Z354,1)),0)*8,0))</f>
        <v/>
      </c>
      <c r="AB354" s="45" t="str">
        <f aca="false">IF($AA354="","",IF($AA354&gt;=80,"A - call first",IF($AA354&gt;=60,"B - worth pursuing",IF($AA354&gt;=40,"C - nurture","D - do not spend time here"))))</f>
        <v/>
      </c>
      <c r="AC354" s="46" t="str">
        <f aca="false">IF($C354="","",IF($S354="Converted","7 Certification / Enterprise opportunity",IF($S354="Application Started","7 Certification / Enterprise opportunity",IF($S354="Meeting Booked","6 Meeting / Application",IF(OR($S354="Interested",$S354="Info Requested"),"5 Interested",IF(OR($S354="Declined",$S354="Not Relevant"),"0 Closed - no",IF($R354="Yes","4 Contacted",IF($N354="Yes","2 Engaged",IF($M354="Yes","1 Awareness",IF($AA354&gt;=60,"3 Qualified","1 Awareness"))))))))))</f>
        <v/>
      </c>
    </row>
    <row r="355" customFormat="false" ht="30" hidden="false" customHeight="true" outlineLevel="0" collapsed="false">
      <c r="A355" s="36"/>
      <c r="B355" s="37"/>
      <c r="C355" s="37"/>
      <c r="D355" s="37"/>
      <c r="E355" s="37"/>
      <c r="F355" s="37"/>
      <c r="G355" s="37"/>
      <c r="H355" s="37"/>
      <c r="I355" s="37"/>
      <c r="J355" s="47"/>
      <c r="K355" s="41" t="str">
        <f aca="false">IF(J355="","",IF(J355&gt;=8,"Yes","Check"))</f>
        <v/>
      </c>
      <c r="L355" s="38"/>
      <c r="M355" s="47"/>
      <c r="N355" s="47"/>
      <c r="O355" s="37"/>
      <c r="P355" s="38"/>
      <c r="Q355" s="42" t="str">
        <f aca="false">IF(P355="","",LEN(P355))</f>
        <v/>
      </c>
      <c r="R355" s="47"/>
      <c r="S355" s="37"/>
      <c r="T355" s="38"/>
      <c r="U355" s="43" t="str">
        <f aca="false">IF(OR(R355&lt;&gt;"Yes",A355=""),"",A355+4)</f>
        <v/>
      </c>
      <c r="V355" s="47"/>
      <c r="W355" s="38"/>
      <c r="X355" s="38"/>
      <c r="Y355" s="44"/>
      <c r="Z355" s="44"/>
      <c r="AA355" s="45" t="str">
        <f aca="false">IF(AND($Y355="",$Z355=""),"",ROUND(IFERROR(VALUE(LEFT($Y355,1)),0)*12+IFERROR(VALUE(LEFT($Z355,1)),0)*8,0))</f>
        <v/>
      </c>
      <c r="AB355" s="45" t="str">
        <f aca="false">IF($AA355="","",IF($AA355&gt;=80,"A - call first",IF($AA355&gt;=60,"B - worth pursuing",IF($AA355&gt;=40,"C - nurture","D - do not spend time here"))))</f>
        <v/>
      </c>
      <c r="AC355" s="46" t="str">
        <f aca="false">IF($C355="","",IF($S355="Converted","7 Certification / Enterprise opportunity",IF($S355="Application Started","7 Certification / Enterprise opportunity",IF($S355="Meeting Booked","6 Meeting / Application",IF(OR($S355="Interested",$S355="Info Requested"),"5 Interested",IF(OR($S355="Declined",$S355="Not Relevant"),"0 Closed - no",IF($R355="Yes","4 Contacted",IF($N355="Yes","2 Engaged",IF($M355="Yes","1 Awareness",IF($AA355&gt;=60,"3 Qualified","1 Awareness"))))))))))</f>
        <v/>
      </c>
    </row>
    <row r="356" customFormat="false" ht="30" hidden="false" customHeight="true" outlineLevel="0" collapsed="false">
      <c r="A356" s="36"/>
      <c r="B356" s="37"/>
      <c r="C356" s="37"/>
      <c r="D356" s="37"/>
      <c r="E356" s="37"/>
      <c r="F356" s="37"/>
      <c r="G356" s="37"/>
      <c r="H356" s="37"/>
      <c r="I356" s="37"/>
      <c r="J356" s="47"/>
      <c r="K356" s="41" t="str">
        <f aca="false">IF(J356="","",IF(J356&gt;=8,"Yes","Check"))</f>
        <v/>
      </c>
      <c r="L356" s="38"/>
      <c r="M356" s="47"/>
      <c r="N356" s="47"/>
      <c r="O356" s="37"/>
      <c r="P356" s="38"/>
      <c r="Q356" s="42" t="str">
        <f aca="false">IF(P356="","",LEN(P356))</f>
        <v/>
      </c>
      <c r="R356" s="47"/>
      <c r="S356" s="37"/>
      <c r="T356" s="38"/>
      <c r="U356" s="43" t="str">
        <f aca="false">IF(OR(R356&lt;&gt;"Yes",A356=""),"",A356+4)</f>
        <v/>
      </c>
      <c r="V356" s="47"/>
      <c r="W356" s="38"/>
      <c r="X356" s="38"/>
      <c r="Y356" s="44"/>
      <c r="Z356" s="44"/>
      <c r="AA356" s="45" t="str">
        <f aca="false">IF(AND($Y356="",$Z356=""),"",ROUND(IFERROR(VALUE(LEFT($Y356,1)),0)*12+IFERROR(VALUE(LEFT($Z356,1)),0)*8,0))</f>
        <v/>
      </c>
      <c r="AB356" s="45" t="str">
        <f aca="false">IF($AA356="","",IF($AA356&gt;=80,"A - call first",IF($AA356&gt;=60,"B - worth pursuing",IF($AA356&gt;=40,"C - nurture","D - do not spend time here"))))</f>
        <v/>
      </c>
      <c r="AC356" s="46" t="str">
        <f aca="false">IF($C356="","",IF($S356="Converted","7 Certification / Enterprise opportunity",IF($S356="Application Started","7 Certification / Enterprise opportunity",IF($S356="Meeting Booked","6 Meeting / Application",IF(OR($S356="Interested",$S356="Info Requested"),"5 Interested",IF(OR($S356="Declined",$S356="Not Relevant"),"0 Closed - no",IF($R356="Yes","4 Contacted",IF($N356="Yes","2 Engaged",IF($M356="Yes","1 Awareness",IF($AA356&gt;=60,"3 Qualified","1 Awareness"))))))))))</f>
        <v/>
      </c>
    </row>
    <row r="357" customFormat="false" ht="30" hidden="false" customHeight="true" outlineLevel="0" collapsed="false">
      <c r="A357" s="36"/>
      <c r="B357" s="37"/>
      <c r="C357" s="37"/>
      <c r="D357" s="37"/>
      <c r="E357" s="37"/>
      <c r="F357" s="37"/>
      <c r="G357" s="37"/>
      <c r="H357" s="37"/>
      <c r="I357" s="37"/>
      <c r="J357" s="47"/>
      <c r="K357" s="41" t="str">
        <f aca="false">IF(J357="","",IF(J357&gt;=8,"Yes","Check"))</f>
        <v/>
      </c>
      <c r="L357" s="38"/>
      <c r="M357" s="47"/>
      <c r="N357" s="47"/>
      <c r="O357" s="37"/>
      <c r="P357" s="38"/>
      <c r="Q357" s="42" t="str">
        <f aca="false">IF(P357="","",LEN(P357))</f>
        <v/>
      </c>
      <c r="R357" s="47"/>
      <c r="S357" s="37"/>
      <c r="T357" s="38"/>
      <c r="U357" s="43" t="str">
        <f aca="false">IF(OR(R357&lt;&gt;"Yes",A357=""),"",A357+4)</f>
        <v/>
      </c>
      <c r="V357" s="47"/>
      <c r="W357" s="38"/>
      <c r="X357" s="38"/>
      <c r="Y357" s="44"/>
      <c r="Z357" s="44"/>
      <c r="AA357" s="45" t="str">
        <f aca="false">IF(AND($Y357="",$Z357=""),"",ROUND(IFERROR(VALUE(LEFT($Y357,1)),0)*12+IFERROR(VALUE(LEFT($Z357,1)),0)*8,0))</f>
        <v/>
      </c>
      <c r="AB357" s="45" t="str">
        <f aca="false">IF($AA357="","",IF($AA357&gt;=80,"A - call first",IF($AA357&gt;=60,"B - worth pursuing",IF($AA357&gt;=40,"C - nurture","D - do not spend time here"))))</f>
        <v/>
      </c>
      <c r="AC357" s="46" t="str">
        <f aca="false">IF($C357="","",IF($S357="Converted","7 Certification / Enterprise opportunity",IF($S357="Application Started","7 Certification / Enterprise opportunity",IF($S357="Meeting Booked","6 Meeting / Application",IF(OR($S357="Interested",$S357="Info Requested"),"5 Interested",IF(OR($S357="Declined",$S357="Not Relevant"),"0 Closed - no",IF($R357="Yes","4 Contacted",IF($N357="Yes","2 Engaged",IF($M357="Yes","1 Awareness",IF($AA357&gt;=60,"3 Qualified","1 Awareness"))))))))))</f>
        <v/>
      </c>
    </row>
    <row r="358" customFormat="false" ht="30" hidden="false" customHeight="true" outlineLevel="0" collapsed="false">
      <c r="A358" s="36"/>
      <c r="B358" s="37"/>
      <c r="C358" s="37"/>
      <c r="D358" s="37"/>
      <c r="E358" s="37"/>
      <c r="F358" s="37"/>
      <c r="G358" s="37"/>
      <c r="H358" s="37"/>
      <c r="I358" s="37"/>
      <c r="J358" s="47"/>
      <c r="K358" s="41" t="str">
        <f aca="false">IF(J358="","",IF(J358&gt;=8,"Yes","Check"))</f>
        <v/>
      </c>
      <c r="L358" s="38"/>
      <c r="M358" s="47"/>
      <c r="N358" s="47"/>
      <c r="O358" s="37"/>
      <c r="P358" s="38"/>
      <c r="Q358" s="42" t="str">
        <f aca="false">IF(P358="","",LEN(P358))</f>
        <v/>
      </c>
      <c r="R358" s="47"/>
      <c r="S358" s="37"/>
      <c r="T358" s="38"/>
      <c r="U358" s="43" t="str">
        <f aca="false">IF(OR(R358&lt;&gt;"Yes",A358=""),"",A358+4)</f>
        <v/>
      </c>
      <c r="V358" s="47"/>
      <c r="W358" s="38"/>
      <c r="X358" s="38"/>
      <c r="Y358" s="44"/>
      <c r="Z358" s="44"/>
      <c r="AA358" s="45" t="str">
        <f aca="false">IF(AND($Y358="",$Z358=""),"",ROUND(IFERROR(VALUE(LEFT($Y358,1)),0)*12+IFERROR(VALUE(LEFT($Z358,1)),0)*8,0))</f>
        <v/>
      </c>
      <c r="AB358" s="45" t="str">
        <f aca="false">IF($AA358="","",IF($AA358&gt;=80,"A - call first",IF($AA358&gt;=60,"B - worth pursuing",IF($AA358&gt;=40,"C - nurture","D - do not spend time here"))))</f>
        <v/>
      </c>
      <c r="AC358" s="46" t="str">
        <f aca="false">IF($C358="","",IF($S358="Converted","7 Certification / Enterprise opportunity",IF($S358="Application Started","7 Certification / Enterprise opportunity",IF($S358="Meeting Booked","6 Meeting / Application",IF(OR($S358="Interested",$S358="Info Requested"),"5 Interested",IF(OR($S358="Declined",$S358="Not Relevant"),"0 Closed - no",IF($R358="Yes","4 Contacted",IF($N358="Yes","2 Engaged",IF($M358="Yes","1 Awareness",IF($AA358&gt;=60,"3 Qualified","1 Awareness"))))))))))</f>
        <v/>
      </c>
    </row>
    <row r="359" customFormat="false" ht="30" hidden="false" customHeight="true" outlineLevel="0" collapsed="false">
      <c r="A359" s="36"/>
      <c r="B359" s="37"/>
      <c r="C359" s="37"/>
      <c r="D359" s="37"/>
      <c r="E359" s="37"/>
      <c r="F359" s="37"/>
      <c r="G359" s="37"/>
      <c r="H359" s="37"/>
      <c r="I359" s="37"/>
      <c r="J359" s="47"/>
      <c r="K359" s="41" t="str">
        <f aca="false">IF(J359="","",IF(J359&gt;=8,"Yes","Check"))</f>
        <v/>
      </c>
      <c r="L359" s="38"/>
      <c r="M359" s="47"/>
      <c r="N359" s="47"/>
      <c r="O359" s="37"/>
      <c r="P359" s="38"/>
      <c r="Q359" s="42" t="str">
        <f aca="false">IF(P359="","",LEN(P359))</f>
        <v/>
      </c>
      <c r="R359" s="47"/>
      <c r="S359" s="37"/>
      <c r="T359" s="38"/>
      <c r="U359" s="43" t="str">
        <f aca="false">IF(OR(R359&lt;&gt;"Yes",A359=""),"",A359+4)</f>
        <v/>
      </c>
      <c r="V359" s="47"/>
      <c r="W359" s="38"/>
      <c r="X359" s="38"/>
      <c r="Y359" s="44"/>
      <c r="Z359" s="44"/>
      <c r="AA359" s="45" t="str">
        <f aca="false">IF(AND($Y359="",$Z359=""),"",ROUND(IFERROR(VALUE(LEFT($Y359,1)),0)*12+IFERROR(VALUE(LEFT($Z359,1)),0)*8,0))</f>
        <v/>
      </c>
      <c r="AB359" s="45" t="str">
        <f aca="false">IF($AA359="","",IF($AA359&gt;=80,"A - call first",IF($AA359&gt;=60,"B - worth pursuing",IF($AA359&gt;=40,"C - nurture","D - do not spend time here"))))</f>
        <v/>
      </c>
      <c r="AC359" s="46" t="str">
        <f aca="false">IF($C359="","",IF($S359="Converted","7 Certification / Enterprise opportunity",IF($S359="Application Started","7 Certification / Enterprise opportunity",IF($S359="Meeting Booked","6 Meeting / Application",IF(OR($S359="Interested",$S359="Info Requested"),"5 Interested",IF(OR($S359="Declined",$S359="Not Relevant"),"0 Closed - no",IF($R359="Yes","4 Contacted",IF($N359="Yes","2 Engaged",IF($M359="Yes","1 Awareness",IF($AA359&gt;=60,"3 Qualified","1 Awareness"))))))))))</f>
        <v/>
      </c>
    </row>
    <row r="360" customFormat="false" ht="30" hidden="false" customHeight="true" outlineLevel="0" collapsed="false">
      <c r="A360" s="36"/>
      <c r="B360" s="37"/>
      <c r="C360" s="37"/>
      <c r="D360" s="37"/>
      <c r="E360" s="37"/>
      <c r="F360" s="37"/>
      <c r="G360" s="37"/>
      <c r="H360" s="37"/>
      <c r="I360" s="37"/>
      <c r="J360" s="47"/>
      <c r="K360" s="41" t="str">
        <f aca="false">IF(J360="","",IF(J360&gt;=8,"Yes","Check"))</f>
        <v/>
      </c>
      <c r="L360" s="38"/>
      <c r="M360" s="47"/>
      <c r="N360" s="47"/>
      <c r="O360" s="37"/>
      <c r="P360" s="38"/>
      <c r="Q360" s="42" t="str">
        <f aca="false">IF(P360="","",LEN(P360))</f>
        <v/>
      </c>
      <c r="R360" s="47"/>
      <c r="S360" s="37"/>
      <c r="T360" s="38"/>
      <c r="U360" s="43" t="str">
        <f aca="false">IF(OR(R360&lt;&gt;"Yes",A360=""),"",A360+4)</f>
        <v/>
      </c>
      <c r="V360" s="47"/>
      <c r="W360" s="38"/>
      <c r="X360" s="38"/>
      <c r="Y360" s="44"/>
      <c r="Z360" s="44"/>
      <c r="AA360" s="45" t="str">
        <f aca="false">IF(AND($Y360="",$Z360=""),"",ROUND(IFERROR(VALUE(LEFT($Y360,1)),0)*12+IFERROR(VALUE(LEFT($Z360,1)),0)*8,0))</f>
        <v/>
      </c>
      <c r="AB360" s="45" t="str">
        <f aca="false">IF($AA360="","",IF($AA360&gt;=80,"A - call first",IF($AA360&gt;=60,"B - worth pursuing",IF($AA360&gt;=40,"C - nurture","D - do not spend time here"))))</f>
        <v/>
      </c>
      <c r="AC360" s="46" t="str">
        <f aca="false">IF($C360="","",IF($S360="Converted","7 Certification / Enterprise opportunity",IF($S360="Application Started","7 Certification / Enterprise opportunity",IF($S360="Meeting Booked","6 Meeting / Application",IF(OR($S360="Interested",$S360="Info Requested"),"5 Interested",IF(OR($S360="Declined",$S360="Not Relevant"),"0 Closed - no",IF($R360="Yes","4 Contacted",IF($N360="Yes","2 Engaged",IF($M360="Yes","1 Awareness",IF($AA360&gt;=60,"3 Qualified","1 Awareness"))))))))))</f>
        <v/>
      </c>
    </row>
    <row r="361" customFormat="false" ht="30" hidden="false" customHeight="true" outlineLevel="0" collapsed="false">
      <c r="A361" s="36"/>
      <c r="B361" s="37"/>
      <c r="C361" s="37"/>
      <c r="D361" s="37"/>
      <c r="E361" s="37"/>
      <c r="F361" s="37"/>
      <c r="G361" s="37"/>
      <c r="H361" s="37"/>
      <c r="I361" s="37"/>
      <c r="J361" s="47"/>
      <c r="K361" s="41" t="str">
        <f aca="false">IF(J361="","",IF(J361&gt;=8,"Yes","Check"))</f>
        <v/>
      </c>
      <c r="L361" s="38"/>
      <c r="M361" s="47"/>
      <c r="N361" s="47"/>
      <c r="O361" s="37"/>
      <c r="P361" s="38"/>
      <c r="Q361" s="42" t="str">
        <f aca="false">IF(P361="","",LEN(P361))</f>
        <v/>
      </c>
      <c r="R361" s="47"/>
      <c r="S361" s="37"/>
      <c r="T361" s="38"/>
      <c r="U361" s="43" t="str">
        <f aca="false">IF(OR(R361&lt;&gt;"Yes",A361=""),"",A361+4)</f>
        <v/>
      </c>
      <c r="V361" s="47"/>
      <c r="W361" s="38"/>
      <c r="X361" s="38"/>
      <c r="Y361" s="44"/>
      <c r="Z361" s="44"/>
      <c r="AA361" s="45" t="str">
        <f aca="false">IF(AND($Y361="",$Z361=""),"",ROUND(IFERROR(VALUE(LEFT($Y361,1)),0)*12+IFERROR(VALUE(LEFT($Z361,1)),0)*8,0))</f>
        <v/>
      </c>
      <c r="AB361" s="45" t="str">
        <f aca="false">IF($AA361="","",IF($AA361&gt;=80,"A - call first",IF($AA361&gt;=60,"B - worth pursuing",IF($AA361&gt;=40,"C - nurture","D - do not spend time here"))))</f>
        <v/>
      </c>
      <c r="AC361" s="46" t="str">
        <f aca="false">IF($C361="","",IF($S361="Converted","7 Certification / Enterprise opportunity",IF($S361="Application Started","7 Certification / Enterprise opportunity",IF($S361="Meeting Booked","6 Meeting / Application",IF(OR($S361="Interested",$S361="Info Requested"),"5 Interested",IF(OR($S361="Declined",$S361="Not Relevant"),"0 Closed - no",IF($R361="Yes","4 Contacted",IF($N361="Yes","2 Engaged",IF($M361="Yes","1 Awareness",IF($AA361&gt;=60,"3 Qualified","1 Awareness"))))))))))</f>
        <v/>
      </c>
    </row>
    <row r="362" customFormat="false" ht="30" hidden="false" customHeight="true" outlineLevel="0" collapsed="false">
      <c r="A362" s="36"/>
      <c r="B362" s="37"/>
      <c r="C362" s="37"/>
      <c r="D362" s="37"/>
      <c r="E362" s="37"/>
      <c r="F362" s="37"/>
      <c r="G362" s="37"/>
      <c r="H362" s="37"/>
      <c r="I362" s="37"/>
      <c r="J362" s="47"/>
      <c r="K362" s="41" t="str">
        <f aca="false">IF(J362="","",IF(J362&gt;=8,"Yes","Check"))</f>
        <v/>
      </c>
      <c r="L362" s="38"/>
      <c r="M362" s="47"/>
      <c r="N362" s="47"/>
      <c r="O362" s="37"/>
      <c r="P362" s="38"/>
      <c r="Q362" s="42" t="str">
        <f aca="false">IF(P362="","",LEN(P362))</f>
        <v/>
      </c>
      <c r="R362" s="47"/>
      <c r="S362" s="37"/>
      <c r="T362" s="38"/>
      <c r="U362" s="43" t="str">
        <f aca="false">IF(OR(R362&lt;&gt;"Yes",A362=""),"",A362+4)</f>
        <v/>
      </c>
      <c r="V362" s="47"/>
      <c r="W362" s="38"/>
      <c r="X362" s="38"/>
      <c r="Y362" s="44"/>
      <c r="Z362" s="44"/>
      <c r="AA362" s="45" t="str">
        <f aca="false">IF(AND($Y362="",$Z362=""),"",ROUND(IFERROR(VALUE(LEFT($Y362,1)),0)*12+IFERROR(VALUE(LEFT($Z362,1)),0)*8,0))</f>
        <v/>
      </c>
      <c r="AB362" s="45" t="str">
        <f aca="false">IF($AA362="","",IF($AA362&gt;=80,"A - call first",IF($AA362&gt;=60,"B - worth pursuing",IF($AA362&gt;=40,"C - nurture","D - do not spend time here"))))</f>
        <v/>
      </c>
      <c r="AC362" s="46" t="str">
        <f aca="false">IF($C362="","",IF($S362="Converted","7 Certification / Enterprise opportunity",IF($S362="Application Started","7 Certification / Enterprise opportunity",IF($S362="Meeting Booked","6 Meeting / Application",IF(OR($S362="Interested",$S362="Info Requested"),"5 Interested",IF(OR($S362="Declined",$S362="Not Relevant"),"0 Closed - no",IF($R362="Yes","4 Contacted",IF($N362="Yes","2 Engaged",IF($M362="Yes","1 Awareness",IF($AA362&gt;=60,"3 Qualified","1 Awareness"))))))))))</f>
        <v/>
      </c>
    </row>
    <row r="363" customFormat="false" ht="30" hidden="false" customHeight="true" outlineLevel="0" collapsed="false">
      <c r="A363" s="36"/>
      <c r="B363" s="37"/>
      <c r="C363" s="37"/>
      <c r="D363" s="37"/>
      <c r="E363" s="37"/>
      <c r="F363" s="37"/>
      <c r="G363" s="37"/>
      <c r="H363" s="37"/>
      <c r="I363" s="37"/>
      <c r="J363" s="47"/>
      <c r="K363" s="41" t="str">
        <f aca="false">IF(J363="","",IF(J363&gt;=8,"Yes","Check"))</f>
        <v/>
      </c>
      <c r="L363" s="38"/>
      <c r="M363" s="47"/>
      <c r="N363" s="47"/>
      <c r="O363" s="37"/>
      <c r="P363" s="38"/>
      <c r="Q363" s="42" t="str">
        <f aca="false">IF(P363="","",LEN(P363))</f>
        <v/>
      </c>
      <c r="R363" s="47"/>
      <c r="S363" s="37"/>
      <c r="T363" s="38"/>
      <c r="U363" s="43" t="str">
        <f aca="false">IF(OR(R363&lt;&gt;"Yes",A363=""),"",A363+4)</f>
        <v/>
      </c>
      <c r="V363" s="47"/>
      <c r="W363" s="38"/>
      <c r="X363" s="38"/>
      <c r="Y363" s="44"/>
      <c r="Z363" s="44"/>
      <c r="AA363" s="45" t="str">
        <f aca="false">IF(AND($Y363="",$Z363=""),"",ROUND(IFERROR(VALUE(LEFT($Y363,1)),0)*12+IFERROR(VALUE(LEFT($Z363,1)),0)*8,0))</f>
        <v/>
      </c>
      <c r="AB363" s="45" t="str">
        <f aca="false">IF($AA363="","",IF($AA363&gt;=80,"A - call first",IF($AA363&gt;=60,"B - worth pursuing",IF($AA363&gt;=40,"C - nurture","D - do not spend time here"))))</f>
        <v/>
      </c>
      <c r="AC363" s="46" t="str">
        <f aca="false">IF($C363="","",IF($S363="Converted","7 Certification / Enterprise opportunity",IF($S363="Application Started","7 Certification / Enterprise opportunity",IF($S363="Meeting Booked","6 Meeting / Application",IF(OR($S363="Interested",$S363="Info Requested"),"5 Interested",IF(OR($S363="Declined",$S363="Not Relevant"),"0 Closed - no",IF($R363="Yes","4 Contacted",IF($N363="Yes","2 Engaged",IF($M363="Yes","1 Awareness",IF($AA363&gt;=60,"3 Qualified","1 Awareness"))))))))))</f>
        <v/>
      </c>
    </row>
    <row r="364" customFormat="false" ht="30" hidden="false" customHeight="true" outlineLevel="0" collapsed="false">
      <c r="A364" s="36"/>
      <c r="B364" s="37"/>
      <c r="C364" s="37"/>
      <c r="D364" s="37"/>
      <c r="E364" s="37"/>
      <c r="F364" s="37"/>
      <c r="G364" s="37"/>
      <c r="H364" s="37"/>
      <c r="I364" s="37"/>
      <c r="J364" s="47"/>
      <c r="K364" s="41" t="str">
        <f aca="false">IF(J364="","",IF(J364&gt;=8,"Yes","Check"))</f>
        <v/>
      </c>
      <c r="L364" s="38"/>
      <c r="M364" s="47"/>
      <c r="N364" s="47"/>
      <c r="O364" s="37"/>
      <c r="P364" s="38"/>
      <c r="Q364" s="42" t="str">
        <f aca="false">IF(P364="","",LEN(P364))</f>
        <v/>
      </c>
      <c r="R364" s="47"/>
      <c r="S364" s="37"/>
      <c r="T364" s="38"/>
      <c r="U364" s="43" t="str">
        <f aca="false">IF(OR(R364&lt;&gt;"Yes",A364=""),"",A364+4)</f>
        <v/>
      </c>
      <c r="V364" s="47"/>
      <c r="W364" s="38"/>
      <c r="X364" s="38"/>
      <c r="Y364" s="44"/>
      <c r="Z364" s="44"/>
      <c r="AA364" s="45" t="str">
        <f aca="false">IF(AND($Y364="",$Z364=""),"",ROUND(IFERROR(VALUE(LEFT($Y364,1)),0)*12+IFERROR(VALUE(LEFT($Z364,1)),0)*8,0))</f>
        <v/>
      </c>
      <c r="AB364" s="45" t="str">
        <f aca="false">IF($AA364="","",IF($AA364&gt;=80,"A - call first",IF($AA364&gt;=60,"B - worth pursuing",IF($AA364&gt;=40,"C - nurture","D - do not spend time here"))))</f>
        <v/>
      </c>
      <c r="AC364" s="46" t="str">
        <f aca="false">IF($C364="","",IF($S364="Converted","7 Certification / Enterprise opportunity",IF($S364="Application Started","7 Certification / Enterprise opportunity",IF($S364="Meeting Booked","6 Meeting / Application",IF(OR($S364="Interested",$S364="Info Requested"),"5 Interested",IF(OR($S364="Declined",$S364="Not Relevant"),"0 Closed - no",IF($R364="Yes","4 Contacted",IF($N364="Yes","2 Engaged",IF($M364="Yes","1 Awareness",IF($AA364&gt;=60,"3 Qualified","1 Awareness"))))))))))</f>
        <v/>
      </c>
    </row>
    <row r="365" customFormat="false" ht="30" hidden="false" customHeight="true" outlineLevel="0" collapsed="false">
      <c r="A365" s="36"/>
      <c r="B365" s="37"/>
      <c r="C365" s="37"/>
      <c r="D365" s="37"/>
      <c r="E365" s="37"/>
      <c r="F365" s="37"/>
      <c r="G365" s="37"/>
      <c r="H365" s="37"/>
      <c r="I365" s="37"/>
      <c r="J365" s="47"/>
      <c r="K365" s="41" t="str">
        <f aca="false">IF(J365="","",IF(J365&gt;=8,"Yes","Check"))</f>
        <v/>
      </c>
      <c r="L365" s="38"/>
      <c r="M365" s="47"/>
      <c r="N365" s="47"/>
      <c r="O365" s="37"/>
      <c r="P365" s="38"/>
      <c r="Q365" s="42" t="str">
        <f aca="false">IF(P365="","",LEN(P365))</f>
        <v/>
      </c>
      <c r="R365" s="47"/>
      <c r="S365" s="37"/>
      <c r="T365" s="38"/>
      <c r="U365" s="43" t="str">
        <f aca="false">IF(OR(R365&lt;&gt;"Yes",A365=""),"",A365+4)</f>
        <v/>
      </c>
      <c r="V365" s="47"/>
      <c r="W365" s="38"/>
      <c r="X365" s="38"/>
      <c r="Y365" s="44"/>
      <c r="Z365" s="44"/>
      <c r="AA365" s="45" t="str">
        <f aca="false">IF(AND($Y365="",$Z365=""),"",ROUND(IFERROR(VALUE(LEFT($Y365,1)),0)*12+IFERROR(VALUE(LEFT($Z365,1)),0)*8,0))</f>
        <v/>
      </c>
      <c r="AB365" s="45" t="str">
        <f aca="false">IF($AA365="","",IF($AA365&gt;=80,"A - call first",IF($AA365&gt;=60,"B - worth pursuing",IF($AA365&gt;=40,"C - nurture","D - do not spend time here"))))</f>
        <v/>
      </c>
      <c r="AC365" s="46" t="str">
        <f aca="false">IF($C365="","",IF($S365="Converted","7 Certification / Enterprise opportunity",IF($S365="Application Started","7 Certification / Enterprise opportunity",IF($S365="Meeting Booked","6 Meeting / Application",IF(OR($S365="Interested",$S365="Info Requested"),"5 Interested",IF(OR($S365="Declined",$S365="Not Relevant"),"0 Closed - no",IF($R365="Yes","4 Contacted",IF($N365="Yes","2 Engaged",IF($M365="Yes","1 Awareness",IF($AA365&gt;=60,"3 Qualified","1 Awareness"))))))))))</f>
        <v/>
      </c>
    </row>
    <row r="366" customFormat="false" ht="30" hidden="false" customHeight="true" outlineLevel="0" collapsed="false">
      <c r="A366" s="36"/>
      <c r="B366" s="37"/>
      <c r="C366" s="37"/>
      <c r="D366" s="37"/>
      <c r="E366" s="37"/>
      <c r="F366" s="37"/>
      <c r="G366" s="37"/>
      <c r="H366" s="37"/>
      <c r="I366" s="37"/>
      <c r="J366" s="47"/>
      <c r="K366" s="41" t="str">
        <f aca="false">IF(J366="","",IF(J366&gt;=8,"Yes","Check"))</f>
        <v/>
      </c>
      <c r="L366" s="38"/>
      <c r="M366" s="47"/>
      <c r="N366" s="47"/>
      <c r="O366" s="37"/>
      <c r="P366" s="38"/>
      <c r="Q366" s="42" t="str">
        <f aca="false">IF(P366="","",LEN(P366))</f>
        <v/>
      </c>
      <c r="R366" s="47"/>
      <c r="S366" s="37"/>
      <c r="T366" s="38"/>
      <c r="U366" s="43" t="str">
        <f aca="false">IF(OR(R366&lt;&gt;"Yes",A366=""),"",A366+4)</f>
        <v/>
      </c>
      <c r="V366" s="47"/>
      <c r="W366" s="38"/>
      <c r="X366" s="38"/>
      <c r="Y366" s="44"/>
      <c r="Z366" s="44"/>
      <c r="AA366" s="45" t="str">
        <f aca="false">IF(AND($Y366="",$Z366=""),"",ROUND(IFERROR(VALUE(LEFT($Y366,1)),0)*12+IFERROR(VALUE(LEFT($Z366,1)),0)*8,0))</f>
        <v/>
      </c>
      <c r="AB366" s="45" t="str">
        <f aca="false">IF($AA366="","",IF($AA366&gt;=80,"A - call first",IF($AA366&gt;=60,"B - worth pursuing",IF($AA366&gt;=40,"C - nurture","D - do not spend time here"))))</f>
        <v/>
      </c>
      <c r="AC366" s="46" t="str">
        <f aca="false">IF($C366="","",IF($S366="Converted","7 Certification / Enterprise opportunity",IF($S366="Application Started","7 Certification / Enterprise opportunity",IF($S366="Meeting Booked","6 Meeting / Application",IF(OR($S366="Interested",$S366="Info Requested"),"5 Interested",IF(OR($S366="Declined",$S366="Not Relevant"),"0 Closed - no",IF($R366="Yes","4 Contacted",IF($N366="Yes","2 Engaged",IF($M366="Yes","1 Awareness",IF($AA366&gt;=60,"3 Qualified","1 Awareness"))))))))))</f>
        <v/>
      </c>
    </row>
    <row r="367" customFormat="false" ht="30" hidden="false" customHeight="true" outlineLevel="0" collapsed="false">
      <c r="A367" s="36"/>
      <c r="B367" s="37"/>
      <c r="C367" s="37"/>
      <c r="D367" s="37"/>
      <c r="E367" s="37"/>
      <c r="F367" s="37"/>
      <c r="G367" s="37"/>
      <c r="H367" s="37"/>
      <c r="I367" s="37"/>
      <c r="J367" s="47"/>
      <c r="K367" s="41" t="str">
        <f aca="false">IF(J367="","",IF(J367&gt;=8,"Yes","Check"))</f>
        <v/>
      </c>
      <c r="L367" s="38"/>
      <c r="M367" s="47"/>
      <c r="N367" s="47"/>
      <c r="O367" s="37"/>
      <c r="P367" s="38"/>
      <c r="Q367" s="42" t="str">
        <f aca="false">IF(P367="","",LEN(P367))</f>
        <v/>
      </c>
      <c r="R367" s="47"/>
      <c r="S367" s="37"/>
      <c r="T367" s="38"/>
      <c r="U367" s="43" t="str">
        <f aca="false">IF(OR(R367&lt;&gt;"Yes",A367=""),"",A367+4)</f>
        <v/>
      </c>
      <c r="V367" s="47"/>
      <c r="W367" s="38"/>
      <c r="X367" s="38"/>
      <c r="Y367" s="44"/>
      <c r="Z367" s="44"/>
      <c r="AA367" s="45" t="str">
        <f aca="false">IF(AND($Y367="",$Z367=""),"",ROUND(IFERROR(VALUE(LEFT($Y367,1)),0)*12+IFERROR(VALUE(LEFT($Z367,1)),0)*8,0))</f>
        <v/>
      </c>
      <c r="AB367" s="45" t="str">
        <f aca="false">IF($AA367="","",IF($AA367&gt;=80,"A - call first",IF($AA367&gt;=60,"B - worth pursuing",IF($AA367&gt;=40,"C - nurture","D - do not spend time here"))))</f>
        <v/>
      </c>
      <c r="AC367" s="46" t="str">
        <f aca="false">IF($C367="","",IF($S367="Converted","7 Certification / Enterprise opportunity",IF($S367="Application Started","7 Certification / Enterprise opportunity",IF($S367="Meeting Booked","6 Meeting / Application",IF(OR($S367="Interested",$S367="Info Requested"),"5 Interested",IF(OR($S367="Declined",$S367="Not Relevant"),"0 Closed - no",IF($R367="Yes","4 Contacted",IF($N367="Yes","2 Engaged",IF($M367="Yes","1 Awareness",IF($AA367&gt;=60,"3 Qualified","1 Awareness"))))))))))</f>
        <v/>
      </c>
    </row>
    <row r="368" customFormat="false" ht="30" hidden="false" customHeight="true" outlineLevel="0" collapsed="false">
      <c r="A368" s="36"/>
      <c r="B368" s="37"/>
      <c r="C368" s="37"/>
      <c r="D368" s="37"/>
      <c r="E368" s="37"/>
      <c r="F368" s="37"/>
      <c r="G368" s="37"/>
      <c r="H368" s="37"/>
      <c r="I368" s="37"/>
      <c r="J368" s="47"/>
      <c r="K368" s="41" t="str">
        <f aca="false">IF(J368="","",IF(J368&gt;=8,"Yes","Check"))</f>
        <v/>
      </c>
      <c r="L368" s="38"/>
      <c r="M368" s="47"/>
      <c r="N368" s="47"/>
      <c r="O368" s="37"/>
      <c r="P368" s="38"/>
      <c r="Q368" s="42" t="str">
        <f aca="false">IF(P368="","",LEN(P368))</f>
        <v/>
      </c>
      <c r="R368" s="47"/>
      <c r="S368" s="37"/>
      <c r="T368" s="38"/>
      <c r="U368" s="43" t="str">
        <f aca="false">IF(OR(R368&lt;&gt;"Yes",A368=""),"",A368+4)</f>
        <v/>
      </c>
      <c r="V368" s="47"/>
      <c r="W368" s="38"/>
      <c r="X368" s="38"/>
      <c r="Y368" s="44"/>
      <c r="Z368" s="44"/>
      <c r="AA368" s="45" t="str">
        <f aca="false">IF(AND($Y368="",$Z368=""),"",ROUND(IFERROR(VALUE(LEFT($Y368,1)),0)*12+IFERROR(VALUE(LEFT($Z368,1)),0)*8,0))</f>
        <v/>
      </c>
      <c r="AB368" s="45" t="str">
        <f aca="false">IF($AA368="","",IF($AA368&gt;=80,"A - call first",IF($AA368&gt;=60,"B - worth pursuing",IF($AA368&gt;=40,"C - nurture","D - do not spend time here"))))</f>
        <v/>
      </c>
      <c r="AC368" s="46" t="str">
        <f aca="false">IF($C368="","",IF($S368="Converted","7 Certification / Enterprise opportunity",IF($S368="Application Started","7 Certification / Enterprise opportunity",IF($S368="Meeting Booked","6 Meeting / Application",IF(OR($S368="Interested",$S368="Info Requested"),"5 Interested",IF(OR($S368="Declined",$S368="Not Relevant"),"0 Closed - no",IF($R368="Yes","4 Contacted",IF($N368="Yes","2 Engaged",IF($M368="Yes","1 Awareness",IF($AA368&gt;=60,"3 Qualified","1 Awareness"))))))))))</f>
        <v/>
      </c>
    </row>
    <row r="369" customFormat="false" ht="30" hidden="false" customHeight="true" outlineLevel="0" collapsed="false">
      <c r="A369" s="36"/>
      <c r="B369" s="37"/>
      <c r="C369" s="37"/>
      <c r="D369" s="37"/>
      <c r="E369" s="37"/>
      <c r="F369" s="37"/>
      <c r="G369" s="37"/>
      <c r="H369" s="37"/>
      <c r="I369" s="37"/>
      <c r="J369" s="47"/>
      <c r="K369" s="41" t="str">
        <f aca="false">IF(J369="","",IF(J369&gt;=8,"Yes","Check"))</f>
        <v/>
      </c>
      <c r="L369" s="38"/>
      <c r="M369" s="47"/>
      <c r="N369" s="47"/>
      <c r="O369" s="37"/>
      <c r="P369" s="38"/>
      <c r="Q369" s="42" t="str">
        <f aca="false">IF(P369="","",LEN(P369))</f>
        <v/>
      </c>
      <c r="R369" s="47"/>
      <c r="S369" s="37"/>
      <c r="T369" s="38"/>
      <c r="U369" s="43" t="str">
        <f aca="false">IF(OR(R369&lt;&gt;"Yes",A369=""),"",A369+4)</f>
        <v/>
      </c>
      <c r="V369" s="47"/>
      <c r="W369" s="38"/>
      <c r="X369" s="38"/>
      <c r="Y369" s="44"/>
      <c r="Z369" s="44"/>
      <c r="AA369" s="45" t="str">
        <f aca="false">IF(AND($Y369="",$Z369=""),"",ROUND(IFERROR(VALUE(LEFT($Y369,1)),0)*12+IFERROR(VALUE(LEFT($Z369,1)),0)*8,0))</f>
        <v/>
      </c>
      <c r="AB369" s="45" t="str">
        <f aca="false">IF($AA369="","",IF($AA369&gt;=80,"A - call first",IF($AA369&gt;=60,"B - worth pursuing",IF($AA369&gt;=40,"C - nurture","D - do not spend time here"))))</f>
        <v/>
      </c>
      <c r="AC369" s="46" t="str">
        <f aca="false">IF($C369="","",IF($S369="Converted","7 Certification / Enterprise opportunity",IF($S369="Application Started","7 Certification / Enterprise opportunity",IF($S369="Meeting Booked","6 Meeting / Application",IF(OR($S369="Interested",$S369="Info Requested"),"5 Interested",IF(OR($S369="Declined",$S369="Not Relevant"),"0 Closed - no",IF($R369="Yes","4 Contacted",IF($N369="Yes","2 Engaged",IF($M369="Yes","1 Awareness",IF($AA369&gt;=60,"3 Qualified","1 Awareness"))))))))))</f>
        <v/>
      </c>
    </row>
    <row r="370" customFormat="false" ht="30" hidden="false" customHeight="true" outlineLevel="0" collapsed="false">
      <c r="A370" s="36"/>
      <c r="B370" s="37"/>
      <c r="C370" s="37"/>
      <c r="D370" s="37"/>
      <c r="E370" s="37"/>
      <c r="F370" s="37"/>
      <c r="G370" s="37"/>
      <c r="H370" s="37"/>
      <c r="I370" s="37"/>
      <c r="J370" s="47"/>
      <c r="K370" s="41" t="str">
        <f aca="false">IF(J370="","",IF(J370&gt;=8,"Yes","Check"))</f>
        <v/>
      </c>
      <c r="L370" s="38"/>
      <c r="M370" s="47"/>
      <c r="N370" s="47"/>
      <c r="O370" s="37"/>
      <c r="P370" s="38"/>
      <c r="Q370" s="42" t="str">
        <f aca="false">IF(P370="","",LEN(P370))</f>
        <v/>
      </c>
      <c r="R370" s="47"/>
      <c r="S370" s="37"/>
      <c r="T370" s="38"/>
      <c r="U370" s="43" t="str">
        <f aca="false">IF(OR(R370&lt;&gt;"Yes",A370=""),"",A370+4)</f>
        <v/>
      </c>
      <c r="V370" s="47"/>
      <c r="W370" s="38"/>
      <c r="X370" s="38"/>
      <c r="Y370" s="44"/>
      <c r="Z370" s="44"/>
      <c r="AA370" s="45" t="str">
        <f aca="false">IF(AND($Y370="",$Z370=""),"",ROUND(IFERROR(VALUE(LEFT($Y370,1)),0)*12+IFERROR(VALUE(LEFT($Z370,1)),0)*8,0))</f>
        <v/>
      </c>
      <c r="AB370" s="45" t="str">
        <f aca="false">IF($AA370="","",IF($AA370&gt;=80,"A - call first",IF($AA370&gt;=60,"B - worth pursuing",IF($AA370&gt;=40,"C - nurture","D - do not spend time here"))))</f>
        <v/>
      </c>
      <c r="AC370" s="46" t="str">
        <f aca="false">IF($C370="","",IF($S370="Converted","7 Certification / Enterprise opportunity",IF($S370="Application Started","7 Certification / Enterprise opportunity",IF($S370="Meeting Booked","6 Meeting / Application",IF(OR($S370="Interested",$S370="Info Requested"),"5 Interested",IF(OR($S370="Declined",$S370="Not Relevant"),"0 Closed - no",IF($R370="Yes","4 Contacted",IF($N370="Yes","2 Engaged",IF($M370="Yes","1 Awareness",IF($AA370&gt;=60,"3 Qualified","1 Awareness"))))))))))</f>
        <v/>
      </c>
    </row>
    <row r="371" customFormat="false" ht="30" hidden="false" customHeight="true" outlineLevel="0" collapsed="false">
      <c r="A371" s="36"/>
      <c r="B371" s="37"/>
      <c r="C371" s="37"/>
      <c r="D371" s="37"/>
      <c r="E371" s="37"/>
      <c r="F371" s="37"/>
      <c r="G371" s="37"/>
      <c r="H371" s="37"/>
      <c r="I371" s="37"/>
      <c r="J371" s="47"/>
      <c r="K371" s="41" t="str">
        <f aca="false">IF(J371="","",IF(J371&gt;=8,"Yes","Check"))</f>
        <v/>
      </c>
      <c r="L371" s="38"/>
      <c r="M371" s="47"/>
      <c r="N371" s="47"/>
      <c r="O371" s="37"/>
      <c r="P371" s="38"/>
      <c r="Q371" s="42" t="str">
        <f aca="false">IF(P371="","",LEN(P371))</f>
        <v/>
      </c>
      <c r="R371" s="47"/>
      <c r="S371" s="37"/>
      <c r="T371" s="38"/>
      <c r="U371" s="43" t="str">
        <f aca="false">IF(OR(R371&lt;&gt;"Yes",A371=""),"",A371+4)</f>
        <v/>
      </c>
      <c r="V371" s="47"/>
      <c r="W371" s="38"/>
      <c r="X371" s="38"/>
      <c r="Y371" s="44"/>
      <c r="Z371" s="44"/>
      <c r="AA371" s="45" t="str">
        <f aca="false">IF(AND($Y371="",$Z371=""),"",ROUND(IFERROR(VALUE(LEFT($Y371,1)),0)*12+IFERROR(VALUE(LEFT($Z371,1)),0)*8,0))</f>
        <v/>
      </c>
      <c r="AB371" s="45" t="str">
        <f aca="false">IF($AA371="","",IF($AA371&gt;=80,"A - call first",IF($AA371&gt;=60,"B - worth pursuing",IF($AA371&gt;=40,"C - nurture","D - do not spend time here"))))</f>
        <v/>
      </c>
      <c r="AC371" s="46" t="str">
        <f aca="false">IF($C371="","",IF($S371="Converted","7 Certification / Enterprise opportunity",IF($S371="Application Started","7 Certification / Enterprise opportunity",IF($S371="Meeting Booked","6 Meeting / Application",IF(OR($S371="Interested",$S371="Info Requested"),"5 Interested",IF(OR($S371="Declined",$S371="Not Relevant"),"0 Closed - no",IF($R371="Yes","4 Contacted",IF($N371="Yes","2 Engaged",IF($M371="Yes","1 Awareness",IF($AA371&gt;=60,"3 Qualified","1 Awareness"))))))))))</f>
        <v/>
      </c>
    </row>
    <row r="372" customFormat="false" ht="30" hidden="false" customHeight="true" outlineLevel="0" collapsed="false">
      <c r="A372" s="36"/>
      <c r="B372" s="37"/>
      <c r="C372" s="37"/>
      <c r="D372" s="37"/>
      <c r="E372" s="37"/>
      <c r="F372" s="37"/>
      <c r="G372" s="37"/>
      <c r="H372" s="37"/>
      <c r="I372" s="37"/>
      <c r="J372" s="47"/>
      <c r="K372" s="41" t="str">
        <f aca="false">IF(J372="","",IF(J372&gt;=8,"Yes","Check"))</f>
        <v/>
      </c>
      <c r="L372" s="38"/>
      <c r="M372" s="47"/>
      <c r="N372" s="47"/>
      <c r="O372" s="37"/>
      <c r="P372" s="38"/>
      <c r="Q372" s="42" t="str">
        <f aca="false">IF(P372="","",LEN(P372))</f>
        <v/>
      </c>
      <c r="R372" s="47"/>
      <c r="S372" s="37"/>
      <c r="T372" s="38"/>
      <c r="U372" s="43" t="str">
        <f aca="false">IF(OR(R372&lt;&gt;"Yes",A372=""),"",A372+4)</f>
        <v/>
      </c>
      <c r="V372" s="47"/>
      <c r="W372" s="38"/>
      <c r="X372" s="38"/>
      <c r="Y372" s="44"/>
      <c r="Z372" s="44"/>
      <c r="AA372" s="45" t="str">
        <f aca="false">IF(AND($Y372="",$Z372=""),"",ROUND(IFERROR(VALUE(LEFT($Y372,1)),0)*12+IFERROR(VALUE(LEFT($Z372,1)),0)*8,0))</f>
        <v/>
      </c>
      <c r="AB372" s="45" t="str">
        <f aca="false">IF($AA372="","",IF($AA372&gt;=80,"A - call first",IF($AA372&gt;=60,"B - worth pursuing",IF($AA372&gt;=40,"C - nurture","D - do not spend time here"))))</f>
        <v/>
      </c>
      <c r="AC372" s="46" t="str">
        <f aca="false">IF($C372="","",IF($S372="Converted","7 Certification / Enterprise opportunity",IF($S372="Application Started","7 Certification / Enterprise opportunity",IF($S372="Meeting Booked","6 Meeting / Application",IF(OR($S372="Interested",$S372="Info Requested"),"5 Interested",IF(OR($S372="Declined",$S372="Not Relevant"),"0 Closed - no",IF($R372="Yes","4 Contacted",IF($N372="Yes","2 Engaged",IF($M372="Yes","1 Awareness",IF($AA372&gt;=60,"3 Qualified","1 Awareness"))))))))))</f>
        <v/>
      </c>
    </row>
    <row r="373" customFormat="false" ht="30" hidden="false" customHeight="true" outlineLevel="0" collapsed="false">
      <c r="A373" s="36"/>
      <c r="B373" s="37"/>
      <c r="C373" s="37"/>
      <c r="D373" s="37"/>
      <c r="E373" s="37"/>
      <c r="F373" s="37"/>
      <c r="G373" s="37"/>
      <c r="H373" s="37"/>
      <c r="I373" s="37"/>
      <c r="J373" s="47"/>
      <c r="K373" s="41" t="str">
        <f aca="false">IF(J373="","",IF(J373&gt;=8,"Yes","Check"))</f>
        <v/>
      </c>
      <c r="L373" s="38"/>
      <c r="M373" s="47"/>
      <c r="N373" s="47"/>
      <c r="O373" s="37"/>
      <c r="P373" s="38"/>
      <c r="Q373" s="42" t="str">
        <f aca="false">IF(P373="","",LEN(P373))</f>
        <v/>
      </c>
      <c r="R373" s="47"/>
      <c r="S373" s="37"/>
      <c r="T373" s="38"/>
      <c r="U373" s="43" t="str">
        <f aca="false">IF(OR(R373&lt;&gt;"Yes",A373=""),"",A373+4)</f>
        <v/>
      </c>
      <c r="V373" s="47"/>
      <c r="W373" s="38"/>
      <c r="X373" s="38"/>
      <c r="Y373" s="44"/>
      <c r="Z373" s="44"/>
      <c r="AA373" s="45" t="str">
        <f aca="false">IF(AND($Y373="",$Z373=""),"",ROUND(IFERROR(VALUE(LEFT($Y373,1)),0)*12+IFERROR(VALUE(LEFT($Z373,1)),0)*8,0))</f>
        <v/>
      </c>
      <c r="AB373" s="45" t="str">
        <f aca="false">IF($AA373="","",IF($AA373&gt;=80,"A - call first",IF($AA373&gt;=60,"B - worth pursuing",IF($AA373&gt;=40,"C - nurture","D - do not spend time here"))))</f>
        <v/>
      </c>
      <c r="AC373" s="46" t="str">
        <f aca="false">IF($C373="","",IF($S373="Converted","7 Certification / Enterprise opportunity",IF($S373="Application Started","7 Certification / Enterprise opportunity",IF($S373="Meeting Booked","6 Meeting / Application",IF(OR($S373="Interested",$S373="Info Requested"),"5 Interested",IF(OR($S373="Declined",$S373="Not Relevant"),"0 Closed - no",IF($R373="Yes","4 Contacted",IF($N373="Yes","2 Engaged",IF($M373="Yes","1 Awareness",IF($AA373&gt;=60,"3 Qualified","1 Awareness"))))))))))</f>
        <v/>
      </c>
    </row>
    <row r="374" customFormat="false" ht="30" hidden="false" customHeight="true" outlineLevel="0" collapsed="false">
      <c r="A374" s="36"/>
      <c r="B374" s="37"/>
      <c r="C374" s="37"/>
      <c r="D374" s="37"/>
      <c r="E374" s="37"/>
      <c r="F374" s="37"/>
      <c r="G374" s="37"/>
      <c r="H374" s="37"/>
      <c r="I374" s="37"/>
      <c r="J374" s="47"/>
      <c r="K374" s="41" t="str">
        <f aca="false">IF(J374="","",IF(J374&gt;=8,"Yes","Check"))</f>
        <v/>
      </c>
      <c r="L374" s="38"/>
      <c r="M374" s="47"/>
      <c r="N374" s="47"/>
      <c r="O374" s="37"/>
      <c r="P374" s="38"/>
      <c r="Q374" s="42" t="str">
        <f aca="false">IF(P374="","",LEN(P374))</f>
        <v/>
      </c>
      <c r="R374" s="47"/>
      <c r="S374" s="37"/>
      <c r="T374" s="38"/>
      <c r="U374" s="43" t="str">
        <f aca="false">IF(OR(R374&lt;&gt;"Yes",A374=""),"",A374+4)</f>
        <v/>
      </c>
      <c r="V374" s="47"/>
      <c r="W374" s="38"/>
      <c r="X374" s="38"/>
      <c r="Y374" s="44"/>
      <c r="Z374" s="44"/>
      <c r="AA374" s="45" t="str">
        <f aca="false">IF(AND($Y374="",$Z374=""),"",ROUND(IFERROR(VALUE(LEFT($Y374,1)),0)*12+IFERROR(VALUE(LEFT($Z374,1)),0)*8,0))</f>
        <v/>
      </c>
      <c r="AB374" s="45" t="str">
        <f aca="false">IF($AA374="","",IF($AA374&gt;=80,"A - call first",IF($AA374&gt;=60,"B - worth pursuing",IF($AA374&gt;=40,"C - nurture","D - do not spend time here"))))</f>
        <v/>
      </c>
      <c r="AC374" s="46" t="str">
        <f aca="false">IF($C374="","",IF($S374="Converted","7 Certification / Enterprise opportunity",IF($S374="Application Started","7 Certification / Enterprise opportunity",IF($S374="Meeting Booked","6 Meeting / Application",IF(OR($S374="Interested",$S374="Info Requested"),"5 Interested",IF(OR($S374="Declined",$S374="Not Relevant"),"0 Closed - no",IF($R374="Yes","4 Contacted",IF($N374="Yes","2 Engaged",IF($M374="Yes","1 Awareness",IF($AA374&gt;=60,"3 Qualified","1 Awareness"))))))))))</f>
        <v/>
      </c>
    </row>
    <row r="375" customFormat="false" ht="30" hidden="false" customHeight="true" outlineLevel="0" collapsed="false">
      <c r="A375" s="36"/>
      <c r="B375" s="37"/>
      <c r="C375" s="37"/>
      <c r="D375" s="37"/>
      <c r="E375" s="37"/>
      <c r="F375" s="37"/>
      <c r="G375" s="37"/>
      <c r="H375" s="37"/>
      <c r="I375" s="37"/>
      <c r="J375" s="47"/>
      <c r="K375" s="41" t="str">
        <f aca="false">IF(J375="","",IF(J375&gt;=8,"Yes","Check"))</f>
        <v/>
      </c>
      <c r="L375" s="38"/>
      <c r="M375" s="47"/>
      <c r="N375" s="47"/>
      <c r="O375" s="37"/>
      <c r="P375" s="38"/>
      <c r="Q375" s="42" t="str">
        <f aca="false">IF(P375="","",LEN(P375))</f>
        <v/>
      </c>
      <c r="R375" s="47"/>
      <c r="S375" s="37"/>
      <c r="T375" s="38"/>
      <c r="U375" s="43" t="str">
        <f aca="false">IF(OR(R375&lt;&gt;"Yes",A375=""),"",A375+4)</f>
        <v/>
      </c>
      <c r="V375" s="47"/>
      <c r="W375" s="38"/>
      <c r="X375" s="38"/>
      <c r="Y375" s="44"/>
      <c r="Z375" s="44"/>
      <c r="AA375" s="45" t="str">
        <f aca="false">IF(AND($Y375="",$Z375=""),"",ROUND(IFERROR(VALUE(LEFT($Y375,1)),0)*12+IFERROR(VALUE(LEFT($Z375,1)),0)*8,0))</f>
        <v/>
      </c>
      <c r="AB375" s="45" t="str">
        <f aca="false">IF($AA375="","",IF($AA375&gt;=80,"A - call first",IF($AA375&gt;=60,"B - worth pursuing",IF($AA375&gt;=40,"C - nurture","D - do not spend time here"))))</f>
        <v/>
      </c>
      <c r="AC375" s="46" t="str">
        <f aca="false">IF($C375="","",IF($S375="Converted","7 Certification / Enterprise opportunity",IF($S375="Application Started","7 Certification / Enterprise opportunity",IF($S375="Meeting Booked","6 Meeting / Application",IF(OR($S375="Interested",$S375="Info Requested"),"5 Interested",IF(OR($S375="Declined",$S375="Not Relevant"),"0 Closed - no",IF($R375="Yes","4 Contacted",IF($N375="Yes","2 Engaged",IF($M375="Yes","1 Awareness",IF($AA375&gt;=60,"3 Qualified","1 Awareness"))))))))))</f>
        <v/>
      </c>
    </row>
    <row r="376" customFormat="false" ht="30" hidden="false" customHeight="true" outlineLevel="0" collapsed="false">
      <c r="A376" s="36"/>
      <c r="B376" s="37"/>
      <c r="C376" s="37"/>
      <c r="D376" s="37"/>
      <c r="E376" s="37"/>
      <c r="F376" s="37"/>
      <c r="G376" s="37"/>
      <c r="H376" s="37"/>
      <c r="I376" s="37"/>
      <c r="J376" s="47"/>
      <c r="K376" s="41" t="str">
        <f aca="false">IF(J376="","",IF(J376&gt;=8,"Yes","Check"))</f>
        <v/>
      </c>
      <c r="L376" s="38"/>
      <c r="M376" s="47"/>
      <c r="N376" s="47"/>
      <c r="O376" s="37"/>
      <c r="P376" s="38"/>
      <c r="Q376" s="42" t="str">
        <f aca="false">IF(P376="","",LEN(P376))</f>
        <v/>
      </c>
      <c r="R376" s="47"/>
      <c r="S376" s="37"/>
      <c r="T376" s="38"/>
      <c r="U376" s="43" t="str">
        <f aca="false">IF(OR(R376&lt;&gt;"Yes",A376=""),"",A376+4)</f>
        <v/>
      </c>
      <c r="V376" s="47"/>
      <c r="W376" s="38"/>
      <c r="X376" s="38"/>
      <c r="Y376" s="44"/>
      <c r="Z376" s="44"/>
      <c r="AA376" s="45" t="str">
        <f aca="false">IF(AND($Y376="",$Z376=""),"",ROUND(IFERROR(VALUE(LEFT($Y376,1)),0)*12+IFERROR(VALUE(LEFT($Z376,1)),0)*8,0))</f>
        <v/>
      </c>
      <c r="AB376" s="45" t="str">
        <f aca="false">IF($AA376="","",IF($AA376&gt;=80,"A - call first",IF($AA376&gt;=60,"B - worth pursuing",IF($AA376&gt;=40,"C - nurture","D - do not spend time here"))))</f>
        <v/>
      </c>
      <c r="AC376" s="46" t="str">
        <f aca="false">IF($C376="","",IF($S376="Converted","7 Certification / Enterprise opportunity",IF($S376="Application Started","7 Certification / Enterprise opportunity",IF($S376="Meeting Booked","6 Meeting / Application",IF(OR($S376="Interested",$S376="Info Requested"),"5 Interested",IF(OR($S376="Declined",$S376="Not Relevant"),"0 Closed - no",IF($R376="Yes","4 Contacted",IF($N376="Yes","2 Engaged",IF($M376="Yes","1 Awareness",IF($AA376&gt;=60,"3 Qualified","1 Awareness"))))))))))</f>
        <v/>
      </c>
    </row>
    <row r="377" customFormat="false" ht="30" hidden="false" customHeight="true" outlineLevel="0" collapsed="false">
      <c r="A377" s="36"/>
      <c r="B377" s="37"/>
      <c r="C377" s="37"/>
      <c r="D377" s="37"/>
      <c r="E377" s="37"/>
      <c r="F377" s="37"/>
      <c r="G377" s="37"/>
      <c r="H377" s="37"/>
      <c r="I377" s="37"/>
      <c r="J377" s="47"/>
      <c r="K377" s="41" t="str">
        <f aca="false">IF(J377="","",IF(J377&gt;=8,"Yes","Check"))</f>
        <v/>
      </c>
      <c r="L377" s="38"/>
      <c r="M377" s="47"/>
      <c r="N377" s="47"/>
      <c r="O377" s="37"/>
      <c r="P377" s="38"/>
      <c r="Q377" s="42" t="str">
        <f aca="false">IF(P377="","",LEN(P377))</f>
        <v/>
      </c>
      <c r="R377" s="47"/>
      <c r="S377" s="37"/>
      <c r="T377" s="38"/>
      <c r="U377" s="43" t="str">
        <f aca="false">IF(OR(R377&lt;&gt;"Yes",A377=""),"",A377+4)</f>
        <v/>
      </c>
      <c r="V377" s="47"/>
      <c r="W377" s="38"/>
      <c r="X377" s="38"/>
      <c r="Y377" s="44"/>
      <c r="Z377" s="44"/>
      <c r="AA377" s="45" t="str">
        <f aca="false">IF(AND($Y377="",$Z377=""),"",ROUND(IFERROR(VALUE(LEFT($Y377,1)),0)*12+IFERROR(VALUE(LEFT($Z377,1)),0)*8,0))</f>
        <v/>
      </c>
      <c r="AB377" s="45" t="str">
        <f aca="false">IF($AA377="","",IF($AA377&gt;=80,"A - call first",IF($AA377&gt;=60,"B - worth pursuing",IF($AA377&gt;=40,"C - nurture","D - do not spend time here"))))</f>
        <v/>
      </c>
      <c r="AC377" s="46" t="str">
        <f aca="false">IF($C377="","",IF($S377="Converted","7 Certification / Enterprise opportunity",IF($S377="Application Started","7 Certification / Enterprise opportunity",IF($S377="Meeting Booked","6 Meeting / Application",IF(OR($S377="Interested",$S377="Info Requested"),"5 Interested",IF(OR($S377="Declined",$S377="Not Relevant"),"0 Closed - no",IF($R377="Yes","4 Contacted",IF($N377="Yes","2 Engaged",IF($M377="Yes","1 Awareness",IF($AA377&gt;=60,"3 Qualified","1 Awareness"))))))))))</f>
        <v/>
      </c>
    </row>
    <row r="378" customFormat="false" ht="30" hidden="false" customHeight="true" outlineLevel="0" collapsed="false">
      <c r="A378" s="36"/>
      <c r="B378" s="37"/>
      <c r="C378" s="37"/>
      <c r="D378" s="37"/>
      <c r="E378" s="37"/>
      <c r="F378" s="37"/>
      <c r="G378" s="37"/>
      <c r="H378" s="37"/>
      <c r="I378" s="37"/>
      <c r="J378" s="47"/>
      <c r="K378" s="41" t="str">
        <f aca="false">IF(J378="","",IF(J378&gt;=8,"Yes","Check"))</f>
        <v/>
      </c>
      <c r="L378" s="38"/>
      <c r="M378" s="47"/>
      <c r="N378" s="47"/>
      <c r="O378" s="37"/>
      <c r="P378" s="38"/>
      <c r="Q378" s="42" t="str">
        <f aca="false">IF(P378="","",LEN(P378))</f>
        <v/>
      </c>
      <c r="R378" s="47"/>
      <c r="S378" s="37"/>
      <c r="T378" s="38"/>
      <c r="U378" s="43" t="str">
        <f aca="false">IF(OR(R378&lt;&gt;"Yes",A378=""),"",A378+4)</f>
        <v/>
      </c>
      <c r="V378" s="47"/>
      <c r="W378" s="38"/>
      <c r="X378" s="38"/>
      <c r="Y378" s="44"/>
      <c r="Z378" s="44"/>
      <c r="AA378" s="45" t="str">
        <f aca="false">IF(AND($Y378="",$Z378=""),"",ROUND(IFERROR(VALUE(LEFT($Y378,1)),0)*12+IFERROR(VALUE(LEFT($Z378,1)),0)*8,0))</f>
        <v/>
      </c>
      <c r="AB378" s="45" t="str">
        <f aca="false">IF($AA378="","",IF($AA378&gt;=80,"A - call first",IF($AA378&gt;=60,"B - worth pursuing",IF($AA378&gt;=40,"C - nurture","D - do not spend time here"))))</f>
        <v/>
      </c>
      <c r="AC378" s="46" t="str">
        <f aca="false">IF($C378="","",IF($S378="Converted","7 Certification / Enterprise opportunity",IF($S378="Application Started","7 Certification / Enterprise opportunity",IF($S378="Meeting Booked","6 Meeting / Application",IF(OR($S378="Interested",$S378="Info Requested"),"5 Interested",IF(OR($S378="Declined",$S378="Not Relevant"),"0 Closed - no",IF($R378="Yes","4 Contacted",IF($N378="Yes","2 Engaged",IF($M378="Yes","1 Awareness",IF($AA378&gt;=60,"3 Qualified","1 Awareness"))))))))))</f>
        <v/>
      </c>
    </row>
    <row r="379" customFormat="false" ht="30" hidden="false" customHeight="true" outlineLevel="0" collapsed="false">
      <c r="A379" s="36"/>
      <c r="B379" s="37"/>
      <c r="C379" s="37"/>
      <c r="D379" s="37"/>
      <c r="E379" s="37"/>
      <c r="F379" s="37"/>
      <c r="G379" s="37"/>
      <c r="H379" s="37"/>
      <c r="I379" s="37"/>
      <c r="J379" s="47"/>
      <c r="K379" s="41" t="str">
        <f aca="false">IF(J379="","",IF(J379&gt;=8,"Yes","Check"))</f>
        <v/>
      </c>
      <c r="L379" s="38"/>
      <c r="M379" s="47"/>
      <c r="N379" s="47"/>
      <c r="O379" s="37"/>
      <c r="P379" s="38"/>
      <c r="Q379" s="42" t="str">
        <f aca="false">IF(P379="","",LEN(P379))</f>
        <v/>
      </c>
      <c r="R379" s="47"/>
      <c r="S379" s="37"/>
      <c r="T379" s="38"/>
      <c r="U379" s="43" t="str">
        <f aca="false">IF(OR(R379&lt;&gt;"Yes",A379=""),"",A379+4)</f>
        <v/>
      </c>
      <c r="V379" s="47"/>
      <c r="W379" s="38"/>
      <c r="X379" s="38"/>
      <c r="Y379" s="44"/>
      <c r="Z379" s="44"/>
      <c r="AA379" s="45" t="str">
        <f aca="false">IF(AND($Y379="",$Z379=""),"",ROUND(IFERROR(VALUE(LEFT($Y379,1)),0)*12+IFERROR(VALUE(LEFT($Z379,1)),0)*8,0))</f>
        <v/>
      </c>
      <c r="AB379" s="45" t="str">
        <f aca="false">IF($AA379="","",IF($AA379&gt;=80,"A - call first",IF($AA379&gt;=60,"B - worth pursuing",IF($AA379&gt;=40,"C - nurture","D - do not spend time here"))))</f>
        <v/>
      </c>
      <c r="AC379" s="46" t="str">
        <f aca="false">IF($C379="","",IF($S379="Converted","7 Certification / Enterprise opportunity",IF($S379="Application Started","7 Certification / Enterprise opportunity",IF($S379="Meeting Booked","6 Meeting / Application",IF(OR($S379="Interested",$S379="Info Requested"),"5 Interested",IF(OR($S379="Declined",$S379="Not Relevant"),"0 Closed - no",IF($R379="Yes","4 Contacted",IF($N379="Yes","2 Engaged",IF($M379="Yes","1 Awareness",IF($AA379&gt;=60,"3 Qualified","1 Awareness"))))))))))</f>
        <v/>
      </c>
    </row>
    <row r="380" customFormat="false" ht="30" hidden="false" customHeight="true" outlineLevel="0" collapsed="false">
      <c r="A380" s="36"/>
      <c r="B380" s="37"/>
      <c r="C380" s="37"/>
      <c r="D380" s="37"/>
      <c r="E380" s="37"/>
      <c r="F380" s="37"/>
      <c r="G380" s="37"/>
      <c r="H380" s="37"/>
      <c r="I380" s="37"/>
      <c r="J380" s="47"/>
      <c r="K380" s="41" t="str">
        <f aca="false">IF(J380="","",IF(J380&gt;=8,"Yes","Check"))</f>
        <v/>
      </c>
      <c r="L380" s="38"/>
      <c r="M380" s="47"/>
      <c r="N380" s="47"/>
      <c r="O380" s="37"/>
      <c r="P380" s="38"/>
      <c r="Q380" s="42" t="str">
        <f aca="false">IF(P380="","",LEN(P380))</f>
        <v/>
      </c>
      <c r="R380" s="47"/>
      <c r="S380" s="37"/>
      <c r="T380" s="38"/>
      <c r="U380" s="43" t="str">
        <f aca="false">IF(OR(R380&lt;&gt;"Yes",A380=""),"",A380+4)</f>
        <v/>
      </c>
      <c r="V380" s="47"/>
      <c r="W380" s="38"/>
      <c r="X380" s="38"/>
      <c r="Y380" s="44"/>
      <c r="Z380" s="44"/>
      <c r="AA380" s="45" t="str">
        <f aca="false">IF(AND($Y380="",$Z380=""),"",ROUND(IFERROR(VALUE(LEFT($Y380,1)),0)*12+IFERROR(VALUE(LEFT($Z380,1)),0)*8,0))</f>
        <v/>
      </c>
      <c r="AB380" s="45" t="str">
        <f aca="false">IF($AA380="","",IF($AA380&gt;=80,"A - call first",IF($AA380&gt;=60,"B - worth pursuing",IF($AA380&gt;=40,"C - nurture","D - do not spend time here"))))</f>
        <v/>
      </c>
      <c r="AC380" s="46" t="str">
        <f aca="false">IF($C380="","",IF($S380="Converted","7 Certification / Enterprise opportunity",IF($S380="Application Started","7 Certification / Enterprise opportunity",IF($S380="Meeting Booked","6 Meeting / Application",IF(OR($S380="Interested",$S380="Info Requested"),"5 Interested",IF(OR($S380="Declined",$S380="Not Relevant"),"0 Closed - no",IF($R380="Yes","4 Contacted",IF($N380="Yes","2 Engaged",IF($M380="Yes","1 Awareness",IF($AA380&gt;=60,"3 Qualified","1 Awareness"))))))))))</f>
        <v/>
      </c>
    </row>
    <row r="381" customFormat="false" ht="30" hidden="false" customHeight="true" outlineLevel="0" collapsed="false">
      <c r="A381" s="36"/>
      <c r="B381" s="37"/>
      <c r="C381" s="37"/>
      <c r="D381" s="37"/>
      <c r="E381" s="37"/>
      <c r="F381" s="37"/>
      <c r="G381" s="37"/>
      <c r="H381" s="37"/>
      <c r="I381" s="37"/>
      <c r="J381" s="47"/>
      <c r="K381" s="41" t="str">
        <f aca="false">IF(J381="","",IF(J381&gt;=8,"Yes","Check"))</f>
        <v/>
      </c>
      <c r="L381" s="38"/>
      <c r="M381" s="47"/>
      <c r="N381" s="47"/>
      <c r="O381" s="37"/>
      <c r="P381" s="38"/>
      <c r="Q381" s="42" t="str">
        <f aca="false">IF(P381="","",LEN(P381))</f>
        <v/>
      </c>
      <c r="R381" s="47"/>
      <c r="S381" s="37"/>
      <c r="T381" s="38"/>
      <c r="U381" s="43" t="str">
        <f aca="false">IF(OR(R381&lt;&gt;"Yes",A381=""),"",A381+4)</f>
        <v/>
      </c>
      <c r="V381" s="47"/>
      <c r="W381" s="38"/>
      <c r="X381" s="38"/>
      <c r="Y381" s="44"/>
      <c r="Z381" s="44"/>
      <c r="AA381" s="45" t="str">
        <f aca="false">IF(AND($Y381="",$Z381=""),"",ROUND(IFERROR(VALUE(LEFT($Y381,1)),0)*12+IFERROR(VALUE(LEFT($Z381,1)),0)*8,0))</f>
        <v/>
      </c>
      <c r="AB381" s="45" t="str">
        <f aca="false">IF($AA381="","",IF($AA381&gt;=80,"A - call first",IF($AA381&gt;=60,"B - worth pursuing",IF($AA381&gt;=40,"C - nurture","D - do not spend time here"))))</f>
        <v/>
      </c>
      <c r="AC381" s="46" t="str">
        <f aca="false">IF($C381="","",IF($S381="Converted","7 Certification / Enterprise opportunity",IF($S381="Application Started","7 Certification / Enterprise opportunity",IF($S381="Meeting Booked","6 Meeting / Application",IF(OR($S381="Interested",$S381="Info Requested"),"5 Interested",IF(OR($S381="Declined",$S381="Not Relevant"),"0 Closed - no",IF($R381="Yes","4 Contacted",IF($N381="Yes","2 Engaged",IF($M381="Yes","1 Awareness",IF($AA381&gt;=60,"3 Qualified","1 Awareness"))))))))))</f>
        <v/>
      </c>
    </row>
    <row r="382" customFormat="false" ht="30" hidden="false" customHeight="true" outlineLevel="0" collapsed="false">
      <c r="A382" s="36"/>
      <c r="B382" s="37"/>
      <c r="C382" s="37"/>
      <c r="D382" s="37"/>
      <c r="E382" s="37"/>
      <c r="F382" s="37"/>
      <c r="G382" s="37"/>
      <c r="H382" s="37"/>
      <c r="I382" s="37"/>
      <c r="J382" s="47"/>
      <c r="K382" s="41" t="str">
        <f aca="false">IF(J382="","",IF(J382&gt;=8,"Yes","Check"))</f>
        <v/>
      </c>
      <c r="L382" s="38"/>
      <c r="M382" s="47"/>
      <c r="N382" s="47"/>
      <c r="O382" s="37"/>
      <c r="P382" s="38"/>
      <c r="Q382" s="42" t="str">
        <f aca="false">IF(P382="","",LEN(P382))</f>
        <v/>
      </c>
      <c r="R382" s="47"/>
      <c r="S382" s="37"/>
      <c r="T382" s="38"/>
      <c r="U382" s="43" t="str">
        <f aca="false">IF(OR(R382&lt;&gt;"Yes",A382=""),"",A382+4)</f>
        <v/>
      </c>
      <c r="V382" s="47"/>
      <c r="W382" s="38"/>
      <c r="X382" s="38"/>
      <c r="Y382" s="44"/>
      <c r="Z382" s="44"/>
      <c r="AA382" s="45" t="str">
        <f aca="false">IF(AND($Y382="",$Z382=""),"",ROUND(IFERROR(VALUE(LEFT($Y382,1)),0)*12+IFERROR(VALUE(LEFT($Z382,1)),0)*8,0))</f>
        <v/>
      </c>
      <c r="AB382" s="45" t="str">
        <f aca="false">IF($AA382="","",IF($AA382&gt;=80,"A - call first",IF($AA382&gt;=60,"B - worth pursuing",IF($AA382&gt;=40,"C - nurture","D - do not spend time here"))))</f>
        <v/>
      </c>
      <c r="AC382" s="46" t="str">
        <f aca="false">IF($C382="","",IF($S382="Converted","7 Certification / Enterprise opportunity",IF($S382="Application Started","7 Certification / Enterprise opportunity",IF($S382="Meeting Booked","6 Meeting / Application",IF(OR($S382="Interested",$S382="Info Requested"),"5 Interested",IF(OR($S382="Declined",$S382="Not Relevant"),"0 Closed - no",IF($R382="Yes","4 Contacted",IF($N382="Yes","2 Engaged",IF($M382="Yes","1 Awareness",IF($AA382&gt;=60,"3 Qualified","1 Awareness"))))))))))</f>
        <v/>
      </c>
    </row>
    <row r="383" customFormat="false" ht="30" hidden="false" customHeight="true" outlineLevel="0" collapsed="false">
      <c r="A383" s="36"/>
      <c r="B383" s="37"/>
      <c r="C383" s="37"/>
      <c r="D383" s="37"/>
      <c r="E383" s="37"/>
      <c r="F383" s="37"/>
      <c r="G383" s="37"/>
      <c r="H383" s="37"/>
      <c r="I383" s="37"/>
      <c r="J383" s="47"/>
      <c r="K383" s="41" t="str">
        <f aca="false">IF(J383="","",IF(J383&gt;=8,"Yes","Check"))</f>
        <v/>
      </c>
      <c r="L383" s="38"/>
      <c r="M383" s="47"/>
      <c r="N383" s="47"/>
      <c r="O383" s="37"/>
      <c r="P383" s="38"/>
      <c r="Q383" s="42" t="str">
        <f aca="false">IF(P383="","",LEN(P383))</f>
        <v/>
      </c>
      <c r="R383" s="47"/>
      <c r="S383" s="37"/>
      <c r="T383" s="38"/>
      <c r="U383" s="43" t="str">
        <f aca="false">IF(OR(R383&lt;&gt;"Yes",A383=""),"",A383+4)</f>
        <v/>
      </c>
      <c r="V383" s="47"/>
      <c r="W383" s="38"/>
      <c r="X383" s="38"/>
      <c r="Y383" s="44"/>
      <c r="Z383" s="44"/>
      <c r="AA383" s="45" t="str">
        <f aca="false">IF(AND($Y383="",$Z383=""),"",ROUND(IFERROR(VALUE(LEFT($Y383,1)),0)*12+IFERROR(VALUE(LEFT($Z383,1)),0)*8,0))</f>
        <v/>
      </c>
      <c r="AB383" s="45" t="str">
        <f aca="false">IF($AA383="","",IF($AA383&gt;=80,"A - call first",IF($AA383&gt;=60,"B - worth pursuing",IF($AA383&gt;=40,"C - nurture","D - do not spend time here"))))</f>
        <v/>
      </c>
      <c r="AC383" s="46" t="str">
        <f aca="false">IF($C383="","",IF($S383="Converted","7 Certification / Enterprise opportunity",IF($S383="Application Started","7 Certification / Enterprise opportunity",IF($S383="Meeting Booked","6 Meeting / Application",IF(OR($S383="Interested",$S383="Info Requested"),"5 Interested",IF(OR($S383="Declined",$S383="Not Relevant"),"0 Closed - no",IF($R383="Yes","4 Contacted",IF($N383="Yes","2 Engaged",IF($M383="Yes","1 Awareness",IF($AA383&gt;=60,"3 Qualified","1 Awareness"))))))))))</f>
        <v/>
      </c>
    </row>
    <row r="384" customFormat="false" ht="30" hidden="false" customHeight="true" outlineLevel="0" collapsed="false">
      <c r="A384" s="36"/>
      <c r="B384" s="37"/>
      <c r="C384" s="37"/>
      <c r="D384" s="37"/>
      <c r="E384" s="37"/>
      <c r="F384" s="37"/>
      <c r="G384" s="37"/>
      <c r="H384" s="37"/>
      <c r="I384" s="37"/>
      <c r="J384" s="47"/>
      <c r="K384" s="41" t="str">
        <f aca="false">IF(J384="","",IF(J384&gt;=8,"Yes","Check"))</f>
        <v/>
      </c>
      <c r="L384" s="38"/>
      <c r="M384" s="47"/>
      <c r="N384" s="47"/>
      <c r="O384" s="37"/>
      <c r="P384" s="38"/>
      <c r="Q384" s="42" t="str">
        <f aca="false">IF(P384="","",LEN(P384))</f>
        <v/>
      </c>
      <c r="R384" s="47"/>
      <c r="S384" s="37"/>
      <c r="T384" s="38"/>
      <c r="U384" s="43" t="str">
        <f aca="false">IF(OR(R384&lt;&gt;"Yes",A384=""),"",A384+4)</f>
        <v/>
      </c>
      <c r="V384" s="47"/>
      <c r="W384" s="38"/>
      <c r="X384" s="38"/>
      <c r="Y384" s="44"/>
      <c r="Z384" s="44"/>
      <c r="AA384" s="45" t="str">
        <f aca="false">IF(AND($Y384="",$Z384=""),"",ROUND(IFERROR(VALUE(LEFT($Y384,1)),0)*12+IFERROR(VALUE(LEFT($Z384,1)),0)*8,0))</f>
        <v/>
      </c>
      <c r="AB384" s="45" t="str">
        <f aca="false">IF($AA384="","",IF($AA384&gt;=80,"A - call first",IF($AA384&gt;=60,"B - worth pursuing",IF($AA384&gt;=40,"C - nurture","D - do not spend time here"))))</f>
        <v/>
      </c>
      <c r="AC384" s="46" t="str">
        <f aca="false">IF($C384="","",IF($S384="Converted","7 Certification / Enterprise opportunity",IF($S384="Application Started","7 Certification / Enterprise opportunity",IF($S384="Meeting Booked","6 Meeting / Application",IF(OR($S384="Interested",$S384="Info Requested"),"5 Interested",IF(OR($S384="Declined",$S384="Not Relevant"),"0 Closed - no",IF($R384="Yes","4 Contacted",IF($N384="Yes","2 Engaged",IF($M384="Yes","1 Awareness",IF($AA384&gt;=60,"3 Qualified","1 Awareness"))))))))))</f>
        <v/>
      </c>
    </row>
    <row r="385" customFormat="false" ht="30" hidden="false" customHeight="true" outlineLevel="0" collapsed="false">
      <c r="A385" s="36"/>
      <c r="B385" s="37"/>
      <c r="C385" s="37"/>
      <c r="D385" s="37"/>
      <c r="E385" s="37"/>
      <c r="F385" s="37"/>
      <c r="G385" s="37"/>
      <c r="H385" s="37"/>
      <c r="I385" s="37"/>
      <c r="J385" s="47"/>
      <c r="K385" s="41" t="str">
        <f aca="false">IF(J385="","",IF(J385&gt;=8,"Yes","Check"))</f>
        <v/>
      </c>
      <c r="L385" s="38"/>
      <c r="M385" s="47"/>
      <c r="N385" s="47"/>
      <c r="O385" s="37"/>
      <c r="P385" s="38"/>
      <c r="Q385" s="42" t="str">
        <f aca="false">IF(P385="","",LEN(P385))</f>
        <v/>
      </c>
      <c r="R385" s="47"/>
      <c r="S385" s="37"/>
      <c r="T385" s="38"/>
      <c r="U385" s="43" t="str">
        <f aca="false">IF(OR(R385&lt;&gt;"Yes",A385=""),"",A385+4)</f>
        <v/>
      </c>
      <c r="V385" s="47"/>
      <c r="W385" s="38"/>
      <c r="X385" s="38"/>
      <c r="Y385" s="44"/>
      <c r="Z385" s="44"/>
      <c r="AA385" s="45" t="str">
        <f aca="false">IF(AND($Y385="",$Z385=""),"",ROUND(IFERROR(VALUE(LEFT($Y385,1)),0)*12+IFERROR(VALUE(LEFT($Z385,1)),0)*8,0))</f>
        <v/>
      </c>
      <c r="AB385" s="45" t="str">
        <f aca="false">IF($AA385="","",IF($AA385&gt;=80,"A - call first",IF($AA385&gt;=60,"B - worth pursuing",IF($AA385&gt;=40,"C - nurture","D - do not spend time here"))))</f>
        <v/>
      </c>
      <c r="AC385" s="46" t="str">
        <f aca="false">IF($C385="","",IF($S385="Converted","7 Certification / Enterprise opportunity",IF($S385="Application Started","7 Certification / Enterprise opportunity",IF($S385="Meeting Booked","6 Meeting / Application",IF(OR($S385="Interested",$S385="Info Requested"),"5 Interested",IF(OR($S385="Declined",$S385="Not Relevant"),"0 Closed - no",IF($R385="Yes","4 Contacted",IF($N385="Yes","2 Engaged",IF($M385="Yes","1 Awareness",IF($AA385&gt;=60,"3 Qualified","1 Awareness"))))))))))</f>
        <v/>
      </c>
    </row>
    <row r="386" customFormat="false" ht="30" hidden="false" customHeight="true" outlineLevel="0" collapsed="false">
      <c r="A386" s="36"/>
      <c r="B386" s="37"/>
      <c r="C386" s="37"/>
      <c r="D386" s="37"/>
      <c r="E386" s="37"/>
      <c r="F386" s="37"/>
      <c r="G386" s="37"/>
      <c r="H386" s="37"/>
      <c r="I386" s="37"/>
      <c r="J386" s="47"/>
      <c r="K386" s="41" t="str">
        <f aca="false">IF(J386="","",IF(J386&gt;=8,"Yes","Check"))</f>
        <v/>
      </c>
      <c r="L386" s="38"/>
      <c r="M386" s="47"/>
      <c r="N386" s="47"/>
      <c r="O386" s="37"/>
      <c r="P386" s="38"/>
      <c r="Q386" s="42" t="str">
        <f aca="false">IF(P386="","",LEN(P386))</f>
        <v/>
      </c>
      <c r="R386" s="47"/>
      <c r="S386" s="37"/>
      <c r="T386" s="38"/>
      <c r="U386" s="43" t="str">
        <f aca="false">IF(OR(R386&lt;&gt;"Yes",A386=""),"",A386+4)</f>
        <v/>
      </c>
      <c r="V386" s="47"/>
      <c r="W386" s="38"/>
      <c r="X386" s="38"/>
      <c r="Y386" s="44"/>
      <c r="Z386" s="44"/>
      <c r="AA386" s="45" t="str">
        <f aca="false">IF(AND($Y386="",$Z386=""),"",ROUND(IFERROR(VALUE(LEFT($Y386,1)),0)*12+IFERROR(VALUE(LEFT($Z386,1)),0)*8,0))</f>
        <v/>
      </c>
      <c r="AB386" s="45" t="str">
        <f aca="false">IF($AA386="","",IF($AA386&gt;=80,"A - call first",IF($AA386&gt;=60,"B - worth pursuing",IF($AA386&gt;=40,"C - nurture","D - do not spend time here"))))</f>
        <v/>
      </c>
      <c r="AC386" s="46" t="str">
        <f aca="false">IF($C386="","",IF($S386="Converted","7 Certification / Enterprise opportunity",IF($S386="Application Started","7 Certification / Enterprise opportunity",IF($S386="Meeting Booked","6 Meeting / Application",IF(OR($S386="Interested",$S386="Info Requested"),"5 Interested",IF(OR($S386="Declined",$S386="Not Relevant"),"0 Closed - no",IF($R386="Yes","4 Contacted",IF($N386="Yes","2 Engaged",IF($M386="Yes","1 Awareness",IF($AA386&gt;=60,"3 Qualified","1 Awareness"))))))))))</f>
        <v/>
      </c>
    </row>
    <row r="387" customFormat="false" ht="30" hidden="false" customHeight="true" outlineLevel="0" collapsed="false">
      <c r="A387" s="36"/>
      <c r="B387" s="37"/>
      <c r="C387" s="37"/>
      <c r="D387" s="37"/>
      <c r="E387" s="37"/>
      <c r="F387" s="37"/>
      <c r="G387" s="37"/>
      <c r="H387" s="37"/>
      <c r="I387" s="37"/>
      <c r="J387" s="47"/>
      <c r="K387" s="41" t="str">
        <f aca="false">IF(J387="","",IF(J387&gt;=8,"Yes","Check"))</f>
        <v/>
      </c>
      <c r="L387" s="38"/>
      <c r="M387" s="47"/>
      <c r="N387" s="47"/>
      <c r="O387" s="37"/>
      <c r="P387" s="38"/>
      <c r="Q387" s="42" t="str">
        <f aca="false">IF(P387="","",LEN(P387))</f>
        <v/>
      </c>
      <c r="R387" s="47"/>
      <c r="S387" s="37"/>
      <c r="T387" s="38"/>
      <c r="U387" s="43" t="str">
        <f aca="false">IF(OR(R387&lt;&gt;"Yes",A387=""),"",A387+4)</f>
        <v/>
      </c>
      <c r="V387" s="47"/>
      <c r="W387" s="38"/>
      <c r="X387" s="38"/>
      <c r="Y387" s="44"/>
      <c r="Z387" s="44"/>
      <c r="AA387" s="45" t="str">
        <f aca="false">IF(AND($Y387="",$Z387=""),"",ROUND(IFERROR(VALUE(LEFT($Y387,1)),0)*12+IFERROR(VALUE(LEFT($Z387,1)),0)*8,0))</f>
        <v/>
      </c>
      <c r="AB387" s="45" t="str">
        <f aca="false">IF($AA387="","",IF($AA387&gt;=80,"A - call first",IF($AA387&gt;=60,"B - worth pursuing",IF($AA387&gt;=40,"C - nurture","D - do not spend time here"))))</f>
        <v/>
      </c>
      <c r="AC387" s="46" t="str">
        <f aca="false">IF($C387="","",IF($S387="Converted","7 Certification / Enterprise opportunity",IF($S387="Application Started","7 Certification / Enterprise opportunity",IF($S387="Meeting Booked","6 Meeting / Application",IF(OR($S387="Interested",$S387="Info Requested"),"5 Interested",IF(OR($S387="Declined",$S387="Not Relevant"),"0 Closed - no",IF($R387="Yes","4 Contacted",IF($N387="Yes","2 Engaged",IF($M387="Yes","1 Awareness",IF($AA387&gt;=60,"3 Qualified","1 Awareness"))))))))))</f>
        <v/>
      </c>
    </row>
    <row r="388" customFormat="false" ht="30" hidden="false" customHeight="true" outlineLevel="0" collapsed="false">
      <c r="A388" s="36"/>
      <c r="B388" s="37"/>
      <c r="C388" s="37"/>
      <c r="D388" s="37"/>
      <c r="E388" s="37"/>
      <c r="F388" s="37"/>
      <c r="G388" s="37"/>
      <c r="H388" s="37"/>
      <c r="I388" s="37"/>
      <c r="J388" s="47"/>
      <c r="K388" s="41" t="str">
        <f aca="false">IF(J388="","",IF(J388&gt;=8,"Yes","Check"))</f>
        <v/>
      </c>
      <c r="L388" s="38"/>
      <c r="M388" s="47"/>
      <c r="N388" s="47"/>
      <c r="O388" s="37"/>
      <c r="P388" s="38"/>
      <c r="Q388" s="42" t="str">
        <f aca="false">IF(P388="","",LEN(P388))</f>
        <v/>
      </c>
      <c r="R388" s="47"/>
      <c r="S388" s="37"/>
      <c r="T388" s="38"/>
      <c r="U388" s="43" t="str">
        <f aca="false">IF(OR(R388&lt;&gt;"Yes",A388=""),"",A388+4)</f>
        <v/>
      </c>
      <c r="V388" s="47"/>
      <c r="W388" s="38"/>
      <c r="X388" s="38"/>
      <c r="Y388" s="44"/>
      <c r="Z388" s="44"/>
      <c r="AA388" s="45" t="str">
        <f aca="false">IF(AND($Y388="",$Z388=""),"",ROUND(IFERROR(VALUE(LEFT($Y388,1)),0)*12+IFERROR(VALUE(LEFT($Z388,1)),0)*8,0))</f>
        <v/>
      </c>
      <c r="AB388" s="45" t="str">
        <f aca="false">IF($AA388="","",IF($AA388&gt;=80,"A - call first",IF($AA388&gt;=60,"B - worth pursuing",IF($AA388&gt;=40,"C - nurture","D - do not spend time here"))))</f>
        <v/>
      </c>
      <c r="AC388" s="46" t="str">
        <f aca="false">IF($C388="","",IF($S388="Converted","7 Certification / Enterprise opportunity",IF($S388="Application Started","7 Certification / Enterprise opportunity",IF($S388="Meeting Booked","6 Meeting / Application",IF(OR($S388="Interested",$S388="Info Requested"),"5 Interested",IF(OR($S388="Declined",$S388="Not Relevant"),"0 Closed - no",IF($R388="Yes","4 Contacted",IF($N388="Yes","2 Engaged",IF($M388="Yes","1 Awareness",IF($AA388&gt;=60,"3 Qualified","1 Awareness"))))))))))</f>
        <v/>
      </c>
    </row>
    <row r="389" customFormat="false" ht="30" hidden="false" customHeight="true" outlineLevel="0" collapsed="false">
      <c r="A389" s="36"/>
      <c r="B389" s="37"/>
      <c r="C389" s="37"/>
      <c r="D389" s="37"/>
      <c r="E389" s="37"/>
      <c r="F389" s="37"/>
      <c r="G389" s="37"/>
      <c r="H389" s="37"/>
      <c r="I389" s="37"/>
      <c r="J389" s="47"/>
      <c r="K389" s="41" t="str">
        <f aca="false">IF(J389="","",IF(J389&gt;=8,"Yes","Check"))</f>
        <v/>
      </c>
      <c r="L389" s="38"/>
      <c r="M389" s="47"/>
      <c r="N389" s="47"/>
      <c r="O389" s="37"/>
      <c r="P389" s="38"/>
      <c r="Q389" s="42" t="str">
        <f aca="false">IF(P389="","",LEN(P389))</f>
        <v/>
      </c>
      <c r="R389" s="47"/>
      <c r="S389" s="37"/>
      <c r="T389" s="38"/>
      <c r="U389" s="43" t="str">
        <f aca="false">IF(OR(R389&lt;&gt;"Yes",A389=""),"",A389+4)</f>
        <v/>
      </c>
      <c r="V389" s="47"/>
      <c r="W389" s="38"/>
      <c r="X389" s="38"/>
      <c r="Y389" s="44"/>
      <c r="Z389" s="44"/>
      <c r="AA389" s="45" t="str">
        <f aca="false">IF(AND($Y389="",$Z389=""),"",ROUND(IFERROR(VALUE(LEFT($Y389,1)),0)*12+IFERROR(VALUE(LEFT($Z389,1)),0)*8,0))</f>
        <v/>
      </c>
      <c r="AB389" s="45" t="str">
        <f aca="false">IF($AA389="","",IF($AA389&gt;=80,"A - call first",IF($AA389&gt;=60,"B - worth pursuing",IF($AA389&gt;=40,"C - nurture","D - do not spend time here"))))</f>
        <v/>
      </c>
      <c r="AC389" s="46" t="str">
        <f aca="false">IF($C389="","",IF($S389="Converted","7 Certification / Enterprise opportunity",IF($S389="Application Started","7 Certification / Enterprise opportunity",IF($S389="Meeting Booked","6 Meeting / Application",IF(OR($S389="Interested",$S389="Info Requested"),"5 Interested",IF(OR($S389="Declined",$S389="Not Relevant"),"0 Closed - no",IF($R389="Yes","4 Contacted",IF($N389="Yes","2 Engaged",IF($M389="Yes","1 Awareness",IF($AA389&gt;=60,"3 Qualified","1 Awareness"))))))))))</f>
        <v/>
      </c>
    </row>
    <row r="390" customFormat="false" ht="30" hidden="false" customHeight="true" outlineLevel="0" collapsed="false">
      <c r="A390" s="36"/>
      <c r="B390" s="37"/>
      <c r="C390" s="37"/>
      <c r="D390" s="37"/>
      <c r="E390" s="37"/>
      <c r="F390" s="37"/>
      <c r="G390" s="37"/>
      <c r="H390" s="37"/>
      <c r="I390" s="37"/>
      <c r="J390" s="47"/>
      <c r="K390" s="41" t="str">
        <f aca="false">IF(J390="","",IF(J390&gt;=8,"Yes","Check"))</f>
        <v/>
      </c>
      <c r="L390" s="38"/>
      <c r="M390" s="47"/>
      <c r="N390" s="47"/>
      <c r="O390" s="37"/>
      <c r="P390" s="38"/>
      <c r="Q390" s="42" t="str">
        <f aca="false">IF(P390="","",LEN(P390))</f>
        <v/>
      </c>
      <c r="R390" s="47"/>
      <c r="S390" s="37"/>
      <c r="T390" s="38"/>
      <c r="U390" s="43" t="str">
        <f aca="false">IF(OR(R390&lt;&gt;"Yes",A390=""),"",A390+4)</f>
        <v/>
      </c>
      <c r="V390" s="47"/>
      <c r="W390" s="38"/>
      <c r="X390" s="38"/>
      <c r="Y390" s="44"/>
      <c r="Z390" s="44"/>
      <c r="AA390" s="45" t="str">
        <f aca="false">IF(AND($Y390="",$Z390=""),"",ROUND(IFERROR(VALUE(LEFT($Y390,1)),0)*12+IFERROR(VALUE(LEFT($Z390,1)),0)*8,0))</f>
        <v/>
      </c>
      <c r="AB390" s="45" t="str">
        <f aca="false">IF($AA390="","",IF($AA390&gt;=80,"A - call first",IF($AA390&gt;=60,"B - worth pursuing",IF($AA390&gt;=40,"C - nurture","D - do not spend time here"))))</f>
        <v/>
      </c>
      <c r="AC390" s="46" t="str">
        <f aca="false">IF($C390="","",IF($S390="Converted","7 Certification / Enterprise opportunity",IF($S390="Application Started","7 Certification / Enterprise opportunity",IF($S390="Meeting Booked","6 Meeting / Application",IF(OR($S390="Interested",$S390="Info Requested"),"5 Interested",IF(OR($S390="Declined",$S390="Not Relevant"),"0 Closed - no",IF($R390="Yes","4 Contacted",IF($N390="Yes","2 Engaged",IF($M390="Yes","1 Awareness",IF($AA390&gt;=60,"3 Qualified","1 Awareness"))))))))))</f>
        <v/>
      </c>
    </row>
    <row r="391" customFormat="false" ht="30" hidden="false" customHeight="true" outlineLevel="0" collapsed="false">
      <c r="A391" s="36"/>
      <c r="B391" s="37"/>
      <c r="C391" s="37"/>
      <c r="D391" s="37"/>
      <c r="E391" s="37"/>
      <c r="F391" s="37"/>
      <c r="G391" s="37"/>
      <c r="H391" s="37"/>
      <c r="I391" s="37"/>
      <c r="J391" s="47"/>
      <c r="K391" s="41" t="str">
        <f aca="false">IF(J391="","",IF(J391&gt;=8,"Yes","Check"))</f>
        <v/>
      </c>
      <c r="L391" s="38"/>
      <c r="M391" s="47"/>
      <c r="N391" s="47"/>
      <c r="O391" s="37"/>
      <c r="P391" s="38"/>
      <c r="Q391" s="42" t="str">
        <f aca="false">IF(P391="","",LEN(P391))</f>
        <v/>
      </c>
      <c r="R391" s="47"/>
      <c r="S391" s="37"/>
      <c r="T391" s="38"/>
      <c r="U391" s="43" t="str">
        <f aca="false">IF(OR(R391&lt;&gt;"Yes",A391=""),"",A391+4)</f>
        <v/>
      </c>
      <c r="V391" s="47"/>
      <c r="W391" s="38"/>
      <c r="X391" s="38"/>
      <c r="Y391" s="44"/>
      <c r="Z391" s="44"/>
      <c r="AA391" s="45" t="str">
        <f aca="false">IF(AND($Y391="",$Z391=""),"",ROUND(IFERROR(VALUE(LEFT($Y391,1)),0)*12+IFERROR(VALUE(LEFT($Z391,1)),0)*8,0))</f>
        <v/>
      </c>
      <c r="AB391" s="45" t="str">
        <f aca="false">IF($AA391="","",IF($AA391&gt;=80,"A - call first",IF($AA391&gt;=60,"B - worth pursuing",IF($AA391&gt;=40,"C - nurture","D - do not spend time here"))))</f>
        <v/>
      </c>
      <c r="AC391" s="46" t="str">
        <f aca="false">IF($C391="","",IF($S391="Converted","7 Certification / Enterprise opportunity",IF($S391="Application Started","7 Certification / Enterprise opportunity",IF($S391="Meeting Booked","6 Meeting / Application",IF(OR($S391="Interested",$S391="Info Requested"),"5 Interested",IF(OR($S391="Declined",$S391="Not Relevant"),"0 Closed - no",IF($R391="Yes","4 Contacted",IF($N391="Yes","2 Engaged",IF($M391="Yes","1 Awareness",IF($AA391&gt;=60,"3 Qualified","1 Awareness"))))))))))</f>
        <v/>
      </c>
    </row>
    <row r="392" customFormat="false" ht="30" hidden="false" customHeight="true" outlineLevel="0" collapsed="false">
      <c r="A392" s="36"/>
      <c r="B392" s="37"/>
      <c r="C392" s="37"/>
      <c r="D392" s="37"/>
      <c r="E392" s="37"/>
      <c r="F392" s="37"/>
      <c r="G392" s="37"/>
      <c r="H392" s="37"/>
      <c r="I392" s="37"/>
      <c r="J392" s="47"/>
      <c r="K392" s="41" t="str">
        <f aca="false">IF(J392="","",IF(J392&gt;=8,"Yes","Check"))</f>
        <v/>
      </c>
      <c r="L392" s="38"/>
      <c r="M392" s="47"/>
      <c r="N392" s="47"/>
      <c r="O392" s="37"/>
      <c r="P392" s="38"/>
      <c r="Q392" s="42" t="str">
        <f aca="false">IF(P392="","",LEN(P392))</f>
        <v/>
      </c>
      <c r="R392" s="47"/>
      <c r="S392" s="37"/>
      <c r="T392" s="38"/>
      <c r="U392" s="43" t="str">
        <f aca="false">IF(OR(R392&lt;&gt;"Yes",A392=""),"",A392+4)</f>
        <v/>
      </c>
      <c r="V392" s="47"/>
      <c r="W392" s="38"/>
      <c r="X392" s="38"/>
      <c r="Y392" s="44"/>
      <c r="Z392" s="44"/>
      <c r="AA392" s="45" t="str">
        <f aca="false">IF(AND($Y392="",$Z392=""),"",ROUND(IFERROR(VALUE(LEFT($Y392,1)),0)*12+IFERROR(VALUE(LEFT($Z392,1)),0)*8,0))</f>
        <v/>
      </c>
      <c r="AB392" s="45" t="str">
        <f aca="false">IF($AA392="","",IF($AA392&gt;=80,"A - call first",IF($AA392&gt;=60,"B - worth pursuing",IF($AA392&gt;=40,"C - nurture","D - do not spend time here"))))</f>
        <v/>
      </c>
      <c r="AC392" s="46" t="str">
        <f aca="false">IF($C392="","",IF($S392="Converted","7 Certification / Enterprise opportunity",IF($S392="Application Started","7 Certification / Enterprise opportunity",IF($S392="Meeting Booked","6 Meeting / Application",IF(OR($S392="Interested",$S392="Info Requested"),"5 Interested",IF(OR($S392="Declined",$S392="Not Relevant"),"0 Closed - no",IF($R392="Yes","4 Contacted",IF($N392="Yes","2 Engaged",IF($M392="Yes","1 Awareness",IF($AA392&gt;=60,"3 Qualified","1 Awareness"))))))))))</f>
        <v/>
      </c>
    </row>
    <row r="393" customFormat="false" ht="30" hidden="false" customHeight="true" outlineLevel="0" collapsed="false">
      <c r="A393" s="36"/>
      <c r="B393" s="37"/>
      <c r="C393" s="37"/>
      <c r="D393" s="37"/>
      <c r="E393" s="37"/>
      <c r="F393" s="37"/>
      <c r="G393" s="37"/>
      <c r="H393" s="37"/>
      <c r="I393" s="37"/>
      <c r="J393" s="47"/>
      <c r="K393" s="41" t="str">
        <f aca="false">IF(J393="","",IF(J393&gt;=8,"Yes","Check"))</f>
        <v/>
      </c>
      <c r="L393" s="38"/>
      <c r="M393" s="47"/>
      <c r="N393" s="47"/>
      <c r="O393" s="37"/>
      <c r="P393" s="38"/>
      <c r="Q393" s="42" t="str">
        <f aca="false">IF(P393="","",LEN(P393))</f>
        <v/>
      </c>
      <c r="R393" s="47"/>
      <c r="S393" s="37"/>
      <c r="T393" s="38"/>
      <c r="U393" s="43" t="str">
        <f aca="false">IF(OR(R393&lt;&gt;"Yes",A393=""),"",A393+4)</f>
        <v/>
      </c>
      <c r="V393" s="47"/>
      <c r="W393" s="38"/>
      <c r="X393" s="38"/>
      <c r="Y393" s="44"/>
      <c r="Z393" s="44"/>
      <c r="AA393" s="45" t="str">
        <f aca="false">IF(AND($Y393="",$Z393=""),"",ROUND(IFERROR(VALUE(LEFT($Y393,1)),0)*12+IFERROR(VALUE(LEFT($Z393,1)),0)*8,0))</f>
        <v/>
      </c>
      <c r="AB393" s="45" t="str">
        <f aca="false">IF($AA393="","",IF($AA393&gt;=80,"A - call first",IF($AA393&gt;=60,"B - worth pursuing",IF($AA393&gt;=40,"C - nurture","D - do not spend time here"))))</f>
        <v/>
      </c>
      <c r="AC393" s="46" t="str">
        <f aca="false">IF($C393="","",IF($S393="Converted","7 Certification / Enterprise opportunity",IF($S393="Application Started","7 Certification / Enterprise opportunity",IF($S393="Meeting Booked","6 Meeting / Application",IF(OR($S393="Interested",$S393="Info Requested"),"5 Interested",IF(OR($S393="Declined",$S393="Not Relevant"),"0 Closed - no",IF($R393="Yes","4 Contacted",IF($N393="Yes","2 Engaged",IF($M393="Yes","1 Awareness",IF($AA393&gt;=60,"3 Qualified","1 Awareness"))))))))))</f>
        <v/>
      </c>
    </row>
    <row r="394" customFormat="false" ht="30" hidden="false" customHeight="true" outlineLevel="0" collapsed="false">
      <c r="A394" s="36"/>
      <c r="B394" s="37"/>
      <c r="C394" s="37"/>
      <c r="D394" s="37"/>
      <c r="E394" s="37"/>
      <c r="F394" s="37"/>
      <c r="G394" s="37"/>
      <c r="H394" s="37"/>
      <c r="I394" s="37"/>
      <c r="J394" s="47"/>
      <c r="K394" s="41" t="str">
        <f aca="false">IF(J394="","",IF(J394&gt;=8,"Yes","Check"))</f>
        <v/>
      </c>
      <c r="L394" s="38"/>
      <c r="M394" s="47"/>
      <c r="N394" s="47"/>
      <c r="O394" s="37"/>
      <c r="P394" s="38"/>
      <c r="Q394" s="42" t="str">
        <f aca="false">IF(P394="","",LEN(P394))</f>
        <v/>
      </c>
      <c r="R394" s="47"/>
      <c r="S394" s="37"/>
      <c r="T394" s="38"/>
      <c r="U394" s="43" t="str">
        <f aca="false">IF(OR(R394&lt;&gt;"Yes",A394=""),"",A394+4)</f>
        <v/>
      </c>
      <c r="V394" s="47"/>
      <c r="W394" s="38"/>
      <c r="X394" s="38"/>
      <c r="Y394" s="44"/>
      <c r="Z394" s="44"/>
      <c r="AA394" s="45" t="str">
        <f aca="false">IF(AND($Y394="",$Z394=""),"",ROUND(IFERROR(VALUE(LEFT($Y394,1)),0)*12+IFERROR(VALUE(LEFT($Z394,1)),0)*8,0))</f>
        <v/>
      </c>
      <c r="AB394" s="45" t="str">
        <f aca="false">IF($AA394="","",IF($AA394&gt;=80,"A - call first",IF($AA394&gt;=60,"B - worth pursuing",IF($AA394&gt;=40,"C - nurture","D - do not spend time here"))))</f>
        <v/>
      </c>
      <c r="AC394" s="46" t="str">
        <f aca="false">IF($C394="","",IF($S394="Converted","7 Certification / Enterprise opportunity",IF($S394="Application Started","7 Certification / Enterprise opportunity",IF($S394="Meeting Booked","6 Meeting / Application",IF(OR($S394="Interested",$S394="Info Requested"),"5 Interested",IF(OR($S394="Declined",$S394="Not Relevant"),"0 Closed - no",IF($R394="Yes","4 Contacted",IF($N394="Yes","2 Engaged",IF($M394="Yes","1 Awareness",IF($AA394&gt;=60,"3 Qualified","1 Awareness"))))))))))</f>
        <v/>
      </c>
    </row>
    <row r="395" customFormat="false" ht="30" hidden="false" customHeight="true" outlineLevel="0" collapsed="false">
      <c r="A395" s="36"/>
      <c r="B395" s="37"/>
      <c r="C395" s="37"/>
      <c r="D395" s="37"/>
      <c r="E395" s="37"/>
      <c r="F395" s="37"/>
      <c r="G395" s="37"/>
      <c r="H395" s="37"/>
      <c r="I395" s="37"/>
      <c r="J395" s="47"/>
      <c r="K395" s="41" t="str">
        <f aca="false">IF(J395="","",IF(J395&gt;=8,"Yes","Check"))</f>
        <v/>
      </c>
      <c r="L395" s="38"/>
      <c r="M395" s="47"/>
      <c r="N395" s="47"/>
      <c r="O395" s="37"/>
      <c r="P395" s="38"/>
      <c r="Q395" s="42" t="str">
        <f aca="false">IF(P395="","",LEN(P395))</f>
        <v/>
      </c>
      <c r="R395" s="47"/>
      <c r="S395" s="37"/>
      <c r="T395" s="38"/>
      <c r="U395" s="43" t="str">
        <f aca="false">IF(OR(R395&lt;&gt;"Yes",A395=""),"",A395+4)</f>
        <v/>
      </c>
      <c r="V395" s="47"/>
      <c r="W395" s="38"/>
      <c r="X395" s="38"/>
      <c r="Y395" s="44"/>
      <c r="Z395" s="44"/>
      <c r="AA395" s="45" t="str">
        <f aca="false">IF(AND($Y395="",$Z395=""),"",ROUND(IFERROR(VALUE(LEFT($Y395,1)),0)*12+IFERROR(VALUE(LEFT($Z395,1)),0)*8,0))</f>
        <v/>
      </c>
      <c r="AB395" s="45" t="str">
        <f aca="false">IF($AA395="","",IF($AA395&gt;=80,"A - call first",IF($AA395&gt;=60,"B - worth pursuing",IF($AA395&gt;=40,"C - nurture","D - do not spend time here"))))</f>
        <v/>
      </c>
      <c r="AC395" s="46" t="str">
        <f aca="false">IF($C395="","",IF($S395="Converted","7 Certification / Enterprise opportunity",IF($S395="Application Started","7 Certification / Enterprise opportunity",IF($S395="Meeting Booked","6 Meeting / Application",IF(OR($S395="Interested",$S395="Info Requested"),"5 Interested",IF(OR($S395="Declined",$S395="Not Relevant"),"0 Closed - no",IF($R395="Yes","4 Contacted",IF($N395="Yes","2 Engaged",IF($M395="Yes","1 Awareness",IF($AA395&gt;=60,"3 Qualified","1 Awareness"))))))))))</f>
        <v/>
      </c>
    </row>
    <row r="396" customFormat="false" ht="30" hidden="false" customHeight="true" outlineLevel="0" collapsed="false">
      <c r="A396" s="36"/>
      <c r="B396" s="37"/>
      <c r="C396" s="37"/>
      <c r="D396" s="37"/>
      <c r="E396" s="37"/>
      <c r="F396" s="37"/>
      <c r="G396" s="37"/>
      <c r="H396" s="37"/>
      <c r="I396" s="37"/>
      <c r="J396" s="47"/>
      <c r="K396" s="41" t="str">
        <f aca="false">IF(J396="","",IF(J396&gt;=8,"Yes","Check"))</f>
        <v/>
      </c>
      <c r="L396" s="38"/>
      <c r="M396" s="47"/>
      <c r="N396" s="47"/>
      <c r="O396" s="37"/>
      <c r="P396" s="38"/>
      <c r="Q396" s="42" t="str">
        <f aca="false">IF(P396="","",LEN(P396))</f>
        <v/>
      </c>
      <c r="R396" s="47"/>
      <c r="S396" s="37"/>
      <c r="T396" s="38"/>
      <c r="U396" s="43" t="str">
        <f aca="false">IF(OR(R396&lt;&gt;"Yes",A396=""),"",A396+4)</f>
        <v/>
      </c>
      <c r="V396" s="47"/>
      <c r="W396" s="38"/>
      <c r="X396" s="38"/>
      <c r="Y396" s="44"/>
      <c r="Z396" s="44"/>
      <c r="AA396" s="45" t="str">
        <f aca="false">IF(AND($Y396="",$Z396=""),"",ROUND(IFERROR(VALUE(LEFT($Y396,1)),0)*12+IFERROR(VALUE(LEFT($Z396,1)),0)*8,0))</f>
        <v/>
      </c>
      <c r="AB396" s="45" t="str">
        <f aca="false">IF($AA396="","",IF($AA396&gt;=80,"A - call first",IF($AA396&gt;=60,"B - worth pursuing",IF($AA396&gt;=40,"C - nurture","D - do not spend time here"))))</f>
        <v/>
      </c>
      <c r="AC396" s="46" t="str">
        <f aca="false">IF($C396="","",IF($S396="Converted","7 Certification / Enterprise opportunity",IF($S396="Application Started","7 Certification / Enterprise opportunity",IF($S396="Meeting Booked","6 Meeting / Application",IF(OR($S396="Interested",$S396="Info Requested"),"5 Interested",IF(OR($S396="Declined",$S396="Not Relevant"),"0 Closed - no",IF($R396="Yes","4 Contacted",IF($N396="Yes","2 Engaged",IF($M396="Yes","1 Awareness",IF($AA396&gt;=60,"3 Qualified","1 Awareness"))))))))))</f>
        <v/>
      </c>
    </row>
    <row r="397" customFormat="false" ht="30" hidden="false" customHeight="true" outlineLevel="0" collapsed="false">
      <c r="A397" s="36"/>
      <c r="B397" s="37"/>
      <c r="C397" s="37"/>
      <c r="D397" s="37"/>
      <c r="E397" s="37"/>
      <c r="F397" s="37"/>
      <c r="G397" s="37"/>
      <c r="H397" s="37"/>
      <c r="I397" s="37"/>
      <c r="J397" s="47"/>
      <c r="K397" s="41" t="str">
        <f aca="false">IF(J397="","",IF(J397&gt;=8,"Yes","Check"))</f>
        <v/>
      </c>
      <c r="L397" s="38"/>
      <c r="M397" s="47"/>
      <c r="N397" s="47"/>
      <c r="O397" s="37"/>
      <c r="P397" s="38"/>
      <c r="Q397" s="42" t="str">
        <f aca="false">IF(P397="","",LEN(P397))</f>
        <v/>
      </c>
      <c r="R397" s="47"/>
      <c r="S397" s="37"/>
      <c r="T397" s="38"/>
      <c r="U397" s="43" t="str">
        <f aca="false">IF(OR(R397&lt;&gt;"Yes",A397=""),"",A397+4)</f>
        <v/>
      </c>
      <c r="V397" s="47"/>
      <c r="W397" s="38"/>
      <c r="X397" s="38"/>
      <c r="Y397" s="44"/>
      <c r="Z397" s="44"/>
      <c r="AA397" s="45" t="str">
        <f aca="false">IF(AND($Y397="",$Z397=""),"",ROUND(IFERROR(VALUE(LEFT($Y397,1)),0)*12+IFERROR(VALUE(LEFT($Z397,1)),0)*8,0))</f>
        <v/>
      </c>
      <c r="AB397" s="45" t="str">
        <f aca="false">IF($AA397="","",IF($AA397&gt;=80,"A - call first",IF($AA397&gt;=60,"B - worth pursuing",IF($AA397&gt;=40,"C - nurture","D - do not spend time here"))))</f>
        <v/>
      </c>
      <c r="AC397" s="46" t="str">
        <f aca="false">IF($C397="","",IF($S397="Converted","7 Certification / Enterprise opportunity",IF($S397="Application Started","7 Certification / Enterprise opportunity",IF($S397="Meeting Booked","6 Meeting / Application",IF(OR($S397="Interested",$S397="Info Requested"),"5 Interested",IF(OR($S397="Declined",$S397="Not Relevant"),"0 Closed - no",IF($R397="Yes","4 Contacted",IF($N397="Yes","2 Engaged",IF($M397="Yes","1 Awareness",IF($AA397&gt;=60,"3 Qualified","1 Awareness"))))))))))</f>
        <v/>
      </c>
    </row>
    <row r="398" customFormat="false" ht="30" hidden="false" customHeight="true" outlineLevel="0" collapsed="false">
      <c r="A398" s="36"/>
      <c r="B398" s="37"/>
      <c r="C398" s="37"/>
      <c r="D398" s="37"/>
      <c r="E398" s="37"/>
      <c r="F398" s="37"/>
      <c r="G398" s="37"/>
      <c r="H398" s="37"/>
      <c r="I398" s="37"/>
      <c r="J398" s="47"/>
      <c r="K398" s="41" t="str">
        <f aca="false">IF(J398="","",IF(J398&gt;=8,"Yes","Check"))</f>
        <v/>
      </c>
      <c r="L398" s="38"/>
      <c r="M398" s="47"/>
      <c r="N398" s="47"/>
      <c r="O398" s="37"/>
      <c r="P398" s="38"/>
      <c r="Q398" s="42" t="str">
        <f aca="false">IF(P398="","",LEN(P398))</f>
        <v/>
      </c>
      <c r="R398" s="47"/>
      <c r="S398" s="37"/>
      <c r="T398" s="38"/>
      <c r="U398" s="43" t="str">
        <f aca="false">IF(OR(R398&lt;&gt;"Yes",A398=""),"",A398+4)</f>
        <v/>
      </c>
      <c r="V398" s="47"/>
      <c r="W398" s="38"/>
      <c r="X398" s="38"/>
      <c r="Y398" s="44"/>
      <c r="Z398" s="44"/>
      <c r="AA398" s="45" t="str">
        <f aca="false">IF(AND($Y398="",$Z398=""),"",ROUND(IFERROR(VALUE(LEFT($Y398,1)),0)*12+IFERROR(VALUE(LEFT($Z398,1)),0)*8,0))</f>
        <v/>
      </c>
      <c r="AB398" s="45" t="str">
        <f aca="false">IF($AA398="","",IF($AA398&gt;=80,"A - call first",IF($AA398&gt;=60,"B - worth pursuing",IF($AA398&gt;=40,"C - nurture","D - do not spend time here"))))</f>
        <v/>
      </c>
      <c r="AC398" s="46" t="str">
        <f aca="false">IF($C398="","",IF($S398="Converted","7 Certification / Enterprise opportunity",IF($S398="Application Started","7 Certification / Enterprise opportunity",IF($S398="Meeting Booked","6 Meeting / Application",IF(OR($S398="Interested",$S398="Info Requested"),"5 Interested",IF(OR($S398="Declined",$S398="Not Relevant"),"0 Closed - no",IF($R398="Yes","4 Contacted",IF($N398="Yes","2 Engaged",IF($M398="Yes","1 Awareness",IF($AA398&gt;=60,"3 Qualified","1 Awareness"))))))))))</f>
        <v/>
      </c>
    </row>
    <row r="399" customFormat="false" ht="30" hidden="false" customHeight="true" outlineLevel="0" collapsed="false">
      <c r="A399" s="36"/>
      <c r="B399" s="37"/>
      <c r="C399" s="37"/>
      <c r="D399" s="37"/>
      <c r="E399" s="37"/>
      <c r="F399" s="37"/>
      <c r="G399" s="37"/>
      <c r="H399" s="37"/>
      <c r="I399" s="37"/>
      <c r="J399" s="47"/>
      <c r="K399" s="41" t="str">
        <f aca="false">IF(J399="","",IF(J399&gt;=8,"Yes","Check"))</f>
        <v/>
      </c>
      <c r="L399" s="38"/>
      <c r="M399" s="47"/>
      <c r="N399" s="47"/>
      <c r="O399" s="37"/>
      <c r="P399" s="38"/>
      <c r="Q399" s="42" t="str">
        <f aca="false">IF(P399="","",LEN(P399))</f>
        <v/>
      </c>
      <c r="R399" s="47"/>
      <c r="S399" s="37"/>
      <c r="T399" s="38"/>
      <c r="U399" s="43" t="str">
        <f aca="false">IF(OR(R399&lt;&gt;"Yes",A399=""),"",A399+4)</f>
        <v/>
      </c>
      <c r="V399" s="47"/>
      <c r="W399" s="38"/>
      <c r="X399" s="38"/>
      <c r="Y399" s="44"/>
      <c r="Z399" s="44"/>
      <c r="AA399" s="45" t="str">
        <f aca="false">IF(AND($Y399="",$Z399=""),"",ROUND(IFERROR(VALUE(LEFT($Y399,1)),0)*12+IFERROR(VALUE(LEFT($Z399,1)),0)*8,0))</f>
        <v/>
      </c>
      <c r="AB399" s="45" t="str">
        <f aca="false">IF($AA399="","",IF($AA399&gt;=80,"A - call first",IF($AA399&gt;=60,"B - worth pursuing",IF($AA399&gt;=40,"C - nurture","D - do not spend time here"))))</f>
        <v/>
      </c>
      <c r="AC399" s="46" t="str">
        <f aca="false">IF($C399="","",IF($S399="Converted","7 Certification / Enterprise opportunity",IF($S399="Application Started","7 Certification / Enterprise opportunity",IF($S399="Meeting Booked","6 Meeting / Application",IF(OR($S399="Interested",$S399="Info Requested"),"5 Interested",IF(OR($S399="Declined",$S399="Not Relevant"),"0 Closed - no",IF($R399="Yes","4 Contacted",IF($N399="Yes","2 Engaged",IF($M399="Yes","1 Awareness",IF($AA399&gt;=60,"3 Qualified","1 Awareness"))))))))))</f>
        <v/>
      </c>
    </row>
    <row r="400" customFormat="false" ht="30" hidden="false" customHeight="true" outlineLevel="0" collapsed="false">
      <c r="A400" s="36"/>
      <c r="B400" s="37"/>
      <c r="C400" s="37"/>
      <c r="D400" s="37"/>
      <c r="E400" s="37"/>
      <c r="F400" s="37"/>
      <c r="G400" s="37"/>
      <c r="H400" s="37"/>
      <c r="I400" s="37"/>
      <c r="J400" s="47"/>
      <c r="K400" s="41" t="str">
        <f aca="false">IF(J400="","",IF(J400&gt;=8,"Yes","Check"))</f>
        <v/>
      </c>
      <c r="L400" s="38"/>
      <c r="M400" s="47"/>
      <c r="N400" s="47"/>
      <c r="O400" s="37"/>
      <c r="P400" s="38"/>
      <c r="Q400" s="42" t="str">
        <f aca="false">IF(P400="","",LEN(P400))</f>
        <v/>
      </c>
      <c r="R400" s="47"/>
      <c r="S400" s="37"/>
      <c r="T400" s="38"/>
      <c r="U400" s="43" t="str">
        <f aca="false">IF(OR(R400&lt;&gt;"Yes",A400=""),"",A400+4)</f>
        <v/>
      </c>
      <c r="V400" s="47"/>
      <c r="W400" s="38"/>
      <c r="X400" s="38"/>
      <c r="Y400" s="44"/>
      <c r="Z400" s="44"/>
      <c r="AA400" s="45" t="str">
        <f aca="false">IF(AND($Y400="",$Z400=""),"",ROUND(IFERROR(VALUE(LEFT($Y400,1)),0)*12+IFERROR(VALUE(LEFT($Z400,1)),0)*8,0))</f>
        <v/>
      </c>
      <c r="AB400" s="45" t="str">
        <f aca="false">IF($AA400="","",IF($AA400&gt;=80,"A - call first",IF($AA400&gt;=60,"B - worth pursuing",IF($AA400&gt;=40,"C - nurture","D - do not spend time here"))))</f>
        <v/>
      </c>
      <c r="AC400" s="46" t="str">
        <f aca="false">IF($C400="","",IF($S400="Converted","7 Certification / Enterprise opportunity",IF($S400="Application Started","7 Certification / Enterprise opportunity",IF($S400="Meeting Booked","6 Meeting / Application",IF(OR($S400="Interested",$S400="Info Requested"),"5 Interested",IF(OR($S400="Declined",$S400="Not Relevant"),"0 Closed - no",IF($R400="Yes","4 Contacted",IF($N400="Yes","2 Engaged",IF($M400="Yes","1 Awareness",IF($AA400&gt;=60,"3 Qualified","1 Awareness"))))))))))</f>
        <v/>
      </c>
    </row>
    <row r="401" customFormat="false" ht="30" hidden="false" customHeight="true" outlineLevel="0" collapsed="false">
      <c r="A401" s="36"/>
      <c r="B401" s="37"/>
      <c r="C401" s="37"/>
      <c r="D401" s="37"/>
      <c r="E401" s="37"/>
      <c r="F401" s="37"/>
      <c r="G401" s="37"/>
      <c r="H401" s="37"/>
      <c r="I401" s="37"/>
      <c r="J401" s="47"/>
      <c r="K401" s="41" t="str">
        <f aca="false">IF(J401="","",IF(J401&gt;=8,"Yes","Check"))</f>
        <v/>
      </c>
      <c r="L401" s="38"/>
      <c r="M401" s="47"/>
      <c r="N401" s="47"/>
      <c r="O401" s="37"/>
      <c r="P401" s="38"/>
      <c r="Q401" s="42" t="str">
        <f aca="false">IF(P401="","",LEN(P401))</f>
        <v/>
      </c>
      <c r="R401" s="47"/>
      <c r="S401" s="37"/>
      <c r="T401" s="38"/>
      <c r="U401" s="43" t="str">
        <f aca="false">IF(OR(R401&lt;&gt;"Yes",A401=""),"",A401+4)</f>
        <v/>
      </c>
      <c r="V401" s="47"/>
      <c r="W401" s="38"/>
      <c r="X401" s="38"/>
      <c r="Y401" s="44"/>
      <c r="Z401" s="44"/>
      <c r="AA401" s="45" t="str">
        <f aca="false">IF(AND($Y401="",$Z401=""),"",ROUND(IFERROR(VALUE(LEFT($Y401,1)),0)*12+IFERROR(VALUE(LEFT($Z401,1)),0)*8,0))</f>
        <v/>
      </c>
      <c r="AB401" s="45" t="str">
        <f aca="false">IF($AA401="","",IF($AA401&gt;=80,"A - call first",IF($AA401&gt;=60,"B - worth pursuing",IF($AA401&gt;=40,"C - nurture","D - do not spend time here"))))</f>
        <v/>
      </c>
      <c r="AC401" s="46" t="str">
        <f aca="false">IF($C401="","",IF($S401="Converted","7 Certification / Enterprise opportunity",IF($S401="Application Started","7 Certification / Enterprise opportunity",IF($S401="Meeting Booked","6 Meeting / Application",IF(OR($S401="Interested",$S401="Info Requested"),"5 Interested",IF(OR($S401="Declined",$S401="Not Relevant"),"0 Closed - no",IF($R401="Yes","4 Contacted",IF($N401="Yes","2 Engaged",IF($M401="Yes","1 Awareness",IF($AA401&gt;=60,"3 Qualified","1 Awareness"))))))))))</f>
        <v/>
      </c>
    </row>
    <row r="402" customFormat="false" ht="30" hidden="false" customHeight="true" outlineLevel="0" collapsed="false">
      <c r="A402" s="36"/>
      <c r="B402" s="37"/>
      <c r="C402" s="37"/>
      <c r="D402" s="37"/>
      <c r="E402" s="37"/>
      <c r="F402" s="37"/>
      <c r="G402" s="37"/>
      <c r="H402" s="37"/>
      <c r="I402" s="37"/>
      <c r="J402" s="47"/>
      <c r="K402" s="41" t="str">
        <f aca="false">IF(J402="","",IF(J402&gt;=8,"Yes","Check"))</f>
        <v/>
      </c>
      <c r="L402" s="38"/>
      <c r="M402" s="47"/>
      <c r="N402" s="47"/>
      <c r="O402" s="37"/>
      <c r="P402" s="38"/>
      <c r="Q402" s="42" t="str">
        <f aca="false">IF(P402="","",LEN(P402))</f>
        <v/>
      </c>
      <c r="R402" s="47"/>
      <c r="S402" s="37"/>
      <c r="T402" s="38"/>
      <c r="U402" s="43" t="str">
        <f aca="false">IF(OR(R402&lt;&gt;"Yes",A402=""),"",A402+4)</f>
        <v/>
      </c>
      <c r="V402" s="47"/>
      <c r="W402" s="38"/>
      <c r="X402" s="38"/>
      <c r="Y402" s="44"/>
      <c r="Z402" s="44"/>
      <c r="AA402" s="45" t="str">
        <f aca="false">IF(AND($Y402="",$Z402=""),"",ROUND(IFERROR(VALUE(LEFT($Y402,1)),0)*12+IFERROR(VALUE(LEFT($Z402,1)),0)*8,0))</f>
        <v/>
      </c>
      <c r="AB402" s="45" t="str">
        <f aca="false">IF($AA402="","",IF($AA402&gt;=80,"A - call first",IF($AA402&gt;=60,"B - worth pursuing",IF($AA402&gt;=40,"C - nurture","D - do not spend time here"))))</f>
        <v/>
      </c>
      <c r="AC402" s="46" t="str">
        <f aca="false">IF($C402="","",IF($S402="Converted","7 Certification / Enterprise opportunity",IF($S402="Application Started","7 Certification / Enterprise opportunity",IF($S402="Meeting Booked","6 Meeting / Application",IF(OR($S402="Interested",$S402="Info Requested"),"5 Interested",IF(OR($S402="Declined",$S402="Not Relevant"),"0 Closed - no",IF($R402="Yes","4 Contacted",IF($N402="Yes","2 Engaged",IF($M402="Yes","1 Awareness",IF($AA402&gt;=60,"3 Qualified","1 Awareness"))))))))))</f>
        <v/>
      </c>
    </row>
    <row r="403" customFormat="false" ht="30" hidden="false" customHeight="true" outlineLevel="0" collapsed="false">
      <c r="A403" s="36"/>
      <c r="B403" s="37"/>
      <c r="C403" s="37"/>
      <c r="D403" s="37"/>
      <c r="E403" s="37"/>
      <c r="F403" s="37"/>
      <c r="G403" s="37"/>
      <c r="H403" s="37"/>
      <c r="I403" s="37"/>
      <c r="J403" s="47"/>
      <c r="K403" s="41" t="str">
        <f aca="false">IF(J403="","",IF(J403&gt;=8,"Yes","Check"))</f>
        <v/>
      </c>
      <c r="L403" s="38"/>
      <c r="M403" s="47"/>
      <c r="N403" s="47"/>
      <c r="O403" s="37"/>
      <c r="P403" s="38"/>
      <c r="Q403" s="42" t="str">
        <f aca="false">IF(P403="","",LEN(P403))</f>
        <v/>
      </c>
      <c r="R403" s="47"/>
      <c r="S403" s="37"/>
      <c r="T403" s="38"/>
      <c r="U403" s="43" t="str">
        <f aca="false">IF(OR(R403&lt;&gt;"Yes",A403=""),"",A403+4)</f>
        <v/>
      </c>
      <c r="V403" s="47"/>
      <c r="W403" s="38"/>
      <c r="X403" s="38"/>
      <c r="Y403" s="44"/>
      <c r="Z403" s="44"/>
      <c r="AA403" s="45" t="str">
        <f aca="false">IF(AND($Y403="",$Z403=""),"",ROUND(IFERROR(VALUE(LEFT($Y403,1)),0)*12+IFERROR(VALUE(LEFT($Z403,1)),0)*8,0))</f>
        <v/>
      </c>
      <c r="AB403" s="45" t="str">
        <f aca="false">IF($AA403="","",IF($AA403&gt;=80,"A - call first",IF($AA403&gt;=60,"B - worth pursuing",IF($AA403&gt;=40,"C - nurture","D - do not spend time here"))))</f>
        <v/>
      </c>
      <c r="AC403" s="46" t="str">
        <f aca="false">IF($C403="","",IF($S403="Converted","7 Certification / Enterprise opportunity",IF($S403="Application Started","7 Certification / Enterprise opportunity",IF($S403="Meeting Booked","6 Meeting / Application",IF(OR($S403="Interested",$S403="Info Requested"),"5 Interested",IF(OR($S403="Declined",$S403="Not Relevant"),"0 Closed - no",IF($R403="Yes","4 Contacted",IF($N403="Yes","2 Engaged",IF($M403="Yes","1 Awareness",IF($AA403&gt;=60,"3 Qualified","1 Awareness"))))))))))</f>
        <v/>
      </c>
    </row>
    <row r="404" customFormat="false" ht="30" hidden="false" customHeight="true" outlineLevel="0" collapsed="false">
      <c r="A404" s="36"/>
      <c r="B404" s="37"/>
      <c r="C404" s="37"/>
      <c r="D404" s="37"/>
      <c r="E404" s="37"/>
      <c r="F404" s="37"/>
      <c r="G404" s="37"/>
      <c r="H404" s="37"/>
      <c r="I404" s="37"/>
      <c r="J404" s="47"/>
      <c r="K404" s="41" t="str">
        <f aca="false">IF(J404="","",IF(J404&gt;=8,"Yes","Check"))</f>
        <v/>
      </c>
      <c r="L404" s="38"/>
      <c r="M404" s="47"/>
      <c r="N404" s="47"/>
      <c r="O404" s="37"/>
      <c r="P404" s="38"/>
      <c r="Q404" s="42" t="str">
        <f aca="false">IF(P404="","",LEN(P404))</f>
        <v/>
      </c>
      <c r="R404" s="47"/>
      <c r="S404" s="37"/>
      <c r="T404" s="38"/>
      <c r="U404" s="43" t="str">
        <f aca="false">IF(OR(R404&lt;&gt;"Yes",A404=""),"",A404+4)</f>
        <v/>
      </c>
      <c r="V404" s="47"/>
      <c r="W404" s="38"/>
      <c r="X404" s="38"/>
      <c r="Y404" s="44"/>
      <c r="Z404" s="44"/>
      <c r="AA404" s="45" t="str">
        <f aca="false">IF(AND($Y404="",$Z404=""),"",ROUND(IFERROR(VALUE(LEFT($Y404,1)),0)*12+IFERROR(VALUE(LEFT($Z404,1)),0)*8,0))</f>
        <v/>
      </c>
      <c r="AB404" s="45" t="str">
        <f aca="false">IF($AA404="","",IF($AA404&gt;=80,"A - call first",IF($AA404&gt;=60,"B - worth pursuing",IF($AA404&gt;=40,"C - nurture","D - do not spend time here"))))</f>
        <v/>
      </c>
      <c r="AC404" s="46" t="str">
        <f aca="false">IF($C404="","",IF($S404="Converted","7 Certification / Enterprise opportunity",IF($S404="Application Started","7 Certification / Enterprise opportunity",IF($S404="Meeting Booked","6 Meeting / Application",IF(OR($S404="Interested",$S404="Info Requested"),"5 Interested",IF(OR($S404="Declined",$S404="Not Relevant"),"0 Closed - no",IF($R404="Yes","4 Contacted",IF($N404="Yes","2 Engaged",IF($M404="Yes","1 Awareness",IF($AA404&gt;=60,"3 Qualified","1 Awareness"))))))))))</f>
        <v/>
      </c>
    </row>
    <row r="405" customFormat="false" ht="30" hidden="false" customHeight="true" outlineLevel="0" collapsed="false">
      <c r="A405" s="36"/>
      <c r="B405" s="37"/>
      <c r="C405" s="37"/>
      <c r="D405" s="37"/>
      <c r="E405" s="37"/>
      <c r="F405" s="37"/>
      <c r="G405" s="37"/>
      <c r="H405" s="37"/>
      <c r="I405" s="37"/>
      <c r="J405" s="47"/>
      <c r="K405" s="41" t="str">
        <f aca="false">IF(J405="","",IF(J405&gt;=8,"Yes","Check"))</f>
        <v/>
      </c>
      <c r="L405" s="38"/>
      <c r="M405" s="47"/>
      <c r="N405" s="47"/>
      <c r="O405" s="37"/>
      <c r="P405" s="38"/>
      <c r="Q405" s="42" t="str">
        <f aca="false">IF(P405="","",LEN(P405))</f>
        <v/>
      </c>
      <c r="R405" s="47"/>
      <c r="S405" s="37"/>
      <c r="T405" s="38"/>
      <c r="U405" s="43" t="str">
        <f aca="false">IF(OR(R405&lt;&gt;"Yes",A405=""),"",A405+4)</f>
        <v/>
      </c>
      <c r="V405" s="47"/>
      <c r="W405" s="38"/>
      <c r="X405" s="38"/>
      <c r="Y405" s="44"/>
      <c r="Z405" s="44"/>
      <c r="AA405" s="45" t="str">
        <f aca="false">IF(AND($Y405="",$Z405=""),"",ROUND(IFERROR(VALUE(LEFT($Y405,1)),0)*12+IFERROR(VALUE(LEFT($Z405,1)),0)*8,0))</f>
        <v/>
      </c>
      <c r="AB405" s="45" t="str">
        <f aca="false">IF($AA405="","",IF($AA405&gt;=80,"A - call first",IF($AA405&gt;=60,"B - worth pursuing",IF($AA405&gt;=40,"C - nurture","D - do not spend time here"))))</f>
        <v/>
      </c>
      <c r="AC405" s="46" t="str">
        <f aca="false">IF($C405="","",IF($S405="Converted","7 Certification / Enterprise opportunity",IF($S405="Application Started","7 Certification / Enterprise opportunity",IF($S405="Meeting Booked","6 Meeting / Application",IF(OR($S405="Interested",$S405="Info Requested"),"5 Interested",IF(OR($S405="Declined",$S405="Not Relevant"),"0 Closed - no",IF($R405="Yes","4 Contacted",IF($N405="Yes","2 Engaged",IF($M405="Yes","1 Awareness",IF($AA405&gt;=60,"3 Qualified","1 Awareness"))))))))))</f>
        <v/>
      </c>
    </row>
    <row r="406" customFormat="false" ht="30" hidden="false" customHeight="true" outlineLevel="0" collapsed="false">
      <c r="A406" s="36"/>
      <c r="B406" s="37"/>
      <c r="C406" s="37"/>
      <c r="D406" s="37"/>
      <c r="E406" s="37"/>
      <c r="F406" s="37"/>
      <c r="G406" s="37"/>
      <c r="H406" s="37"/>
      <c r="I406" s="37"/>
      <c r="J406" s="47"/>
      <c r="K406" s="41" t="str">
        <f aca="false">IF(J406="","",IF(J406&gt;=8,"Yes","Check"))</f>
        <v/>
      </c>
      <c r="L406" s="38"/>
      <c r="M406" s="47"/>
      <c r="N406" s="47"/>
      <c r="O406" s="37"/>
      <c r="P406" s="38"/>
      <c r="Q406" s="42" t="str">
        <f aca="false">IF(P406="","",LEN(P406))</f>
        <v/>
      </c>
      <c r="R406" s="47"/>
      <c r="S406" s="37"/>
      <c r="T406" s="38"/>
      <c r="U406" s="43" t="str">
        <f aca="false">IF(OR(R406&lt;&gt;"Yes",A406=""),"",A406+4)</f>
        <v/>
      </c>
      <c r="V406" s="47"/>
      <c r="W406" s="38"/>
      <c r="X406" s="38"/>
      <c r="Y406" s="44"/>
      <c r="Z406" s="44"/>
      <c r="AA406" s="45" t="str">
        <f aca="false">IF(AND($Y406="",$Z406=""),"",ROUND(IFERROR(VALUE(LEFT($Y406,1)),0)*12+IFERROR(VALUE(LEFT($Z406,1)),0)*8,0))</f>
        <v/>
      </c>
      <c r="AB406" s="45" t="str">
        <f aca="false">IF($AA406="","",IF($AA406&gt;=80,"A - call first",IF($AA406&gt;=60,"B - worth pursuing",IF($AA406&gt;=40,"C - nurture","D - do not spend time here"))))</f>
        <v/>
      </c>
      <c r="AC406" s="46" t="str">
        <f aca="false">IF($C406="","",IF($S406="Converted","7 Certification / Enterprise opportunity",IF($S406="Application Started","7 Certification / Enterprise opportunity",IF($S406="Meeting Booked","6 Meeting / Application",IF(OR($S406="Interested",$S406="Info Requested"),"5 Interested",IF(OR($S406="Declined",$S406="Not Relevant"),"0 Closed - no",IF($R406="Yes","4 Contacted",IF($N406="Yes","2 Engaged",IF($M406="Yes","1 Awareness",IF($AA406&gt;=60,"3 Qualified","1 Awareness"))))))))))</f>
        <v/>
      </c>
    </row>
    <row r="407" customFormat="false" ht="30" hidden="false" customHeight="true" outlineLevel="0" collapsed="false">
      <c r="A407" s="36"/>
      <c r="B407" s="37"/>
      <c r="C407" s="37"/>
      <c r="D407" s="37"/>
      <c r="E407" s="37"/>
      <c r="F407" s="37"/>
      <c r="G407" s="37"/>
      <c r="H407" s="37"/>
      <c r="I407" s="37"/>
      <c r="J407" s="47"/>
      <c r="K407" s="41" t="str">
        <f aca="false">IF(J407="","",IF(J407&gt;=8,"Yes","Check"))</f>
        <v/>
      </c>
      <c r="L407" s="38"/>
      <c r="M407" s="47"/>
      <c r="N407" s="47"/>
      <c r="O407" s="37"/>
      <c r="P407" s="38"/>
      <c r="Q407" s="42" t="str">
        <f aca="false">IF(P407="","",LEN(P407))</f>
        <v/>
      </c>
      <c r="R407" s="47"/>
      <c r="S407" s="37"/>
      <c r="T407" s="38"/>
      <c r="U407" s="43" t="str">
        <f aca="false">IF(OR(R407&lt;&gt;"Yes",A407=""),"",A407+4)</f>
        <v/>
      </c>
      <c r="V407" s="47"/>
      <c r="W407" s="38"/>
      <c r="X407" s="38"/>
      <c r="Y407" s="44"/>
      <c r="Z407" s="44"/>
      <c r="AA407" s="45" t="str">
        <f aca="false">IF(AND($Y407="",$Z407=""),"",ROUND(IFERROR(VALUE(LEFT($Y407,1)),0)*12+IFERROR(VALUE(LEFT($Z407,1)),0)*8,0))</f>
        <v/>
      </c>
      <c r="AB407" s="45" t="str">
        <f aca="false">IF($AA407="","",IF($AA407&gt;=80,"A - call first",IF($AA407&gt;=60,"B - worth pursuing",IF($AA407&gt;=40,"C - nurture","D - do not spend time here"))))</f>
        <v/>
      </c>
      <c r="AC407" s="46" t="str">
        <f aca="false">IF($C407="","",IF($S407="Converted","7 Certification / Enterprise opportunity",IF($S407="Application Started","7 Certification / Enterprise opportunity",IF($S407="Meeting Booked","6 Meeting / Application",IF(OR($S407="Interested",$S407="Info Requested"),"5 Interested",IF(OR($S407="Declined",$S407="Not Relevant"),"0 Closed - no",IF($R407="Yes","4 Contacted",IF($N407="Yes","2 Engaged",IF($M407="Yes","1 Awareness",IF($AA407&gt;=60,"3 Qualified","1 Awareness"))))))))))</f>
        <v/>
      </c>
    </row>
    <row r="408" customFormat="false" ht="30" hidden="false" customHeight="true" outlineLevel="0" collapsed="false">
      <c r="A408" s="36"/>
      <c r="B408" s="37"/>
      <c r="C408" s="37"/>
      <c r="D408" s="37"/>
      <c r="E408" s="37"/>
      <c r="F408" s="37"/>
      <c r="G408" s="37"/>
      <c r="H408" s="37"/>
      <c r="I408" s="37"/>
      <c r="J408" s="47"/>
      <c r="K408" s="41" t="str">
        <f aca="false">IF(J408="","",IF(J408&gt;=8,"Yes","Check"))</f>
        <v/>
      </c>
      <c r="L408" s="38"/>
      <c r="M408" s="47"/>
      <c r="N408" s="47"/>
      <c r="O408" s="37"/>
      <c r="P408" s="38"/>
      <c r="Q408" s="42" t="str">
        <f aca="false">IF(P408="","",LEN(P408))</f>
        <v/>
      </c>
      <c r="R408" s="47"/>
      <c r="S408" s="37"/>
      <c r="T408" s="38"/>
      <c r="U408" s="43" t="str">
        <f aca="false">IF(OR(R408&lt;&gt;"Yes",A408=""),"",A408+4)</f>
        <v/>
      </c>
      <c r="V408" s="47"/>
      <c r="W408" s="38"/>
      <c r="X408" s="38"/>
      <c r="Y408" s="44"/>
      <c r="Z408" s="44"/>
      <c r="AA408" s="45" t="str">
        <f aca="false">IF(AND($Y408="",$Z408=""),"",ROUND(IFERROR(VALUE(LEFT($Y408,1)),0)*12+IFERROR(VALUE(LEFT($Z408,1)),0)*8,0))</f>
        <v/>
      </c>
      <c r="AB408" s="45" t="str">
        <f aca="false">IF($AA408="","",IF($AA408&gt;=80,"A - call first",IF($AA408&gt;=60,"B - worth pursuing",IF($AA408&gt;=40,"C - nurture","D - do not spend time here"))))</f>
        <v/>
      </c>
      <c r="AC408" s="46" t="str">
        <f aca="false">IF($C408="","",IF($S408="Converted","7 Certification / Enterprise opportunity",IF($S408="Application Started","7 Certification / Enterprise opportunity",IF($S408="Meeting Booked","6 Meeting / Application",IF(OR($S408="Interested",$S408="Info Requested"),"5 Interested",IF(OR($S408="Declined",$S408="Not Relevant"),"0 Closed - no",IF($R408="Yes","4 Contacted",IF($N408="Yes","2 Engaged",IF($M408="Yes","1 Awareness",IF($AA408&gt;=60,"3 Qualified","1 Awareness"))))))))))</f>
        <v/>
      </c>
    </row>
    <row r="409" customFormat="false" ht="30" hidden="false" customHeight="true" outlineLevel="0" collapsed="false">
      <c r="A409" s="36"/>
      <c r="B409" s="37"/>
      <c r="C409" s="37"/>
      <c r="D409" s="37"/>
      <c r="E409" s="37"/>
      <c r="F409" s="37"/>
      <c r="G409" s="37"/>
      <c r="H409" s="37"/>
      <c r="I409" s="37"/>
      <c r="J409" s="47"/>
      <c r="K409" s="41" t="str">
        <f aca="false">IF(J409="","",IF(J409&gt;=8,"Yes","Check"))</f>
        <v/>
      </c>
      <c r="L409" s="38"/>
      <c r="M409" s="47"/>
      <c r="N409" s="47"/>
      <c r="O409" s="37"/>
      <c r="P409" s="38"/>
      <c r="Q409" s="42" t="str">
        <f aca="false">IF(P409="","",LEN(P409))</f>
        <v/>
      </c>
      <c r="R409" s="47"/>
      <c r="S409" s="37"/>
      <c r="T409" s="38"/>
      <c r="U409" s="43" t="str">
        <f aca="false">IF(OR(R409&lt;&gt;"Yes",A409=""),"",A409+4)</f>
        <v/>
      </c>
      <c r="V409" s="47"/>
      <c r="W409" s="38"/>
      <c r="X409" s="38"/>
      <c r="Y409" s="44"/>
      <c r="Z409" s="44"/>
      <c r="AA409" s="45" t="str">
        <f aca="false">IF(AND($Y409="",$Z409=""),"",ROUND(IFERROR(VALUE(LEFT($Y409,1)),0)*12+IFERROR(VALUE(LEFT($Z409,1)),0)*8,0))</f>
        <v/>
      </c>
      <c r="AB409" s="45" t="str">
        <f aca="false">IF($AA409="","",IF($AA409&gt;=80,"A - call first",IF($AA409&gt;=60,"B - worth pursuing",IF($AA409&gt;=40,"C - nurture","D - do not spend time here"))))</f>
        <v/>
      </c>
      <c r="AC409" s="46" t="str">
        <f aca="false">IF($C409="","",IF($S409="Converted","7 Certification / Enterprise opportunity",IF($S409="Application Started","7 Certification / Enterprise opportunity",IF($S409="Meeting Booked","6 Meeting / Application",IF(OR($S409="Interested",$S409="Info Requested"),"5 Interested",IF(OR($S409="Declined",$S409="Not Relevant"),"0 Closed - no",IF($R409="Yes","4 Contacted",IF($N409="Yes","2 Engaged",IF($M409="Yes","1 Awareness",IF($AA409&gt;=60,"3 Qualified","1 Awareness"))))))))))</f>
        <v/>
      </c>
    </row>
    <row r="410" customFormat="false" ht="30" hidden="false" customHeight="true" outlineLevel="0" collapsed="false">
      <c r="A410" s="36"/>
      <c r="B410" s="37"/>
      <c r="C410" s="37"/>
      <c r="D410" s="37"/>
      <c r="E410" s="37"/>
      <c r="F410" s="37"/>
      <c r="G410" s="37"/>
      <c r="H410" s="37"/>
      <c r="I410" s="37"/>
      <c r="J410" s="47"/>
      <c r="K410" s="41" t="str">
        <f aca="false">IF(J410="","",IF(J410&gt;=8,"Yes","Check"))</f>
        <v/>
      </c>
      <c r="L410" s="38"/>
      <c r="M410" s="47"/>
      <c r="N410" s="47"/>
      <c r="O410" s="37"/>
      <c r="P410" s="38"/>
      <c r="Q410" s="42" t="str">
        <f aca="false">IF(P410="","",LEN(P410))</f>
        <v/>
      </c>
      <c r="R410" s="47"/>
      <c r="S410" s="37"/>
      <c r="T410" s="38"/>
      <c r="U410" s="43" t="str">
        <f aca="false">IF(OR(R410&lt;&gt;"Yes",A410=""),"",A410+4)</f>
        <v/>
      </c>
      <c r="V410" s="47"/>
      <c r="W410" s="38"/>
      <c r="X410" s="38"/>
      <c r="Y410" s="44"/>
      <c r="Z410" s="44"/>
      <c r="AA410" s="45" t="str">
        <f aca="false">IF(AND($Y410="",$Z410=""),"",ROUND(IFERROR(VALUE(LEFT($Y410,1)),0)*12+IFERROR(VALUE(LEFT($Z410,1)),0)*8,0))</f>
        <v/>
      </c>
      <c r="AB410" s="45" t="str">
        <f aca="false">IF($AA410="","",IF($AA410&gt;=80,"A - call first",IF($AA410&gt;=60,"B - worth pursuing",IF($AA410&gt;=40,"C - nurture","D - do not spend time here"))))</f>
        <v/>
      </c>
      <c r="AC410" s="46" t="str">
        <f aca="false">IF($C410="","",IF($S410="Converted","7 Certification / Enterprise opportunity",IF($S410="Application Started","7 Certification / Enterprise opportunity",IF($S410="Meeting Booked","6 Meeting / Application",IF(OR($S410="Interested",$S410="Info Requested"),"5 Interested",IF(OR($S410="Declined",$S410="Not Relevant"),"0 Closed - no",IF($R410="Yes","4 Contacted",IF($N410="Yes","2 Engaged",IF($M410="Yes","1 Awareness",IF($AA410&gt;=60,"3 Qualified","1 Awareness"))))))))))</f>
        <v/>
      </c>
    </row>
    <row r="411" customFormat="false" ht="30" hidden="false" customHeight="true" outlineLevel="0" collapsed="false">
      <c r="A411" s="36"/>
      <c r="B411" s="37"/>
      <c r="C411" s="37"/>
      <c r="D411" s="37"/>
      <c r="E411" s="37"/>
      <c r="F411" s="37"/>
      <c r="G411" s="37"/>
      <c r="H411" s="37"/>
      <c r="I411" s="37"/>
      <c r="J411" s="47"/>
      <c r="K411" s="41" t="str">
        <f aca="false">IF(J411="","",IF(J411&gt;=8,"Yes","Check"))</f>
        <v/>
      </c>
      <c r="L411" s="38"/>
      <c r="M411" s="47"/>
      <c r="N411" s="47"/>
      <c r="O411" s="37"/>
      <c r="P411" s="38"/>
      <c r="Q411" s="42" t="str">
        <f aca="false">IF(P411="","",LEN(P411))</f>
        <v/>
      </c>
      <c r="R411" s="47"/>
      <c r="S411" s="37"/>
      <c r="T411" s="38"/>
      <c r="U411" s="43" t="str">
        <f aca="false">IF(OR(R411&lt;&gt;"Yes",A411=""),"",A411+4)</f>
        <v/>
      </c>
      <c r="V411" s="47"/>
      <c r="W411" s="38"/>
      <c r="X411" s="38"/>
      <c r="Y411" s="44"/>
      <c r="Z411" s="44"/>
      <c r="AA411" s="45" t="str">
        <f aca="false">IF(AND($Y411="",$Z411=""),"",ROUND(IFERROR(VALUE(LEFT($Y411,1)),0)*12+IFERROR(VALUE(LEFT($Z411,1)),0)*8,0))</f>
        <v/>
      </c>
      <c r="AB411" s="45" t="str">
        <f aca="false">IF($AA411="","",IF($AA411&gt;=80,"A - call first",IF($AA411&gt;=60,"B - worth pursuing",IF($AA411&gt;=40,"C - nurture","D - do not spend time here"))))</f>
        <v/>
      </c>
      <c r="AC411" s="46" t="str">
        <f aca="false">IF($C411="","",IF($S411="Converted","7 Certification / Enterprise opportunity",IF($S411="Application Started","7 Certification / Enterprise opportunity",IF($S411="Meeting Booked","6 Meeting / Application",IF(OR($S411="Interested",$S411="Info Requested"),"5 Interested",IF(OR($S411="Declined",$S411="Not Relevant"),"0 Closed - no",IF($R411="Yes","4 Contacted",IF($N411="Yes","2 Engaged",IF($M411="Yes","1 Awareness",IF($AA411&gt;=60,"3 Qualified","1 Awareness"))))))))))</f>
        <v/>
      </c>
    </row>
    <row r="412" customFormat="false" ht="30" hidden="false" customHeight="true" outlineLevel="0" collapsed="false">
      <c r="A412" s="36"/>
      <c r="B412" s="37"/>
      <c r="C412" s="37"/>
      <c r="D412" s="37"/>
      <c r="E412" s="37"/>
      <c r="F412" s="37"/>
      <c r="G412" s="37"/>
      <c r="H412" s="37"/>
      <c r="I412" s="37"/>
      <c r="J412" s="47"/>
      <c r="K412" s="41" t="str">
        <f aca="false">IF(J412="","",IF(J412&gt;=8,"Yes","Check"))</f>
        <v/>
      </c>
      <c r="L412" s="38"/>
      <c r="M412" s="47"/>
      <c r="N412" s="47"/>
      <c r="O412" s="37"/>
      <c r="P412" s="38"/>
      <c r="Q412" s="42" t="str">
        <f aca="false">IF(P412="","",LEN(P412))</f>
        <v/>
      </c>
      <c r="R412" s="47"/>
      <c r="S412" s="37"/>
      <c r="T412" s="38"/>
      <c r="U412" s="43" t="str">
        <f aca="false">IF(OR(R412&lt;&gt;"Yes",A412=""),"",A412+4)</f>
        <v/>
      </c>
      <c r="V412" s="47"/>
      <c r="W412" s="38"/>
      <c r="X412" s="38"/>
      <c r="Y412" s="44"/>
      <c r="Z412" s="44"/>
      <c r="AA412" s="45" t="str">
        <f aca="false">IF(AND($Y412="",$Z412=""),"",ROUND(IFERROR(VALUE(LEFT($Y412,1)),0)*12+IFERROR(VALUE(LEFT($Z412,1)),0)*8,0))</f>
        <v/>
      </c>
      <c r="AB412" s="45" t="str">
        <f aca="false">IF($AA412="","",IF($AA412&gt;=80,"A - call first",IF($AA412&gt;=60,"B - worth pursuing",IF($AA412&gt;=40,"C - nurture","D - do not spend time here"))))</f>
        <v/>
      </c>
      <c r="AC412" s="46" t="str">
        <f aca="false">IF($C412="","",IF($S412="Converted","7 Certification / Enterprise opportunity",IF($S412="Application Started","7 Certification / Enterprise opportunity",IF($S412="Meeting Booked","6 Meeting / Application",IF(OR($S412="Interested",$S412="Info Requested"),"5 Interested",IF(OR($S412="Declined",$S412="Not Relevant"),"0 Closed - no",IF($R412="Yes","4 Contacted",IF($N412="Yes","2 Engaged",IF($M412="Yes","1 Awareness",IF($AA412&gt;=60,"3 Qualified","1 Awareness"))))))))))</f>
        <v/>
      </c>
    </row>
    <row r="413" customFormat="false" ht="30" hidden="false" customHeight="true" outlineLevel="0" collapsed="false">
      <c r="A413" s="36"/>
      <c r="B413" s="37"/>
      <c r="C413" s="37"/>
      <c r="D413" s="37"/>
      <c r="E413" s="37"/>
      <c r="F413" s="37"/>
      <c r="G413" s="37"/>
      <c r="H413" s="37"/>
      <c r="I413" s="37"/>
      <c r="J413" s="47"/>
      <c r="K413" s="41" t="str">
        <f aca="false">IF(J413="","",IF(J413&gt;=8,"Yes","Check"))</f>
        <v/>
      </c>
      <c r="L413" s="38"/>
      <c r="M413" s="47"/>
      <c r="N413" s="47"/>
      <c r="O413" s="37"/>
      <c r="P413" s="38"/>
      <c r="Q413" s="42" t="str">
        <f aca="false">IF(P413="","",LEN(P413))</f>
        <v/>
      </c>
      <c r="R413" s="47"/>
      <c r="S413" s="37"/>
      <c r="T413" s="38"/>
      <c r="U413" s="43" t="str">
        <f aca="false">IF(OR(R413&lt;&gt;"Yes",A413=""),"",A413+4)</f>
        <v/>
      </c>
      <c r="V413" s="47"/>
      <c r="W413" s="38"/>
      <c r="X413" s="38"/>
      <c r="Y413" s="44"/>
      <c r="Z413" s="44"/>
      <c r="AA413" s="45" t="str">
        <f aca="false">IF(AND($Y413="",$Z413=""),"",ROUND(IFERROR(VALUE(LEFT($Y413,1)),0)*12+IFERROR(VALUE(LEFT($Z413,1)),0)*8,0))</f>
        <v/>
      </c>
      <c r="AB413" s="45" t="str">
        <f aca="false">IF($AA413="","",IF($AA413&gt;=80,"A - call first",IF($AA413&gt;=60,"B - worth pursuing",IF($AA413&gt;=40,"C - nurture","D - do not spend time here"))))</f>
        <v/>
      </c>
      <c r="AC413" s="46" t="str">
        <f aca="false">IF($C413="","",IF($S413="Converted","7 Certification / Enterprise opportunity",IF($S413="Application Started","7 Certification / Enterprise opportunity",IF($S413="Meeting Booked","6 Meeting / Application",IF(OR($S413="Interested",$S413="Info Requested"),"5 Interested",IF(OR($S413="Declined",$S413="Not Relevant"),"0 Closed - no",IF($R413="Yes","4 Contacted",IF($N413="Yes","2 Engaged",IF($M413="Yes","1 Awareness",IF($AA413&gt;=60,"3 Qualified","1 Awareness"))))))))))</f>
        <v/>
      </c>
    </row>
    <row r="414" customFormat="false" ht="30" hidden="false" customHeight="true" outlineLevel="0" collapsed="false">
      <c r="A414" s="36"/>
      <c r="B414" s="37"/>
      <c r="C414" s="37"/>
      <c r="D414" s="37"/>
      <c r="E414" s="37"/>
      <c r="F414" s="37"/>
      <c r="G414" s="37"/>
      <c r="H414" s="37"/>
      <c r="I414" s="37"/>
      <c r="J414" s="47"/>
      <c r="K414" s="41" t="str">
        <f aca="false">IF(J414="","",IF(J414&gt;=8,"Yes","Check"))</f>
        <v/>
      </c>
      <c r="L414" s="38"/>
      <c r="M414" s="47"/>
      <c r="N414" s="47"/>
      <c r="O414" s="37"/>
      <c r="P414" s="38"/>
      <c r="Q414" s="42" t="str">
        <f aca="false">IF(P414="","",LEN(P414))</f>
        <v/>
      </c>
      <c r="R414" s="47"/>
      <c r="S414" s="37"/>
      <c r="T414" s="38"/>
      <c r="U414" s="43" t="str">
        <f aca="false">IF(OR(R414&lt;&gt;"Yes",A414=""),"",A414+4)</f>
        <v/>
      </c>
      <c r="V414" s="47"/>
      <c r="W414" s="38"/>
      <c r="X414" s="38"/>
      <c r="Y414" s="44"/>
      <c r="Z414" s="44"/>
      <c r="AA414" s="45" t="str">
        <f aca="false">IF(AND($Y414="",$Z414=""),"",ROUND(IFERROR(VALUE(LEFT($Y414,1)),0)*12+IFERROR(VALUE(LEFT($Z414,1)),0)*8,0))</f>
        <v/>
      </c>
      <c r="AB414" s="45" t="str">
        <f aca="false">IF($AA414="","",IF($AA414&gt;=80,"A - call first",IF($AA414&gt;=60,"B - worth pursuing",IF($AA414&gt;=40,"C - nurture","D - do not spend time here"))))</f>
        <v/>
      </c>
      <c r="AC414" s="46" t="str">
        <f aca="false">IF($C414="","",IF($S414="Converted","7 Certification / Enterprise opportunity",IF($S414="Application Started","7 Certification / Enterprise opportunity",IF($S414="Meeting Booked","6 Meeting / Application",IF(OR($S414="Interested",$S414="Info Requested"),"5 Interested",IF(OR($S414="Declined",$S414="Not Relevant"),"0 Closed - no",IF($R414="Yes","4 Contacted",IF($N414="Yes","2 Engaged",IF($M414="Yes","1 Awareness",IF($AA414&gt;=60,"3 Qualified","1 Awareness"))))))))))</f>
        <v/>
      </c>
    </row>
    <row r="415" customFormat="false" ht="30" hidden="false" customHeight="true" outlineLevel="0" collapsed="false">
      <c r="A415" s="36"/>
      <c r="B415" s="37"/>
      <c r="C415" s="37"/>
      <c r="D415" s="37"/>
      <c r="E415" s="37"/>
      <c r="F415" s="37"/>
      <c r="G415" s="37"/>
      <c r="H415" s="37"/>
      <c r="I415" s="37"/>
      <c r="J415" s="47"/>
      <c r="K415" s="41" t="str">
        <f aca="false">IF(J415="","",IF(J415&gt;=8,"Yes","Check"))</f>
        <v/>
      </c>
      <c r="L415" s="38"/>
      <c r="M415" s="47"/>
      <c r="N415" s="47"/>
      <c r="O415" s="37"/>
      <c r="P415" s="38"/>
      <c r="Q415" s="42" t="str">
        <f aca="false">IF(P415="","",LEN(P415))</f>
        <v/>
      </c>
      <c r="R415" s="47"/>
      <c r="S415" s="37"/>
      <c r="T415" s="38"/>
      <c r="U415" s="43" t="str">
        <f aca="false">IF(OR(R415&lt;&gt;"Yes",A415=""),"",A415+4)</f>
        <v/>
      </c>
      <c r="V415" s="47"/>
      <c r="W415" s="38"/>
      <c r="X415" s="38"/>
      <c r="Y415" s="44"/>
      <c r="Z415" s="44"/>
      <c r="AA415" s="45" t="str">
        <f aca="false">IF(AND($Y415="",$Z415=""),"",ROUND(IFERROR(VALUE(LEFT($Y415,1)),0)*12+IFERROR(VALUE(LEFT($Z415,1)),0)*8,0))</f>
        <v/>
      </c>
      <c r="AB415" s="45" t="str">
        <f aca="false">IF($AA415="","",IF($AA415&gt;=80,"A - call first",IF($AA415&gt;=60,"B - worth pursuing",IF($AA415&gt;=40,"C - nurture","D - do not spend time here"))))</f>
        <v/>
      </c>
      <c r="AC415" s="46" t="str">
        <f aca="false">IF($C415="","",IF($S415="Converted","7 Certification / Enterprise opportunity",IF($S415="Application Started","7 Certification / Enterprise opportunity",IF($S415="Meeting Booked","6 Meeting / Application",IF(OR($S415="Interested",$S415="Info Requested"),"5 Interested",IF(OR($S415="Declined",$S415="Not Relevant"),"0 Closed - no",IF($R415="Yes","4 Contacted",IF($N415="Yes","2 Engaged",IF($M415="Yes","1 Awareness",IF($AA415&gt;=60,"3 Qualified","1 Awareness"))))))))))</f>
        <v/>
      </c>
    </row>
    <row r="416" customFormat="false" ht="30" hidden="false" customHeight="true" outlineLevel="0" collapsed="false">
      <c r="A416" s="36"/>
      <c r="B416" s="37"/>
      <c r="C416" s="37"/>
      <c r="D416" s="37"/>
      <c r="E416" s="37"/>
      <c r="F416" s="37"/>
      <c r="G416" s="37"/>
      <c r="H416" s="37"/>
      <c r="I416" s="37"/>
      <c r="J416" s="47"/>
      <c r="K416" s="41" t="str">
        <f aca="false">IF(J416="","",IF(J416&gt;=8,"Yes","Check"))</f>
        <v/>
      </c>
      <c r="L416" s="38"/>
      <c r="M416" s="47"/>
      <c r="N416" s="47"/>
      <c r="O416" s="37"/>
      <c r="P416" s="38"/>
      <c r="Q416" s="42" t="str">
        <f aca="false">IF(P416="","",LEN(P416))</f>
        <v/>
      </c>
      <c r="R416" s="47"/>
      <c r="S416" s="37"/>
      <c r="T416" s="38"/>
      <c r="U416" s="43" t="str">
        <f aca="false">IF(OR(R416&lt;&gt;"Yes",A416=""),"",A416+4)</f>
        <v/>
      </c>
      <c r="V416" s="47"/>
      <c r="W416" s="38"/>
      <c r="X416" s="38"/>
      <c r="Y416" s="44"/>
      <c r="Z416" s="44"/>
      <c r="AA416" s="45" t="str">
        <f aca="false">IF(AND($Y416="",$Z416=""),"",ROUND(IFERROR(VALUE(LEFT($Y416,1)),0)*12+IFERROR(VALUE(LEFT($Z416,1)),0)*8,0))</f>
        <v/>
      </c>
      <c r="AB416" s="45" t="str">
        <f aca="false">IF($AA416="","",IF($AA416&gt;=80,"A - call first",IF($AA416&gt;=60,"B - worth pursuing",IF($AA416&gt;=40,"C - nurture","D - do not spend time here"))))</f>
        <v/>
      </c>
      <c r="AC416" s="46" t="str">
        <f aca="false">IF($C416="","",IF($S416="Converted","7 Certification / Enterprise opportunity",IF($S416="Application Started","7 Certification / Enterprise opportunity",IF($S416="Meeting Booked","6 Meeting / Application",IF(OR($S416="Interested",$S416="Info Requested"),"5 Interested",IF(OR($S416="Declined",$S416="Not Relevant"),"0 Closed - no",IF($R416="Yes","4 Contacted",IF($N416="Yes","2 Engaged",IF($M416="Yes","1 Awareness",IF($AA416&gt;=60,"3 Qualified","1 Awareness"))))))))))</f>
        <v/>
      </c>
    </row>
    <row r="417" customFormat="false" ht="30" hidden="false" customHeight="true" outlineLevel="0" collapsed="false">
      <c r="A417" s="36"/>
      <c r="B417" s="37"/>
      <c r="C417" s="37"/>
      <c r="D417" s="37"/>
      <c r="E417" s="37"/>
      <c r="F417" s="37"/>
      <c r="G417" s="37"/>
      <c r="H417" s="37"/>
      <c r="I417" s="37"/>
      <c r="J417" s="47"/>
      <c r="K417" s="41" t="str">
        <f aca="false">IF(J417="","",IF(J417&gt;=8,"Yes","Check"))</f>
        <v/>
      </c>
      <c r="L417" s="38"/>
      <c r="M417" s="47"/>
      <c r="N417" s="47"/>
      <c r="O417" s="37"/>
      <c r="P417" s="38"/>
      <c r="Q417" s="42" t="str">
        <f aca="false">IF(P417="","",LEN(P417))</f>
        <v/>
      </c>
      <c r="R417" s="47"/>
      <c r="S417" s="37"/>
      <c r="T417" s="38"/>
      <c r="U417" s="43" t="str">
        <f aca="false">IF(OR(R417&lt;&gt;"Yes",A417=""),"",A417+4)</f>
        <v/>
      </c>
      <c r="V417" s="47"/>
      <c r="W417" s="38"/>
      <c r="X417" s="38"/>
      <c r="Y417" s="44"/>
      <c r="Z417" s="44"/>
      <c r="AA417" s="45" t="str">
        <f aca="false">IF(AND($Y417="",$Z417=""),"",ROUND(IFERROR(VALUE(LEFT($Y417,1)),0)*12+IFERROR(VALUE(LEFT($Z417,1)),0)*8,0))</f>
        <v/>
      </c>
      <c r="AB417" s="45" t="str">
        <f aca="false">IF($AA417="","",IF($AA417&gt;=80,"A - call first",IF($AA417&gt;=60,"B - worth pursuing",IF($AA417&gt;=40,"C - nurture","D - do not spend time here"))))</f>
        <v/>
      </c>
      <c r="AC417" s="46" t="str">
        <f aca="false">IF($C417="","",IF($S417="Converted","7 Certification / Enterprise opportunity",IF($S417="Application Started","7 Certification / Enterprise opportunity",IF($S417="Meeting Booked","6 Meeting / Application",IF(OR($S417="Interested",$S417="Info Requested"),"5 Interested",IF(OR($S417="Declined",$S417="Not Relevant"),"0 Closed - no",IF($R417="Yes","4 Contacted",IF($N417="Yes","2 Engaged",IF($M417="Yes","1 Awareness",IF($AA417&gt;=60,"3 Qualified","1 Awareness"))))))))))</f>
        <v/>
      </c>
    </row>
    <row r="418" customFormat="false" ht="30" hidden="false" customHeight="true" outlineLevel="0" collapsed="false">
      <c r="A418" s="36"/>
      <c r="B418" s="37"/>
      <c r="C418" s="37"/>
      <c r="D418" s="37"/>
      <c r="E418" s="37"/>
      <c r="F418" s="37"/>
      <c r="G418" s="37"/>
      <c r="H418" s="37"/>
      <c r="I418" s="37"/>
      <c r="J418" s="47"/>
      <c r="K418" s="41" t="str">
        <f aca="false">IF(J418="","",IF(J418&gt;=8,"Yes","Check"))</f>
        <v/>
      </c>
      <c r="L418" s="38"/>
      <c r="M418" s="47"/>
      <c r="N418" s="47"/>
      <c r="O418" s="37"/>
      <c r="P418" s="38"/>
      <c r="Q418" s="42" t="str">
        <f aca="false">IF(P418="","",LEN(P418))</f>
        <v/>
      </c>
      <c r="R418" s="47"/>
      <c r="S418" s="37"/>
      <c r="T418" s="38"/>
      <c r="U418" s="43" t="str">
        <f aca="false">IF(OR(R418&lt;&gt;"Yes",A418=""),"",A418+4)</f>
        <v/>
      </c>
      <c r="V418" s="47"/>
      <c r="W418" s="38"/>
      <c r="X418" s="38"/>
      <c r="Y418" s="44"/>
      <c r="Z418" s="44"/>
      <c r="AA418" s="45" t="str">
        <f aca="false">IF(AND($Y418="",$Z418=""),"",ROUND(IFERROR(VALUE(LEFT($Y418,1)),0)*12+IFERROR(VALUE(LEFT($Z418,1)),0)*8,0))</f>
        <v/>
      </c>
      <c r="AB418" s="45" t="str">
        <f aca="false">IF($AA418="","",IF($AA418&gt;=80,"A - call first",IF($AA418&gt;=60,"B - worth pursuing",IF($AA418&gt;=40,"C - nurture","D - do not spend time here"))))</f>
        <v/>
      </c>
      <c r="AC418" s="46" t="str">
        <f aca="false">IF($C418="","",IF($S418="Converted","7 Certification / Enterprise opportunity",IF($S418="Application Started","7 Certification / Enterprise opportunity",IF($S418="Meeting Booked","6 Meeting / Application",IF(OR($S418="Interested",$S418="Info Requested"),"5 Interested",IF(OR($S418="Declined",$S418="Not Relevant"),"0 Closed - no",IF($R418="Yes","4 Contacted",IF($N418="Yes","2 Engaged",IF($M418="Yes","1 Awareness",IF($AA418&gt;=60,"3 Qualified","1 Awareness"))))))))))</f>
        <v/>
      </c>
    </row>
    <row r="419" customFormat="false" ht="30" hidden="false" customHeight="true" outlineLevel="0" collapsed="false">
      <c r="A419" s="36"/>
      <c r="B419" s="37"/>
      <c r="C419" s="37"/>
      <c r="D419" s="37"/>
      <c r="E419" s="37"/>
      <c r="F419" s="37"/>
      <c r="G419" s="37"/>
      <c r="H419" s="37"/>
      <c r="I419" s="37"/>
      <c r="J419" s="47"/>
      <c r="K419" s="41" t="str">
        <f aca="false">IF(J419="","",IF(J419&gt;=8,"Yes","Check"))</f>
        <v/>
      </c>
      <c r="L419" s="38"/>
      <c r="M419" s="47"/>
      <c r="N419" s="47"/>
      <c r="O419" s="37"/>
      <c r="P419" s="38"/>
      <c r="Q419" s="42" t="str">
        <f aca="false">IF(P419="","",LEN(P419))</f>
        <v/>
      </c>
      <c r="R419" s="47"/>
      <c r="S419" s="37"/>
      <c r="T419" s="38"/>
      <c r="U419" s="43" t="str">
        <f aca="false">IF(OR(R419&lt;&gt;"Yes",A419=""),"",A419+4)</f>
        <v/>
      </c>
      <c r="V419" s="47"/>
      <c r="W419" s="38"/>
      <c r="X419" s="38"/>
      <c r="Y419" s="44"/>
      <c r="Z419" s="44"/>
      <c r="AA419" s="45" t="str">
        <f aca="false">IF(AND($Y419="",$Z419=""),"",ROUND(IFERROR(VALUE(LEFT($Y419,1)),0)*12+IFERROR(VALUE(LEFT($Z419,1)),0)*8,0))</f>
        <v/>
      </c>
      <c r="AB419" s="45" t="str">
        <f aca="false">IF($AA419="","",IF($AA419&gt;=80,"A - call first",IF($AA419&gt;=60,"B - worth pursuing",IF($AA419&gt;=40,"C - nurture","D - do not spend time here"))))</f>
        <v/>
      </c>
      <c r="AC419" s="46" t="str">
        <f aca="false">IF($C419="","",IF($S419="Converted","7 Certification / Enterprise opportunity",IF($S419="Application Started","7 Certification / Enterprise opportunity",IF($S419="Meeting Booked","6 Meeting / Application",IF(OR($S419="Interested",$S419="Info Requested"),"5 Interested",IF(OR($S419="Declined",$S419="Not Relevant"),"0 Closed - no",IF($R419="Yes","4 Contacted",IF($N419="Yes","2 Engaged",IF($M419="Yes","1 Awareness",IF($AA419&gt;=60,"3 Qualified","1 Awareness"))))))))))</f>
        <v/>
      </c>
    </row>
    <row r="420" customFormat="false" ht="30" hidden="false" customHeight="true" outlineLevel="0" collapsed="false">
      <c r="A420" s="36"/>
      <c r="B420" s="37"/>
      <c r="C420" s="37"/>
      <c r="D420" s="37"/>
      <c r="E420" s="37"/>
      <c r="F420" s="37"/>
      <c r="G420" s="37"/>
      <c r="H420" s="37"/>
      <c r="I420" s="37"/>
      <c r="J420" s="47"/>
      <c r="K420" s="41" t="str">
        <f aca="false">IF(J420="","",IF(J420&gt;=8,"Yes","Check"))</f>
        <v/>
      </c>
      <c r="L420" s="38"/>
      <c r="M420" s="47"/>
      <c r="N420" s="47"/>
      <c r="O420" s="37"/>
      <c r="P420" s="38"/>
      <c r="Q420" s="42" t="str">
        <f aca="false">IF(P420="","",LEN(P420))</f>
        <v/>
      </c>
      <c r="R420" s="47"/>
      <c r="S420" s="37"/>
      <c r="T420" s="38"/>
      <c r="U420" s="43" t="str">
        <f aca="false">IF(OR(R420&lt;&gt;"Yes",A420=""),"",A420+4)</f>
        <v/>
      </c>
      <c r="V420" s="47"/>
      <c r="W420" s="38"/>
      <c r="X420" s="38"/>
      <c r="Y420" s="44"/>
      <c r="Z420" s="44"/>
      <c r="AA420" s="45" t="str">
        <f aca="false">IF(AND($Y420="",$Z420=""),"",ROUND(IFERROR(VALUE(LEFT($Y420,1)),0)*12+IFERROR(VALUE(LEFT($Z420,1)),0)*8,0))</f>
        <v/>
      </c>
      <c r="AB420" s="45" t="str">
        <f aca="false">IF($AA420="","",IF($AA420&gt;=80,"A - call first",IF($AA420&gt;=60,"B - worth pursuing",IF($AA420&gt;=40,"C - nurture","D - do not spend time here"))))</f>
        <v/>
      </c>
      <c r="AC420" s="46" t="str">
        <f aca="false">IF($C420="","",IF($S420="Converted","7 Certification / Enterprise opportunity",IF($S420="Application Started","7 Certification / Enterprise opportunity",IF($S420="Meeting Booked","6 Meeting / Application",IF(OR($S420="Interested",$S420="Info Requested"),"5 Interested",IF(OR($S420="Declined",$S420="Not Relevant"),"0 Closed - no",IF($R420="Yes","4 Contacted",IF($N420="Yes","2 Engaged",IF($M420="Yes","1 Awareness",IF($AA420&gt;=60,"3 Qualified","1 Awareness"))))))))))</f>
        <v/>
      </c>
    </row>
    <row r="421" customFormat="false" ht="30" hidden="false" customHeight="true" outlineLevel="0" collapsed="false">
      <c r="A421" s="36"/>
      <c r="B421" s="37"/>
      <c r="C421" s="37"/>
      <c r="D421" s="37"/>
      <c r="E421" s="37"/>
      <c r="F421" s="37"/>
      <c r="G421" s="37"/>
      <c r="H421" s="37"/>
      <c r="I421" s="37"/>
      <c r="J421" s="47"/>
      <c r="K421" s="41" t="str">
        <f aca="false">IF(J421="","",IF(J421&gt;=8,"Yes","Check"))</f>
        <v/>
      </c>
      <c r="L421" s="38"/>
      <c r="M421" s="47"/>
      <c r="N421" s="47"/>
      <c r="O421" s="37"/>
      <c r="P421" s="38"/>
      <c r="Q421" s="42" t="str">
        <f aca="false">IF(P421="","",LEN(P421))</f>
        <v/>
      </c>
      <c r="R421" s="47"/>
      <c r="S421" s="37"/>
      <c r="T421" s="38"/>
      <c r="U421" s="43" t="str">
        <f aca="false">IF(OR(R421&lt;&gt;"Yes",A421=""),"",A421+4)</f>
        <v/>
      </c>
      <c r="V421" s="47"/>
      <c r="W421" s="38"/>
      <c r="X421" s="38"/>
      <c r="Y421" s="44"/>
      <c r="Z421" s="44"/>
      <c r="AA421" s="45" t="str">
        <f aca="false">IF(AND($Y421="",$Z421=""),"",ROUND(IFERROR(VALUE(LEFT($Y421,1)),0)*12+IFERROR(VALUE(LEFT($Z421,1)),0)*8,0))</f>
        <v/>
      </c>
      <c r="AB421" s="45" t="str">
        <f aca="false">IF($AA421="","",IF($AA421&gt;=80,"A - call first",IF($AA421&gt;=60,"B - worth pursuing",IF($AA421&gt;=40,"C - nurture","D - do not spend time here"))))</f>
        <v/>
      </c>
      <c r="AC421" s="46" t="str">
        <f aca="false">IF($C421="","",IF($S421="Converted","7 Certification / Enterprise opportunity",IF($S421="Application Started","7 Certification / Enterprise opportunity",IF($S421="Meeting Booked","6 Meeting / Application",IF(OR($S421="Interested",$S421="Info Requested"),"5 Interested",IF(OR($S421="Declined",$S421="Not Relevant"),"0 Closed - no",IF($R421="Yes","4 Contacted",IF($N421="Yes","2 Engaged",IF($M421="Yes","1 Awareness",IF($AA421&gt;=60,"3 Qualified","1 Awareness"))))))))))</f>
        <v/>
      </c>
    </row>
    <row r="422" customFormat="false" ht="30" hidden="false" customHeight="true" outlineLevel="0" collapsed="false">
      <c r="A422" s="36"/>
      <c r="B422" s="37"/>
      <c r="C422" s="37"/>
      <c r="D422" s="37"/>
      <c r="E422" s="37"/>
      <c r="F422" s="37"/>
      <c r="G422" s="37"/>
      <c r="H422" s="37"/>
      <c r="I422" s="37"/>
      <c r="J422" s="47"/>
      <c r="K422" s="41" t="str">
        <f aca="false">IF(J422="","",IF(J422&gt;=8,"Yes","Check"))</f>
        <v/>
      </c>
      <c r="L422" s="38"/>
      <c r="M422" s="47"/>
      <c r="N422" s="47"/>
      <c r="O422" s="37"/>
      <c r="P422" s="38"/>
      <c r="Q422" s="42" t="str">
        <f aca="false">IF(P422="","",LEN(P422))</f>
        <v/>
      </c>
      <c r="R422" s="47"/>
      <c r="S422" s="37"/>
      <c r="T422" s="38"/>
      <c r="U422" s="43" t="str">
        <f aca="false">IF(OR(R422&lt;&gt;"Yes",A422=""),"",A422+4)</f>
        <v/>
      </c>
      <c r="V422" s="47"/>
      <c r="W422" s="38"/>
      <c r="X422" s="38"/>
      <c r="Y422" s="44"/>
      <c r="Z422" s="44"/>
      <c r="AA422" s="45" t="str">
        <f aca="false">IF(AND($Y422="",$Z422=""),"",ROUND(IFERROR(VALUE(LEFT($Y422,1)),0)*12+IFERROR(VALUE(LEFT($Z422,1)),0)*8,0))</f>
        <v/>
      </c>
      <c r="AB422" s="45" t="str">
        <f aca="false">IF($AA422="","",IF($AA422&gt;=80,"A - call first",IF($AA422&gt;=60,"B - worth pursuing",IF($AA422&gt;=40,"C - nurture","D - do not spend time here"))))</f>
        <v/>
      </c>
      <c r="AC422" s="46" t="str">
        <f aca="false">IF($C422="","",IF($S422="Converted","7 Certification / Enterprise opportunity",IF($S422="Application Started","7 Certification / Enterprise opportunity",IF($S422="Meeting Booked","6 Meeting / Application",IF(OR($S422="Interested",$S422="Info Requested"),"5 Interested",IF(OR($S422="Declined",$S422="Not Relevant"),"0 Closed - no",IF($R422="Yes","4 Contacted",IF($N422="Yes","2 Engaged",IF($M422="Yes","1 Awareness",IF($AA422&gt;=60,"3 Qualified","1 Awareness"))))))))))</f>
        <v/>
      </c>
    </row>
    <row r="423" customFormat="false" ht="30" hidden="false" customHeight="true" outlineLevel="0" collapsed="false">
      <c r="A423" s="36"/>
      <c r="B423" s="37"/>
      <c r="C423" s="37"/>
      <c r="D423" s="37"/>
      <c r="E423" s="37"/>
      <c r="F423" s="37"/>
      <c r="G423" s="37"/>
      <c r="H423" s="37"/>
      <c r="I423" s="37"/>
      <c r="J423" s="47"/>
      <c r="K423" s="41" t="str">
        <f aca="false">IF(J423="","",IF(J423&gt;=8,"Yes","Check"))</f>
        <v/>
      </c>
      <c r="L423" s="38"/>
      <c r="M423" s="47"/>
      <c r="N423" s="47"/>
      <c r="O423" s="37"/>
      <c r="P423" s="38"/>
      <c r="Q423" s="42" t="str">
        <f aca="false">IF(P423="","",LEN(P423))</f>
        <v/>
      </c>
      <c r="R423" s="47"/>
      <c r="S423" s="37"/>
      <c r="T423" s="38"/>
      <c r="U423" s="43" t="str">
        <f aca="false">IF(OR(R423&lt;&gt;"Yes",A423=""),"",A423+4)</f>
        <v/>
      </c>
      <c r="V423" s="47"/>
      <c r="W423" s="38"/>
      <c r="X423" s="38"/>
      <c r="Y423" s="44"/>
      <c r="Z423" s="44"/>
      <c r="AA423" s="45" t="str">
        <f aca="false">IF(AND($Y423="",$Z423=""),"",ROUND(IFERROR(VALUE(LEFT($Y423,1)),0)*12+IFERROR(VALUE(LEFT($Z423,1)),0)*8,0))</f>
        <v/>
      </c>
      <c r="AB423" s="45" t="str">
        <f aca="false">IF($AA423="","",IF($AA423&gt;=80,"A - call first",IF($AA423&gt;=60,"B - worth pursuing",IF($AA423&gt;=40,"C - nurture","D - do not spend time here"))))</f>
        <v/>
      </c>
      <c r="AC423" s="46" t="str">
        <f aca="false">IF($C423="","",IF($S423="Converted","7 Certification / Enterprise opportunity",IF($S423="Application Started","7 Certification / Enterprise opportunity",IF($S423="Meeting Booked","6 Meeting / Application",IF(OR($S423="Interested",$S423="Info Requested"),"5 Interested",IF(OR($S423="Declined",$S423="Not Relevant"),"0 Closed - no",IF($R423="Yes","4 Contacted",IF($N423="Yes","2 Engaged",IF($M423="Yes","1 Awareness",IF($AA423&gt;=60,"3 Qualified","1 Awareness"))))))))))</f>
        <v/>
      </c>
    </row>
    <row r="424" customFormat="false" ht="30" hidden="false" customHeight="true" outlineLevel="0" collapsed="false">
      <c r="A424" s="36"/>
      <c r="B424" s="37"/>
      <c r="C424" s="37"/>
      <c r="D424" s="37"/>
      <c r="E424" s="37"/>
      <c r="F424" s="37"/>
      <c r="G424" s="37"/>
      <c r="H424" s="37"/>
      <c r="I424" s="37"/>
      <c r="J424" s="47"/>
      <c r="K424" s="41" t="str">
        <f aca="false">IF(J424="","",IF(J424&gt;=8,"Yes","Check"))</f>
        <v/>
      </c>
      <c r="L424" s="38"/>
      <c r="M424" s="47"/>
      <c r="N424" s="47"/>
      <c r="O424" s="37"/>
      <c r="P424" s="38"/>
      <c r="Q424" s="42" t="str">
        <f aca="false">IF(P424="","",LEN(P424))</f>
        <v/>
      </c>
      <c r="R424" s="47"/>
      <c r="S424" s="37"/>
      <c r="T424" s="38"/>
      <c r="U424" s="43" t="str">
        <f aca="false">IF(OR(R424&lt;&gt;"Yes",A424=""),"",A424+4)</f>
        <v/>
      </c>
      <c r="V424" s="47"/>
      <c r="W424" s="38"/>
      <c r="X424" s="38"/>
      <c r="Y424" s="44"/>
      <c r="Z424" s="44"/>
      <c r="AA424" s="45" t="str">
        <f aca="false">IF(AND($Y424="",$Z424=""),"",ROUND(IFERROR(VALUE(LEFT($Y424,1)),0)*12+IFERROR(VALUE(LEFT($Z424,1)),0)*8,0))</f>
        <v/>
      </c>
      <c r="AB424" s="45" t="str">
        <f aca="false">IF($AA424="","",IF($AA424&gt;=80,"A - call first",IF($AA424&gt;=60,"B - worth pursuing",IF($AA424&gt;=40,"C - nurture","D - do not spend time here"))))</f>
        <v/>
      </c>
      <c r="AC424" s="46" t="str">
        <f aca="false">IF($C424="","",IF($S424="Converted","7 Certification / Enterprise opportunity",IF($S424="Application Started","7 Certification / Enterprise opportunity",IF($S424="Meeting Booked","6 Meeting / Application",IF(OR($S424="Interested",$S424="Info Requested"),"5 Interested",IF(OR($S424="Declined",$S424="Not Relevant"),"0 Closed - no",IF($R424="Yes","4 Contacted",IF($N424="Yes","2 Engaged",IF($M424="Yes","1 Awareness",IF($AA424&gt;=60,"3 Qualified","1 Awareness"))))))))))</f>
        <v/>
      </c>
    </row>
    <row r="425" customFormat="false" ht="30" hidden="false" customHeight="true" outlineLevel="0" collapsed="false">
      <c r="A425" s="36"/>
      <c r="B425" s="37"/>
      <c r="C425" s="37"/>
      <c r="D425" s="37"/>
      <c r="E425" s="37"/>
      <c r="F425" s="37"/>
      <c r="G425" s="37"/>
      <c r="H425" s="37"/>
      <c r="I425" s="37"/>
      <c r="J425" s="47"/>
      <c r="K425" s="41" t="str">
        <f aca="false">IF(J425="","",IF(J425&gt;=8,"Yes","Check"))</f>
        <v/>
      </c>
      <c r="L425" s="38"/>
      <c r="M425" s="47"/>
      <c r="N425" s="47"/>
      <c r="O425" s="37"/>
      <c r="P425" s="38"/>
      <c r="Q425" s="42" t="str">
        <f aca="false">IF(P425="","",LEN(P425))</f>
        <v/>
      </c>
      <c r="R425" s="47"/>
      <c r="S425" s="37"/>
      <c r="T425" s="38"/>
      <c r="U425" s="43" t="str">
        <f aca="false">IF(OR(R425&lt;&gt;"Yes",A425=""),"",A425+4)</f>
        <v/>
      </c>
      <c r="V425" s="47"/>
      <c r="W425" s="38"/>
      <c r="X425" s="38"/>
      <c r="Y425" s="44"/>
      <c r="Z425" s="44"/>
      <c r="AA425" s="45" t="str">
        <f aca="false">IF(AND($Y425="",$Z425=""),"",ROUND(IFERROR(VALUE(LEFT($Y425,1)),0)*12+IFERROR(VALUE(LEFT($Z425,1)),0)*8,0))</f>
        <v/>
      </c>
      <c r="AB425" s="45" t="str">
        <f aca="false">IF($AA425="","",IF($AA425&gt;=80,"A - call first",IF($AA425&gt;=60,"B - worth pursuing",IF($AA425&gt;=40,"C - nurture","D - do not spend time here"))))</f>
        <v/>
      </c>
      <c r="AC425" s="46" t="str">
        <f aca="false">IF($C425="","",IF($S425="Converted","7 Certification / Enterprise opportunity",IF($S425="Application Started","7 Certification / Enterprise opportunity",IF($S425="Meeting Booked","6 Meeting / Application",IF(OR($S425="Interested",$S425="Info Requested"),"5 Interested",IF(OR($S425="Declined",$S425="Not Relevant"),"0 Closed - no",IF($R425="Yes","4 Contacted",IF($N425="Yes","2 Engaged",IF($M425="Yes","1 Awareness",IF($AA425&gt;=60,"3 Qualified","1 Awareness"))))))))))</f>
        <v/>
      </c>
    </row>
    <row r="426" customFormat="false" ht="30" hidden="false" customHeight="true" outlineLevel="0" collapsed="false">
      <c r="A426" s="36"/>
      <c r="B426" s="37"/>
      <c r="C426" s="37"/>
      <c r="D426" s="37"/>
      <c r="E426" s="37"/>
      <c r="F426" s="37"/>
      <c r="G426" s="37"/>
      <c r="H426" s="37"/>
      <c r="I426" s="37"/>
      <c r="J426" s="47"/>
      <c r="K426" s="41" t="str">
        <f aca="false">IF(J426="","",IF(J426&gt;=8,"Yes","Check"))</f>
        <v/>
      </c>
      <c r="L426" s="38"/>
      <c r="M426" s="47"/>
      <c r="N426" s="47"/>
      <c r="O426" s="37"/>
      <c r="P426" s="38"/>
      <c r="Q426" s="42" t="str">
        <f aca="false">IF(P426="","",LEN(P426))</f>
        <v/>
      </c>
      <c r="R426" s="47"/>
      <c r="S426" s="37"/>
      <c r="T426" s="38"/>
      <c r="U426" s="43" t="str">
        <f aca="false">IF(OR(R426&lt;&gt;"Yes",A426=""),"",A426+4)</f>
        <v/>
      </c>
      <c r="V426" s="47"/>
      <c r="W426" s="38"/>
      <c r="X426" s="38"/>
      <c r="Y426" s="44"/>
      <c r="Z426" s="44"/>
      <c r="AA426" s="45" t="str">
        <f aca="false">IF(AND($Y426="",$Z426=""),"",ROUND(IFERROR(VALUE(LEFT($Y426,1)),0)*12+IFERROR(VALUE(LEFT($Z426,1)),0)*8,0))</f>
        <v/>
      </c>
      <c r="AB426" s="45" t="str">
        <f aca="false">IF($AA426="","",IF($AA426&gt;=80,"A - call first",IF($AA426&gt;=60,"B - worth pursuing",IF($AA426&gt;=40,"C - nurture","D - do not spend time here"))))</f>
        <v/>
      </c>
      <c r="AC426" s="46" t="str">
        <f aca="false">IF($C426="","",IF($S426="Converted","7 Certification / Enterprise opportunity",IF($S426="Application Started","7 Certification / Enterprise opportunity",IF($S426="Meeting Booked","6 Meeting / Application",IF(OR($S426="Interested",$S426="Info Requested"),"5 Interested",IF(OR($S426="Declined",$S426="Not Relevant"),"0 Closed - no",IF($R426="Yes","4 Contacted",IF($N426="Yes","2 Engaged",IF($M426="Yes","1 Awareness",IF($AA426&gt;=60,"3 Qualified","1 Awareness"))))))))))</f>
        <v/>
      </c>
    </row>
    <row r="427" customFormat="false" ht="30" hidden="false" customHeight="true" outlineLevel="0" collapsed="false">
      <c r="A427" s="36"/>
      <c r="B427" s="37"/>
      <c r="C427" s="37"/>
      <c r="D427" s="37"/>
      <c r="E427" s="37"/>
      <c r="F427" s="37"/>
      <c r="G427" s="37"/>
      <c r="H427" s="37"/>
      <c r="I427" s="37"/>
      <c r="J427" s="47"/>
      <c r="K427" s="41" t="str">
        <f aca="false">IF(J427="","",IF(J427&gt;=8,"Yes","Check"))</f>
        <v/>
      </c>
      <c r="L427" s="38"/>
      <c r="M427" s="47"/>
      <c r="N427" s="47"/>
      <c r="O427" s="37"/>
      <c r="P427" s="38"/>
      <c r="Q427" s="42" t="str">
        <f aca="false">IF(P427="","",LEN(P427))</f>
        <v/>
      </c>
      <c r="R427" s="47"/>
      <c r="S427" s="37"/>
      <c r="T427" s="38"/>
      <c r="U427" s="43" t="str">
        <f aca="false">IF(OR(R427&lt;&gt;"Yes",A427=""),"",A427+4)</f>
        <v/>
      </c>
      <c r="V427" s="47"/>
      <c r="W427" s="38"/>
      <c r="X427" s="38"/>
      <c r="Y427" s="44"/>
      <c r="Z427" s="44"/>
      <c r="AA427" s="45" t="str">
        <f aca="false">IF(AND($Y427="",$Z427=""),"",ROUND(IFERROR(VALUE(LEFT($Y427,1)),0)*12+IFERROR(VALUE(LEFT($Z427,1)),0)*8,0))</f>
        <v/>
      </c>
      <c r="AB427" s="45" t="str">
        <f aca="false">IF($AA427="","",IF($AA427&gt;=80,"A - call first",IF($AA427&gt;=60,"B - worth pursuing",IF($AA427&gt;=40,"C - nurture","D - do not spend time here"))))</f>
        <v/>
      </c>
      <c r="AC427" s="46" t="str">
        <f aca="false">IF($C427="","",IF($S427="Converted","7 Certification / Enterprise opportunity",IF($S427="Application Started","7 Certification / Enterprise opportunity",IF($S427="Meeting Booked","6 Meeting / Application",IF(OR($S427="Interested",$S427="Info Requested"),"5 Interested",IF(OR($S427="Declined",$S427="Not Relevant"),"0 Closed - no",IF($R427="Yes","4 Contacted",IF($N427="Yes","2 Engaged",IF($M427="Yes","1 Awareness",IF($AA427&gt;=60,"3 Qualified","1 Awareness"))))))))))</f>
        <v/>
      </c>
    </row>
    <row r="428" customFormat="false" ht="30" hidden="false" customHeight="true" outlineLevel="0" collapsed="false">
      <c r="A428" s="36"/>
      <c r="B428" s="37"/>
      <c r="C428" s="37"/>
      <c r="D428" s="37"/>
      <c r="E428" s="37"/>
      <c r="F428" s="37"/>
      <c r="G428" s="37"/>
      <c r="H428" s="37"/>
      <c r="I428" s="37"/>
      <c r="J428" s="47"/>
      <c r="K428" s="41" t="str">
        <f aca="false">IF(J428="","",IF(J428&gt;=8,"Yes","Check"))</f>
        <v/>
      </c>
      <c r="L428" s="38"/>
      <c r="M428" s="47"/>
      <c r="N428" s="47"/>
      <c r="O428" s="37"/>
      <c r="P428" s="38"/>
      <c r="Q428" s="42" t="str">
        <f aca="false">IF(P428="","",LEN(P428))</f>
        <v/>
      </c>
      <c r="R428" s="47"/>
      <c r="S428" s="37"/>
      <c r="T428" s="38"/>
      <c r="U428" s="43" t="str">
        <f aca="false">IF(OR(R428&lt;&gt;"Yes",A428=""),"",A428+4)</f>
        <v/>
      </c>
      <c r="V428" s="47"/>
      <c r="W428" s="38"/>
      <c r="X428" s="38"/>
      <c r="Y428" s="44"/>
      <c r="Z428" s="44"/>
      <c r="AA428" s="45" t="str">
        <f aca="false">IF(AND($Y428="",$Z428=""),"",ROUND(IFERROR(VALUE(LEFT($Y428,1)),0)*12+IFERROR(VALUE(LEFT($Z428,1)),0)*8,0))</f>
        <v/>
      </c>
      <c r="AB428" s="45" t="str">
        <f aca="false">IF($AA428="","",IF($AA428&gt;=80,"A - call first",IF($AA428&gt;=60,"B - worth pursuing",IF($AA428&gt;=40,"C - nurture","D - do not spend time here"))))</f>
        <v/>
      </c>
      <c r="AC428" s="46" t="str">
        <f aca="false">IF($C428="","",IF($S428="Converted","7 Certification / Enterprise opportunity",IF($S428="Application Started","7 Certification / Enterprise opportunity",IF($S428="Meeting Booked","6 Meeting / Application",IF(OR($S428="Interested",$S428="Info Requested"),"5 Interested",IF(OR($S428="Declined",$S428="Not Relevant"),"0 Closed - no",IF($R428="Yes","4 Contacted",IF($N428="Yes","2 Engaged",IF($M428="Yes","1 Awareness",IF($AA428&gt;=60,"3 Qualified","1 Awareness"))))))))))</f>
        <v/>
      </c>
    </row>
    <row r="429" customFormat="false" ht="30" hidden="false" customHeight="true" outlineLevel="0" collapsed="false">
      <c r="A429" s="36"/>
      <c r="B429" s="37"/>
      <c r="C429" s="37"/>
      <c r="D429" s="37"/>
      <c r="E429" s="37"/>
      <c r="F429" s="37"/>
      <c r="G429" s="37"/>
      <c r="H429" s="37"/>
      <c r="I429" s="37"/>
      <c r="J429" s="47"/>
      <c r="K429" s="41" t="str">
        <f aca="false">IF(J429="","",IF(J429&gt;=8,"Yes","Check"))</f>
        <v/>
      </c>
      <c r="L429" s="38"/>
      <c r="M429" s="47"/>
      <c r="N429" s="47"/>
      <c r="O429" s="37"/>
      <c r="P429" s="38"/>
      <c r="Q429" s="42" t="str">
        <f aca="false">IF(P429="","",LEN(P429))</f>
        <v/>
      </c>
      <c r="R429" s="47"/>
      <c r="S429" s="37"/>
      <c r="T429" s="38"/>
      <c r="U429" s="43" t="str">
        <f aca="false">IF(OR(R429&lt;&gt;"Yes",A429=""),"",A429+4)</f>
        <v/>
      </c>
      <c r="V429" s="47"/>
      <c r="W429" s="38"/>
      <c r="X429" s="38"/>
      <c r="Y429" s="44"/>
      <c r="Z429" s="44"/>
      <c r="AA429" s="45" t="str">
        <f aca="false">IF(AND($Y429="",$Z429=""),"",ROUND(IFERROR(VALUE(LEFT($Y429,1)),0)*12+IFERROR(VALUE(LEFT($Z429,1)),0)*8,0))</f>
        <v/>
      </c>
      <c r="AB429" s="45" t="str">
        <f aca="false">IF($AA429="","",IF($AA429&gt;=80,"A - call first",IF($AA429&gt;=60,"B - worth pursuing",IF($AA429&gt;=40,"C - nurture","D - do not spend time here"))))</f>
        <v/>
      </c>
      <c r="AC429" s="46" t="str">
        <f aca="false">IF($C429="","",IF($S429="Converted","7 Certification / Enterprise opportunity",IF($S429="Application Started","7 Certification / Enterprise opportunity",IF($S429="Meeting Booked","6 Meeting / Application",IF(OR($S429="Interested",$S429="Info Requested"),"5 Interested",IF(OR($S429="Declined",$S429="Not Relevant"),"0 Closed - no",IF($R429="Yes","4 Contacted",IF($N429="Yes","2 Engaged",IF($M429="Yes","1 Awareness",IF($AA429&gt;=60,"3 Qualified","1 Awareness"))))))))))</f>
        <v/>
      </c>
    </row>
    <row r="430" customFormat="false" ht="30" hidden="false" customHeight="true" outlineLevel="0" collapsed="false">
      <c r="A430" s="36"/>
      <c r="B430" s="37"/>
      <c r="C430" s="37"/>
      <c r="D430" s="37"/>
      <c r="E430" s="37"/>
      <c r="F430" s="37"/>
      <c r="G430" s="37"/>
      <c r="H430" s="37"/>
      <c r="I430" s="37"/>
      <c r="J430" s="47"/>
      <c r="K430" s="41" t="str">
        <f aca="false">IF(J430="","",IF(J430&gt;=8,"Yes","Check"))</f>
        <v/>
      </c>
      <c r="L430" s="38"/>
      <c r="M430" s="47"/>
      <c r="N430" s="47"/>
      <c r="O430" s="37"/>
      <c r="P430" s="38"/>
      <c r="Q430" s="42" t="str">
        <f aca="false">IF(P430="","",LEN(P430))</f>
        <v/>
      </c>
      <c r="R430" s="47"/>
      <c r="S430" s="37"/>
      <c r="T430" s="38"/>
      <c r="U430" s="43" t="str">
        <f aca="false">IF(OR(R430&lt;&gt;"Yes",A430=""),"",A430+4)</f>
        <v/>
      </c>
      <c r="V430" s="47"/>
      <c r="W430" s="38"/>
      <c r="X430" s="38"/>
      <c r="Y430" s="44"/>
      <c r="Z430" s="44"/>
      <c r="AA430" s="45" t="str">
        <f aca="false">IF(AND($Y430="",$Z430=""),"",ROUND(IFERROR(VALUE(LEFT($Y430,1)),0)*12+IFERROR(VALUE(LEFT($Z430,1)),0)*8,0))</f>
        <v/>
      </c>
      <c r="AB430" s="45" t="str">
        <f aca="false">IF($AA430="","",IF($AA430&gt;=80,"A - call first",IF($AA430&gt;=60,"B - worth pursuing",IF($AA430&gt;=40,"C - nurture","D - do not spend time here"))))</f>
        <v/>
      </c>
      <c r="AC430" s="46" t="str">
        <f aca="false">IF($C430="","",IF($S430="Converted","7 Certification / Enterprise opportunity",IF($S430="Application Started","7 Certification / Enterprise opportunity",IF($S430="Meeting Booked","6 Meeting / Application",IF(OR($S430="Interested",$S430="Info Requested"),"5 Interested",IF(OR($S430="Declined",$S430="Not Relevant"),"0 Closed - no",IF($R430="Yes","4 Contacted",IF($N430="Yes","2 Engaged",IF($M430="Yes","1 Awareness",IF($AA430&gt;=60,"3 Qualified","1 Awareness"))))))))))</f>
        <v/>
      </c>
    </row>
    <row r="431" customFormat="false" ht="30" hidden="false" customHeight="true" outlineLevel="0" collapsed="false">
      <c r="A431" s="36"/>
      <c r="B431" s="37"/>
      <c r="C431" s="37"/>
      <c r="D431" s="37"/>
      <c r="E431" s="37"/>
      <c r="F431" s="37"/>
      <c r="G431" s="37"/>
      <c r="H431" s="37"/>
      <c r="I431" s="37"/>
      <c r="J431" s="47"/>
      <c r="K431" s="41" t="str">
        <f aca="false">IF(J431="","",IF(J431&gt;=8,"Yes","Check"))</f>
        <v/>
      </c>
      <c r="L431" s="38"/>
      <c r="M431" s="47"/>
      <c r="N431" s="47"/>
      <c r="O431" s="37"/>
      <c r="P431" s="38"/>
      <c r="Q431" s="42" t="str">
        <f aca="false">IF(P431="","",LEN(P431))</f>
        <v/>
      </c>
      <c r="R431" s="47"/>
      <c r="S431" s="37"/>
      <c r="T431" s="38"/>
      <c r="U431" s="43" t="str">
        <f aca="false">IF(OR(R431&lt;&gt;"Yes",A431=""),"",A431+4)</f>
        <v/>
      </c>
      <c r="V431" s="47"/>
      <c r="W431" s="38"/>
      <c r="X431" s="38"/>
      <c r="Y431" s="44"/>
      <c r="Z431" s="44"/>
      <c r="AA431" s="45" t="str">
        <f aca="false">IF(AND($Y431="",$Z431=""),"",ROUND(IFERROR(VALUE(LEFT($Y431,1)),0)*12+IFERROR(VALUE(LEFT($Z431,1)),0)*8,0))</f>
        <v/>
      </c>
      <c r="AB431" s="45" t="str">
        <f aca="false">IF($AA431="","",IF($AA431&gt;=80,"A - call first",IF($AA431&gt;=60,"B - worth pursuing",IF($AA431&gt;=40,"C - nurture","D - do not spend time here"))))</f>
        <v/>
      </c>
      <c r="AC431" s="46" t="str">
        <f aca="false">IF($C431="","",IF($S431="Converted","7 Certification / Enterprise opportunity",IF($S431="Application Started","7 Certification / Enterprise opportunity",IF($S431="Meeting Booked","6 Meeting / Application",IF(OR($S431="Interested",$S431="Info Requested"),"5 Interested",IF(OR($S431="Declined",$S431="Not Relevant"),"0 Closed - no",IF($R431="Yes","4 Contacted",IF($N431="Yes","2 Engaged",IF($M431="Yes","1 Awareness",IF($AA431&gt;=60,"3 Qualified","1 Awareness"))))))))))</f>
        <v/>
      </c>
    </row>
    <row r="432" customFormat="false" ht="30" hidden="false" customHeight="true" outlineLevel="0" collapsed="false">
      <c r="A432" s="36"/>
      <c r="B432" s="37"/>
      <c r="C432" s="37"/>
      <c r="D432" s="37"/>
      <c r="E432" s="37"/>
      <c r="F432" s="37"/>
      <c r="G432" s="37"/>
      <c r="H432" s="37"/>
      <c r="I432" s="37"/>
      <c r="J432" s="47"/>
      <c r="K432" s="41" t="str">
        <f aca="false">IF(J432="","",IF(J432&gt;=8,"Yes","Check"))</f>
        <v/>
      </c>
      <c r="L432" s="38"/>
      <c r="M432" s="47"/>
      <c r="N432" s="47"/>
      <c r="O432" s="37"/>
      <c r="P432" s="38"/>
      <c r="Q432" s="42" t="str">
        <f aca="false">IF(P432="","",LEN(P432))</f>
        <v/>
      </c>
      <c r="R432" s="47"/>
      <c r="S432" s="37"/>
      <c r="T432" s="38"/>
      <c r="U432" s="43" t="str">
        <f aca="false">IF(OR(R432&lt;&gt;"Yes",A432=""),"",A432+4)</f>
        <v/>
      </c>
      <c r="V432" s="47"/>
      <c r="W432" s="38"/>
      <c r="X432" s="38"/>
      <c r="Y432" s="44"/>
      <c r="Z432" s="44"/>
      <c r="AA432" s="45" t="str">
        <f aca="false">IF(AND($Y432="",$Z432=""),"",ROUND(IFERROR(VALUE(LEFT($Y432,1)),0)*12+IFERROR(VALUE(LEFT($Z432,1)),0)*8,0))</f>
        <v/>
      </c>
      <c r="AB432" s="45" t="str">
        <f aca="false">IF($AA432="","",IF($AA432&gt;=80,"A - call first",IF($AA432&gt;=60,"B - worth pursuing",IF($AA432&gt;=40,"C - nurture","D - do not spend time here"))))</f>
        <v/>
      </c>
      <c r="AC432" s="46" t="str">
        <f aca="false">IF($C432="","",IF($S432="Converted","7 Certification / Enterprise opportunity",IF($S432="Application Started","7 Certification / Enterprise opportunity",IF($S432="Meeting Booked","6 Meeting / Application",IF(OR($S432="Interested",$S432="Info Requested"),"5 Interested",IF(OR($S432="Declined",$S432="Not Relevant"),"0 Closed - no",IF($R432="Yes","4 Contacted",IF($N432="Yes","2 Engaged",IF($M432="Yes","1 Awareness",IF($AA432&gt;=60,"3 Qualified","1 Awareness"))))))))))</f>
        <v/>
      </c>
    </row>
    <row r="433" customFormat="false" ht="30" hidden="false" customHeight="true" outlineLevel="0" collapsed="false">
      <c r="A433" s="36"/>
      <c r="B433" s="37"/>
      <c r="C433" s="37"/>
      <c r="D433" s="37"/>
      <c r="E433" s="37"/>
      <c r="F433" s="37"/>
      <c r="G433" s="37"/>
      <c r="H433" s="37"/>
      <c r="I433" s="37"/>
      <c r="J433" s="47"/>
      <c r="K433" s="41" t="str">
        <f aca="false">IF(J433="","",IF(J433&gt;=8,"Yes","Check"))</f>
        <v/>
      </c>
      <c r="L433" s="38"/>
      <c r="M433" s="47"/>
      <c r="N433" s="47"/>
      <c r="O433" s="37"/>
      <c r="P433" s="38"/>
      <c r="Q433" s="42" t="str">
        <f aca="false">IF(P433="","",LEN(P433))</f>
        <v/>
      </c>
      <c r="R433" s="47"/>
      <c r="S433" s="37"/>
      <c r="T433" s="38"/>
      <c r="U433" s="43" t="str">
        <f aca="false">IF(OR(R433&lt;&gt;"Yes",A433=""),"",A433+4)</f>
        <v/>
      </c>
      <c r="V433" s="47"/>
      <c r="W433" s="38"/>
      <c r="X433" s="38"/>
      <c r="Y433" s="44"/>
      <c r="Z433" s="44"/>
      <c r="AA433" s="45" t="str">
        <f aca="false">IF(AND($Y433="",$Z433=""),"",ROUND(IFERROR(VALUE(LEFT($Y433,1)),0)*12+IFERROR(VALUE(LEFT($Z433,1)),0)*8,0))</f>
        <v/>
      </c>
      <c r="AB433" s="45" t="str">
        <f aca="false">IF($AA433="","",IF($AA433&gt;=80,"A - call first",IF($AA433&gt;=60,"B - worth pursuing",IF($AA433&gt;=40,"C - nurture","D - do not spend time here"))))</f>
        <v/>
      </c>
      <c r="AC433" s="46" t="str">
        <f aca="false">IF($C433="","",IF($S433="Converted","7 Certification / Enterprise opportunity",IF($S433="Application Started","7 Certification / Enterprise opportunity",IF($S433="Meeting Booked","6 Meeting / Application",IF(OR($S433="Interested",$S433="Info Requested"),"5 Interested",IF(OR($S433="Declined",$S433="Not Relevant"),"0 Closed - no",IF($R433="Yes","4 Contacted",IF($N433="Yes","2 Engaged",IF($M433="Yes","1 Awareness",IF($AA433&gt;=60,"3 Qualified","1 Awareness"))))))))))</f>
        <v/>
      </c>
    </row>
    <row r="434" customFormat="false" ht="30" hidden="false" customHeight="true" outlineLevel="0" collapsed="false">
      <c r="A434" s="36"/>
      <c r="B434" s="37"/>
      <c r="C434" s="37"/>
      <c r="D434" s="37"/>
      <c r="E434" s="37"/>
      <c r="F434" s="37"/>
      <c r="G434" s="37"/>
      <c r="H434" s="37"/>
      <c r="I434" s="37"/>
      <c r="J434" s="47"/>
      <c r="K434" s="41" t="str">
        <f aca="false">IF(J434="","",IF(J434&gt;=8,"Yes","Check"))</f>
        <v/>
      </c>
      <c r="L434" s="38"/>
      <c r="M434" s="47"/>
      <c r="N434" s="47"/>
      <c r="O434" s="37"/>
      <c r="P434" s="38"/>
      <c r="Q434" s="42" t="str">
        <f aca="false">IF(P434="","",LEN(P434))</f>
        <v/>
      </c>
      <c r="R434" s="47"/>
      <c r="S434" s="37"/>
      <c r="T434" s="38"/>
      <c r="U434" s="43" t="str">
        <f aca="false">IF(OR(R434&lt;&gt;"Yes",A434=""),"",A434+4)</f>
        <v/>
      </c>
      <c r="V434" s="47"/>
      <c r="W434" s="38"/>
      <c r="X434" s="38"/>
      <c r="Y434" s="44"/>
      <c r="Z434" s="44"/>
      <c r="AA434" s="45" t="str">
        <f aca="false">IF(AND($Y434="",$Z434=""),"",ROUND(IFERROR(VALUE(LEFT($Y434,1)),0)*12+IFERROR(VALUE(LEFT($Z434,1)),0)*8,0))</f>
        <v/>
      </c>
      <c r="AB434" s="45" t="str">
        <f aca="false">IF($AA434="","",IF($AA434&gt;=80,"A - call first",IF($AA434&gt;=60,"B - worth pursuing",IF($AA434&gt;=40,"C - nurture","D - do not spend time here"))))</f>
        <v/>
      </c>
      <c r="AC434" s="46" t="str">
        <f aca="false">IF($C434="","",IF($S434="Converted","7 Certification / Enterprise opportunity",IF($S434="Application Started","7 Certification / Enterprise opportunity",IF($S434="Meeting Booked","6 Meeting / Application",IF(OR($S434="Interested",$S434="Info Requested"),"5 Interested",IF(OR($S434="Declined",$S434="Not Relevant"),"0 Closed - no",IF($R434="Yes","4 Contacted",IF($N434="Yes","2 Engaged",IF($M434="Yes","1 Awareness",IF($AA434&gt;=60,"3 Qualified","1 Awareness"))))))))))</f>
        <v/>
      </c>
    </row>
    <row r="435" customFormat="false" ht="30" hidden="false" customHeight="true" outlineLevel="0" collapsed="false">
      <c r="A435" s="36"/>
      <c r="B435" s="37"/>
      <c r="C435" s="37"/>
      <c r="D435" s="37"/>
      <c r="E435" s="37"/>
      <c r="F435" s="37"/>
      <c r="G435" s="37"/>
      <c r="H435" s="37"/>
      <c r="I435" s="37"/>
      <c r="J435" s="47"/>
      <c r="K435" s="41" t="str">
        <f aca="false">IF(J435="","",IF(J435&gt;=8,"Yes","Check"))</f>
        <v/>
      </c>
      <c r="L435" s="38"/>
      <c r="M435" s="47"/>
      <c r="N435" s="47"/>
      <c r="O435" s="37"/>
      <c r="P435" s="38"/>
      <c r="Q435" s="42" t="str">
        <f aca="false">IF(P435="","",LEN(P435))</f>
        <v/>
      </c>
      <c r="R435" s="47"/>
      <c r="S435" s="37"/>
      <c r="T435" s="38"/>
      <c r="U435" s="43" t="str">
        <f aca="false">IF(OR(R435&lt;&gt;"Yes",A435=""),"",A435+4)</f>
        <v/>
      </c>
      <c r="V435" s="47"/>
      <c r="W435" s="38"/>
      <c r="X435" s="38"/>
      <c r="Y435" s="44"/>
      <c r="Z435" s="44"/>
      <c r="AA435" s="45" t="str">
        <f aca="false">IF(AND($Y435="",$Z435=""),"",ROUND(IFERROR(VALUE(LEFT($Y435,1)),0)*12+IFERROR(VALUE(LEFT($Z435,1)),0)*8,0))</f>
        <v/>
      </c>
      <c r="AB435" s="45" t="str">
        <f aca="false">IF($AA435="","",IF($AA435&gt;=80,"A - call first",IF($AA435&gt;=60,"B - worth pursuing",IF($AA435&gt;=40,"C - nurture","D - do not spend time here"))))</f>
        <v/>
      </c>
      <c r="AC435" s="46" t="str">
        <f aca="false">IF($C435="","",IF($S435="Converted","7 Certification / Enterprise opportunity",IF($S435="Application Started","7 Certification / Enterprise opportunity",IF($S435="Meeting Booked","6 Meeting / Application",IF(OR($S435="Interested",$S435="Info Requested"),"5 Interested",IF(OR($S435="Declined",$S435="Not Relevant"),"0 Closed - no",IF($R435="Yes","4 Contacted",IF($N435="Yes","2 Engaged",IF($M435="Yes","1 Awareness",IF($AA435&gt;=60,"3 Qualified","1 Awareness"))))))))))</f>
        <v/>
      </c>
    </row>
    <row r="436" customFormat="false" ht="30" hidden="false" customHeight="true" outlineLevel="0" collapsed="false">
      <c r="A436" s="36"/>
      <c r="B436" s="37"/>
      <c r="C436" s="37"/>
      <c r="D436" s="37"/>
      <c r="E436" s="37"/>
      <c r="F436" s="37"/>
      <c r="G436" s="37"/>
      <c r="H436" s="37"/>
      <c r="I436" s="37"/>
      <c r="J436" s="47"/>
      <c r="K436" s="41" t="str">
        <f aca="false">IF(J436="","",IF(J436&gt;=8,"Yes","Check"))</f>
        <v/>
      </c>
      <c r="L436" s="38"/>
      <c r="M436" s="47"/>
      <c r="N436" s="47"/>
      <c r="O436" s="37"/>
      <c r="P436" s="38"/>
      <c r="Q436" s="42" t="str">
        <f aca="false">IF(P436="","",LEN(P436))</f>
        <v/>
      </c>
      <c r="R436" s="47"/>
      <c r="S436" s="37"/>
      <c r="T436" s="38"/>
      <c r="U436" s="43" t="str">
        <f aca="false">IF(OR(R436&lt;&gt;"Yes",A436=""),"",A436+4)</f>
        <v/>
      </c>
      <c r="V436" s="47"/>
      <c r="W436" s="38"/>
      <c r="X436" s="38"/>
      <c r="Y436" s="44"/>
      <c r="Z436" s="44"/>
      <c r="AA436" s="45" t="str">
        <f aca="false">IF(AND($Y436="",$Z436=""),"",ROUND(IFERROR(VALUE(LEFT($Y436,1)),0)*12+IFERROR(VALUE(LEFT($Z436,1)),0)*8,0))</f>
        <v/>
      </c>
      <c r="AB436" s="45" t="str">
        <f aca="false">IF($AA436="","",IF($AA436&gt;=80,"A - call first",IF($AA436&gt;=60,"B - worth pursuing",IF($AA436&gt;=40,"C - nurture","D - do not spend time here"))))</f>
        <v/>
      </c>
      <c r="AC436" s="46" t="str">
        <f aca="false">IF($C436="","",IF($S436="Converted","7 Certification / Enterprise opportunity",IF($S436="Application Started","7 Certification / Enterprise opportunity",IF($S436="Meeting Booked","6 Meeting / Application",IF(OR($S436="Interested",$S436="Info Requested"),"5 Interested",IF(OR($S436="Declined",$S436="Not Relevant"),"0 Closed - no",IF($R436="Yes","4 Contacted",IF($N436="Yes","2 Engaged",IF($M436="Yes","1 Awareness",IF($AA436&gt;=60,"3 Qualified","1 Awareness"))))))))))</f>
        <v/>
      </c>
    </row>
    <row r="437" customFormat="false" ht="30" hidden="false" customHeight="true" outlineLevel="0" collapsed="false">
      <c r="A437" s="36"/>
      <c r="B437" s="37"/>
      <c r="C437" s="37"/>
      <c r="D437" s="37"/>
      <c r="E437" s="37"/>
      <c r="F437" s="37"/>
      <c r="G437" s="37"/>
      <c r="H437" s="37"/>
      <c r="I437" s="37"/>
      <c r="J437" s="47"/>
      <c r="K437" s="41" t="str">
        <f aca="false">IF(J437="","",IF(J437&gt;=8,"Yes","Check"))</f>
        <v/>
      </c>
      <c r="L437" s="38"/>
      <c r="M437" s="47"/>
      <c r="N437" s="47"/>
      <c r="O437" s="37"/>
      <c r="P437" s="38"/>
      <c r="Q437" s="42" t="str">
        <f aca="false">IF(P437="","",LEN(P437))</f>
        <v/>
      </c>
      <c r="R437" s="47"/>
      <c r="S437" s="37"/>
      <c r="T437" s="38"/>
      <c r="U437" s="43" t="str">
        <f aca="false">IF(OR(R437&lt;&gt;"Yes",A437=""),"",A437+4)</f>
        <v/>
      </c>
      <c r="V437" s="47"/>
      <c r="W437" s="38"/>
      <c r="X437" s="38"/>
      <c r="Y437" s="44"/>
      <c r="Z437" s="44"/>
      <c r="AA437" s="45" t="str">
        <f aca="false">IF(AND($Y437="",$Z437=""),"",ROUND(IFERROR(VALUE(LEFT($Y437,1)),0)*12+IFERROR(VALUE(LEFT($Z437,1)),0)*8,0))</f>
        <v/>
      </c>
      <c r="AB437" s="45" t="str">
        <f aca="false">IF($AA437="","",IF($AA437&gt;=80,"A - call first",IF($AA437&gt;=60,"B - worth pursuing",IF($AA437&gt;=40,"C - nurture","D - do not spend time here"))))</f>
        <v/>
      </c>
      <c r="AC437" s="46" t="str">
        <f aca="false">IF($C437="","",IF($S437="Converted","7 Certification / Enterprise opportunity",IF($S437="Application Started","7 Certification / Enterprise opportunity",IF($S437="Meeting Booked","6 Meeting / Application",IF(OR($S437="Interested",$S437="Info Requested"),"5 Interested",IF(OR($S437="Declined",$S437="Not Relevant"),"0 Closed - no",IF($R437="Yes","4 Contacted",IF($N437="Yes","2 Engaged",IF($M437="Yes","1 Awareness",IF($AA437&gt;=60,"3 Qualified","1 Awareness"))))))))))</f>
        <v/>
      </c>
    </row>
    <row r="438" customFormat="false" ht="30" hidden="false" customHeight="true" outlineLevel="0" collapsed="false">
      <c r="A438" s="36"/>
      <c r="B438" s="37"/>
      <c r="C438" s="37"/>
      <c r="D438" s="37"/>
      <c r="E438" s="37"/>
      <c r="F438" s="37"/>
      <c r="G438" s="37"/>
      <c r="H438" s="37"/>
      <c r="I438" s="37"/>
      <c r="J438" s="47"/>
      <c r="K438" s="41" t="str">
        <f aca="false">IF(J438="","",IF(J438&gt;=8,"Yes","Check"))</f>
        <v/>
      </c>
      <c r="L438" s="38"/>
      <c r="M438" s="47"/>
      <c r="N438" s="47"/>
      <c r="O438" s="37"/>
      <c r="P438" s="38"/>
      <c r="Q438" s="42" t="str">
        <f aca="false">IF(P438="","",LEN(P438))</f>
        <v/>
      </c>
      <c r="R438" s="47"/>
      <c r="S438" s="37"/>
      <c r="T438" s="38"/>
      <c r="U438" s="43" t="str">
        <f aca="false">IF(OR(R438&lt;&gt;"Yes",A438=""),"",A438+4)</f>
        <v/>
      </c>
      <c r="V438" s="47"/>
      <c r="W438" s="38"/>
      <c r="X438" s="38"/>
      <c r="Y438" s="44"/>
      <c r="Z438" s="44"/>
      <c r="AA438" s="45" t="str">
        <f aca="false">IF(AND($Y438="",$Z438=""),"",ROUND(IFERROR(VALUE(LEFT($Y438,1)),0)*12+IFERROR(VALUE(LEFT($Z438,1)),0)*8,0))</f>
        <v/>
      </c>
      <c r="AB438" s="45" t="str">
        <f aca="false">IF($AA438="","",IF($AA438&gt;=80,"A - call first",IF($AA438&gt;=60,"B - worth pursuing",IF($AA438&gt;=40,"C - nurture","D - do not spend time here"))))</f>
        <v/>
      </c>
      <c r="AC438" s="46" t="str">
        <f aca="false">IF($C438="","",IF($S438="Converted","7 Certification / Enterprise opportunity",IF($S438="Application Started","7 Certification / Enterprise opportunity",IF($S438="Meeting Booked","6 Meeting / Application",IF(OR($S438="Interested",$S438="Info Requested"),"5 Interested",IF(OR($S438="Declined",$S438="Not Relevant"),"0 Closed - no",IF($R438="Yes","4 Contacted",IF($N438="Yes","2 Engaged",IF($M438="Yes","1 Awareness",IF($AA438&gt;=60,"3 Qualified","1 Awareness"))))))))))</f>
        <v/>
      </c>
    </row>
    <row r="439" customFormat="false" ht="30" hidden="false" customHeight="true" outlineLevel="0" collapsed="false">
      <c r="A439" s="36"/>
      <c r="B439" s="37"/>
      <c r="C439" s="37"/>
      <c r="D439" s="37"/>
      <c r="E439" s="37"/>
      <c r="F439" s="37"/>
      <c r="G439" s="37"/>
      <c r="H439" s="37"/>
      <c r="I439" s="37"/>
      <c r="J439" s="47"/>
      <c r="K439" s="41" t="str">
        <f aca="false">IF(J439="","",IF(J439&gt;=8,"Yes","Check"))</f>
        <v/>
      </c>
      <c r="L439" s="38"/>
      <c r="M439" s="47"/>
      <c r="N439" s="47"/>
      <c r="O439" s="37"/>
      <c r="P439" s="38"/>
      <c r="Q439" s="42" t="str">
        <f aca="false">IF(P439="","",LEN(P439))</f>
        <v/>
      </c>
      <c r="R439" s="47"/>
      <c r="S439" s="37"/>
      <c r="T439" s="38"/>
      <c r="U439" s="43" t="str">
        <f aca="false">IF(OR(R439&lt;&gt;"Yes",A439=""),"",A439+4)</f>
        <v/>
      </c>
      <c r="V439" s="47"/>
      <c r="W439" s="38"/>
      <c r="X439" s="38"/>
      <c r="Y439" s="44"/>
      <c r="Z439" s="44"/>
      <c r="AA439" s="45" t="str">
        <f aca="false">IF(AND($Y439="",$Z439=""),"",ROUND(IFERROR(VALUE(LEFT($Y439,1)),0)*12+IFERROR(VALUE(LEFT($Z439,1)),0)*8,0))</f>
        <v/>
      </c>
      <c r="AB439" s="45" t="str">
        <f aca="false">IF($AA439="","",IF($AA439&gt;=80,"A - call first",IF($AA439&gt;=60,"B - worth pursuing",IF($AA439&gt;=40,"C - nurture","D - do not spend time here"))))</f>
        <v/>
      </c>
      <c r="AC439" s="46" t="str">
        <f aca="false">IF($C439="","",IF($S439="Converted","7 Certification / Enterprise opportunity",IF($S439="Application Started","7 Certification / Enterprise opportunity",IF($S439="Meeting Booked","6 Meeting / Application",IF(OR($S439="Interested",$S439="Info Requested"),"5 Interested",IF(OR($S439="Declined",$S439="Not Relevant"),"0 Closed - no",IF($R439="Yes","4 Contacted",IF($N439="Yes","2 Engaged",IF($M439="Yes","1 Awareness",IF($AA439&gt;=60,"3 Qualified","1 Awareness"))))))))))</f>
        <v/>
      </c>
    </row>
    <row r="440" customFormat="false" ht="30" hidden="false" customHeight="true" outlineLevel="0" collapsed="false">
      <c r="A440" s="36"/>
      <c r="B440" s="37"/>
      <c r="C440" s="37"/>
      <c r="D440" s="37"/>
      <c r="E440" s="37"/>
      <c r="F440" s="37"/>
      <c r="G440" s="37"/>
      <c r="H440" s="37"/>
      <c r="I440" s="37"/>
      <c r="J440" s="47"/>
      <c r="K440" s="41" t="str">
        <f aca="false">IF(J440="","",IF(J440&gt;=8,"Yes","Check"))</f>
        <v/>
      </c>
      <c r="L440" s="38"/>
      <c r="M440" s="47"/>
      <c r="N440" s="47"/>
      <c r="O440" s="37"/>
      <c r="P440" s="38"/>
      <c r="Q440" s="42" t="str">
        <f aca="false">IF(P440="","",LEN(P440))</f>
        <v/>
      </c>
      <c r="R440" s="47"/>
      <c r="S440" s="37"/>
      <c r="T440" s="38"/>
      <c r="U440" s="43" t="str">
        <f aca="false">IF(OR(R440&lt;&gt;"Yes",A440=""),"",A440+4)</f>
        <v/>
      </c>
      <c r="V440" s="47"/>
      <c r="W440" s="38"/>
      <c r="X440" s="38"/>
      <c r="Y440" s="44"/>
      <c r="Z440" s="44"/>
      <c r="AA440" s="45" t="str">
        <f aca="false">IF(AND($Y440="",$Z440=""),"",ROUND(IFERROR(VALUE(LEFT($Y440,1)),0)*12+IFERROR(VALUE(LEFT($Z440,1)),0)*8,0))</f>
        <v/>
      </c>
      <c r="AB440" s="45" t="str">
        <f aca="false">IF($AA440="","",IF($AA440&gt;=80,"A - call first",IF($AA440&gt;=60,"B - worth pursuing",IF($AA440&gt;=40,"C - nurture","D - do not spend time here"))))</f>
        <v/>
      </c>
      <c r="AC440" s="46" t="str">
        <f aca="false">IF($C440="","",IF($S440="Converted","7 Certification / Enterprise opportunity",IF($S440="Application Started","7 Certification / Enterprise opportunity",IF($S440="Meeting Booked","6 Meeting / Application",IF(OR($S440="Interested",$S440="Info Requested"),"5 Interested",IF(OR($S440="Declined",$S440="Not Relevant"),"0 Closed - no",IF($R440="Yes","4 Contacted",IF($N440="Yes","2 Engaged",IF($M440="Yes","1 Awareness",IF($AA440&gt;=60,"3 Qualified","1 Awareness"))))))))))</f>
        <v/>
      </c>
    </row>
    <row r="441" customFormat="false" ht="30" hidden="false" customHeight="true" outlineLevel="0" collapsed="false">
      <c r="A441" s="36"/>
      <c r="B441" s="37"/>
      <c r="C441" s="37"/>
      <c r="D441" s="37"/>
      <c r="E441" s="37"/>
      <c r="F441" s="37"/>
      <c r="G441" s="37"/>
      <c r="H441" s="37"/>
      <c r="I441" s="37"/>
      <c r="J441" s="47"/>
      <c r="K441" s="41" t="str">
        <f aca="false">IF(J441="","",IF(J441&gt;=8,"Yes","Check"))</f>
        <v/>
      </c>
      <c r="L441" s="38"/>
      <c r="M441" s="47"/>
      <c r="N441" s="47"/>
      <c r="O441" s="37"/>
      <c r="P441" s="38"/>
      <c r="Q441" s="42" t="str">
        <f aca="false">IF(P441="","",LEN(P441))</f>
        <v/>
      </c>
      <c r="R441" s="47"/>
      <c r="S441" s="37"/>
      <c r="T441" s="38"/>
      <c r="U441" s="43" t="str">
        <f aca="false">IF(OR(R441&lt;&gt;"Yes",A441=""),"",A441+4)</f>
        <v/>
      </c>
      <c r="V441" s="47"/>
      <c r="W441" s="38"/>
      <c r="X441" s="38"/>
      <c r="Y441" s="44"/>
      <c r="Z441" s="44"/>
      <c r="AA441" s="45" t="str">
        <f aca="false">IF(AND($Y441="",$Z441=""),"",ROUND(IFERROR(VALUE(LEFT($Y441,1)),0)*12+IFERROR(VALUE(LEFT($Z441,1)),0)*8,0))</f>
        <v/>
      </c>
      <c r="AB441" s="45" t="str">
        <f aca="false">IF($AA441="","",IF($AA441&gt;=80,"A - call first",IF($AA441&gt;=60,"B - worth pursuing",IF($AA441&gt;=40,"C - nurture","D - do not spend time here"))))</f>
        <v/>
      </c>
      <c r="AC441" s="46" t="str">
        <f aca="false">IF($C441="","",IF($S441="Converted","7 Certification / Enterprise opportunity",IF($S441="Application Started","7 Certification / Enterprise opportunity",IF($S441="Meeting Booked","6 Meeting / Application",IF(OR($S441="Interested",$S441="Info Requested"),"5 Interested",IF(OR($S441="Declined",$S441="Not Relevant"),"0 Closed - no",IF($R441="Yes","4 Contacted",IF($N441="Yes","2 Engaged",IF($M441="Yes","1 Awareness",IF($AA441&gt;=60,"3 Qualified","1 Awareness"))))))))))</f>
        <v/>
      </c>
    </row>
    <row r="442" customFormat="false" ht="30" hidden="false" customHeight="true" outlineLevel="0" collapsed="false">
      <c r="A442" s="36"/>
      <c r="B442" s="37"/>
      <c r="C442" s="37"/>
      <c r="D442" s="37"/>
      <c r="E442" s="37"/>
      <c r="F442" s="37"/>
      <c r="G442" s="37"/>
      <c r="H442" s="37"/>
      <c r="I442" s="37"/>
      <c r="J442" s="47"/>
      <c r="K442" s="41" t="str">
        <f aca="false">IF(J442="","",IF(J442&gt;=8,"Yes","Check"))</f>
        <v/>
      </c>
      <c r="L442" s="38"/>
      <c r="M442" s="47"/>
      <c r="N442" s="47"/>
      <c r="O442" s="37"/>
      <c r="P442" s="38"/>
      <c r="Q442" s="42" t="str">
        <f aca="false">IF(P442="","",LEN(P442))</f>
        <v/>
      </c>
      <c r="R442" s="47"/>
      <c r="S442" s="37"/>
      <c r="T442" s="38"/>
      <c r="U442" s="43" t="str">
        <f aca="false">IF(OR(R442&lt;&gt;"Yes",A442=""),"",A442+4)</f>
        <v/>
      </c>
      <c r="V442" s="47"/>
      <c r="W442" s="38"/>
      <c r="X442" s="38"/>
      <c r="Y442" s="44"/>
      <c r="Z442" s="44"/>
      <c r="AA442" s="45" t="str">
        <f aca="false">IF(AND($Y442="",$Z442=""),"",ROUND(IFERROR(VALUE(LEFT($Y442,1)),0)*12+IFERROR(VALUE(LEFT($Z442,1)),0)*8,0))</f>
        <v/>
      </c>
      <c r="AB442" s="45" t="str">
        <f aca="false">IF($AA442="","",IF($AA442&gt;=80,"A - call first",IF($AA442&gt;=60,"B - worth pursuing",IF($AA442&gt;=40,"C - nurture","D - do not spend time here"))))</f>
        <v/>
      </c>
      <c r="AC442" s="46" t="str">
        <f aca="false">IF($C442="","",IF($S442="Converted","7 Certification / Enterprise opportunity",IF($S442="Application Started","7 Certification / Enterprise opportunity",IF($S442="Meeting Booked","6 Meeting / Application",IF(OR($S442="Interested",$S442="Info Requested"),"5 Interested",IF(OR($S442="Declined",$S442="Not Relevant"),"0 Closed - no",IF($R442="Yes","4 Contacted",IF($N442="Yes","2 Engaged",IF($M442="Yes","1 Awareness",IF($AA442&gt;=60,"3 Qualified","1 Awareness"))))))))))</f>
        <v/>
      </c>
    </row>
    <row r="443" customFormat="false" ht="30" hidden="false" customHeight="true" outlineLevel="0" collapsed="false">
      <c r="A443" s="36"/>
      <c r="B443" s="37"/>
      <c r="C443" s="37"/>
      <c r="D443" s="37"/>
      <c r="E443" s="37"/>
      <c r="F443" s="37"/>
      <c r="G443" s="37"/>
      <c r="H443" s="37"/>
      <c r="I443" s="37"/>
      <c r="J443" s="47"/>
      <c r="K443" s="41" t="str">
        <f aca="false">IF(J443="","",IF(J443&gt;=8,"Yes","Check"))</f>
        <v/>
      </c>
      <c r="L443" s="38"/>
      <c r="M443" s="47"/>
      <c r="N443" s="47"/>
      <c r="O443" s="37"/>
      <c r="P443" s="38"/>
      <c r="Q443" s="42" t="str">
        <f aca="false">IF(P443="","",LEN(P443))</f>
        <v/>
      </c>
      <c r="R443" s="47"/>
      <c r="S443" s="37"/>
      <c r="T443" s="38"/>
      <c r="U443" s="43" t="str">
        <f aca="false">IF(OR(R443&lt;&gt;"Yes",A443=""),"",A443+4)</f>
        <v/>
      </c>
      <c r="V443" s="47"/>
      <c r="W443" s="38"/>
      <c r="X443" s="38"/>
      <c r="Y443" s="44"/>
      <c r="Z443" s="44"/>
      <c r="AA443" s="45" t="str">
        <f aca="false">IF(AND($Y443="",$Z443=""),"",ROUND(IFERROR(VALUE(LEFT($Y443,1)),0)*12+IFERROR(VALUE(LEFT($Z443,1)),0)*8,0))</f>
        <v/>
      </c>
      <c r="AB443" s="45" t="str">
        <f aca="false">IF($AA443="","",IF($AA443&gt;=80,"A - call first",IF($AA443&gt;=60,"B - worth pursuing",IF($AA443&gt;=40,"C - nurture","D - do not spend time here"))))</f>
        <v/>
      </c>
      <c r="AC443" s="46" t="str">
        <f aca="false">IF($C443="","",IF($S443="Converted","7 Certification / Enterprise opportunity",IF($S443="Application Started","7 Certification / Enterprise opportunity",IF($S443="Meeting Booked","6 Meeting / Application",IF(OR($S443="Interested",$S443="Info Requested"),"5 Interested",IF(OR($S443="Declined",$S443="Not Relevant"),"0 Closed - no",IF($R443="Yes","4 Contacted",IF($N443="Yes","2 Engaged",IF($M443="Yes","1 Awareness",IF($AA443&gt;=60,"3 Qualified","1 Awareness"))))))))))</f>
        <v/>
      </c>
    </row>
    <row r="444" customFormat="false" ht="30" hidden="false" customHeight="true" outlineLevel="0" collapsed="false">
      <c r="A444" s="36"/>
      <c r="B444" s="37"/>
      <c r="C444" s="37"/>
      <c r="D444" s="37"/>
      <c r="E444" s="37"/>
      <c r="F444" s="37"/>
      <c r="G444" s="37"/>
      <c r="H444" s="37"/>
      <c r="I444" s="37"/>
      <c r="J444" s="47"/>
      <c r="K444" s="41" t="str">
        <f aca="false">IF(J444="","",IF(J444&gt;=8,"Yes","Check"))</f>
        <v/>
      </c>
      <c r="L444" s="38"/>
      <c r="M444" s="47"/>
      <c r="N444" s="47"/>
      <c r="O444" s="37"/>
      <c r="P444" s="38"/>
      <c r="Q444" s="42" t="str">
        <f aca="false">IF(P444="","",LEN(P444))</f>
        <v/>
      </c>
      <c r="R444" s="47"/>
      <c r="S444" s="37"/>
      <c r="T444" s="38"/>
      <c r="U444" s="43" t="str">
        <f aca="false">IF(OR(R444&lt;&gt;"Yes",A444=""),"",A444+4)</f>
        <v/>
      </c>
      <c r="V444" s="47"/>
      <c r="W444" s="38"/>
      <c r="X444" s="38"/>
      <c r="Y444" s="44"/>
      <c r="Z444" s="44"/>
      <c r="AA444" s="45" t="str">
        <f aca="false">IF(AND($Y444="",$Z444=""),"",ROUND(IFERROR(VALUE(LEFT($Y444,1)),0)*12+IFERROR(VALUE(LEFT($Z444,1)),0)*8,0))</f>
        <v/>
      </c>
      <c r="AB444" s="45" t="str">
        <f aca="false">IF($AA444="","",IF($AA444&gt;=80,"A - call first",IF($AA444&gt;=60,"B - worth pursuing",IF($AA444&gt;=40,"C - nurture","D - do not spend time here"))))</f>
        <v/>
      </c>
      <c r="AC444" s="46" t="str">
        <f aca="false">IF($C444="","",IF($S444="Converted","7 Certification / Enterprise opportunity",IF($S444="Application Started","7 Certification / Enterprise opportunity",IF($S444="Meeting Booked","6 Meeting / Application",IF(OR($S444="Interested",$S444="Info Requested"),"5 Interested",IF(OR($S444="Declined",$S444="Not Relevant"),"0 Closed - no",IF($R444="Yes","4 Contacted",IF($N444="Yes","2 Engaged",IF($M444="Yes","1 Awareness",IF($AA444&gt;=60,"3 Qualified","1 Awareness"))))))))))</f>
        <v/>
      </c>
    </row>
    <row r="445" customFormat="false" ht="30" hidden="false" customHeight="true" outlineLevel="0" collapsed="false">
      <c r="A445" s="36"/>
      <c r="B445" s="37"/>
      <c r="C445" s="37"/>
      <c r="D445" s="37"/>
      <c r="E445" s="37"/>
      <c r="F445" s="37"/>
      <c r="G445" s="37"/>
      <c r="H445" s="37"/>
      <c r="I445" s="37"/>
      <c r="J445" s="47"/>
      <c r="K445" s="41" t="str">
        <f aca="false">IF(J445="","",IF(J445&gt;=8,"Yes","Check"))</f>
        <v/>
      </c>
      <c r="L445" s="38"/>
      <c r="M445" s="47"/>
      <c r="N445" s="47"/>
      <c r="O445" s="37"/>
      <c r="P445" s="38"/>
      <c r="Q445" s="42" t="str">
        <f aca="false">IF(P445="","",LEN(P445))</f>
        <v/>
      </c>
      <c r="R445" s="47"/>
      <c r="S445" s="37"/>
      <c r="T445" s="38"/>
      <c r="U445" s="43" t="str">
        <f aca="false">IF(OR(R445&lt;&gt;"Yes",A445=""),"",A445+4)</f>
        <v/>
      </c>
      <c r="V445" s="47"/>
      <c r="W445" s="38"/>
      <c r="X445" s="38"/>
      <c r="Y445" s="44"/>
      <c r="Z445" s="44"/>
      <c r="AA445" s="45" t="str">
        <f aca="false">IF(AND($Y445="",$Z445=""),"",ROUND(IFERROR(VALUE(LEFT($Y445,1)),0)*12+IFERROR(VALUE(LEFT($Z445,1)),0)*8,0))</f>
        <v/>
      </c>
      <c r="AB445" s="45" t="str">
        <f aca="false">IF($AA445="","",IF($AA445&gt;=80,"A - call first",IF($AA445&gt;=60,"B - worth pursuing",IF($AA445&gt;=40,"C - nurture","D - do not spend time here"))))</f>
        <v/>
      </c>
      <c r="AC445" s="46" t="str">
        <f aca="false">IF($C445="","",IF($S445="Converted","7 Certification / Enterprise opportunity",IF($S445="Application Started","7 Certification / Enterprise opportunity",IF($S445="Meeting Booked","6 Meeting / Application",IF(OR($S445="Interested",$S445="Info Requested"),"5 Interested",IF(OR($S445="Declined",$S445="Not Relevant"),"0 Closed - no",IF($R445="Yes","4 Contacted",IF($N445="Yes","2 Engaged",IF($M445="Yes","1 Awareness",IF($AA445&gt;=60,"3 Qualified","1 Awareness"))))))))))</f>
        <v/>
      </c>
    </row>
    <row r="446" customFormat="false" ht="30" hidden="false" customHeight="true" outlineLevel="0" collapsed="false">
      <c r="A446" s="36"/>
      <c r="B446" s="37"/>
      <c r="C446" s="37"/>
      <c r="D446" s="37"/>
      <c r="E446" s="37"/>
      <c r="F446" s="37"/>
      <c r="G446" s="37"/>
      <c r="H446" s="37"/>
      <c r="I446" s="37"/>
      <c r="J446" s="47"/>
      <c r="K446" s="41" t="str">
        <f aca="false">IF(J446="","",IF(J446&gt;=8,"Yes","Check"))</f>
        <v/>
      </c>
      <c r="L446" s="38"/>
      <c r="M446" s="47"/>
      <c r="N446" s="47"/>
      <c r="O446" s="37"/>
      <c r="P446" s="38"/>
      <c r="Q446" s="42" t="str">
        <f aca="false">IF(P446="","",LEN(P446))</f>
        <v/>
      </c>
      <c r="R446" s="47"/>
      <c r="S446" s="37"/>
      <c r="T446" s="38"/>
      <c r="U446" s="43" t="str">
        <f aca="false">IF(OR(R446&lt;&gt;"Yes",A446=""),"",A446+4)</f>
        <v/>
      </c>
      <c r="V446" s="47"/>
      <c r="W446" s="38"/>
      <c r="X446" s="38"/>
      <c r="Y446" s="44"/>
      <c r="Z446" s="44"/>
      <c r="AA446" s="45" t="str">
        <f aca="false">IF(AND($Y446="",$Z446=""),"",ROUND(IFERROR(VALUE(LEFT($Y446,1)),0)*12+IFERROR(VALUE(LEFT($Z446,1)),0)*8,0))</f>
        <v/>
      </c>
      <c r="AB446" s="45" t="str">
        <f aca="false">IF($AA446="","",IF($AA446&gt;=80,"A - call first",IF($AA446&gt;=60,"B - worth pursuing",IF($AA446&gt;=40,"C - nurture","D - do not spend time here"))))</f>
        <v/>
      </c>
      <c r="AC446" s="46" t="str">
        <f aca="false">IF($C446="","",IF($S446="Converted","7 Certification / Enterprise opportunity",IF($S446="Application Started","7 Certification / Enterprise opportunity",IF($S446="Meeting Booked","6 Meeting / Application",IF(OR($S446="Interested",$S446="Info Requested"),"5 Interested",IF(OR($S446="Declined",$S446="Not Relevant"),"0 Closed - no",IF($R446="Yes","4 Contacted",IF($N446="Yes","2 Engaged",IF($M446="Yes","1 Awareness",IF($AA446&gt;=60,"3 Qualified","1 Awareness"))))))))))</f>
        <v/>
      </c>
    </row>
    <row r="447" customFormat="false" ht="30" hidden="false" customHeight="true" outlineLevel="0" collapsed="false">
      <c r="A447" s="36"/>
      <c r="B447" s="37"/>
      <c r="C447" s="37"/>
      <c r="D447" s="37"/>
      <c r="E447" s="37"/>
      <c r="F447" s="37"/>
      <c r="G447" s="37"/>
      <c r="H447" s="37"/>
      <c r="I447" s="37"/>
      <c r="J447" s="47"/>
      <c r="K447" s="41" t="str">
        <f aca="false">IF(J447="","",IF(J447&gt;=8,"Yes","Check"))</f>
        <v/>
      </c>
      <c r="L447" s="38"/>
      <c r="M447" s="47"/>
      <c r="N447" s="47"/>
      <c r="O447" s="37"/>
      <c r="P447" s="38"/>
      <c r="Q447" s="42" t="str">
        <f aca="false">IF(P447="","",LEN(P447))</f>
        <v/>
      </c>
      <c r="R447" s="47"/>
      <c r="S447" s="37"/>
      <c r="T447" s="38"/>
      <c r="U447" s="43" t="str">
        <f aca="false">IF(OR(R447&lt;&gt;"Yes",A447=""),"",A447+4)</f>
        <v/>
      </c>
      <c r="V447" s="47"/>
      <c r="W447" s="38"/>
      <c r="X447" s="38"/>
      <c r="Y447" s="44"/>
      <c r="Z447" s="44"/>
      <c r="AA447" s="45" t="str">
        <f aca="false">IF(AND($Y447="",$Z447=""),"",ROUND(IFERROR(VALUE(LEFT($Y447,1)),0)*12+IFERROR(VALUE(LEFT($Z447,1)),0)*8,0))</f>
        <v/>
      </c>
      <c r="AB447" s="45" t="str">
        <f aca="false">IF($AA447="","",IF($AA447&gt;=80,"A - call first",IF($AA447&gt;=60,"B - worth pursuing",IF($AA447&gt;=40,"C - nurture","D - do not spend time here"))))</f>
        <v/>
      </c>
      <c r="AC447" s="46" t="str">
        <f aca="false">IF($C447="","",IF($S447="Converted","7 Certification / Enterprise opportunity",IF($S447="Application Started","7 Certification / Enterprise opportunity",IF($S447="Meeting Booked","6 Meeting / Application",IF(OR($S447="Interested",$S447="Info Requested"),"5 Interested",IF(OR($S447="Declined",$S447="Not Relevant"),"0 Closed - no",IF($R447="Yes","4 Contacted",IF($N447="Yes","2 Engaged",IF($M447="Yes","1 Awareness",IF($AA447&gt;=60,"3 Qualified","1 Awareness"))))))))))</f>
        <v/>
      </c>
    </row>
    <row r="448" customFormat="false" ht="30" hidden="false" customHeight="true" outlineLevel="0" collapsed="false">
      <c r="A448" s="36"/>
      <c r="B448" s="37"/>
      <c r="C448" s="37"/>
      <c r="D448" s="37"/>
      <c r="E448" s="37"/>
      <c r="F448" s="37"/>
      <c r="G448" s="37"/>
      <c r="H448" s="37"/>
      <c r="I448" s="37"/>
      <c r="J448" s="47"/>
      <c r="K448" s="41" t="str">
        <f aca="false">IF(J448="","",IF(J448&gt;=8,"Yes","Check"))</f>
        <v/>
      </c>
      <c r="L448" s="38"/>
      <c r="M448" s="47"/>
      <c r="N448" s="47"/>
      <c r="O448" s="37"/>
      <c r="P448" s="38"/>
      <c r="Q448" s="42" t="str">
        <f aca="false">IF(P448="","",LEN(P448))</f>
        <v/>
      </c>
      <c r="R448" s="47"/>
      <c r="S448" s="37"/>
      <c r="T448" s="38"/>
      <c r="U448" s="43" t="str">
        <f aca="false">IF(OR(R448&lt;&gt;"Yes",A448=""),"",A448+4)</f>
        <v/>
      </c>
      <c r="V448" s="47"/>
      <c r="W448" s="38"/>
      <c r="X448" s="38"/>
      <c r="Y448" s="44"/>
      <c r="Z448" s="44"/>
      <c r="AA448" s="45" t="str">
        <f aca="false">IF(AND($Y448="",$Z448=""),"",ROUND(IFERROR(VALUE(LEFT($Y448,1)),0)*12+IFERROR(VALUE(LEFT($Z448,1)),0)*8,0))</f>
        <v/>
      </c>
      <c r="AB448" s="45" t="str">
        <f aca="false">IF($AA448="","",IF($AA448&gt;=80,"A - call first",IF($AA448&gt;=60,"B - worth pursuing",IF($AA448&gt;=40,"C - nurture","D - do not spend time here"))))</f>
        <v/>
      </c>
      <c r="AC448" s="46" t="str">
        <f aca="false">IF($C448="","",IF($S448="Converted","7 Certification / Enterprise opportunity",IF($S448="Application Started","7 Certification / Enterprise opportunity",IF($S448="Meeting Booked","6 Meeting / Application",IF(OR($S448="Interested",$S448="Info Requested"),"5 Interested",IF(OR($S448="Declined",$S448="Not Relevant"),"0 Closed - no",IF($R448="Yes","4 Contacted",IF($N448="Yes","2 Engaged",IF($M448="Yes","1 Awareness",IF($AA448&gt;=60,"3 Qualified","1 Awareness"))))))))))</f>
        <v/>
      </c>
    </row>
    <row r="449" customFormat="false" ht="30" hidden="false" customHeight="true" outlineLevel="0" collapsed="false">
      <c r="A449" s="36"/>
      <c r="B449" s="37"/>
      <c r="C449" s="37"/>
      <c r="D449" s="37"/>
      <c r="E449" s="37"/>
      <c r="F449" s="37"/>
      <c r="G449" s="37"/>
      <c r="H449" s="37"/>
      <c r="I449" s="37"/>
      <c r="J449" s="47"/>
      <c r="K449" s="41" t="str">
        <f aca="false">IF(J449="","",IF(J449&gt;=8,"Yes","Check"))</f>
        <v/>
      </c>
      <c r="L449" s="38"/>
      <c r="M449" s="47"/>
      <c r="N449" s="47"/>
      <c r="O449" s="37"/>
      <c r="P449" s="38"/>
      <c r="Q449" s="42" t="str">
        <f aca="false">IF(P449="","",LEN(P449))</f>
        <v/>
      </c>
      <c r="R449" s="47"/>
      <c r="S449" s="37"/>
      <c r="T449" s="38"/>
      <c r="U449" s="43" t="str">
        <f aca="false">IF(OR(R449&lt;&gt;"Yes",A449=""),"",A449+4)</f>
        <v/>
      </c>
      <c r="V449" s="47"/>
      <c r="W449" s="38"/>
      <c r="X449" s="38"/>
      <c r="Y449" s="44"/>
      <c r="Z449" s="44"/>
      <c r="AA449" s="45" t="str">
        <f aca="false">IF(AND($Y449="",$Z449=""),"",ROUND(IFERROR(VALUE(LEFT($Y449,1)),0)*12+IFERROR(VALUE(LEFT($Z449,1)),0)*8,0))</f>
        <v/>
      </c>
      <c r="AB449" s="45" t="str">
        <f aca="false">IF($AA449="","",IF($AA449&gt;=80,"A - call first",IF($AA449&gt;=60,"B - worth pursuing",IF($AA449&gt;=40,"C - nurture","D - do not spend time here"))))</f>
        <v/>
      </c>
      <c r="AC449" s="46" t="str">
        <f aca="false">IF($C449="","",IF($S449="Converted","7 Certification / Enterprise opportunity",IF($S449="Application Started","7 Certification / Enterprise opportunity",IF($S449="Meeting Booked","6 Meeting / Application",IF(OR($S449="Interested",$S449="Info Requested"),"5 Interested",IF(OR($S449="Declined",$S449="Not Relevant"),"0 Closed - no",IF($R449="Yes","4 Contacted",IF($N449="Yes","2 Engaged",IF($M449="Yes","1 Awareness",IF($AA449&gt;=60,"3 Qualified","1 Awareness"))))))))))</f>
        <v/>
      </c>
    </row>
    <row r="450" customFormat="false" ht="30" hidden="false" customHeight="true" outlineLevel="0" collapsed="false">
      <c r="A450" s="36"/>
      <c r="B450" s="37"/>
      <c r="C450" s="37"/>
      <c r="D450" s="37"/>
      <c r="E450" s="37"/>
      <c r="F450" s="37"/>
      <c r="G450" s="37"/>
      <c r="H450" s="37"/>
      <c r="I450" s="37"/>
      <c r="J450" s="47"/>
      <c r="K450" s="41" t="str">
        <f aca="false">IF(J450="","",IF(J450&gt;=8,"Yes","Check"))</f>
        <v/>
      </c>
      <c r="L450" s="38"/>
      <c r="M450" s="47"/>
      <c r="N450" s="47"/>
      <c r="O450" s="37"/>
      <c r="P450" s="38"/>
      <c r="Q450" s="42" t="str">
        <f aca="false">IF(P450="","",LEN(P450))</f>
        <v/>
      </c>
      <c r="R450" s="47"/>
      <c r="S450" s="37"/>
      <c r="T450" s="38"/>
      <c r="U450" s="43" t="str">
        <f aca="false">IF(OR(R450&lt;&gt;"Yes",A450=""),"",A450+4)</f>
        <v/>
      </c>
      <c r="V450" s="47"/>
      <c r="W450" s="38"/>
      <c r="X450" s="38"/>
      <c r="Y450" s="44"/>
      <c r="Z450" s="44"/>
      <c r="AA450" s="45" t="str">
        <f aca="false">IF(AND($Y450="",$Z450=""),"",ROUND(IFERROR(VALUE(LEFT($Y450,1)),0)*12+IFERROR(VALUE(LEFT($Z450,1)),0)*8,0))</f>
        <v/>
      </c>
      <c r="AB450" s="45" t="str">
        <f aca="false">IF($AA450="","",IF($AA450&gt;=80,"A - call first",IF($AA450&gt;=60,"B - worth pursuing",IF($AA450&gt;=40,"C - nurture","D - do not spend time here"))))</f>
        <v/>
      </c>
      <c r="AC450" s="46" t="str">
        <f aca="false">IF($C450="","",IF($S450="Converted","7 Certification / Enterprise opportunity",IF($S450="Application Started","7 Certification / Enterprise opportunity",IF($S450="Meeting Booked","6 Meeting / Application",IF(OR($S450="Interested",$S450="Info Requested"),"5 Interested",IF(OR($S450="Declined",$S450="Not Relevant"),"0 Closed - no",IF($R450="Yes","4 Contacted",IF($N450="Yes","2 Engaged",IF($M450="Yes","1 Awareness",IF($AA450&gt;=60,"3 Qualified","1 Awareness"))))))))))</f>
        <v/>
      </c>
    </row>
    <row r="451" customFormat="false" ht="30" hidden="false" customHeight="true" outlineLevel="0" collapsed="false">
      <c r="A451" s="36"/>
      <c r="B451" s="37"/>
      <c r="C451" s="37"/>
      <c r="D451" s="37"/>
      <c r="E451" s="37"/>
      <c r="F451" s="37"/>
      <c r="G451" s="37"/>
      <c r="H451" s="37"/>
      <c r="I451" s="37"/>
      <c r="J451" s="47"/>
      <c r="K451" s="41" t="str">
        <f aca="false">IF(J451="","",IF(J451&gt;=8,"Yes","Check"))</f>
        <v/>
      </c>
      <c r="L451" s="38"/>
      <c r="M451" s="47"/>
      <c r="N451" s="47"/>
      <c r="O451" s="37"/>
      <c r="P451" s="38"/>
      <c r="Q451" s="42" t="str">
        <f aca="false">IF(P451="","",LEN(P451))</f>
        <v/>
      </c>
      <c r="R451" s="47"/>
      <c r="S451" s="37"/>
      <c r="T451" s="38"/>
      <c r="U451" s="43" t="str">
        <f aca="false">IF(OR(R451&lt;&gt;"Yes",A451=""),"",A451+4)</f>
        <v/>
      </c>
      <c r="V451" s="47"/>
      <c r="W451" s="38"/>
      <c r="X451" s="38"/>
      <c r="Y451" s="44"/>
      <c r="Z451" s="44"/>
      <c r="AA451" s="45" t="str">
        <f aca="false">IF(AND($Y451="",$Z451=""),"",ROUND(IFERROR(VALUE(LEFT($Y451,1)),0)*12+IFERROR(VALUE(LEFT($Z451,1)),0)*8,0))</f>
        <v/>
      </c>
      <c r="AB451" s="45" t="str">
        <f aca="false">IF($AA451="","",IF($AA451&gt;=80,"A - call first",IF($AA451&gt;=60,"B - worth pursuing",IF($AA451&gt;=40,"C - nurture","D - do not spend time here"))))</f>
        <v/>
      </c>
      <c r="AC451" s="46" t="str">
        <f aca="false">IF($C451="","",IF($S451="Converted","7 Certification / Enterprise opportunity",IF($S451="Application Started","7 Certification / Enterprise opportunity",IF($S451="Meeting Booked","6 Meeting / Application",IF(OR($S451="Interested",$S451="Info Requested"),"5 Interested",IF(OR($S451="Declined",$S451="Not Relevant"),"0 Closed - no",IF($R451="Yes","4 Contacted",IF($N451="Yes","2 Engaged",IF($M451="Yes","1 Awareness",IF($AA451&gt;=60,"3 Qualified","1 Awareness"))))))))))</f>
        <v/>
      </c>
    </row>
    <row r="452" customFormat="false" ht="30" hidden="false" customHeight="true" outlineLevel="0" collapsed="false">
      <c r="A452" s="36"/>
      <c r="B452" s="37"/>
      <c r="C452" s="37"/>
      <c r="D452" s="37"/>
      <c r="E452" s="37"/>
      <c r="F452" s="37"/>
      <c r="G452" s="37"/>
      <c r="H452" s="37"/>
      <c r="I452" s="37"/>
      <c r="J452" s="47"/>
      <c r="K452" s="41" t="str">
        <f aca="false">IF(J452="","",IF(J452&gt;=8,"Yes","Check"))</f>
        <v/>
      </c>
      <c r="L452" s="38"/>
      <c r="M452" s="47"/>
      <c r="N452" s="47"/>
      <c r="O452" s="37"/>
      <c r="P452" s="38"/>
      <c r="Q452" s="42" t="str">
        <f aca="false">IF(P452="","",LEN(P452))</f>
        <v/>
      </c>
      <c r="R452" s="47"/>
      <c r="S452" s="37"/>
      <c r="T452" s="38"/>
      <c r="U452" s="43" t="str">
        <f aca="false">IF(OR(R452&lt;&gt;"Yes",A452=""),"",A452+4)</f>
        <v/>
      </c>
      <c r="V452" s="47"/>
      <c r="W452" s="38"/>
      <c r="X452" s="38"/>
      <c r="Y452" s="44"/>
      <c r="Z452" s="44"/>
      <c r="AA452" s="45" t="str">
        <f aca="false">IF(AND($Y452="",$Z452=""),"",ROUND(IFERROR(VALUE(LEFT($Y452,1)),0)*12+IFERROR(VALUE(LEFT($Z452,1)),0)*8,0))</f>
        <v/>
      </c>
      <c r="AB452" s="45" t="str">
        <f aca="false">IF($AA452="","",IF($AA452&gt;=80,"A - call first",IF($AA452&gt;=60,"B - worth pursuing",IF($AA452&gt;=40,"C - nurture","D - do not spend time here"))))</f>
        <v/>
      </c>
      <c r="AC452" s="46" t="str">
        <f aca="false">IF($C452="","",IF($S452="Converted","7 Certification / Enterprise opportunity",IF($S452="Application Started","7 Certification / Enterprise opportunity",IF($S452="Meeting Booked","6 Meeting / Application",IF(OR($S452="Interested",$S452="Info Requested"),"5 Interested",IF(OR($S452="Declined",$S452="Not Relevant"),"0 Closed - no",IF($R452="Yes","4 Contacted",IF($N452="Yes","2 Engaged",IF($M452="Yes","1 Awareness",IF($AA452&gt;=60,"3 Qualified","1 Awareness"))))))))))</f>
        <v/>
      </c>
    </row>
    <row r="453" customFormat="false" ht="30" hidden="false" customHeight="true" outlineLevel="0" collapsed="false">
      <c r="A453" s="36"/>
      <c r="B453" s="37"/>
      <c r="C453" s="37"/>
      <c r="D453" s="37"/>
      <c r="E453" s="37"/>
      <c r="F453" s="37"/>
      <c r="G453" s="37"/>
      <c r="H453" s="37"/>
      <c r="I453" s="37"/>
      <c r="J453" s="47"/>
      <c r="K453" s="41" t="str">
        <f aca="false">IF(J453="","",IF(J453&gt;=8,"Yes","Check"))</f>
        <v/>
      </c>
      <c r="L453" s="38"/>
      <c r="M453" s="47"/>
      <c r="N453" s="47"/>
      <c r="O453" s="37"/>
      <c r="P453" s="38"/>
      <c r="Q453" s="42" t="str">
        <f aca="false">IF(P453="","",LEN(P453))</f>
        <v/>
      </c>
      <c r="R453" s="47"/>
      <c r="S453" s="37"/>
      <c r="T453" s="38"/>
      <c r="U453" s="43" t="str">
        <f aca="false">IF(OR(R453&lt;&gt;"Yes",A453=""),"",A453+4)</f>
        <v/>
      </c>
      <c r="V453" s="47"/>
      <c r="W453" s="38"/>
      <c r="X453" s="38"/>
      <c r="Y453" s="44"/>
      <c r="Z453" s="44"/>
      <c r="AA453" s="45" t="str">
        <f aca="false">IF(AND($Y453="",$Z453=""),"",ROUND(IFERROR(VALUE(LEFT($Y453,1)),0)*12+IFERROR(VALUE(LEFT($Z453,1)),0)*8,0))</f>
        <v/>
      </c>
      <c r="AB453" s="45" t="str">
        <f aca="false">IF($AA453="","",IF($AA453&gt;=80,"A - call first",IF($AA453&gt;=60,"B - worth pursuing",IF($AA453&gt;=40,"C - nurture","D - do not spend time here"))))</f>
        <v/>
      </c>
      <c r="AC453" s="46" t="str">
        <f aca="false">IF($C453="","",IF($S453="Converted","7 Certification / Enterprise opportunity",IF($S453="Application Started","7 Certification / Enterprise opportunity",IF($S453="Meeting Booked","6 Meeting / Application",IF(OR($S453="Interested",$S453="Info Requested"),"5 Interested",IF(OR($S453="Declined",$S453="Not Relevant"),"0 Closed - no",IF($R453="Yes","4 Contacted",IF($N453="Yes","2 Engaged",IF($M453="Yes","1 Awareness",IF($AA453&gt;=60,"3 Qualified","1 Awareness"))))))))))</f>
        <v/>
      </c>
    </row>
    <row r="454" customFormat="false" ht="30" hidden="false" customHeight="true" outlineLevel="0" collapsed="false">
      <c r="A454" s="36"/>
      <c r="B454" s="37"/>
      <c r="C454" s="37"/>
      <c r="D454" s="37"/>
      <c r="E454" s="37"/>
      <c r="F454" s="37"/>
      <c r="G454" s="37"/>
      <c r="H454" s="37"/>
      <c r="I454" s="37"/>
      <c r="J454" s="47"/>
      <c r="K454" s="41" t="str">
        <f aca="false">IF(J454="","",IF(J454&gt;=8,"Yes","Check"))</f>
        <v/>
      </c>
      <c r="L454" s="38"/>
      <c r="M454" s="47"/>
      <c r="N454" s="47"/>
      <c r="O454" s="37"/>
      <c r="P454" s="38"/>
      <c r="Q454" s="42" t="str">
        <f aca="false">IF(P454="","",LEN(P454))</f>
        <v/>
      </c>
      <c r="R454" s="47"/>
      <c r="S454" s="37"/>
      <c r="T454" s="38"/>
      <c r="U454" s="43" t="str">
        <f aca="false">IF(OR(R454&lt;&gt;"Yes",A454=""),"",A454+4)</f>
        <v/>
      </c>
      <c r="V454" s="47"/>
      <c r="W454" s="38"/>
      <c r="X454" s="38"/>
      <c r="Y454" s="44"/>
      <c r="Z454" s="44"/>
      <c r="AA454" s="45" t="str">
        <f aca="false">IF(AND($Y454="",$Z454=""),"",ROUND(IFERROR(VALUE(LEFT($Y454,1)),0)*12+IFERROR(VALUE(LEFT($Z454,1)),0)*8,0))</f>
        <v/>
      </c>
      <c r="AB454" s="45" t="str">
        <f aca="false">IF($AA454="","",IF($AA454&gt;=80,"A - call first",IF($AA454&gt;=60,"B - worth pursuing",IF($AA454&gt;=40,"C - nurture","D - do not spend time here"))))</f>
        <v/>
      </c>
      <c r="AC454" s="46" t="str">
        <f aca="false">IF($C454="","",IF($S454="Converted","7 Certification / Enterprise opportunity",IF($S454="Application Started","7 Certification / Enterprise opportunity",IF($S454="Meeting Booked","6 Meeting / Application",IF(OR($S454="Interested",$S454="Info Requested"),"5 Interested",IF(OR($S454="Declined",$S454="Not Relevant"),"0 Closed - no",IF($R454="Yes","4 Contacted",IF($N454="Yes","2 Engaged",IF($M454="Yes","1 Awareness",IF($AA454&gt;=60,"3 Qualified","1 Awareness"))))))))))</f>
        <v/>
      </c>
    </row>
    <row r="455" customFormat="false" ht="30" hidden="false" customHeight="true" outlineLevel="0" collapsed="false">
      <c r="A455" s="36"/>
      <c r="B455" s="37"/>
      <c r="C455" s="37"/>
      <c r="D455" s="37"/>
      <c r="E455" s="37"/>
      <c r="F455" s="37"/>
      <c r="G455" s="37"/>
      <c r="H455" s="37"/>
      <c r="I455" s="37"/>
      <c r="J455" s="47"/>
      <c r="K455" s="41" t="str">
        <f aca="false">IF(J455="","",IF(J455&gt;=8,"Yes","Check"))</f>
        <v/>
      </c>
      <c r="L455" s="38"/>
      <c r="M455" s="47"/>
      <c r="N455" s="47"/>
      <c r="O455" s="37"/>
      <c r="P455" s="38"/>
      <c r="Q455" s="42" t="str">
        <f aca="false">IF(P455="","",LEN(P455))</f>
        <v/>
      </c>
      <c r="R455" s="47"/>
      <c r="S455" s="37"/>
      <c r="T455" s="38"/>
      <c r="U455" s="43" t="str">
        <f aca="false">IF(OR(R455&lt;&gt;"Yes",A455=""),"",A455+4)</f>
        <v/>
      </c>
      <c r="V455" s="47"/>
      <c r="W455" s="38"/>
      <c r="X455" s="38"/>
      <c r="Y455" s="44"/>
      <c r="Z455" s="44"/>
      <c r="AA455" s="45" t="str">
        <f aca="false">IF(AND($Y455="",$Z455=""),"",ROUND(IFERROR(VALUE(LEFT($Y455,1)),0)*12+IFERROR(VALUE(LEFT($Z455,1)),0)*8,0))</f>
        <v/>
      </c>
      <c r="AB455" s="45" t="str">
        <f aca="false">IF($AA455="","",IF($AA455&gt;=80,"A - call first",IF($AA455&gt;=60,"B - worth pursuing",IF($AA455&gt;=40,"C - nurture","D - do not spend time here"))))</f>
        <v/>
      </c>
      <c r="AC455" s="46" t="str">
        <f aca="false">IF($C455="","",IF($S455="Converted","7 Certification / Enterprise opportunity",IF($S455="Application Started","7 Certification / Enterprise opportunity",IF($S455="Meeting Booked","6 Meeting / Application",IF(OR($S455="Interested",$S455="Info Requested"),"5 Interested",IF(OR($S455="Declined",$S455="Not Relevant"),"0 Closed - no",IF($R455="Yes","4 Contacted",IF($N455="Yes","2 Engaged",IF($M455="Yes","1 Awareness",IF($AA455&gt;=60,"3 Qualified","1 Awareness"))))))))))</f>
        <v/>
      </c>
    </row>
    <row r="456" customFormat="false" ht="30" hidden="false" customHeight="true" outlineLevel="0" collapsed="false">
      <c r="A456" s="36"/>
      <c r="B456" s="37"/>
      <c r="C456" s="37"/>
      <c r="D456" s="37"/>
      <c r="E456" s="37"/>
      <c r="F456" s="37"/>
      <c r="G456" s="37"/>
      <c r="H456" s="37"/>
      <c r="I456" s="37"/>
      <c r="J456" s="47"/>
      <c r="K456" s="41" t="str">
        <f aca="false">IF(J456="","",IF(J456&gt;=8,"Yes","Check"))</f>
        <v/>
      </c>
      <c r="L456" s="38"/>
      <c r="M456" s="47"/>
      <c r="N456" s="47"/>
      <c r="O456" s="37"/>
      <c r="P456" s="38"/>
      <c r="Q456" s="42" t="str">
        <f aca="false">IF(P456="","",LEN(P456))</f>
        <v/>
      </c>
      <c r="R456" s="47"/>
      <c r="S456" s="37"/>
      <c r="T456" s="38"/>
      <c r="U456" s="43" t="str">
        <f aca="false">IF(OR(R456&lt;&gt;"Yes",A456=""),"",A456+4)</f>
        <v/>
      </c>
      <c r="V456" s="47"/>
      <c r="W456" s="38"/>
      <c r="X456" s="38"/>
      <c r="Y456" s="44"/>
      <c r="Z456" s="44"/>
      <c r="AA456" s="45" t="str">
        <f aca="false">IF(AND($Y456="",$Z456=""),"",ROUND(IFERROR(VALUE(LEFT($Y456,1)),0)*12+IFERROR(VALUE(LEFT($Z456,1)),0)*8,0))</f>
        <v/>
      </c>
      <c r="AB456" s="45" t="str">
        <f aca="false">IF($AA456="","",IF($AA456&gt;=80,"A - call first",IF($AA456&gt;=60,"B - worth pursuing",IF($AA456&gt;=40,"C - nurture","D - do not spend time here"))))</f>
        <v/>
      </c>
      <c r="AC456" s="46" t="str">
        <f aca="false">IF($C456="","",IF($S456="Converted","7 Certification / Enterprise opportunity",IF($S456="Application Started","7 Certification / Enterprise opportunity",IF($S456="Meeting Booked","6 Meeting / Application",IF(OR($S456="Interested",$S456="Info Requested"),"5 Interested",IF(OR($S456="Declined",$S456="Not Relevant"),"0 Closed - no",IF($R456="Yes","4 Contacted",IF($N456="Yes","2 Engaged",IF($M456="Yes","1 Awareness",IF($AA456&gt;=60,"3 Qualified","1 Awareness"))))))))))</f>
        <v/>
      </c>
    </row>
    <row r="457" customFormat="false" ht="30" hidden="false" customHeight="true" outlineLevel="0" collapsed="false">
      <c r="A457" s="36"/>
      <c r="B457" s="37"/>
      <c r="C457" s="37"/>
      <c r="D457" s="37"/>
      <c r="E457" s="37"/>
      <c r="F457" s="37"/>
      <c r="G457" s="37"/>
      <c r="H457" s="37"/>
      <c r="I457" s="37"/>
      <c r="J457" s="47"/>
      <c r="K457" s="41" t="str">
        <f aca="false">IF(J457="","",IF(J457&gt;=8,"Yes","Check"))</f>
        <v/>
      </c>
      <c r="L457" s="38"/>
      <c r="M457" s="47"/>
      <c r="N457" s="47"/>
      <c r="O457" s="37"/>
      <c r="P457" s="38"/>
      <c r="Q457" s="42" t="str">
        <f aca="false">IF(P457="","",LEN(P457))</f>
        <v/>
      </c>
      <c r="R457" s="47"/>
      <c r="S457" s="37"/>
      <c r="T457" s="38"/>
      <c r="U457" s="43" t="str">
        <f aca="false">IF(OR(R457&lt;&gt;"Yes",A457=""),"",A457+4)</f>
        <v/>
      </c>
      <c r="V457" s="47"/>
      <c r="W457" s="38"/>
      <c r="X457" s="38"/>
      <c r="Y457" s="44"/>
      <c r="Z457" s="44"/>
      <c r="AA457" s="45" t="str">
        <f aca="false">IF(AND($Y457="",$Z457=""),"",ROUND(IFERROR(VALUE(LEFT($Y457,1)),0)*12+IFERROR(VALUE(LEFT($Z457,1)),0)*8,0))</f>
        <v/>
      </c>
      <c r="AB457" s="45" t="str">
        <f aca="false">IF($AA457="","",IF($AA457&gt;=80,"A - call first",IF($AA457&gt;=60,"B - worth pursuing",IF($AA457&gt;=40,"C - nurture","D - do not spend time here"))))</f>
        <v/>
      </c>
      <c r="AC457" s="46" t="str">
        <f aca="false">IF($C457="","",IF($S457="Converted","7 Certification / Enterprise opportunity",IF($S457="Application Started","7 Certification / Enterprise opportunity",IF($S457="Meeting Booked","6 Meeting / Application",IF(OR($S457="Interested",$S457="Info Requested"),"5 Interested",IF(OR($S457="Declined",$S457="Not Relevant"),"0 Closed - no",IF($R457="Yes","4 Contacted",IF($N457="Yes","2 Engaged",IF($M457="Yes","1 Awareness",IF($AA457&gt;=60,"3 Qualified","1 Awareness"))))))))))</f>
        <v/>
      </c>
    </row>
    <row r="458" customFormat="false" ht="30" hidden="false" customHeight="true" outlineLevel="0" collapsed="false">
      <c r="A458" s="36"/>
      <c r="B458" s="37"/>
      <c r="C458" s="37"/>
      <c r="D458" s="37"/>
      <c r="E458" s="37"/>
      <c r="F458" s="37"/>
      <c r="G458" s="37"/>
      <c r="H458" s="37"/>
      <c r="I458" s="37"/>
      <c r="J458" s="47"/>
      <c r="K458" s="41" t="str">
        <f aca="false">IF(J458="","",IF(J458&gt;=8,"Yes","Check"))</f>
        <v/>
      </c>
      <c r="L458" s="38"/>
      <c r="M458" s="47"/>
      <c r="N458" s="47"/>
      <c r="O458" s="37"/>
      <c r="P458" s="38"/>
      <c r="Q458" s="42" t="str">
        <f aca="false">IF(P458="","",LEN(P458))</f>
        <v/>
      </c>
      <c r="R458" s="47"/>
      <c r="S458" s="37"/>
      <c r="T458" s="38"/>
      <c r="U458" s="43" t="str">
        <f aca="false">IF(OR(R458&lt;&gt;"Yes",A458=""),"",A458+4)</f>
        <v/>
      </c>
      <c r="V458" s="47"/>
      <c r="W458" s="38"/>
      <c r="X458" s="38"/>
      <c r="Y458" s="44"/>
      <c r="Z458" s="44"/>
      <c r="AA458" s="45" t="str">
        <f aca="false">IF(AND($Y458="",$Z458=""),"",ROUND(IFERROR(VALUE(LEFT($Y458,1)),0)*12+IFERROR(VALUE(LEFT($Z458,1)),0)*8,0))</f>
        <v/>
      </c>
      <c r="AB458" s="45" t="str">
        <f aca="false">IF($AA458="","",IF($AA458&gt;=80,"A - call first",IF($AA458&gt;=60,"B - worth pursuing",IF($AA458&gt;=40,"C - nurture","D - do not spend time here"))))</f>
        <v/>
      </c>
      <c r="AC458" s="46" t="str">
        <f aca="false">IF($C458="","",IF($S458="Converted","7 Certification / Enterprise opportunity",IF($S458="Application Started","7 Certification / Enterprise opportunity",IF($S458="Meeting Booked","6 Meeting / Application",IF(OR($S458="Interested",$S458="Info Requested"),"5 Interested",IF(OR($S458="Declined",$S458="Not Relevant"),"0 Closed - no",IF($R458="Yes","4 Contacted",IF($N458="Yes","2 Engaged",IF($M458="Yes","1 Awareness",IF($AA458&gt;=60,"3 Qualified","1 Awareness"))))))))))</f>
        <v/>
      </c>
    </row>
    <row r="459" customFormat="false" ht="30" hidden="false" customHeight="true" outlineLevel="0" collapsed="false">
      <c r="A459" s="36"/>
      <c r="B459" s="37"/>
      <c r="C459" s="37"/>
      <c r="D459" s="37"/>
      <c r="E459" s="37"/>
      <c r="F459" s="37"/>
      <c r="G459" s="37"/>
      <c r="H459" s="37"/>
      <c r="I459" s="37"/>
      <c r="J459" s="47"/>
      <c r="K459" s="41" t="str">
        <f aca="false">IF(J459="","",IF(J459&gt;=8,"Yes","Check"))</f>
        <v/>
      </c>
      <c r="L459" s="38"/>
      <c r="M459" s="47"/>
      <c r="N459" s="47"/>
      <c r="O459" s="37"/>
      <c r="P459" s="38"/>
      <c r="Q459" s="42" t="str">
        <f aca="false">IF(P459="","",LEN(P459))</f>
        <v/>
      </c>
      <c r="R459" s="47"/>
      <c r="S459" s="37"/>
      <c r="T459" s="38"/>
      <c r="U459" s="43" t="str">
        <f aca="false">IF(OR(R459&lt;&gt;"Yes",A459=""),"",A459+4)</f>
        <v/>
      </c>
      <c r="V459" s="47"/>
      <c r="W459" s="38"/>
      <c r="X459" s="38"/>
      <c r="Y459" s="44"/>
      <c r="Z459" s="44"/>
      <c r="AA459" s="45" t="str">
        <f aca="false">IF(AND($Y459="",$Z459=""),"",ROUND(IFERROR(VALUE(LEFT($Y459,1)),0)*12+IFERROR(VALUE(LEFT($Z459,1)),0)*8,0))</f>
        <v/>
      </c>
      <c r="AB459" s="45" t="str">
        <f aca="false">IF($AA459="","",IF($AA459&gt;=80,"A - call first",IF($AA459&gt;=60,"B - worth pursuing",IF($AA459&gt;=40,"C - nurture","D - do not spend time here"))))</f>
        <v/>
      </c>
      <c r="AC459" s="46" t="str">
        <f aca="false">IF($C459="","",IF($S459="Converted","7 Certification / Enterprise opportunity",IF($S459="Application Started","7 Certification / Enterprise opportunity",IF($S459="Meeting Booked","6 Meeting / Application",IF(OR($S459="Interested",$S459="Info Requested"),"5 Interested",IF(OR($S459="Declined",$S459="Not Relevant"),"0 Closed - no",IF($R459="Yes","4 Contacted",IF($N459="Yes","2 Engaged",IF($M459="Yes","1 Awareness",IF($AA459&gt;=60,"3 Qualified","1 Awareness"))))))))))</f>
        <v/>
      </c>
    </row>
    <row r="460" customFormat="false" ht="30" hidden="false" customHeight="true" outlineLevel="0" collapsed="false">
      <c r="A460" s="36"/>
      <c r="B460" s="37"/>
      <c r="C460" s="37"/>
      <c r="D460" s="37"/>
      <c r="E460" s="37"/>
      <c r="F460" s="37"/>
      <c r="G460" s="37"/>
      <c r="H460" s="37"/>
      <c r="I460" s="37"/>
      <c r="J460" s="47"/>
      <c r="K460" s="41" t="str">
        <f aca="false">IF(J460="","",IF(J460&gt;=8,"Yes","Check"))</f>
        <v/>
      </c>
      <c r="L460" s="38"/>
      <c r="M460" s="47"/>
      <c r="N460" s="47"/>
      <c r="O460" s="37"/>
      <c r="P460" s="38"/>
      <c r="Q460" s="42" t="str">
        <f aca="false">IF(P460="","",LEN(P460))</f>
        <v/>
      </c>
      <c r="R460" s="47"/>
      <c r="S460" s="37"/>
      <c r="T460" s="38"/>
      <c r="U460" s="43" t="str">
        <f aca="false">IF(OR(R460&lt;&gt;"Yes",A460=""),"",A460+4)</f>
        <v/>
      </c>
      <c r="V460" s="47"/>
      <c r="W460" s="38"/>
      <c r="X460" s="38"/>
      <c r="Y460" s="44"/>
      <c r="Z460" s="44"/>
      <c r="AA460" s="45" t="str">
        <f aca="false">IF(AND($Y460="",$Z460=""),"",ROUND(IFERROR(VALUE(LEFT($Y460,1)),0)*12+IFERROR(VALUE(LEFT($Z460,1)),0)*8,0))</f>
        <v/>
      </c>
      <c r="AB460" s="45" t="str">
        <f aca="false">IF($AA460="","",IF($AA460&gt;=80,"A - call first",IF($AA460&gt;=60,"B - worth pursuing",IF($AA460&gt;=40,"C - nurture","D - do not spend time here"))))</f>
        <v/>
      </c>
      <c r="AC460" s="46" t="str">
        <f aca="false">IF($C460="","",IF($S460="Converted","7 Certification / Enterprise opportunity",IF($S460="Application Started","7 Certification / Enterprise opportunity",IF($S460="Meeting Booked","6 Meeting / Application",IF(OR($S460="Interested",$S460="Info Requested"),"5 Interested",IF(OR($S460="Declined",$S460="Not Relevant"),"0 Closed - no",IF($R460="Yes","4 Contacted",IF($N460="Yes","2 Engaged",IF($M460="Yes","1 Awareness",IF($AA460&gt;=60,"3 Qualified","1 Awareness"))))))))))</f>
        <v/>
      </c>
    </row>
    <row r="461" customFormat="false" ht="30" hidden="false" customHeight="true" outlineLevel="0" collapsed="false">
      <c r="A461" s="36"/>
      <c r="B461" s="37"/>
      <c r="C461" s="37"/>
      <c r="D461" s="37"/>
      <c r="E461" s="37"/>
      <c r="F461" s="37"/>
      <c r="G461" s="37"/>
      <c r="H461" s="37"/>
      <c r="I461" s="37"/>
      <c r="J461" s="47"/>
      <c r="K461" s="41" t="str">
        <f aca="false">IF(J461="","",IF(J461&gt;=8,"Yes","Check"))</f>
        <v/>
      </c>
      <c r="L461" s="38"/>
      <c r="M461" s="47"/>
      <c r="N461" s="47"/>
      <c r="O461" s="37"/>
      <c r="P461" s="38"/>
      <c r="Q461" s="42" t="str">
        <f aca="false">IF(P461="","",LEN(P461))</f>
        <v/>
      </c>
      <c r="R461" s="47"/>
      <c r="S461" s="37"/>
      <c r="T461" s="38"/>
      <c r="U461" s="43" t="str">
        <f aca="false">IF(OR(R461&lt;&gt;"Yes",A461=""),"",A461+4)</f>
        <v/>
      </c>
      <c r="V461" s="47"/>
      <c r="W461" s="38"/>
      <c r="X461" s="38"/>
      <c r="Y461" s="44"/>
      <c r="Z461" s="44"/>
      <c r="AA461" s="45" t="str">
        <f aca="false">IF(AND($Y461="",$Z461=""),"",ROUND(IFERROR(VALUE(LEFT($Y461,1)),0)*12+IFERROR(VALUE(LEFT($Z461,1)),0)*8,0))</f>
        <v/>
      </c>
      <c r="AB461" s="45" t="str">
        <f aca="false">IF($AA461="","",IF($AA461&gt;=80,"A - call first",IF($AA461&gt;=60,"B - worth pursuing",IF($AA461&gt;=40,"C - nurture","D - do not spend time here"))))</f>
        <v/>
      </c>
      <c r="AC461" s="46" t="str">
        <f aca="false">IF($C461="","",IF($S461="Converted","7 Certification / Enterprise opportunity",IF($S461="Application Started","7 Certification / Enterprise opportunity",IF($S461="Meeting Booked","6 Meeting / Application",IF(OR($S461="Interested",$S461="Info Requested"),"5 Interested",IF(OR($S461="Declined",$S461="Not Relevant"),"0 Closed - no",IF($R461="Yes","4 Contacted",IF($N461="Yes","2 Engaged",IF($M461="Yes","1 Awareness",IF($AA461&gt;=60,"3 Qualified","1 Awareness"))))))))))</f>
        <v/>
      </c>
    </row>
    <row r="462" customFormat="false" ht="30" hidden="false" customHeight="true" outlineLevel="0" collapsed="false">
      <c r="A462" s="36"/>
      <c r="B462" s="37"/>
      <c r="C462" s="37"/>
      <c r="D462" s="37"/>
      <c r="E462" s="37"/>
      <c r="F462" s="37"/>
      <c r="G462" s="37"/>
      <c r="H462" s="37"/>
      <c r="I462" s="37"/>
      <c r="J462" s="47"/>
      <c r="K462" s="41" t="str">
        <f aca="false">IF(J462="","",IF(J462&gt;=8,"Yes","Check"))</f>
        <v/>
      </c>
      <c r="L462" s="38"/>
      <c r="M462" s="47"/>
      <c r="N462" s="47"/>
      <c r="O462" s="37"/>
      <c r="P462" s="38"/>
      <c r="Q462" s="42" t="str">
        <f aca="false">IF(P462="","",LEN(P462))</f>
        <v/>
      </c>
      <c r="R462" s="47"/>
      <c r="S462" s="37"/>
      <c r="T462" s="38"/>
      <c r="U462" s="43" t="str">
        <f aca="false">IF(OR(R462&lt;&gt;"Yes",A462=""),"",A462+4)</f>
        <v/>
      </c>
      <c r="V462" s="47"/>
      <c r="W462" s="38"/>
      <c r="X462" s="38"/>
      <c r="Y462" s="44"/>
      <c r="Z462" s="44"/>
      <c r="AA462" s="45" t="str">
        <f aca="false">IF(AND($Y462="",$Z462=""),"",ROUND(IFERROR(VALUE(LEFT($Y462,1)),0)*12+IFERROR(VALUE(LEFT($Z462,1)),0)*8,0))</f>
        <v/>
      </c>
      <c r="AB462" s="45" t="str">
        <f aca="false">IF($AA462="","",IF($AA462&gt;=80,"A - call first",IF($AA462&gt;=60,"B - worth pursuing",IF($AA462&gt;=40,"C - nurture","D - do not spend time here"))))</f>
        <v/>
      </c>
      <c r="AC462" s="46" t="str">
        <f aca="false">IF($C462="","",IF($S462="Converted","7 Certification / Enterprise opportunity",IF($S462="Application Started","7 Certification / Enterprise opportunity",IF($S462="Meeting Booked","6 Meeting / Application",IF(OR($S462="Interested",$S462="Info Requested"),"5 Interested",IF(OR($S462="Declined",$S462="Not Relevant"),"0 Closed - no",IF($R462="Yes","4 Contacted",IF($N462="Yes","2 Engaged",IF($M462="Yes","1 Awareness",IF($AA462&gt;=60,"3 Qualified","1 Awareness"))))))))))</f>
        <v/>
      </c>
    </row>
    <row r="463" customFormat="false" ht="30" hidden="false" customHeight="true" outlineLevel="0" collapsed="false">
      <c r="A463" s="36"/>
      <c r="B463" s="37"/>
      <c r="C463" s="37"/>
      <c r="D463" s="37"/>
      <c r="E463" s="37"/>
      <c r="F463" s="37"/>
      <c r="G463" s="37"/>
      <c r="H463" s="37"/>
      <c r="I463" s="37"/>
      <c r="J463" s="47"/>
      <c r="K463" s="41" t="str">
        <f aca="false">IF(J463="","",IF(J463&gt;=8,"Yes","Check"))</f>
        <v/>
      </c>
      <c r="L463" s="38"/>
      <c r="M463" s="47"/>
      <c r="N463" s="47"/>
      <c r="O463" s="37"/>
      <c r="P463" s="38"/>
      <c r="Q463" s="42" t="str">
        <f aca="false">IF(P463="","",LEN(P463))</f>
        <v/>
      </c>
      <c r="R463" s="47"/>
      <c r="S463" s="37"/>
      <c r="T463" s="38"/>
      <c r="U463" s="43" t="str">
        <f aca="false">IF(OR(R463&lt;&gt;"Yes",A463=""),"",A463+4)</f>
        <v/>
      </c>
      <c r="V463" s="47"/>
      <c r="W463" s="38"/>
      <c r="X463" s="38"/>
      <c r="Y463" s="44"/>
      <c r="Z463" s="44"/>
      <c r="AA463" s="45" t="str">
        <f aca="false">IF(AND($Y463="",$Z463=""),"",ROUND(IFERROR(VALUE(LEFT($Y463,1)),0)*12+IFERROR(VALUE(LEFT($Z463,1)),0)*8,0))</f>
        <v/>
      </c>
      <c r="AB463" s="45" t="str">
        <f aca="false">IF($AA463="","",IF($AA463&gt;=80,"A - call first",IF($AA463&gt;=60,"B - worth pursuing",IF($AA463&gt;=40,"C - nurture","D - do not spend time here"))))</f>
        <v/>
      </c>
      <c r="AC463" s="46" t="str">
        <f aca="false">IF($C463="","",IF($S463="Converted","7 Certification / Enterprise opportunity",IF($S463="Application Started","7 Certification / Enterprise opportunity",IF($S463="Meeting Booked","6 Meeting / Application",IF(OR($S463="Interested",$S463="Info Requested"),"5 Interested",IF(OR($S463="Declined",$S463="Not Relevant"),"0 Closed - no",IF($R463="Yes","4 Contacted",IF($N463="Yes","2 Engaged",IF($M463="Yes","1 Awareness",IF($AA463&gt;=60,"3 Qualified","1 Awareness"))))))))))</f>
        <v/>
      </c>
    </row>
    <row r="464" customFormat="false" ht="30" hidden="false" customHeight="true" outlineLevel="0" collapsed="false">
      <c r="A464" s="36"/>
      <c r="B464" s="37"/>
      <c r="C464" s="37"/>
      <c r="D464" s="37"/>
      <c r="E464" s="37"/>
      <c r="F464" s="37"/>
      <c r="G464" s="37"/>
      <c r="H464" s="37"/>
      <c r="I464" s="37"/>
      <c r="J464" s="47"/>
      <c r="K464" s="41" t="str">
        <f aca="false">IF(J464="","",IF(J464&gt;=8,"Yes","Check"))</f>
        <v/>
      </c>
      <c r="L464" s="38"/>
      <c r="M464" s="47"/>
      <c r="N464" s="47"/>
      <c r="O464" s="37"/>
      <c r="P464" s="38"/>
      <c r="Q464" s="42" t="str">
        <f aca="false">IF(P464="","",LEN(P464))</f>
        <v/>
      </c>
      <c r="R464" s="47"/>
      <c r="S464" s="37"/>
      <c r="T464" s="38"/>
      <c r="U464" s="43" t="str">
        <f aca="false">IF(OR(R464&lt;&gt;"Yes",A464=""),"",A464+4)</f>
        <v/>
      </c>
      <c r="V464" s="47"/>
      <c r="W464" s="38"/>
      <c r="X464" s="38"/>
      <c r="Y464" s="44"/>
      <c r="Z464" s="44"/>
      <c r="AA464" s="45" t="str">
        <f aca="false">IF(AND($Y464="",$Z464=""),"",ROUND(IFERROR(VALUE(LEFT($Y464,1)),0)*12+IFERROR(VALUE(LEFT($Z464,1)),0)*8,0))</f>
        <v/>
      </c>
      <c r="AB464" s="45" t="str">
        <f aca="false">IF($AA464="","",IF($AA464&gt;=80,"A - call first",IF($AA464&gt;=60,"B - worth pursuing",IF($AA464&gt;=40,"C - nurture","D - do not spend time here"))))</f>
        <v/>
      </c>
      <c r="AC464" s="46" t="str">
        <f aca="false">IF($C464="","",IF($S464="Converted","7 Certification / Enterprise opportunity",IF($S464="Application Started","7 Certification / Enterprise opportunity",IF($S464="Meeting Booked","6 Meeting / Application",IF(OR($S464="Interested",$S464="Info Requested"),"5 Interested",IF(OR($S464="Declined",$S464="Not Relevant"),"0 Closed - no",IF($R464="Yes","4 Contacted",IF($N464="Yes","2 Engaged",IF($M464="Yes","1 Awareness",IF($AA464&gt;=60,"3 Qualified","1 Awareness"))))))))))</f>
        <v/>
      </c>
    </row>
    <row r="465" customFormat="false" ht="30" hidden="false" customHeight="true" outlineLevel="0" collapsed="false">
      <c r="A465" s="36"/>
      <c r="B465" s="37"/>
      <c r="C465" s="37"/>
      <c r="D465" s="37"/>
      <c r="E465" s="37"/>
      <c r="F465" s="37"/>
      <c r="G465" s="37"/>
      <c r="H465" s="37"/>
      <c r="I465" s="37"/>
      <c r="J465" s="47"/>
      <c r="K465" s="41" t="str">
        <f aca="false">IF(J465="","",IF(J465&gt;=8,"Yes","Check"))</f>
        <v/>
      </c>
      <c r="L465" s="38"/>
      <c r="M465" s="47"/>
      <c r="N465" s="47"/>
      <c r="O465" s="37"/>
      <c r="P465" s="38"/>
      <c r="Q465" s="42" t="str">
        <f aca="false">IF(P465="","",LEN(P465))</f>
        <v/>
      </c>
      <c r="R465" s="47"/>
      <c r="S465" s="37"/>
      <c r="T465" s="38"/>
      <c r="U465" s="43" t="str">
        <f aca="false">IF(OR(R465&lt;&gt;"Yes",A465=""),"",A465+4)</f>
        <v/>
      </c>
      <c r="V465" s="47"/>
      <c r="W465" s="38"/>
      <c r="X465" s="38"/>
      <c r="Y465" s="44"/>
      <c r="Z465" s="44"/>
      <c r="AA465" s="45" t="str">
        <f aca="false">IF(AND($Y465="",$Z465=""),"",ROUND(IFERROR(VALUE(LEFT($Y465,1)),0)*12+IFERROR(VALUE(LEFT($Z465,1)),0)*8,0))</f>
        <v/>
      </c>
      <c r="AB465" s="45" t="str">
        <f aca="false">IF($AA465="","",IF($AA465&gt;=80,"A - call first",IF($AA465&gt;=60,"B - worth pursuing",IF($AA465&gt;=40,"C - nurture","D - do not spend time here"))))</f>
        <v/>
      </c>
      <c r="AC465" s="46" t="str">
        <f aca="false">IF($C465="","",IF($S465="Converted","7 Certification / Enterprise opportunity",IF($S465="Application Started","7 Certification / Enterprise opportunity",IF($S465="Meeting Booked","6 Meeting / Application",IF(OR($S465="Interested",$S465="Info Requested"),"5 Interested",IF(OR($S465="Declined",$S465="Not Relevant"),"0 Closed - no",IF($R465="Yes","4 Contacted",IF($N465="Yes","2 Engaged",IF($M465="Yes","1 Awareness",IF($AA465&gt;=60,"3 Qualified","1 Awareness"))))))))))</f>
        <v/>
      </c>
    </row>
    <row r="466" customFormat="false" ht="30" hidden="false" customHeight="true" outlineLevel="0" collapsed="false">
      <c r="A466" s="36"/>
      <c r="B466" s="37"/>
      <c r="C466" s="37"/>
      <c r="D466" s="37"/>
      <c r="E466" s="37"/>
      <c r="F466" s="37"/>
      <c r="G466" s="37"/>
      <c r="H466" s="37"/>
      <c r="I466" s="37"/>
      <c r="J466" s="47"/>
      <c r="K466" s="41" t="str">
        <f aca="false">IF(J466="","",IF(J466&gt;=8,"Yes","Check"))</f>
        <v/>
      </c>
      <c r="L466" s="38"/>
      <c r="M466" s="47"/>
      <c r="N466" s="47"/>
      <c r="O466" s="37"/>
      <c r="P466" s="38"/>
      <c r="Q466" s="42" t="str">
        <f aca="false">IF(P466="","",LEN(P466))</f>
        <v/>
      </c>
      <c r="R466" s="47"/>
      <c r="S466" s="37"/>
      <c r="T466" s="38"/>
      <c r="U466" s="43" t="str">
        <f aca="false">IF(OR(R466&lt;&gt;"Yes",A466=""),"",A466+4)</f>
        <v/>
      </c>
      <c r="V466" s="47"/>
      <c r="W466" s="38"/>
      <c r="X466" s="38"/>
      <c r="Y466" s="44"/>
      <c r="Z466" s="44"/>
      <c r="AA466" s="45" t="str">
        <f aca="false">IF(AND($Y466="",$Z466=""),"",ROUND(IFERROR(VALUE(LEFT($Y466,1)),0)*12+IFERROR(VALUE(LEFT($Z466,1)),0)*8,0))</f>
        <v/>
      </c>
      <c r="AB466" s="45" t="str">
        <f aca="false">IF($AA466="","",IF($AA466&gt;=80,"A - call first",IF($AA466&gt;=60,"B - worth pursuing",IF($AA466&gt;=40,"C - nurture","D - do not spend time here"))))</f>
        <v/>
      </c>
      <c r="AC466" s="46" t="str">
        <f aca="false">IF($C466="","",IF($S466="Converted","7 Certification / Enterprise opportunity",IF($S466="Application Started","7 Certification / Enterprise opportunity",IF($S466="Meeting Booked","6 Meeting / Application",IF(OR($S466="Interested",$S466="Info Requested"),"5 Interested",IF(OR($S466="Declined",$S466="Not Relevant"),"0 Closed - no",IF($R466="Yes","4 Contacted",IF($N466="Yes","2 Engaged",IF($M466="Yes","1 Awareness",IF($AA466&gt;=60,"3 Qualified","1 Awareness"))))))))))</f>
        <v/>
      </c>
    </row>
    <row r="467" customFormat="false" ht="30" hidden="false" customHeight="true" outlineLevel="0" collapsed="false">
      <c r="A467" s="36"/>
      <c r="B467" s="37"/>
      <c r="C467" s="37"/>
      <c r="D467" s="37"/>
      <c r="E467" s="37"/>
      <c r="F467" s="37"/>
      <c r="G467" s="37"/>
      <c r="H467" s="37"/>
      <c r="I467" s="37"/>
      <c r="J467" s="47"/>
      <c r="K467" s="41" t="str">
        <f aca="false">IF(J467="","",IF(J467&gt;=8,"Yes","Check"))</f>
        <v/>
      </c>
      <c r="L467" s="38"/>
      <c r="M467" s="47"/>
      <c r="N467" s="47"/>
      <c r="O467" s="37"/>
      <c r="P467" s="38"/>
      <c r="Q467" s="42" t="str">
        <f aca="false">IF(P467="","",LEN(P467))</f>
        <v/>
      </c>
      <c r="R467" s="47"/>
      <c r="S467" s="37"/>
      <c r="T467" s="38"/>
      <c r="U467" s="43" t="str">
        <f aca="false">IF(OR(R467&lt;&gt;"Yes",A467=""),"",A467+4)</f>
        <v/>
      </c>
      <c r="V467" s="47"/>
      <c r="W467" s="38"/>
      <c r="X467" s="38"/>
      <c r="Y467" s="44"/>
      <c r="Z467" s="44"/>
      <c r="AA467" s="45" t="str">
        <f aca="false">IF(AND($Y467="",$Z467=""),"",ROUND(IFERROR(VALUE(LEFT($Y467,1)),0)*12+IFERROR(VALUE(LEFT($Z467,1)),0)*8,0))</f>
        <v/>
      </c>
      <c r="AB467" s="45" t="str">
        <f aca="false">IF($AA467="","",IF($AA467&gt;=80,"A - call first",IF($AA467&gt;=60,"B - worth pursuing",IF($AA467&gt;=40,"C - nurture","D - do not spend time here"))))</f>
        <v/>
      </c>
      <c r="AC467" s="46" t="str">
        <f aca="false">IF($C467="","",IF($S467="Converted","7 Certification / Enterprise opportunity",IF($S467="Application Started","7 Certification / Enterprise opportunity",IF($S467="Meeting Booked","6 Meeting / Application",IF(OR($S467="Interested",$S467="Info Requested"),"5 Interested",IF(OR($S467="Declined",$S467="Not Relevant"),"0 Closed - no",IF($R467="Yes","4 Contacted",IF($N467="Yes","2 Engaged",IF($M467="Yes","1 Awareness",IF($AA467&gt;=60,"3 Qualified","1 Awareness"))))))))))</f>
        <v/>
      </c>
    </row>
    <row r="468" customFormat="false" ht="30" hidden="false" customHeight="true" outlineLevel="0" collapsed="false">
      <c r="A468" s="36"/>
      <c r="B468" s="37"/>
      <c r="C468" s="37"/>
      <c r="D468" s="37"/>
      <c r="E468" s="37"/>
      <c r="F468" s="37"/>
      <c r="G468" s="37"/>
      <c r="H468" s="37"/>
      <c r="I468" s="37"/>
      <c r="J468" s="47"/>
      <c r="K468" s="41" t="str">
        <f aca="false">IF(J468="","",IF(J468&gt;=8,"Yes","Check"))</f>
        <v/>
      </c>
      <c r="L468" s="38"/>
      <c r="M468" s="47"/>
      <c r="N468" s="47"/>
      <c r="O468" s="37"/>
      <c r="P468" s="38"/>
      <c r="Q468" s="42" t="str">
        <f aca="false">IF(P468="","",LEN(P468))</f>
        <v/>
      </c>
      <c r="R468" s="47"/>
      <c r="S468" s="37"/>
      <c r="T468" s="38"/>
      <c r="U468" s="43" t="str">
        <f aca="false">IF(OR(R468&lt;&gt;"Yes",A468=""),"",A468+4)</f>
        <v/>
      </c>
      <c r="V468" s="47"/>
      <c r="W468" s="38"/>
      <c r="X468" s="38"/>
      <c r="Y468" s="44"/>
      <c r="Z468" s="44"/>
      <c r="AA468" s="45" t="str">
        <f aca="false">IF(AND($Y468="",$Z468=""),"",ROUND(IFERROR(VALUE(LEFT($Y468,1)),0)*12+IFERROR(VALUE(LEFT($Z468,1)),0)*8,0))</f>
        <v/>
      </c>
      <c r="AB468" s="45" t="str">
        <f aca="false">IF($AA468="","",IF($AA468&gt;=80,"A - call first",IF($AA468&gt;=60,"B - worth pursuing",IF($AA468&gt;=40,"C - nurture","D - do not spend time here"))))</f>
        <v/>
      </c>
      <c r="AC468" s="46" t="str">
        <f aca="false">IF($C468="","",IF($S468="Converted","7 Certification / Enterprise opportunity",IF($S468="Application Started","7 Certification / Enterprise opportunity",IF($S468="Meeting Booked","6 Meeting / Application",IF(OR($S468="Interested",$S468="Info Requested"),"5 Interested",IF(OR($S468="Declined",$S468="Not Relevant"),"0 Closed - no",IF($R468="Yes","4 Contacted",IF($N468="Yes","2 Engaged",IF($M468="Yes","1 Awareness",IF($AA468&gt;=60,"3 Qualified","1 Awareness"))))))))))</f>
        <v/>
      </c>
    </row>
    <row r="469" customFormat="false" ht="30" hidden="false" customHeight="true" outlineLevel="0" collapsed="false">
      <c r="A469" s="36"/>
      <c r="B469" s="37"/>
      <c r="C469" s="37"/>
      <c r="D469" s="37"/>
      <c r="E469" s="37"/>
      <c r="F469" s="37"/>
      <c r="G469" s="37"/>
      <c r="H469" s="37"/>
      <c r="I469" s="37"/>
      <c r="J469" s="47"/>
      <c r="K469" s="41" t="str">
        <f aca="false">IF(J469="","",IF(J469&gt;=8,"Yes","Check"))</f>
        <v/>
      </c>
      <c r="L469" s="38"/>
      <c r="M469" s="47"/>
      <c r="N469" s="47"/>
      <c r="O469" s="37"/>
      <c r="P469" s="38"/>
      <c r="Q469" s="42" t="str">
        <f aca="false">IF(P469="","",LEN(P469))</f>
        <v/>
      </c>
      <c r="R469" s="47"/>
      <c r="S469" s="37"/>
      <c r="T469" s="38"/>
      <c r="U469" s="43" t="str">
        <f aca="false">IF(OR(R469&lt;&gt;"Yes",A469=""),"",A469+4)</f>
        <v/>
      </c>
      <c r="V469" s="47"/>
      <c r="W469" s="38"/>
      <c r="X469" s="38"/>
      <c r="Y469" s="44"/>
      <c r="Z469" s="44"/>
      <c r="AA469" s="45" t="str">
        <f aca="false">IF(AND($Y469="",$Z469=""),"",ROUND(IFERROR(VALUE(LEFT($Y469,1)),0)*12+IFERROR(VALUE(LEFT($Z469,1)),0)*8,0))</f>
        <v/>
      </c>
      <c r="AB469" s="45" t="str">
        <f aca="false">IF($AA469="","",IF($AA469&gt;=80,"A - call first",IF($AA469&gt;=60,"B - worth pursuing",IF($AA469&gt;=40,"C - nurture","D - do not spend time here"))))</f>
        <v/>
      </c>
      <c r="AC469" s="46" t="str">
        <f aca="false">IF($C469="","",IF($S469="Converted","7 Certification / Enterprise opportunity",IF($S469="Application Started","7 Certification / Enterprise opportunity",IF($S469="Meeting Booked","6 Meeting / Application",IF(OR($S469="Interested",$S469="Info Requested"),"5 Interested",IF(OR($S469="Declined",$S469="Not Relevant"),"0 Closed - no",IF($R469="Yes","4 Contacted",IF($N469="Yes","2 Engaged",IF($M469="Yes","1 Awareness",IF($AA469&gt;=60,"3 Qualified","1 Awareness"))))))))))</f>
        <v/>
      </c>
    </row>
    <row r="470" customFormat="false" ht="30" hidden="false" customHeight="true" outlineLevel="0" collapsed="false">
      <c r="A470" s="36"/>
      <c r="B470" s="37"/>
      <c r="C470" s="37"/>
      <c r="D470" s="37"/>
      <c r="E470" s="37"/>
      <c r="F470" s="37"/>
      <c r="G470" s="37"/>
      <c r="H470" s="37"/>
      <c r="I470" s="37"/>
      <c r="J470" s="47"/>
      <c r="K470" s="41" t="str">
        <f aca="false">IF(J470="","",IF(J470&gt;=8,"Yes","Check"))</f>
        <v/>
      </c>
      <c r="L470" s="38"/>
      <c r="M470" s="47"/>
      <c r="N470" s="47"/>
      <c r="O470" s="37"/>
      <c r="P470" s="38"/>
      <c r="Q470" s="42" t="str">
        <f aca="false">IF(P470="","",LEN(P470))</f>
        <v/>
      </c>
      <c r="R470" s="47"/>
      <c r="S470" s="37"/>
      <c r="T470" s="38"/>
      <c r="U470" s="43" t="str">
        <f aca="false">IF(OR(R470&lt;&gt;"Yes",A470=""),"",A470+4)</f>
        <v/>
      </c>
      <c r="V470" s="47"/>
      <c r="W470" s="38"/>
      <c r="X470" s="38"/>
      <c r="Y470" s="44"/>
      <c r="Z470" s="44"/>
      <c r="AA470" s="45" t="str">
        <f aca="false">IF(AND($Y470="",$Z470=""),"",ROUND(IFERROR(VALUE(LEFT($Y470,1)),0)*12+IFERROR(VALUE(LEFT($Z470,1)),0)*8,0))</f>
        <v/>
      </c>
      <c r="AB470" s="45" t="str">
        <f aca="false">IF($AA470="","",IF($AA470&gt;=80,"A - call first",IF($AA470&gt;=60,"B - worth pursuing",IF($AA470&gt;=40,"C - nurture","D - do not spend time here"))))</f>
        <v/>
      </c>
      <c r="AC470" s="46" t="str">
        <f aca="false">IF($C470="","",IF($S470="Converted","7 Certification / Enterprise opportunity",IF($S470="Application Started","7 Certification / Enterprise opportunity",IF($S470="Meeting Booked","6 Meeting / Application",IF(OR($S470="Interested",$S470="Info Requested"),"5 Interested",IF(OR($S470="Declined",$S470="Not Relevant"),"0 Closed - no",IF($R470="Yes","4 Contacted",IF($N470="Yes","2 Engaged",IF($M470="Yes","1 Awareness",IF($AA470&gt;=60,"3 Qualified","1 Awareness"))))))))))</f>
        <v/>
      </c>
    </row>
    <row r="471" customFormat="false" ht="30" hidden="false" customHeight="true" outlineLevel="0" collapsed="false">
      <c r="A471" s="36"/>
      <c r="B471" s="37"/>
      <c r="C471" s="37"/>
      <c r="D471" s="37"/>
      <c r="E471" s="37"/>
      <c r="F471" s="37"/>
      <c r="G471" s="37"/>
      <c r="H471" s="37"/>
      <c r="I471" s="37"/>
      <c r="J471" s="47"/>
      <c r="K471" s="41" t="str">
        <f aca="false">IF(J471="","",IF(J471&gt;=8,"Yes","Check"))</f>
        <v/>
      </c>
      <c r="L471" s="38"/>
      <c r="M471" s="47"/>
      <c r="N471" s="47"/>
      <c r="O471" s="37"/>
      <c r="P471" s="38"/>
      <c r="Q471" s="42" t="str">
        <f aca="false">IF(P471="","",LEN(P471))</f>
        <v/>
      </c>
      <c r="R471" s="47"/>
      <c r="S471" s="37"/>
      <c r="T471" s="38"/>
      <c r="U471" s="43" t="str">
        <f aca="false">IF(OR(R471&lt;&gt;"Yes",A471=""),"",A471+4)</f>
        <v/>
      </c>
      <c r="V471" s="47"/>
      <c r="W471" s="38"/>
      <c r="X471" s="38"/>
      <c r="Y471" s="44"/>
      <c r="Z471" s="44"/>
      <c r="AA471" s="45" t="str">
        <f aca="false">IF(AND($Y471="",$Z471=""),"",ROUND(IFERROR(VALUE(LEFT($Y471,1)),0)*12+IFERROR(VALUE(LEFT($Z471,1)),0)*8,0))</f>
        <v/>
      </c>
      <c r="AB471" s="45" t="str">
        <f aca="false">IF($AA471="","",IF($AA471&gt;=80,"A - call first",IF($AA471&gt;=60,"B - worth pursuing",IF($AA471&gt;=40,"C - nurture","D - do not spend time here"))))</f>
        <v/>
      </c>
      <c r="AC471" s="46" t="str">
        <f aca="false">IF($C471="","",IF($S471="Converted","7 Certification / Enterprise opportunity",IF($S471="Application Started","7 Certification / Enterprise opportunity",IF($S471="Meeting Booked","6 Meeting / Application",IF(OR($S471="Interested",$S471="Info Requested"),"5 Interested",IF(OR($S471="Declined",$S471="Not Relevant"),"0 Closed - no",IF($R471="Yes","4 Contacted",IF($N471="Yes","2 Engaged",IF($M471="Yes","1 Awareness",IF($AA471&gt;=60,"3 Qualified","1 Awareness"))))))))))</f>
        <v/>
      </c>
    </row>
    <row r="472" customFormat="false" ht="30" hidden="false" customHeight="true" outlineLevel="0" collapsed="false">
      <c r="A472" s="36"/>
      <c r="B472" s="37"/>
      <c r="C472" s="37"/>
      <c r="D472" s="37"/>
      <c r="E472" s="37"/>
      <c r="F472" s="37"/>
      <c r="G472" s="37"/>
      <c r="H472" s="37"/>
      <c r="I472" s="37"/>
      <c r="J472" s="47"/>
      <c r="K472" s="41" t="str">
        <f aca="false">IF(J472="","",IF(J472&gt;=8,"Yes","Check"))</f>
        <v/>
      </c>
      <c r="L472" s="38"/>
      <c r="M472" s="47"/>
      <c r="N472" s="47"/>
      <c r="O472" s="37"/>
      <c r="P472" s="38"/>
      <c r="Q472" s="42" t="str">
        <f aca="false">IF(P472="","",LEN(P472))</f>
        <v/>
      </c>
      <c r="R472" s="47"/>
      <c r="S472" s="37"/>
      <c r="T472" s="38"/>
      <c r="U472" s="43" t="str">
        <f aca="false">IF(OR(R472&lt;&gt;"Yes",A472=""),"",A472+4)</f>
        <v/>
      </c>
      <c r="V472" s="47"/>
      <c r="W472" s="38"/>
      <c r="X472" s="38"/>
      <c r="Y472" s="44"/>
      <c r="Z472" s="44"/>
      <c r="AA472" s="45" t="str">
        <f aca="false">IF(AND($Y472="",$Z472=""),"",ROUND(IFERROR(VALUE(LEFT($Y472,1)),0)*12+IFERROR(VALUE(LEFT($Z472,1)),0)*8,0))</f>
        <v/>
      </c>
      <c r="AB472" s="45" t="str">
        <f aca="false">IF($AA472="","",IF($AA472&gt;=80,"A - call first",IF($AA472&gt;=60,"B - worth pursuing",IF($AA472&gt;=40,"C - nurture","D - do not spend time here"))))</f>
        <v/>
      </c>
      <c r="AC472" s="46" t="str">
        <f aca="false">IF($C472="","",IF($S472="Converted","7 Certification / Enterprise opportunity",IF($S472="Application Started","7 Certification / Enterprise opportunity",IF($S472="Meeting Booked","6 Meeting / Application",IF(OR($S472="Interested",$S472="Info Requested"),"5 Interested",IF(OR($S472="Declined",$S472="Not Relevant"),"0 Closed - no",IF($R472="Yes","4 Contacted",IF($N472="Yes","2 Engaged",IF($M472="Yes","1 Awareness",IF($AA472&gt;=60,"3 Qualified","1 Awareness"))))))))))</f>
        <v/>
      </c>
    </row>
    <row r="473" customFormat="false" ht="30" hidden="false" customHeight="true" outlineLevel="0" collapsed="false">
      <c r="A473" s="36"/>
      <c r="B473" s="37"/>
      <c r="C473" s="37"/>
      <c r="D473" s="37"/>
      <c r="E473" s="37"/>
      <c r="F473" s="37"/>
      <c r="G473" s="37"/>
      <c r="H473" s="37"/>
      <c r="I473" s="37"/>
      <c r="J473" s="47"/>
      <c r="K473" s="41" t="str">
        <f aca="false">IF(J473="","",IF(J473&gt;=8,"Yes","Check"))</f>
        <v/>
      </c>
      <c r="L473" s="38"/>
      <c r="M473" s="47"/>
      <c r="N473" s="47"/>
      <c r="O473" s="37"/>
      <c r="P473" s="38"/>
      <c r="Q473" s="42" t="str">
        <f aca="false">IF(P473="","",LEN(P473))</f>
        <v/>
      </c>
      <c r="R473" s="47"/>
      <c r="S473" s="37"/>
      <c r="T473" s="38"/>
      <c r="U473" s="43" t="str">
        <f aca="false">IF(OR(R473&lt;&gt;"Yes",A473=""),"",A473+4)</f>
        <v/>
      </c>
      <c r="V473" s="47"/>
      <c r="W473" s="38"/>
      <c r="X473" s="38"/>
      <c r="Y473" s="44"/>
      <c r="Z473" s="44"/>
      <c r="AA473" s="45" t="str">
        <f aca="false">IF(AND($Y473="",$Z473=""),"",ROUND(IFERROR(VALUE(LEFT($Y473,1)),0)*12+IFERROR(VALUE(LEFT($Z473,1)),0)*8,0))</f>
        <v/>
      </c>
      <c r="AB473" s="45" t="str">
        <f aca="false">IF($AA473="","",IF($AA473&gt;=80,"A - call first",IF($AA473&gt;=60,"B - worth pursuing",IF($AA473&gt;=40,"C - nurture","D - do not spend time here"))))</f>
        <v/>
      </c>
      <c r="AC473" s="46" t="str">
        <f aca="false">IF($C473="","",IF($S473="Converted","7 Certification / Enterprise opportunity",IF($S473="Application Started","7 Certification / Enterprise opportunity",IF($S473="Meeting Booked","6 Meeting / Application",IF(OR($S473="Interested",$S473="Info Requested"),"5 Interested",IF(OR($S473="Declined",$S473="Not Relevant"),"0 Closed - no",IF($R473="Yes","4 Contacted",IF($N473="Yes","2 Engaged",IF($M473="Yes","1 Awareness",IF($AA473&gt;=60,"3 Qualified","1 Awareness"))))))))))</f>
        <v/>
      </c>
    </row>
    <row r="474" customFormat="false" ht="30" hidden="false" customHeight="true" outlineLevel="0" collapsed="false">
      <c r="A474" s="36"/>
      <c r="B474" s="37"/>
      <c r="C474" s="37"/>
      <c r="D474" s="37"/>
      <c r="E474" s="37"/>
      <c r="F474" s="37"/>
      <c r="G474" s="37"/>
      <c r="H474" s="37"/>
      <c r="I474" s="37"/>
      <c r="J474" s="47"/>
      <c r="K474" s="41" t="str">
        <f aca="false">IF(J474="","",IF(J474&gt;=8,"Yes","Check"))</f>
        <v/>
      </c>
      <c r="L474" s="38"/>
      <c r="M474" s="47"/>
      <c r="N474" s="47"/>
      <c r="O474" s="37"/>
      <c r="P474" s="38"/>
      <c r="Q474" s="42" t="str">
        <f aca="false">IF(P474="","",LEN(P474))</f>
        <v/>
      </c>
      <c r="R474" s="47"/>
      <c r="S474" s="37"/>
      <c r="T474" s="38"/>
      <c r="U474" s="43" t="str">
        <f aca="false">IF(OR(R474&lt;&gt;"Yes",A474=""),"",A474+4)</f>
        <v/>
      </c>
      <c r="V474" s="47"/>
      <c r="W474" s="38"/>
      <c r="X474" s="38"/>
      <c r="Y474" s="44"/>
      <c r="Z474" s="44"/>
      <c r="AA474" s="45" t="str">
        <f aca="false">IF(AND($Y474="",$Z474=""),"",ROUND(IFERROR(VALUE(LEFT($Y474,1)),0)*12+IFERROR(VALUE(LEFT($Z474,1)),0)*8,0))</f>
        <v/>
      </c>
      <c r="AB474" s="45" t="str">
        <f aca="false">IF($AA474="","",IF($AA474&gt;=80,"A - call first",IF($AA474&gt;=60,"B - worth pursuing",IF($AA474&gt;=40,"C - nurture","D - do not spend time here"))))</f>
        <v/>
      </c>
      <c r="AC474" s="46" t="str">
        <f aca="false">IF($C474="","",IF($S474="Converted","7 Certification / Enterprise opportunity",IF($S474="Application Started","7 Certification / Enterprise opportunity",IF($S474="Meeting Booked","6 Meeting / Application",IF(OR($S474="Interested",$S474="Info Requested"),"5 Interested",IF(OR($S474="Declined",$S474="Not Relevant"),"0 Closed - no",IF($R474="Yes","4 Contacted",IF($N474="Yes","2 Engaged",IF($M474="Yes","1 Awareness",IF($AA474&gt;=60,"3 Qualified","1 Awareness"))))))))))</f>
        <v/>
      </c>
    </row>
    <row r="475" customFormat="false" ht="30" hidden="false" customHeight="true" outlineLevel="0" collapsed="false">
      <c r="A475" s="36"/>
      <c r="B475" s="37"/>
      <c r="C475" s="37"/>
      <c r="D475" s="37"/>
      <c r="E475" s="37"/>
      <c r="F475" s="37"/>
      <c r="G475" s="37"/>
      <c r="H475" s="37"/>
      <c r="I475" s="37"/>
      <c r="J475" s="47"/>
      <c r="K475" s="41" t="str">
        <f aca="false">IF(J475="","",IF(J475&gt;=8,"Yes","Check"))</f>
        <v/>
      </c>
      <c r="L475" s="38"/>
      <c r="M475" s="47"/>
      <c r="N475" s="47"/>
      <c r="O475" s="37"/>
      <c r="P475" s="38"/>
      <c r="Q475" s="42" t="str">
        <f aca="false">IF(P475="","",LEN(P475))</f>
        <v/>
      </c>
      <c r="R475" s="47"/>
      <c r="S475" s="37"/>
      <c r="T475" s="38"/>
      <c r="U475" s="43" t="str">
        <f aca="false">IF(OR(R475&lt;&gt;"Yes",A475=""),"",A475+4)</f>
        <v/>
      </c>
      <c r="V475" s="47"/>
      <c r="W475" s="38"/>
      <c r="X475" s="38"/>
      <c r="Y475" s="44"/>
      <c r="Z475" s="44"/>
      <c r="AA475" s="45" t="str">
        <f aca="false">IF(AND($Y475="",$Z475=""),"",ROUND(IFERROR(VALUE(LEFT($Y475,1)),0)*12+IFERROR(VALUE(LEFT($Z475,1)),0)*8,0))</f>
        <v/>
      </c>
      <c r="AB475" s="45" t="str">
        <f aca="false">IF($AA475="","",IF($AA475&gt;=80,"A - call first",IF($AA475&gt;=60,"B - worth pursuing",IF($AA475&gt;=40,"C - nurture","D - do not spend time here"))))</f>
        <v/>
      </c>
      <c r="AC475" s="46" t="str">
        <f aca="false">IF($C475="","",IF($S475="Converted","7 Certification / Enterprise opportunity",IF($S475="Application Started","7 Certification / Enterprise opportunity",IF($S475="Meeting Booked","6 Meeting / Application",IF(OR($S475="Interested",$S475="Info Requested"),"5 Interested",IF(OR($S475="Declined",$S475="Not Relevant"),"0 Closed - no",IF($R475="Yes","4 Contacted",IF($N475="Yes","2 Engaged",IF($M475="Yes","1 Awareness",IF($AA475&gt;=60,"3 Qualified","1 Awareness"))))))))))</f>
        <v/>
      </c>
    </row>
    <row r="476" customFormat="false" ht="30" hidden="false" customHeight="true" outlineLevel="0" collapsed="false">
      <c r="A476" s="36"/>
      <c r="B476" s="37"/>
      <c r="C476" s="37"/>
      <c r="D476" s="37"/>
      <c r="E476" s="37"/>
      <c r="F476" s="37"/>
      <c r="G476" s="37"/>
      <c r="H476" s="37"/>
      <c r="I476" s="37"/>
      <c r="J476" s="47"/>
      <c r="K476" s="41" t="str">
        <f aca="false">IF(J476="","",IF(J476&gt;=8,"Yes","Check"))</f>
        <v/>
      </c>
      <c r="L476" s="38"/>
      <c r="M476" s="47"/>
      <c r="N476" s="47"/>
      <c r="O476" s="37"/>
      <c r="P476" s="38"/>
      <c r="Q476" s="42" t="str">
        <f aca="false">IF(P476="","",LEN(P476))</f>
        <v/>
      </c>
      <c r="R476" s="47"/>
      <c r="S476" s="37"/>
      <c r="T476" s="38"/>
      <c r="U476" s="43" t="str">
        <f aca="false">IF(OR(R476&lt;&gt;"Yes",A476=""),"",A476+4)</f>
        <v/>
      </c>
      <c r="V476" s="47"/>
      <c r="W476" s="38"/>
      <c r="X476" s="38"/>
      <c r="Y476" s="44"/>
      <c r="Z476" s="44"/>
      <c r="AA476" s="45" t="str">
        <f aca="false">IF(AND($Y476="",$Z476=""),"",ROUND(IFERROR(VALUE(LEFT($Y476,1)),0)*12+IFERROR(VALUE(LEFT($Z476,1)),0)*8,0))</f>
        <v/>
      </c>
      <c r="AB476" s="45" t="str">
        <f aca="false">IF($AA476="","",IF($AA476&gt;=80,"A - call first",IF($AA476&gt;=60,"B - worth pursuing",IF($AA476&gt;=40,"C - nurture","D - do not spend time here"))))</f>
        <v/>
      </c>
      <c r="AC476" s="46" t="str">
        <f aca="false">IF($C476="","",IF($S476="Converted","7 Certification / Enterprise opportunity",IF($S476="Application Started","7 Certification / Enterprise opportunity",IF($S476="Meeting Booked","6 Meeting / Application",IF(OR($S476="Interested",$S476="Info Requested"),"5 Interested",IF(OR($S476="Declined",$S476="Not Relevant"),"0 Closed - no",IF($R476="Yes","4 Contacted",IF($N476="Yes","2 Engaged",IF($M476="Yes","1 Awareness",IF($AA476&gt;=60,"3 Qualified","1 Awareness"))))))))))</f>
        <v/>
      </c>
    </row>
    <row r="477" customFormat="false" ht="30" hidden="false" customHeight="true" outlineLevel="0" collapsed="false">
      <c r="A477" s="36"/>
      <c r="B477" s="37"/>
      <c r="C477" s="37"/>
      <c r="D477" s="37"/>
      <c r="E477" s="37"/>
      <c r="F477" s="37"/>
      <c r="G477" s="37"/>
      <c r="H477" s="37"/>
      <c r="I477" s="37"/>
      <c r="J477" s="47"/>
      <c r="K477" s="41" t="str">
        <f aca="false">IF(J477="","",IF(J477&gt;=8,"Yes","Check"))</f>
        <v/>
      </c>
      <c r="L477" s="38"/>
      <c r="M477" s="47"/>
      <c r="N477" s="47"/>
      <c r="O477" s="37"/>
      <c r="P477" s="38"/>
      <c r="Q477" s="42" t="str">
        <f aca="false">IF(P477="","",LEN(P477))</f>
        <v/>
      </c>
      <c r="R477" s="47"/>
      <c r="S477" s="37"/>
      <c r="T477" s="38"/>
      <c r="U477" s="43" t="str">
        <f aca="false">IF(OR(R477&lt;&gt;"Yes",A477=""),"",A477+4)</f>
        <v/>
      </c>
      <c r="V477" s="47"/>
      <c r="W477" s="38"/>
      <c r="X477" s="38"/>
      <c r="Y477" s="44"/>
      <c r="Z477" s="44"/>
      <c r="AA477" s="45" t="str">
        <f aca="false">IF(AND($Y477="",$Z477=""),"",ROUND(IFERROR(VALUE(LEFT($Y477,1)),0)*12+IFERROR(VALUE(LEFT($Z477,1)),0)*8,0))</f>
        <v/>
      </c>
      <c r="AB477" s="45" t="str">
        <f aca="false">IF($AA477="","",IF($AA477&gt;=80,"A - call first",IF($AA477&gt;=60,"B - worth pursuing",IF($AA477&gt;=40,"C - nurture","D - do not spend time here"))))</f>
        <v/>
      </c>
      <c r="AC477" s="46" t="str">
        <f aca="false">IF($C477="","",IF($S477="Converted","7 Certification / Enterprise opportunity",IF($S477="Application Started","7 Certification / Enterprise opportunity",IF($S477="Meeting Booked","6 Meeting / Application",IF(OR($S477="Interested",$S477="Info Requested"),"5 Interested",IF(OR($S477="Declined",$S477="Not Relevant"),"0 Closed - no",IF($R477="Yes","4 Contacted",IF($N477="Yes","2 Engaged",IF($M477="Yes","1 Awareness",IF($AA477&gt;=60,"3 Qualified","1 Awareness"))))))))))</f>
        <v/>
      </c>
    </row>
    <row r="478" customFormat="false" ht="30" hidden="false" customHeight="true" outlineLevel="0" collapsed="false">
      <c r="A478" s="36"/>
      <c r="B478" s="37"/>
      <c r="C478" s="37"/>
      <c r="D478" s="37"/>
      <c r="E478" s="37"/>
      <c r="F478" s="37"/>
      <c r="G478" s="37"/>
      <c r="H478" s="37"/>
      <c r="I478" s="37"/>
      <c r="J478" s="47"/>
      <c r="K478" s="41" t="str">
        <f aca="false">IF(J478="","",IF(J478&gt;=8,"Yes","Check"))</f>
        <v/>
      </c>
      <c r="L478" s="38"/>
      <c r="M478" s="47"/>
      <c r="N478" s="47"/>
      <c r="O478" s="37"/>
      <c r="P478" s="38"/>
      <c r="Q478" s="42" t="str">
        <f aca="false">IF(P478="","",LEN(P478))</f>
        <v/>
      </c>
      <c r="R478" s="47"/>
      <c r="S478" s="37"/>
      <c r="T478" s="38"/>
      <c r="U478" s="43" t="str">
        <f aca="false">IF(OR(R478&lt;&gt;"Yes",A478=""),"",A478+4)</f>
        <v/>
      </c>
      <c r="V478" s="47"/>
      <c r="W478" s="38"/>
      <c r="X478" s="38"/>
      <c r="Y478" s="44"/>
      <c r="Z478" s="44"/>
      <c r="AA478" s="45" t="str">
        <f aca="false">IF(AND($Y478="",$Z478=""),"",ROUND(IFERROR(VALUE(LEFT($Y478,1)),0)*12+IFERROR(VALUE(LEFT($Z478,1)),0)*8,0))</f>
        <v/>
      </c>
      <c r="AB478" s="45" t="str">
        <f aca="false">IF($AA478="","",IF($AA478&gt;=80,"A - call first",IF($AA478&gt;=60,"B - worth pursuing",IF($AA478&gt;=40,"C - nurture","D - do not spend time here"))))</f>
        <v/>
      </c>
      <c r="AC478" s="46" t="str">
        <f aca="false">IF($C478="","",IF($S478="Converted","7 Certification / Enterprise opportunity",IF($S478="Application Started","7 Certification / Enterprise opportunity",IF($S478="Meeting Booked","6 Meeting / Application",IF(OR($S478="Interested",$S478="Info Requested"),"5 Interested",IF(OR($S478="Declined",$S478="Not Relevant"),"0 Closed - no",IF($R478="Yes","4 Contacted",IF($N478="Yes","2 Engaged",IF($M478="Yes","1 Awareness",IF($AA478&gt;=60,"3 Qualified","1 Awareness"))))))))))</f>
        <v/>
      </c>
    </row>
    <row r="479" customFormat="false" ht="30" hidden="false" customHeight="true" outlineLevel="0" collapsed="false">
      <c r="A479" s="36"/>
      <c r="B479" s="37"/>
      <c r="C479" s="37"/>
      <c r="D479" s="37"/>
      <c r="E479" s="37"/>
      <c r="F479" s="37"/>
      <c r="G479" s="37"/>
      <c r="H479" s="37"/>
      <c r="I479" s="37"/>
      <c r="J479" s="47"/>
      <c r="K479" s="41" t="str">
        <f aca="false">IF(J479="","",IF(J479&gt;=8,"Yes","Check"))</f>
        <v/>
      </c>
      <c r="L479" s="38"/>
      <c r="M479" s="47"/>
      <c r="N479" s="47"/>
      <c r="O479" s="37"/>
      <c r="P479" s="38"/>
      <c r="Q479" s="42" t="str">
        <f aca="false">IF(P479="","",LEN(P479))</f>
        <v/>
      </c>
      <c r="R479" s="47"/>
      <c r="S479" s="37"/>
      <c r="T479" s="38"/>
      <c r="U479" s="43" t="str">
        <f aca="false">IF(OR(R479&lt;&gt;"Yes",A479=""),"",A479+4)</f>
        <v/>
      </c>
      <c r="V479" s="47"/>
      <c r="W479" s="38"/>
      <c r="X479" s="38"/>
      <c r="Y479" s="44"/>
      <c r="Z479" s="44"/>
      <c r="AA479" s="45" t="str">
        <f aca="false">IF(AND($Y479="",$Z479=""),"",ROUND(IFERROR(VALUE(LEFT($Y479,1)),0)*12+IFERROR(VALUE(LEFT($Z479,1)),0)*8,0))</f>
        <v/>
      </c>
      <c r="AB479" s="45" t="str">
        <f aca="false">IF($AA479="","",IF($AA479&gt;=80,"A - call first",IF($AA479&gt;=60,"B - worth pursuing",IF($AA479&gt;=40,"C - nurture","D - do not spend time here"))))</f>
        <v/>
      </c>
      <c r="AC479" s="46" t="str">
        <f aca="false">IF($C479="","",IF($S479="Converted","7 Certification / Enterprise opportunity",IF($S479="Application Started","7 Certification / Enterprise opportunity",IF($S479="Meeting Booked","6 Meeting / Application",IF(OR($S479="Interested",$S479="Info Requested"),"5 Interested",IF(OR($S479="Declined",$S479="Not Relevant"),"0 Closed - no",IF($R479="Yes","4 Contacted",IF($N479="Yes","2 Engaged",IF($M479="Yes","1 Awareness",IF($AA479&gt;=60,"3 Qualified","1 Awareness"))))))))))</f>
        <v/>
      </c>
    </row>
    <row r="480" customFormat="false" ht="30" hidden="false" customHeight="true" outlineLevel="0" collapsed="false">
      <c r="A480" s="36"/>
      <c r="B480" s="37"/>
      <c r="C480" s="37"/>
      <c r="D480" s="37"/>
      <c r="E480" s="37"/>
      <c r="F480" s="37"/>
      <c r="G480" s="37"/>
      <c r="H480" s="37"/>
      <c r="I480" s="37"/>
      <c r="J480" s="47"/>
      <c r="K480" s="41" t="str">
        <f aca="false">IF(J480="","",IF(J480&gt;=8,"Yes","Check"))</f>
        <v/>
      </c>
      <c r="L480" s="38"/>
      <c r="M480" s="47"/>
      <c r="N480" s="47"/>
      <c r="O480" s="37"/>
      <c r="P480" s="38"/>
      <c r="Q480" s="42" t="str">
        <f aca="false">IF(P480="","",LEN(P480))</f>
        <v/>
      </c>
      <c r="R480" s="47"/>
      <c r="S480" s="37"/>
      <c r="T480" s="38"/>
      <c r="U480" s="43" t="str">
        <f aca="false">IF(OR(R480&lt;&gt;"Yes",A480=""),"",A480+4)</f>
        <v/>
      </c>
      <c r="V480" s="47"/>
      <c r="W480" s="38"/>
      <c r="X480" s="38"/>
      <c r="Y480" s="44"/>
      <c r="Z480" s="44"/>
      <c r="AA480" s="45" t="str">
        <f aca="false">IF(AND($Y480="",$Z480=""),"",ROUND(IFERROR(VALUE(LEFT($Y480,1)),0)*12+IFERROR(VALUE(LEFT($Z480,1)),0)*8,0))</f>
        <v/>
      </c>
      <c r="AB480" s="45" t="str">
        <f aca="false">IF($AA480="","",IF($AA480&gt;=80,"A - call first",IF($AA480&gt;=60,"B - worth pursuing",IF($AA480&gt;=40,"C - nurture","D - do not spend time here"))))</f>
        <v/>
      </c>
      <c r="AC480" s="46" t="str">
        <f aca="false">IF($C480="","",IF($S480="Converted","7 Certification / Enterprise opportunity",IF($S480="Application Started","7 Certification / Enterprise opportunity",IF($S480="Meeting Booked","6 Meeting / Application",IF(OR($S480="Interested",$S480="Info Requested"),"5 Interested",IF(OR($S480="Declined",$S480="Not Relevant"),"0 Closed - no",IF($R480="Yes","4 Contacted",IF($N480="Yes","2 Engaged",IF($M480="Yes","1 Awareness",IF($AA480&gt;=60,"3 Qualified","1 Awareness"))))))))))</f>
        <v/>
      </c>
    </row>
    <row r="481" customFormat="false" ht="30" hidden="false" customHeight="true" outlineLevel="0" collapsed="false">
      <c r="A481" s="36"/>
      <c r="B481" s="37"/>
      <c r="C481" s="37"/>
      <c r="D481" s="37"/>
      <c r="E481" s="37"/>
      <c r="F481" s="37"/>
      <c r="G481" s="37"/>
      <c r="H481" s="37"/>
      <c r="I481" s="37"/>
      <c r="J481" s="47"/>
      <c r="K481" s="41" t="str">
        <f aca="false">IF(J481="","",IF(J481&gt;=8,"Yes","Check"))</f>
        <v/>
      </c>
      <c r="L481" s="38"/>
      <c r="M481" s="47"/>
      <c r="N481" s="47"/>
      <c r="O481" s="37"/>
      <c r="P481" s="38"/>
      <c r="Q481" s="42" t="str">
        <f aca="false">IF(P481="","",LEN(P481))</f>
        <v/>
      </c>
      <c r="R481" s="47"/>
      <c r="S481" s="37"/>
      <c r="T481" s="38"/>
      <c r="U481" s="43" t="str">
        <f aca="false">IF(OR(R481&lt;&gt;"Yes",A481=""),"",A481+4)</f>
        <v/>
      </c>
      <c r="V481" s="47"/>
      <c r="W481" s="38"/>
      <c r="X481" s="38"/>
      <c r="Y481" s="44"/>
      <c r="Z481" s="44"/>
      <c r="AA481" s="45" t="str">
        <f aca="false">IF(AND($Y481="",$Z481=""),"",ROUND(IFERROR(VALUE(LEFT($Y481,1)),0)*12+IFERROR(VALUE(LEFT($Z481,1)),0)*8,0))</f>
        <v/>
      </c>
      <c r="AB481" s="45" t="str">
        <f aca="false">IF($AA481="","",IF($AA481&gt;=80,"A - call first",IF($AA481&gt;=60,"B - worth pursuing",IF($AA481&gt;=40,"C - nurture","D - do not spend time here"))))</f>
        <v/>
      </c>
      <c r="AC481" s="46" t="str">
        <f aca="false">IF($C481="","",IF($S481="Converted","7 Certification / Enterprise opportunity",IF($S481="Application Started","7 Certification / Enterprise opportunity",IF($S481="Meeting Booked","6 Meeting / Application",IF(OR($S481="Interested",$S481="Info Requested"),"5 Interested",IF(OR($S481="Declined",$S481="Not Relevant"),"0 Closed - no",IF($R481="Yes","4 Contacted",IF($N481="Yes","2 Engaged",IF($M481="Yes","1 Awareness",IF($AA481&gt;=60,"3 Qualified","1 Awareness"))))))))))</f>
        <v/>
      </c>
    </row>
    <row r="482" customFormat="false" ht="30" hidden="false" customHeight="true" outlineLevel="0" collapsed="false">
      <c r="A482" s="36"/>
      <c r="B482" s="37"/>
      <c r="C482" s="37"/>
      <c r="D482" s="37"/>
      <c r="E482" s="37"/>
      <c r="F482" s="37"/>
      <c r="G482" s="37"/>
      <c r="H482" s="37"/>
      <c r="I482" s="37"/>
      <c r="J482" s="47"/>
      <c r="K482" s="41" t="str">
        <f aca="false">IF(J482="","",IF(J482&gt;=8,"Yes","Check"))</f>
        <v/>
      </c>
      <c r="L482" s="38"/>
      <c r="M482" s="47"/>
      <c r="N482" s="47"/>
      <c r="O482" s="37"/>
      <c r="P482" s="38"/>
      <c r="Q482" s="42" t="str">
        <f aca="false">IF(P482="","",LEN(P482))</f>
        <v/>
      </c>
      <c r="R482" s="47"/>
      <c r="S482" s="37"/>
      <c r="T482" s="38"/>
      <c r="U482" s="43" t="str">
        <f aca="false">IF(OR(R482&lt;&gt;"Yes",A482=""),"",A482+4)</f>
        <v/>
      </c>
      <c r="V482" s="47"/>
      <c r="W482" s="38"/>
      <c r="X482" s="38"/>
      <c r="Y482" s="44"/>
      <c r="Z482" s="44"/>
      <c r="AA482" s="45" t="str">
        <f aca="false">IF(AND($Y482="",$Z482=""),"",ROUND(IFERROR(VALUE(LEFT($Y482,1)),0)*12+IFERROR(VALUE(LEFT($Z482,1)),0)*8,0))</f>
        <v/>
      </c>
      <c r="AB482" s="45" t="str">
        <f aca="false">IF($AA482="","",IF($AA482&gt;=80,"A - call first",IF($AA482&gt;=60,"B - worth pursuing",IF($AA482&gt;=40,"C - nurture","D - do not spend time here"))))</f>
        <v/>
      </c>
      <c r="AC482" s="46" t="str">
        <f aca="false">IF($C482="","",IF($S482="Converted","7 Certification / Enterprise opportunity",IF($S482="Application Started","7 Certification / Enterprise opportunity",IF($S482="Meeting Booked","6 Meeting / Application",IF(OR($S482="Interested",$S482="Info Requested"),"5 Interested",IF(OR($S482="Declined",$S482="Not Relevant"),"0 Closed - no",IF($R482="Yes","4 Contacted",IF($N482="Yes","2 Engaged",IF($M482="Yes","1 Awareness",IF($AA482&gt;=60,"3 Qualified","1 Awareness"))))))))))</f>
        <v/>
      </c>
    </row>
    <row r="483" customFormat="false" ht="30" hidden="false" customHeight="true" outlineLevel="0" collapsed="false">
      <c r="A483" s="36"/>
      <c r="B483" s="37"/>
      <c r="C483" s="37"/>
      <c r="D483" s="37"/>
      <c r="E483" s="37"/>
      <c r="F483" s="37"/>
      <c r="G483" s="37"/>
      <c r="H483" s="37"/>
      <c r="I483" s="37"/>
      <c r="J483" s="47"/>
      <c r="K483" s="41" t="str">
        <f aca="false">IF(J483="","",IF(J483&gt;=8,"Yes","Check"))</f>
        <v/>
      </c>
      <c r="L483" s="38"/>
      <c r="M483" s="47"/>
      <c r="N483" s="47"/>
      <c r="O483" s="37"/>
      <c r="P483" s="38"/>
      <c r="Q483" s="42" t="str">
        <f aca="false">IF(P483="","",LEN(P483))</f>
        <v/>
      </c>
      <c r="R483" s="47"/>
      <c r="S483" s="37"/>
      <c r="T483" s="38"/>
      <c r="U483" s="43" t="str">
        <f aca="false">IF(OR(R483&lt;&gt;"Yes",A483=""),"",A483+4)</f>
        <v/>
      </c>
      <c r="V483" s="47"/>
      <c r="W483" s="38"/>
      <c r="X483" s="38"/>
      <c r="Y483" s="44"/>
      <c r="Z483" s="44"/>
      <c r="AA483" s="45" t="str">
        <f aca="false">IF(AND($Y483="",$Z483=""),"",ROUND(IFERROR(VALUE(LEFT($Y483,1)),0)*12+IFERROR(VALUE(LEFT($Z483,1)),0)*8,0))</f>
        <v/>
      </c>
      <c r="AB483" s="45" t="str">
        <f aca="false">IF($AA483="","",IF($AA483&gt;=80,"A - call first",IF($AA483&gt;=60,"B - worth pursuing",IF($AA483&gt;=40,"C - nurture","D - do not spend time here"))))</f>
        <v/>
      </c>
      <c r="AC483" s="46" t="str">
        <f aca="false">IF($C483="","",IF($S483="Converted","7 Certification / Enterprise opportunity",IF($S483="Application Started","7 Certification / Enterprise opportunity",IF($S483="Meeting Booked","6 Meeting / Application",IF(OR($S483="Interested",$S483="Info Requested"),"5 Interested",IF(OR($S483="Declined",$S483="Not Relevant"),"0 Closed - no",IF($R483="Yes","4 Contacted",IF($N483="Yes","2 Engaged",IF($M483="Yes","1 Awareness",IF($AA483&gt;=60,"3 Qualified","1 Awareness"))))))))))</f>
        <v/>
      </c>
    </row>
    <row r="484" customFormat="false" ht="30" hidden="false" customHeight="true" outlineLevel="0" collapsed="false">
      <c r="A484" s="36"/>
      <c r="B484" s="37"/>
      <c r="C484" s="37"/>
      <c r="D484" s="37"/>
      <c r="E484" s="37"/>
      <c r="F484" s="37"/>
      <c r="G484" s="37"/>
      <c r="H484" s="37"/>
      <c r="I484" s="37"/>
      <c r="J484" s="47"/>
      <c r="K484" s="41" t="str">
        <f aca="false">IF(J484="","",IF(J484&gt;=8,"Yes","Check"))</f>
        <v/>
      </c>
      <c r="L484" s="38"/>
      <c r="M484" s="47"/>
      <c r="N484" s="47"/>
      <c r="O484" s="37"/>
      <c r="P484" s="38"/>
      <c r="Q484" s="42" t="str">
        <f aca="false">IF(P484="","",LEN(P484))</f>
        <v/>
      </c>
      <c r="R484" s="47"/>
      <c r="S484" s="37"/>
      <c r="T484" s="38"/>
      <c r="U484" s="43" t="str">
        <f aca="false">IF(OR(R484&lt;&gt;"Yes",A484=""),"",A484+4)</f>
        <v/>
      </c>
      <c r="V484" s="47"/>
      <c r="W484" s="38"/>
      <c r="X484" s="38"/>
      <c r="Y484" s="44"/>
      <c r="Z484" s="44"/>
      <c r="AA484" s="45" t="str">
        <f aca="false">IF(AND($Y484="",$Z484=""),"",ROUND(IFERROR(VALUE(LEFT($Y484,1)),0)*12+IFERROR(VALUE(LEFT($Z484,1)),0)*8,0))</f>
        <v/>
      </c>
      <c r="AB484" s="45" t="str">
        <f aca="false">IF($AA484="","",IF($AA484&gt;=80,"A - call first",IF($AA484&gt;=60,"B - worth pursuing",IF($AA484&gt;=40,"C - nurture","D - do not spend time here"))))</f>
        <v/>
      </c>
      <c r="AC484" s="46" t="str">
        <f aca="false">IF($C484="","",IF($S484="Converted","7 Certification / Enterprise opportunity",IF($S484="Application Started","7 Certification / Enterprise opportunity",IF($S484="Meeting Booked","6 Meeting / Application",IF(OR($S484="Interested",$S484="Info Requested"),"5 Interested",IF(OR($S484="Declined",$S484="Not Relevant"),"0 Closed - no",IF($R484="Yes","4 Contacted",IF($N484="Yes","2 Engaged",IF($M484="Yes","1 Awareness",IF($AA484&gt;=60,"3 Qualified","1 Awareness"))))))))))</f>
        <v/>
      </c>
    </row>
    <row r="485" customFormat="false" ht="30" hidden="false" customHeight="true" outlineLevel="0" collapsed="false">
      <c r="A485" s="36"/>
      <c r="B485" s="37"/>
      <c r="C485" s="37"/>
      <c r="D485" s="37"/>
      <c r="E485" s="37"/>
      <c r="F485" s="37"/>
      <c r="G485" s="37"/>
      <c r="H485" s="37"/>
      <c r="I485" s="37"/>
      <c r="J485" s="47"/>
      <c r="K485" s="41" t="str">
        <f aca="false">IF(J485="","",IF(J485&gt;=8,"Yes","Check"))</f>
        <v/>
      </c>
      <c r="L485" s="38"/>
      <c r="M485" s="47"/>
      <c r="N485" s="47"/>
      <c r="O485" s="37"/>
      <c r="P485" s="38"/>
      <c r="Q485" s="42" t="str">
        <f aca="false">IF(P485="","",LEN(P485))</f>
        <v/>
      </c>
      <c r="R485" s="47"/>
      <c r="S485" s="37"/>
      <c r="T485" s="38"/>
      <c r="U485" s="43" t="str">
        <f aca="false">IF(OR(R485&lt;&gt;"Yes",A485=""),"",A485+4)</f>
        <v/>
      </c>
      <c r="V485" s="47"/>
      <c r="W485" s="38"/>
      <c r="X485" s="38"/>
      <c r="Y485" s="44"/>
      <c r="Z485" s="44"/>
      <c r="AA485" s="45" t="str">
        <f aca="false">IF(AND($Y485="",$Z485=""),"",ROUND(IFERROR(VALUE(LEFT($Y485,1)),0)*12+IFERROR(VALUE(LEFT($Z485,1)),0)*8,0))</f>
        <v/>
      </c>
      <c r="AB485" s="45" t="str">
        <f aca="false">IF($AA485="","",IF($AA485&gt;=80,"A - call first",IF($AA485&gt;=60,"B - worth pursuing",IF($AA485&gt;=40,"C - nurture","D - do not spend time here"))))</f>
        <v/>
      </c>
      <c r="AC485" s="46" t="str">
        <f aca="false">IF($C485="","",IF($S485="Converted","7 Certification / Enterprise opportunity",IF($S485="Application Started","7 Certification / Enterprise opportunity",IF($S485="Meeting Booked","6 Meeting / Application",IF(OR($S485="Interested",$S485="Info Requested"),"5 Interested",IF(OR($S485="Declined",$S485="Not Relevant"),"0 Closed - no",IF($R485="Yes","4 Contacted",IF($N485="Yes","2 Engaged",IF($M485="Yes","1 Awareness",IF($AA485&gt;=60,"3 Qualified","1 Awareness"))))))))))</f>
        <v/>
      </c>
    </row>
    <row r="486" customFormat="false" ht="30" hidden="false" customHeight="true" outlineLevel="0" collapsed="false">
      <c r="A486" s="36"/>
      <c r="B486" s="37"/>
      <c r="C486" s="37"/>
      <c r="D486" s="37"/>
      <c r="E486" s="37"/>
      <c r="F486" s="37"/>
      <c r="G486" s="37"/>
      <c r="H486" s="37"/>
      <c r="I486" s="37"/>
      <c r="J486" s="47"/>
      <c r="K486" s="41" t="str">
        <f aca="false">IF(J486="","",IF(J486&gt;=8,"Yes","Check"))</f>
        <v/>
      </c>
      <c r="L486" s="38"/>
      <c r="M486" s="47"/>
      <c r="N486" s="47"/>
      <c r="O486" s="37"/>
      <c r="P486" s="38"/>
      <c r="Q486" s="42" t="str">
        <f aca="false">IF(P486="","",LEN(P486))</f>
        <v/>
      </c>
      <c r="R486" s="47"/>
      <c r="S486" s="37"/>
      <c r="T486" s="38"/>
      <c r="U486" s="43" t="str">
        <f aca="false">IF(OR(R486&lt;&gt;"Yes",A486=""),"",A486+4)</f>
        <v/>
      </c>
      <c r="V486" s="47"/>
      <c r="W486" s="38"/>
      <c r="X486" s="38"/>
      <c r="Y486" s="44"/>
      <c r="Z486" s="44"/>
      <c r="AA486" s="45" t="str">
        <f aca="false">IF(AND($Y486="",$Z486=""),"",ROUND(IFERROR(VALUE(LEFT($Y486,1)),0)*12+IFERROR(VALUE(LEFT($Z486,1)),0)*8,0))</f>
        <v/>
      </c>
      <c r="AB486" s="45" t="str">
        <f aca="false">IF($AA486="","",IF($AA486&gt;=80,"A - call first",IF($AA486&gt;=60,"B - worth pursuing",IF($AA486&gt;=40,"C - nurture","D - do not spend time here"))))</f>
        <v/>
      </c>
      <c r="AC486" s="46" t="str">
        <f aca="false">IF($C486="","",IF($S486="Converted","7 Certification / Enterprise opportunity",IF($S486="Application Started","7 Certification / Enterprise opportunity",IF($S486="Meeting Booked","6 Meeting / Application",IF(OR($S486="Interested",$S486="Info Requested"),"5 Interested",IF(OR($S486="Declined",$S486="Not Relevant"),"0 Closed - no",IF($R486="Yes","4 Contacted",IF($N486="Yes","2 Engaged",IF($M486="Yes","1 Awareness",IF($AA486&gt;=60,"3 Qualified","1 Awareness"))))))))))</f>
        <v/>
      </c>
    </row>
    <row r="487" customFormat="false" ht="30" hidden="false" customHeight="true" outlineLevel="0" collapsed="false">
      <c r="A487" s="36"/>
      <c r="B487" s="37"/>
      <c r="C487" s="37"/>
      <c r="D487" s="37"/>
      <c r="E487" s="37"/>
      <c r="F487" s="37"/>
      <c r="G487" s="37"/>
      <c r="H487" s="37"/>
      <c r="I487" s="37"/>
      <c r="J487" s="47"/>
      <c r="K487" s="41" t="str">
        <f aca="false">IF(J487="","",IF(J487&gt;=8,"Yes","Check"))</f>
        <v/>
      </c>
      <c r="L487" s="38"/>
      <c r="M487" s="47"/>
      <c r="N487" s="47"/>
      <c r="O487" s="37"/>
      <c r="P487" s="38"/>
      <c r="Q487" s="42" t="str">
        <f aca="false">IF(P487="","",LEN(P487))</f>
        <v/>
      </c>
      <c r="R487" s="47"/>
      <c r="S487" s="37"/>
      <c r="T487" s="38"/>
      <c r="U487" s="43" t="str">
        <f aca="false">IF(OR(R487&lt;&gt;"Yes",A487=""),"",A487+4)</f>
        <v/>
      </c>
      <c r="V487" s="47"/>
      <c r="W487" s="38"/>
      <c r="X487" s="38"/>
      <c r="Y487" s="44"/>
      <c r="Z487" s="44"/>
      <c r="AA487" s="45" t="str">
        <f aca="false">IF(AND($Y487="",$Z487=""),"",ROUND(IFERROR(VALUE(LEFT($Y487,1)),0)*12+IFERROR(VALUE(LEFT($Z487,1)),0)*8,0))</f>
        <v/>
      </c>
      <c r="AB487" s="45" t="str">
        <f aca="false">IF($AA487="","",IF($AA487&gt;=80,"A - call first",IF($AA487&gt;=60,"B - worth pursuing",IF($AA487&gt;=40,"C - nurture","D - do not spend time here"))))</f>
        <v/>
      </c>
      <c r="AC487" s="46" t="str">
        <f aca="false">IF($C487="","",IF($S487="Converted","7 Certification / Enterprise opportunity",IF($S487="Application Started","7 Certification / Enterprise opportunity",IF($S487="Meeting Booked","6 Meeting / Application",IF(OR($S487="Interested",$S487="Info Requested"),"5 Interested",IF(OR($S487="Declined",$S487="Not Relevant"),"0 Closed - no",IF($R487="Yes","4 Contacted",IF($N487="Yes","2 Engaged",IF($M487="Yes","1 Awareness",IF($AA487&gt;=60,"3 Qualified","1 Awareness"))))))))))</f>
        <v/>
      </c>
    </row>
    <row r="488" customFormat="false" ht="30" hidden="false" customHeight="true" outlineLevel="0" collapsed="false">
      <c r="A488" s="36"/>
      <c r="B488" s="37"/>
      <c r="C488" s="37"/>
      <c r="D488" s="37"/>
      <c r="E488" s="37"/>
      <c r="F488" s="37"/>
      <c r="G488" s="37"/>
      <c r="H488" s="37"/>
      <c r="I488" s="37"/>
      <c r="J488" s="47"/>
      <c r="K488" s="41" t="str">
        <f aca="false">IF(J488="","",IF(J488&gt;=8,"Yes","Check"))</f>
        <v/>
      </c>
      <c r="L488" s="38"/>
      <c r="M488" s="47"/>
      <c r="N488" s="47"/>
      <c r="O488" s="37"/>
      <c r="P488" s="38"/>
      <c r="Q488" s="42" t="str">
        <f aca="false">IF(P488="","",LEN(P488))</f>
        <v/>
      </c>
      <c r="R488" s="47"/>
      <c r="S488" s="37"/>
      <c r="T488" s="38"/>
      <c r="U488" s="43" t="str">
        <f aca="false">IF(OR(R488&lt;&gt;"Yes",A488=""),"",A488+4)</f>
        <v/>
      </c>
      <c r="V488" s="47"/>
      <c r="W488" s="38"/>
      <c r="X488" s="38"/>
      <c r="Y488" s="44"/>
      <c r="Z488" s="44"/>
      <c r="AA488" s="45" t="str">
        <f aca="false">IF(AND($Y488="",$Z488=""),"",ROUND(IFERROR(VALUE(LEFT($Y488,1)),0)*12+IFERROR(VALUE(LEFT($Z488,1)),0)*8,0))</f>
        <v/>
      </c>
      <c r="AB488" s="45" t="str">
        <f aca="false">IF($AA488="","",IF($AA488&gt;=80,"A - call first",IF($AA488&gt;=60,"B - worth pursuing",IF($AA488&gt;=40,"C - nurture","D - do not spend time here"))))</f>
        <v/>
      </c>
      <c r="AC488" s="46" t="str">
        <f aca="false">IF($C488="","",IF($S488="Converted","7 Certification / Enterprise opportunity",IF($S488="Application Started","7 Certification / Enterprise opportunity",IF($S488="Meeting Booked","6 Meeting / Application",IF(OR($S488="Interested",$S488="Info Requested"),"5 Interested",IF(OR($S488="Declined",$S488="Not Relevant"),"0 Closed - no",IF($R488="Yes","4 Contacted",IF($N488="Yes","2 Engaged",IF($M488="Yes","1 Awareness",IF($AA488&gt;=60,"3 Qualified","1 Awareness"))))))))))</f>
        <v/>
      </c>
    </row>
    <row r="489" customFormat="false" ht="30" hidden="false" customHeight="true" outlineLevel="0" collapsed="false">
      <c r="A489" s="36"/>
      <c r="B489" s="37"/>
      <c r="C489" s="37"/>
      <c r="D489" s="37"/>
      <c r="E489" s="37"/>
      <c r="F489" s="37"/>
      <c r="G489" s="37"/>
      <c r="H489" s="37"/>
      <c r="I489" s="37"/>
      <c r="J489" s="47"/>
      <c r="K489" s="41" t="str">
        <f aca="false">IF(J489="","",IF(J489&gt;=8,"Yes","Check"))</f>
        <v/>
      </c>
      <c r="L489" s="38"/>
      <c r="M489" s="47"/>
      <c r="N489" s="47"/>
      <c r="O489" s="37"/>
      <c r="P489" s="38"/>
      <c r="Q489" s="42" t="str">
        <f aca="false">IF(P489="","",LEN(P489))</f>
        <v/>
      </c>
      <c r="R489" s="47"/>
      <c r="S489" s="37"/>
      <c r="T489" s="38"/>
      <c r="U489" s="43" t="str">
        <f aca="false">IF(OR(R489&lt;&gt;"Yes",A489=""),"",A489+4)</f>
        <v/>
      </c>
      <c r="V489" s="47"/>
      <c r="W489" s="38"/>
      <c r="X489" s="38"/>
      <c r="Y489" s="44"/>
      <c r="Z489" s="44"/>
      <c r="AA489" s="45" t="str">
        <f aca="false">IF(AND($Y489="",$Z489=""),"",ROUND(IFERROR(VALUE(LEFT($Y489,1)),0)*12+IFERROR(VALUE(LEFT($Z489,1)),0)*8,0))</f>
        <v/>
      </c>
      <c r="AB489" s="45" t="str">
        <f aca="false">IF($AA489="","",IF($AA489&gt;=80,"A - call first",IF($AA489&gt;=60,"B - worth pursuing",IF($AA489&gt;=40,"C - nurture","D - do not spend time here"))))</f>
        <v/>
      </c>
      <c r="AC489" s="46" t="str">
        <f aca="false">IF($C489="","",IF($S489="Converted","7 Certification / Enterprise opportunity",IF($S489="Application Started","7 Certification / Enterprise opportunity",IF($S489="Meeting Booked","6 Meeting / Application",IF(OR($S489="Interested",$S489="Info Requested"),"5 Interested",IF(OR($S489="Declined",$S489="Not Relevant"),"0 Closed - no",IF($R489="Yes","4 Contacted",IF($N489="Yes","2 Engaged",IF($M489="Yes","1 Awareness",IF($AA489&gt;=60,"3 Qualified","1 Awareness"))))))))))</f>
        <v/>
      </c>
    </row>
    <row r="490" customFormat="false" ht="30" hidden="false" customHeight="true" outlineLevel="0" collapsed="false">
      <c r="A490" s="36"/>
      <c r="B490" s="37"/>
      <c r="C490" s="37"/>
      <c r="D490" s="37"/>
      <c r="E490" s="37"/>
      <c r="F490" s="37"/>
      <c r="G490" s="37"/>
      <c r="H490" s="37"/>
      <c r="I490" s="37"/>
      <c r="J490" s="47"/>
      <c r="K490" s="41" t="str">
        <f aca="false">IF(J490="","",IF(J490&gt;=8,"Yes","Check"))</f>
        <v/>
      </c>
      <c r="L490" s="38"/>
      <c r="M490" s="47"/>
      <c r="N490" s="47"/>
      <c r="O490" s="37"/>
      <c r="P490" s="38"/>
      <c r="Q490" s="42" t="str">
        <f aca="false">IF(P490="","",LEN(P490))</f>
        <v/>
      </c>
      <c r="R490" s="47"/>
      <c r="S490" s="37"/>
      <c r="T490" s="38"/>
      <c r="U490" s="43" t="str">
        <f aca="false">IF(OR(R490&lt;&gt;"Yes",A490=""),"",A490+4)</f>
        <v/>
      </c>
      <c r="V490" s="47"/>
      <c r="W490" s="38"/>
      <c r="X490" s="38"/>
      <c r="Y490" s="44"/>
      <c r="Z490" s="44"/>
      <c r="AA490" s="45" t="str">
        <f aca="false">IF(AND($Y490="",$Z490=""),"",ROUND(IFERROR(VALUE(LEFT($Y490,1)),0)*12+IFERROR(VALUE(LEFT($Z490,1)),0)*8,0))</f>
        <v/>
      </c>
      <c r="AB490" s="45" t="str">
        <f aca="false">IF($AA490="","",IF($AA490&gt;=80,"A - call first",IF($AA490&gt;=60,"B - worth pursuing",IF($AA490&gt;=40,"C - nurture","D - do not spend time here"))))</f>
        <v/>
      </c>
      <c r="AC490" s="46" t="str">
        <f aca="false">IF($C490="","",IF($S490="Converted","7 Certification / Enterprise opportunity",IF($S490="Application Started","7 Certification / Enterprise opportunity",IF($S490="Meeting Booked","6 Meeting / Application",IF(OR($S490="Interested",$S490="Info Requested"),"5 Interested",IF(OR($S490="Declined",$S490="Not Relevant"),"0 Closed - no",IF($R490="Yes","4 Contacted",IF($N490="Yes","2 Engaged",IF($M490="Yes","1 Awareness",IF($AA490&gt;=60,"3 Qualified","1 Awareness"))))))))))</f>
        <v/>
      </c>
    </row>
    <row r="491" customFormat="false" ht="30" hidden="false" customHeight="true" outlineLevel="0" collapsed="false">
      <c r="A491" s="36"/>
      <c r="B491" s="37"/>
      <c r="C491" s="37"/>
      <c r="D491" s="37"/>
      <c r="E491" s="37"/>
      <c r="F491" s="37"/>
      <c r="G491" s="37"/>
      <c r="H491" s="37"/>
      <c r="I491" s="37"/>
      <c r="J491" s="47"/>
      <c r="K491" s="41" t="str">
        <f aca="false">IF(J491="","",IF(J491&gt;=8,"Yes","Check"))</f>
        <v/>
      </c>
      <c r="L491" s="38"/>
      <c r="M491" s="47"/>
      <c r="N491" s="47"/>
      <c r="O491" s="37"/>
      <c r="P491" s="38"/>
      <c r="Q491" s="42" t="str">
        <f aca="false">IF(P491="","",LEN(P491))</f>
        <v/>
      </c>
      <c r="R491" s="47"/>
      <c r="S491" s="37"/>
      <c r="T491" s="38"/>
      <c r="U491" s="43" t="str">
        <f aca="false">IF(OR(R491&lt;&gt;"Yes",A491=""),"",A491+4)</f>
        <v/>
      </c>
      <c r="V491" s="47"/>
      <c r="W491" s="38"/>
      <c r="X491" s="38"/>
      <c r="Y491" s="44"/>
      <c r="Z491" s="44"/>
      <c r="AA491" s="45" t="str">
        <f aca="false">IF(AND($Y491="",$Z491=""),"",ROUND(IFERROR(VALUE(LEFT($Y491,1)),0)*12+IFERROR(VALUE(LEFT($Z491,1)),0)*8,0))</f>
        <v/>
      </c>
      <c r="AB491" s="45" t="str">
        <f aca="false">IF($AA491="","",IF($AA491&gt;=80,"A - call first",IF($AA491&gt;=60,"B - worth pursuing",IF($AA491&gt;=40,"C - nurture","D - do not spend time here"))))</f>
        <v/>
      </c>
      <c r="AC491" s="46" t="str">
        <f aca="false">IF($C491="","",IF($S491="Converted","7 Certification / Enterprise opportunity",IF($S491="Application Started","7 Certification / Enterprise opportunity",IF($S491="Meeting Booked","6 Meeting / Application",IF(OR($S491="Interested",$S491="Info Requested"),"5 Interested",IF(OR($S491="Declined",$S491="Not Relevant"),"0 Closed - no",IF($R491="Yes","4 Contacted",IF($N491="Yes","2 Engaged",IF($M491="Yes","1 Awareness",IF($AA491&gt;=60,"3 Qualified","1 Awareness"))))))))))</f>
        <v/>
      </c>
    </row>
    <row r="492" customFormat="false" ht="30" hidden="false" customHeight="true" outlineLevel="0" collapsed="false">
      <c r="A492" s="36"/>
      <c r="B492" s="37"/>
      <c r="C492" s="37"/>
      <c r="D492" s="37"/>
      <c r="E492" s="37"/>
      <c r="F492" s="37"/>
      <c r="G492" s="37"/>
      <c r="H492" s="37"/>
      <c r="I492" s="37"/>
      <c r="J492" s="47"/>
      <c r="K492" s="41" t="str">
        <f aca="false">IF(J492="","",IF(J492&gt;=8,"Yes","Check"))</f>
        <v/>
      </c>
      <c r="L492" s="38"/>
      <c r="M492" s="47"/>
      <c r="N492" s="47"/>
      <c r="O492" s="37"/>
      <c r="P492" s="38"/>
      <c r="Q492" s="42" t="str">
        <f aca="false">IF(P492="","",LEN(P492))</f>
        <v/>
      </c>
      <c r="R492" s="47"/>
      <c r="S492" s="37"/>
      <c r="T492" s="38"/>
      <c r="U492" s="43" t="str">
        <f aca="false">IF(OR(R492&lt;&gt;"Yes",A492=""),"",A492+4)</f>
        <v/>
      </c>
      <c r="V492" s="47"/>
      <c r="W492" s="38"/>
      <c r="X492" s="38"/>
      <c r="Y492" s="44"/>
      <c r="Z492" s="44"/>
      <c r="AA492" s="45" t="str">
        <f aca="false">IF(AND($Y492="",$Z492=""),"",ROUND(IFERROR(VALUE(LEFT($Y492,1)),0)*12+IFERROR(VALUE(LEFT($Z492,1)),0)*8,0))</f>
        <v/>
      </c>
      <c r="AB492" s="45" t="str">
        <f aca="false">IF($AA492="","",IF($AA492&gt;=80,"A - call first",IF($AA492&gt;=60,"B - worth pursuing",IF($AA492&gt;=40,"C - nurture","D - do not spend time here"))))</f>
        <v/>
      </c>
      <c r="AC492" s="46" t="str">
        <f aca="false">IF($C492="","",IF($S492="Converted","7 Certification / Enterprise opportunity",IF($S492="Application Started","7 Certification / Enterprise opportunity",IF($S492="Meeting Booked","6 Meeting / Application",IF(OR($S492="Interested",$S492="Info Requested"),"5 Interested",IF(OR($S492="Declined",$S492="Not Relevant"),"0 Closed - no",IF($R492="Yes","4 Contacted",IF($N492="Yes","2 Engaged",IF($M492="Yes","1 Awareness",IF($AA492&gt;=60,"3 Qualified","1 Awareness"))))))))))</f>
        <v/>
      </c>
    </row>
    <row r="493" customFormat="false" ht="30" hidden="false" customHeight="true" outlineLevel="0" collapsed="false">
      <c r="A493" s="36"/>
      <c r="B493" s="37"/>
      <c r="C493" s="37"/>
      <c r="D493" s="37"/>
      <c r="E493" s="37"/>
      <c r="F493" s="37"/>
      <c r="G493" s="37"/>
      <c r="H493" s="37"/>
      <c r="I493" s="37"/>
      <c r="J493" s="47"/>
      <c r="K493" s="41" t="str">
        <f aca="false">IF(J493="","",IF(J493&gt;=8,"Yes","Check"))</f>
        <v/>
      </c>
      <c r="L493" s="38"/>
      <c r="M493" s="47"/>
      <c r="N493" s="47"/>
      <c r="O493" s="37"/>
      <c r="P493" s="38"/>
      <c r="Q493" s="42" t="str">
        <f aca="false">IF(P493="","",LEN(P493))</f>
        <v/>
      </c>
      <c r="R493" s="47"/>
      <c r="S493" s="37"/>
      <c r="T493" s="38"/>
      <c r="U493" s="43" t="str">
        <f aca="false">IF(OR(R493&lt;&gt;"Yes",A493=""),"",A493+4)</f>
        <v/>
      </c>
      <c r="V493" s="47"/>
      <c r="W493" s="38"/>
      <c r="X493" s="38"/>
      <c r="Y493" s="44"/>
      <c r="Z493" s="44"/>
      <c r="AA493" s="45" t="str">
        <f aca="false">IF(AND($Y493="",$Z493=""),"",ROUND(IFERROR(VALUE(LEFT($Y493,1)),0)*12+IFERROR(VALUE(LEFT($Z493,1)),0)*8,0))</f>
        <v/>
      </c>
      <c r="AB493" s="45" t="str">
        <f aca="false">IF($AA493="","",IF($AA493&gt;=80,"A - call first",IF($AA493&gt;=60,"B - worth pursuing",IF($AA493&gt;=40,"C - nurture","D - do not spend time here"))))</f>
        <v/>
      </c>
      <c r="AC493" s="46" t="str">
        <f aca="false">IF($C493="","",IF($S493="Converted","7 Certification / Enterprise opportunity",IF($S493="Application Started","7 Certification / Enterprise opportunity",IF($S493="Meeting Booked","6 Meeting / Application",IF(OR($S493="Interested",$S493="Info Requested"),"5 Interested",IF(OR($S493="Declined",$S493="Not Relevant"),"0 Closed - no",IF($R493="Yes","4 Contacted",IF($N493="Yes","2 Engaged",IF($M493="Yes","1 Awareness",IF($AA493&gt;=60,"3 Qualified","1 Awareness"))))))))))</f>
        <v/>
      </c>
    </row>
    <row r="494" customFormat="false" ht="30" hidden="false" customHeight="true" outlineLevel="0" collapsed="false">
      <c r="A494" s="36"/>
      <c r="B494" s="37"/>
      <c r="C494" s="37"/>
      <c r="D494" s="37"/>
      <c r="E494" s="37"/>
      <c r="F494" s="37"/>
      <c r="G494" s="37"/>
      <c r="H494" s="37"/>
      <c r="I494" s="37"/>
      <c r="J494" s="47"/>
      <c r="K494" s="41" t="str">
        <f aca="false">IF(J494="","",IF(J494&gt;=8,"Yes","Check"))</f>
        <v/>
      </c>
      <c r="L494" s="38"/>
      <c r="M494" s="47"/>
      <c r="N494" s="47"/>
      <c r="O494" s="37"/>
      <c r="P494" s="38"/>
      <c r="Q494" s="42" t="str">
        <f aca="false">IF(P494="","",LEN(P494))</f>
        <v/>
      </c>
      <c r="R494" s="47"/>
      <c r="S494" s="37"/>
      <c r="T494" s="38"/>
      <c r="U494" s="43" t="str">
        <f aca="false">IF(OR(R494&lt;&gt;"Yes",A494=""),"",A494+4)</f>
        <v/>
      </c>
      <c r="V494" s="47"/>
      <c r="W494" s="38"/>
      <c r="X494" s="38"/>
      <c r="Y494" s="44"/>
      <c r="Z494" s="44"/>
      <c r="AA494" s="45" t="str">
        <f aca="false">IF(AND($Y494="",$Z494=""),"",ROUND(IFERROR(VALUE(LEFT($Y494,1)),0)*12+IFERROR(VALUE(LEFT($Z494,1)),0)*8,0))</f>
        <v/>
      </c>
      <c r="AB494" s="45" t="str">
        <f aca="false">IF($AA494="","",IF($AA494&gt;=80,"A - call first",IF($AA494&gt;=60,"B - worth pursuing",IF($AA494&gt;=40,"C - nurture","D - do not spend time here"))))</f>
        <v/>
      </c>
      <c r="AC494" s="46" t="str">
        <f aca="false">IF($C494="","",IF($S494="Converted","7 Certification / Enterprise opportunity",IF($S494="Application Started","7 Certification / Enterprise opportunity",IF($S494="Meeting Booked","6 Meeting / Application",IF(OR($S494="Interested",$S494="Info Requested"),"5 Interested",IF(OR($S494="Declined",$S494="Not Relevant"),"0 Closed - no",IF($R494="Yes","4 Contacted",IF($N494="Yes","2 Engaged",IF($M494="Yes","1 Awareness",IF($AA494&gt;=60,"3 Qualified","1 Awareness"))))))))))</f>
        <v/>
      </c>
    </row>
    <row r="495" customFormat="false" ht="30" hidden="false" customHeight="true" outlineLevel="0" collapsed="false">
      <c r="A495" s="36"/>
      <c r="B495" s="37"/>
      <c r="C495" s="37"/>
      <c r="D495" s="37"/>
      <c r="E495" s="37"/>
      <c r="F495" s="37"/>
      <c r="G495" s="37"/>
      <c r="H495" s="37"/>
      <c r="I495" s="37"/>
      <c r="J495" s="47"/>
      <c r="K495" s="41" t="str">
        <f aca="false">IF(J495="","",IF(J495&gt;=8,"Yes","Check"))</f>
        <v/>
      </c>
      <c r="L495" s="38"/>
      <c r="M495" s="47"/>
      <c r="N495" s="47"/>
      <c r="O495" s="37"/>
      <c r="P495" s="38"/>
      <c r="Q495" s="42" t="str">
        <f aca="false">IF(P495="","",LEN(P495))</f>
        <v/>
      </c>
      <c r="R495" s="47"/>
      <c r="S495" s="37"/>
      <c r="T495" s="38"/>
      <c r="U495" s="43" t="str">
        <f aca="false">IF(OR(R495&lt;&gt;"Yes",A495=""),"",A495+4)</f>
        <v/>
      </c>
      <c r="V495" s="47"/>
      <c r="W495" s="38"/>
      <c r="X495" s="38"/>
      <c r="Y495" s="44"/>
      <c r="Z495" s="44"/>
      <c r="AA495" s="45" t="str">
        <f aca="false">IF(AND($Y495="",$Z495=""),"",ROUND(IFERROR(VALUE(LEFT($Y495,1)),0)*12+IFERROR(VALUE(LEFT($Z495,1)),0)*8,0))</f>
        <v/>
      </c>
      <c r="AB495" s="45" t="str">
        <f aca="false">IF($AA495="","",IF($AA495&gt;=80,"A - call first",IF($AA495&gt;=60,"B - worth pursuing",IF($AA495&gt;=40,"C - nurture","D - do not spend time here"))))</f>
        <v/>
      </c>
      <c r="AC495" s="46" t="str">
        <f aca="false">IF($C495="","",IF($S495="Converted","7 Certification / Enterprise opportunity",IF($S495="Application Started","7 Certification / Enterprise opportunity",IF($S495="Meeting Booked","6 Meeting / Application",IF(OR($S495="Interested",$S495="Info Requested"),"5 Interested",IF(OR($S495="Declined",$S495="Not Relevant"),"0 Closed - no",IF($R495="Yes","4 Contacted",IF($N495="Yes","2 Engaged",IF($M495="Yes","1 Awareness",IF($AA495&gt;=60,"3 Qualified","1 Awareness"))))))))))</f>
        <v/>
      </c>
    </row>
    <row r="496" customFormat="false" ht="30" hidden="false" customHeight="true" outlineLevel="0" collapsed="false">
      <c r="A496" s="36"/>
      <c r="B496" s="37"/>
      <c r="C496" s="37"/>
      <c r="D496" s="37"/>
      <c r="E496" s="37"/>
      <c r="F496" s="37"/>
      <c r="G496" s="37"/>
      <c r="H496" s="37"/>
      <c r="I496" s="37"/>
      <c r="J496" s="47"/>
      <c r="K496" s="41" t="str">
        <f aca="false">IF(J496="","",IF(J496&gt;=8,"Yes","Check"))</f>
        <v/>
      </c>
      <c r="L496" s="38"/>
      <c r="M496" s="47"/>
      <c r="N496" s="47"/>
      <c r="O496" s="37"/>
      <c r="P496" s="38"/>
      <c r="Q496" s="42" t="str">
        <f aca="false">IF(P496="","",LEN(P496))</f>
        <v/>
      </c>
      <c r="R496" s="47"/>
      <c r="S496" s="37"/>
      <c r="T496" s="38"/>
      <c r="U496" s="43" t="str">
        <f aca="false">IF(OR(R496&lt;&gt;"Yes",A496=""),"",A496+4)</f>
        <v/>
      </c>
      <c r="V496" s="47"/>
      <c r="W496" s="38"/>
      <c r="X496" s="38"/>
      <c r="Y496" s="44"/>
      <c r="Z496" s="44"/>
      <c r="AA496" s="45" t="str">
        <f aca="false">IF(AND($Y496="",$Z496=""),"",ROUND(IFERROR(VALUE(LEFT($Y496,1)),0)*12+IFERROR(VALUE(LEFT($Z496,1)),0)*8,0))</f>
        <v/>
      </c>
      <c r="AB496" s="45" t="str">
        <f aca="false">IF($AA496="","",IF($AA496&gt;=80,"A - call first",IF($AA496&gt;=60,"B - worth pursuing",IF($AA496&gt;=40,"C - nurture","D - do not spend time here"))))</f>
        <v/>
      </c>
      <c r="AC496" s="46" t="str">
        <f aca="false">IF($C496="","",IF($S496="Converted","7 Certification / Enterprise opportunity",IF($S496="Application Started","7 Certification / Enterprise opportunity",IF($S496="Meeting Booked","6 Meeting / Application",IF(OR($S496="Interested",$S496="Info Requested"),"5 Interested",IF(OR($S496="Declined",$S496="Not Relevant"),"0 Closed - no",IF($R496="Yes","4 Contacted",IF($N496="Yes","2 Engaged",IF($M496="Yes","1 Awareness",IF($AA496&gt;=60,"3 Qualified","1 Awareness"))))))))))</f>
        <v/>
      </c>
    </row>
    <row r="497" customFormat="false" ht="30" hidden="false" customHeight="true" outlineLevel="0" collapsed="false">
      <c r="A497" s="36"/>
      <c r="B497" s="37"/>
      <c r="C497" s="37"/>
      <c r="D497" s="37"/>
      <c r="E497" s="37"/>
      <c r="F497" s="37"/>
      <c r="G497" s="37"/>
      <c r="H497" s="37"/>
      <c r="I497" s="37"/>
      <c r="J497" s="47"/>
      <c r="K497" s="41" t="str">
        <f aca="false">IF(J497="","",IF(J497&gt;=8,"Yes","Check"))</f>
        <v/>
      </c>
      <c r="L497" s="38"/>
      <c r="M497" s="47"/>
      <c r="N497" s="47"/>
      <c r="O497" s="37"/>
      <c r="P497" s="38"/>
      <c r="Q497" s="42" t="str">
        <f aca="false">IF(P497="","",LEN(P497))</f>
        <v/>
      </c>
      <c r="R497" s="47"/>
      <c r="S497" s="37"/>
      <c r="T497" s="38"/>
      <c r="U497" s="43" t="str">
        <f aca="false">IF(OR(R497&lt;&gt;"Yes",A497=""),"",A497+4)</f>
        <v/>
      </c>
      <c r="V497" s="47"/>
      <c r="W497" s="38"/>
      <c r="X497" s="38"/>
      <c r="Y497" s="44"/>
      <c r="Z497" s="44"/>
      <c r="AA497" s="45" t="str">
        <f aca="false">IF(AND($Y497="",$Z497=""),"",ROUND(IFERROR(VALUE(LEFT($Y497,1)),0)*12+IFERROR(VALUE(LEFT($Z497,1)),0)*8,0))</f>
        <v/>
      </c>
      <c r="AB497" s="45" t="str">
        <f aca="false">IF($AA497="","",IF($AA497&gt;=80,"A - call first",IF($AA497&gt;=60,"B - worth pursuing",IF($AA497&gt;=40,"C - nurture","D - do not spend time here"))))</f>
        <v/>
      </c>
      <c r="AC497" s="46" t="str">
        <f aca="false">IF($C497="","",IF($S497="Converted","7 Certification / Enterprise opportunity",IF($S497="Application Started","7 Certification / Enterprise opportunity",IF($S497="Meeting Booked","6 Meeting / Application",IF(OR($S497="Interested",$S497="Info Requested"),"5 Interested",IF(OR($S497="Declined",$S497="Not Relevant"),"0 Closed - no",IF($R497="Yes","4 Contacted",IF($N497="Yes","2 Engaged",IF($M497="Yes","1 Awareness",IF($AA497&gt;=60,"3 Qualified","1 Awareness"))))))))))</f>
        <v/>
      </c>
    </row>
    <row r="498" customFormat="false" ht="30" hidden="false" customHeight="true" outlineLevel="0" collapsed="false">
      <c r="A498" s="36"/>
      <c r="B498" s="37"/>
      <c r="C498" s="37"/>
      <c r="D498" s="37"/>
      <c r="E498" s="37"/>
      <c r="F498" s="37"/>
      <c r="G498" s="37"/>
      <c r="H498" s="37"/>
      <c r="I498" s="37"/>
      <c r="J498" s="47"/>
      <c r="K498" s="41" t="str">
        <f aca="false">IF(J498="","",IF(J498&gt;=8,"Yes","Check"))</f>
        <v/>
      </c>
      <c r="L498" s="38"/>
      <c r="M498" s="47"/>
      <c r="N498" s="47"/>
      <c r="O498" s="37"/>
      <c r="P498" s="38"/>
      <c r="Q498" s="42" t="str">
        <f aca="false">IF(P498="","",LEN(P498))</f>
        <v/>
      </c>
      <c r="R498" s="47"/>
      <c r="S498" s="37"/>
      <c r="T498" s="38"/>
      <c r="U498" s="43" t="str">
        <f aca="false">IF(OR(R498&lt;&gt;"Yes",A498=""),"",A498+4)</f>
        <v/>
      </c>
      <c r="V498" s="47"/>
      <c r="W498" s="38"/>
      <c r="X498" s="38"/>
      <c r="Y498" s="44"/>
      <c r="Z498" s="44"/>
      <c r="AA498" s="45" t="str">
        <f aca="false">IF(AND($Y498="",$Z498=""),"",ROUND(IFERROR(VALUE(LEFT($Y498,1)),0)*12+IFERROR(VALUE(LEFT($Z498,1)),0)*8,0))</f>
        <v/>
      </c>
      <c r="AB498" s="45" t="str">
        <f aca="false">IF($AA498="","",IF($AA498&gt;=80,"A - call first",IF($AA498&gt;=60,"B - worth pursuing",IF($AA498&gt;=40,"C - nurture","D - do not spend time here"))))</f>
        <v/>
      </c>
      <c r="AC498" s="46" t="str">
        <f aca="false">IF($C498="","",IF($S498="Converted","7 Certification / Enterprise opportunity",IF($S498="Application Started","7 Certification / Enterprise opportunity",IF($S498="Meeting Booked","6 Meeting / Application",IF(OR($S498="Interested",$S498="Info Requested"),"5 Interested",IF(OR($S498="Declined",$S498="Not Relevant"),"0 Closed - no",IF($R498="Yes","4 Contacted",IF($N498="Yes","2 Engaged",IF($M498="Yes","1 Awareness",IF($AA498&gt;=60,"3 Qualified","1 Awareness"))))))))))</f>
        <v/>
      </c>
    </row>
    <row r="499" customFormat="false" ht="30" hidden="false" customHeight="true" outlineLevel="0" collapsed="false">
      <c r="A499" s="36"/>
      <c r="B499" s="37"/>
      <c r="C499" s="37"/>
      <c r="D499" s="37"/>
      <c r="E499" s="37"/>
      <c r="F499" s="37"/>
      <c r="G499" s="37"/>
      <c r="H499" s="37"/>
      <c r="I499" s="37"/>
      <c r="J499" s="47"/>
      <c r="K499" s="41" t="str">
        <f aca="false">IF(J499="","",IF(J499&gt;=8,"Yes","Check"))</f>
        <v/>
      </c>
      <c r="L499" s="38"/>
      <c r="M499" s="47"/>
      <c r="N499" s="47"/>
      <c r="O499" s="37"/>
      <c r="P499" s="38"/>
      <c r="Q499" s="42" t="str">
        <f aca="false">IF(P499="","",LEN(P499))</f>
        <v/>
      </c>
      <c r="R499" s="47"/>
      <c r="S499" s="37"/>
      <c r="T499" s="38"/>
      <c r="U499" s="43" t="str">
        <f aca="false">IF(OR(R499&lt;&gt;"Yes",A499=""),"",A499+4)</f>
        <v/>
      </c>
      <c r="V499" s="47"/>
      <c r="W499" s="38"/>
      <c r="X499" s="38"/>
      <c r="Y499" s="44"/>
      <c r="Z499" s="44"/>
      <c r="AA499" s="45" t="str">
        <f aca="false">IF(AND($Y499="",$Z499=""),"",ROUND(IFERROR(VALUE(LEFT($Y499,1)),0)*12+IFERROR(VALUE(LEFT($Z499,1)),0)*8,0))</f>
        <v/>
      </c>
      <c r="AB499" s="45" t="str">
        <f aca="false">IF($AA499="","",IF($AA499&gt;=80,"A - call first",IF($AA499&gt;=60,"B - worth pursuing",IF($AA499&gt;=40,"C - nurture","D - do not spend time here"))))</f>
        <v/>
      </c>
      <c r="AC499" s="46" t="str">
        <f aca="false">IF($C499="","",IF($S499="Converted","7 Certification / Enterprise opportunity",IF($S499="Application Started","7 Certification / Enterprise opportunity",IF($S499="Meeting Booked","6 Meeting / Application",IF(OR($S499="Interested",$S499="Info Requested"),"5 Interested",IF(OR($S499="Declined",$S499="Not Relevant"),"0 Closed - no",IF($R499="Yes","4 Contacted",IF($N499="Yes","2 Engaged",IF($M499="Yes","1 Awareness",IF($AA499&gt;=60,"3 Qualified","1 Awareness"))))))))))</f>
        <v/>
      </c>
    </row>
    <row r="500" customFormat="false" ht="30" hidden="false" customHeight="true" outlineLevel="0" collapsed="false">
      <c r="A500" s="36"/>
      <c r="B500" s="37"/>
      <c r="C500" s="37"/>
      <c r="D500" s="37"/>
      <c r="E500" s="37"/>
      <c r="F500" s="37"/>
      <c r="G500" s="37"/>
      <c r="H500" s="37"/>
      <c r="I500" s="37"/>
      <c r="J500" s="47"/>
      <c r="K500" s="41" t="str">
        <f aca="false">IF(J500="","",IF(J500&gt;=8,"Yes","Check"))</f>
        <v/>
      </c>
      <c r="L500" s="38"/>
      <c r="M500" s="47"/>
      <c r="N500" s="47"/>
      <c r="O500" s="37"/>
      <c r="P500" s="38"/>
      <c r="Q500" s="42" t="str">
        <f aca="false">IF(P500="","",LEN(P500))</f>
        <v/>
      </c>
      <c r="R500" s="47"/>
      <c r="S500" s="37"/>
      <c r="T500" s="38"/>
      <c r="U500" s="43" t="str">
        <f aca="false">IF(OR(R500&lt;&gt;"Yes",A500=""),"",A500+4)</f>
        <v/>
      </c>
      <c r="V500" s="47"/>
      <c r="W500" s="38"/>
      <c r="X500" s="38"/>
      <c r="Y500" s="44"/>
      <c r="Z500" s="44"/>
      <c r="AA500" s="45" t="str">
        <f aca="false">IF(AND($Y500="",$Z500=""),"",ROUND(IFERROR(VALUE(LEFT($Y500,1)),0)*12+IFERROR(VALUE(LEFT($Z500,1)),0)*8,0))</f>
        <v/>
      </c>
      <c r="AB500" s="45" t="str">
        <f aca="false">IF($AA500="","",IF($AA500&gt;=80,"A - call first",IF($AA500&gt;=60,"B - worth pursuing",IF($AA500&gt;=40,"C - nurture","D - do not spend time here"))))</f>
        <v/>
      </c>
      <c r="AC500" s="46" t="str">
        <f aca="false">IF($C500="","",IF($S500="Converted","7 Certification / Enterprise opportunity",IF($S500="Application Started","7 Certification / Enterprise opportunity",IF($S500="Meeting Booked","6 Meeting / Application",IF(OR($S500="Interested",$S500="Info Requested"),"5 Interested",IF(OR($S500="Declined",$S500="Not Relevant"),"0 Closed - no",IF($R500="Yes","4 Contacted",IF($N500="Yes","2 Engaged",IF($M500="Yes","1 Awareness",IF($AA500&gt;=60,"3 Qualified","1 Awareness"))))))))))</f>
        <v/>
      </c>
    </row>
    <row r="501" customFormat="false" ht="30" hidden="false" customHeight="true" outlineLevel="0" collapsed="false">
      <c r="A501" s="36"/>
      <c r="B501" s="37"/>
      <c r="C501" s="37"/>
      <c r="D501" s="37"/>
      <c r="E501" s="37"/>
      <c r="F501" s="37"/>
      <c r="G501" s="37"/>
      <c r="H501" s="37"/>
      <c r="I501" s="37"/>
      <c r="J501" s="47"/>
      <c r="K501" s="41" t="str">
        <f aca="false">IF(J501="","",IF(J501&gt;=8,"Yes","Check"))</f>
        <v/>
      </c>
      <c r="L501" s="38"/>
      <c r="M501" s="47"/>
      <c r="N501" s="47"/>
      <c r="O501" s="37"/>
      <c r="P501" s="38"/>
      <c r="Q501" s="42" t="str">
        <f aca="false">IF(P501="","",LEN(P501))</f>
        <v/>
      </c>
      <c r="R501" s="47"/>
      <c r="S501" s="37"/>
      <c r="T501" s="38"/>
      <c r="U501" s="43" t="str">
        <f aca="false">IF(OR(R501&lt;&gt;"Yes",A501=""),"",A501+4)</f>
        <v/>
      </c>
      <c r="V501" s="47"/>
      <c r="W501" s="38"/>
      <c r="X501" s="38"/>
      <c r="Y501" s="44"/>
      <c r="Z501" s="44"/>
      <c r="AA501" s="45" t="str">
        <f aca="false">IF(AND($Y501="",$Z501=""),"",ROUND(IFERROR(VALUE(LEFT($Y501,1)),0)*12+IFERROR(VALUE(LEFT($Z501,1)),0)*8,0))</f>
        <v/>
      </c>
      <c r="AB501" s="45" t="str">
        <f aca="false">IF($AA501="","",IF($AA501&gt;=80,"A - call first",IF($AA501&gt;=60,"B - worth pursuing",IF($AA501&gt;=40,"C - nurture","D - do not spend time here"))))</f>
        <v/>
      </c>
      <c r="AC501" s="46" t="str">
        <f aca="false">IF($C501="","",IF($S501="Converted","7 Certification / Enterprise opportunity",IF($S501="Application Started","7 Certification / Enterprise opportunity",IF($S501="Meeting Booked","6 Meeting / Application",IF(OR($S501="Interested",$S501="Info Requested"),"5 Interested",IF(OR($S501="Declined",$S501="Not Relevant"),"0 Closed - no",IF($R501="Yes","4 Contacted",IF($N501="Yes","2 Engaged",IF($M501="Yes","1 Awareness",IF($AA501&gt;=60,"3 Qualified","1 Awareness"))))))))))</f>
        <v/>
      </c>
    </row>
    <row r="502" customFormat="false" ht="30" hidden="false" customHeight="true" outlineLevel="0" collapsed="false">
      <c r="A502" s="36"/>
      <c r="B502" s="37"/>
      <c r="C502" s="37"/>
      <c r="D502" s="37"/>
      <c r="E502" s="37"/>
      <c r="F502" s="37"/>
      <c r="G502" s="37"/>
      <c r="H502" s="37"/>
      <c r="I502" s="37"/>
      <c r="J502" s="47"/>
      <c r="K502" s="41" t="str">
        <f aca="false">IF(J502="","",IF(J502&gt;=8,"Yes","Check"))</f>
        <v/>
      </c>
      <c r="L502" s="38"/>
      <c r="M502" s="47"/>
      <c r="N502" s="47"/>
      <c r="O502" s="37"/>
      <c r="P502" s="38"/>
      <c r="Q502" s="42" t="str">
        <f aca="false">IF(P502="","",LEN(P502))</f>
        <v/>
      </c>
      <c r="R502" s="47"/>
      <c r="S502" s="37"/>
      <c r="T502" s="38"/>
      <c r="U502" s="43" t="str">
        <f aca="false">IF(OR(R502&lt;&gt;"Yes",A502=""),"",A502+4)</f>
        <v/>
      </c>
      <c r="V502" s="47"/>
      <c r="W502" s="38"/>
      <c r="X502" s="38"/>
      <c r="Y502" s="44"/>
      <c r="Z502" s="44"/>
      <c r="AA502" s="45" t="str">
        <f aca="false">IF(AND($Y502="",$Z502=""),"",ROUND(IFERROR(VALUE(LEFT($Y502,1)),0)*12+IFERROR(VALUE(LEFT($Z502,1)),0)*8,0))</f>
        <v/>
      </c>
      <c r="AB502" s="45" t="str">
        <f aca="false">IF($AA502="","",IF($AA502&gt;=80,"A - call first",IF($AA502&gt;=60,"B - worth pursuing",IF($AA502&gt;=40,"C - nurture","D - do not spend time here"))))</f>
        <v/>
      </c>
      <c r="AC502" s="46" t="str">
        <f aca="false">IF($C502="","",IF($S502="Converted","7 Certification / Enterprise opportunity",IF($S502="Application Started","7 Certification / Enterprise opportunity",IF($S502="Meeting Booked","6 Meeting / Application",IF(OR($S502="Interested",$S502="Info Requested"),"5 Interested",IF(OR($S502="Declined",$S502="Not Relevant"),"0 Closed - no",IF($R502="Yes","4 Contacted",IF($N502="Yes","2 Engaged",IF($M502="Yes","1 Awareness",IF($AA502&gt;=60,"3 Qualified","1 Awareness"))))))))))</f>
        <v/>
      </c>
    </row>
    <row r="503" customFormat="false" ht="30" hidden="false" customHeight="true" outlineLevel="0" collapsed="false">
      <c r="A503" s="36"/>
      <c r="B503" s="37"/>
      <c r="C503" s="37"/>
      <c r="D503" s="37"/>
      <c r="E503" s="37"/>
      <c r="F503" s="37"/>
      <c r="G503" s="37"/>
      <c r="H503" s="37"/>
      <c r="I503" s="37"/>
      <c r="J503" s="47"/>
      <c r="K503" s="41" t="str">
        <f aca="false">IF(J503="","",IF(J503&gt;=8,"Yes","Check"))</f>
        <v/>
      </c>
      <c r="L503" s="38"/>
      <c r="M503" s="47"/>
      <c r="N503" s="47"/>
      <c r="O503" s="37"/>
      <c r="P503" s="38"/>
      <c r="Q503" s="42" t="str">
        <f aca="false">IF(P503="","",LEN(P503))</f>
        <v/>
      </c>
      <c r="R503" s="47"/>
      <c r="S503" s="37"/>
      <c r="T503" s="38"/>
      <c r="U503" s="43" t="str">
        <f aca="false">IF(OR(R503&lt;&gt;"Yes",A503=""),"",A503+4)</f>
        <v/>
      </c>
      <c r="V503" s="47"/>
      <c r="W503" s="38"/>
      <c r="X503" s="38"/>
      <c r="Y503" s="44"/>
      <c r="Z503" s="44"/>
      <c r="AA503" s="45" t="str">
        <f aca="false">IF(AND($Y503="",$Z503=""),"",ROUND(IFERROR(VALUE(LEFT($Y503,1)),0)*12+IFERROR(VALUE(LEFT($Z503,1)),0)*8,0))</f>
        <v/>
      </c>
      <c r="AB503" s="45" t="str">
        <f aca="false">IF($AA503="","",IF($AA503&gt;=80,"A - call first",IF($AA503&gt;=60,"B - worth pursuing",IF($AA503&gt;=40,"C - nurture","D - do not spend time here"))))</f>
        <v/>
      </c>
      <c r="AC503" s="46" t="str">
        <f aca="false">IF($C503="","",IF($S503="Converted","7 Certification / Enterprise opportunity",IF($S503="Application Started","7 Certification / Enterprise opportunity",IF($S503="Meeting Booked","6 Meeting / Application",IF(OR($S503="Interested",$S503="Info Requested"),"5 Interested",IF(OR($S503="Declined",$S503="Not Relevant"),"0 Closed - no",IF($R503="Yes","4 Contacted",IF($N503="Yes","2 Engaged",IF($M503="Yes","1 Awareness",IF($AA503&gt;=60,"3 Qualified","1 Awareness"))))))))))</f>
        <v/>
      </c>
    </row>
    <row r="504" customFormat="false" ht="30" hidden="false" customHeight="true" outlineLevel="0" collapsed="false">
      <c r="A504" s="36"/>
      <c r="B504" s="37"/>
      <c r="C504" s="37"/>
      <c r="D504" s="37"/>
      <c r="E504" s="37"/>
      <c r="F504" s="37"/>
      <c r="G504" s="37"/>
      <c r="H504" s="37"/>
      <c r="I504" s="37"/>
      <c r="J504" s="47"/>
      <c r="K504" s="41" t="str">
        <f aca="false">IF(J504="","",IF(J504&gt;=8,"Yes","Check"))</f>
        <v/>
      </c>
      <c r="L504" s="38"/>
      <c r="M504" s="47"/>
      <c r="N504" s="47"/>
      <c r="O504" s="37"/>
      <c r="P504" s="38"/>
      <c r="Q504" s="42" t="str">
        <f aca="false">IF(P504="","",LEN(P504))</f>
        <v/>
      </c>
      <c r="R504" s="47"/>
      <c r="S504" s="37"/>
      <c r="T504" s="38"/>
      <c r="U504" s="43" t="str">
        <f aca="false">IF(OR(R504&lt;&gt;"Yes",A504=""),"",A504+4)</f>
        <v/>
      </c>
      <c r="V504" s="47"/>
      <c r="W504" s="38"/>
      <c r="X504" s="38"/>
      <c r="Y504" s="44"/>
      <c r="Z504" s="44"/>
      <c r="AA504" s="45" t="str">
        <f aca="false">IF(AND($Y504="",$Z504=""),"",ROUND(IFERROR(VALUE(LEFT($Y504,1)),0)*12+IFERROR(VALUE(LEFT($Z504,1)),0)*8,0))</f>
        <v/>
      </c>
      <c r="AB504" s="45" t="str">
        <f aca="false">IF($AA504="","",IF($AA504&gt;=80,"A - call first",IF($AA504&gt;=60,"B - worth pursuing",IF($AA504&gt;=40,"C - nurture","D - do not spend time here"))))</f>
        <v/>
      </c>
      <c r="AC504" s="46" t="str">
        <f aca="false">IF($C504="","",IF($S504="Converted","7 Certification / Enterprise opportunity",IF($S504="Application Started","7 Certification / Enterprise opportunity",IF($S504="Meeting Booked","6 Meeting / Application",IF(OR($S504="Interested",$S504="Info Requested"),"5 Interested",IF(OR($S504="Declined",$S504="Not Relevant"),"0 Closed - no",IF($R504="Yes","4 Contacted",IF($N504="Yes","2 Engaged",IF($M504="Yes","1 Awareness",IF($AA504&gt;=60,"3 Qualified","1 Awareness"))))))))))</f>
        <v/>
      </c>
    </row>
    <row r="505" customFormat="false" ht="30" hidden="false" customHeight="true" outlineLevel="0" collapsed="false">
      <c r="A505" s="36"/>
      <c r="B505" s="37"/>
      <c r="C505" s="37"/>
      <c r="D505" s="37"/>
      <c r="E505" s="37"/>
      <c r="F505" s="37"/>
      <c r="G505" s="37"/>
      <c r="H505" s="37"/>
      <c r="I505" s="37"/>
      <c r="J505" s="47"/>
      <c r="K505" s="41" t="str">
        <f aca="false">IF(J505="","",IF(J505&gt;=8,"Yes","Check"))</f>
        <v/>
      </c>
      <c r="L505" s="38"/>
      <c r="M505" s="47"/>
      <c r="N505" s="47"/>
      <c r="O505" s="37"/>
      <c r="P505" s="38"/>
      <c r="Q505" s="42" t="str">
        <f aca="false">IF(P505="","",LEN(P505))</f>
        <v/>
      </c>
      <c r="R505" s="47"/>
      <c r="S505" s="37"/>
      <c r="T505" s="38"/>
      <c r="U505" s="43" t="str">
        <f aca="false">IF(OR(R505&lt;&gt;"Yes",A505=""),"",A505+4)</f>
        <v/>
      </c>
      <c r="V505" s="47"/>
      <c r="W505" s="38"/>
      <c r="X505" s="38"/>
      <c r="Y505" s="44"/>
      <c r="Z505" s="44"/>
      <c r="AA505" s="45" t="str">
        <f aca="false">IF(AND($Y505="",$Z505=""),"",ROUND(IFERROR(VALUE(LEFT($Y505,1)),0)*12+IFERROR(VALUE(LEFT($Z505,1)),0)*8,0))</f>
        <v/>
      </c>
      <c r="AB505" s="45" t="str">
        <f aca="false">IF($AA505="","",IF($AA505&gt;=80,"A - call first",IF($AA505&gt;=60,"B - worth pursuing",IF($AA505&gt;=40,"C - nurture","D - do not spend time here"))))</f>
        <v/>
      </c>
      <c r="AC505" s="46" t="str">
        <f aca="false">IF($C505="","",IF($S505="Converted","7 Certification / Enterprise opportunity",IF($S505="Application Started","7 Certification / Enterprise opportunity",IF($S505="Meeting Booked","6 Meeting / Application",IF(OR($S505="Interested",$S505="Info Requested"),"5 Interested",IF(OR($S505="Declined",$S505="Not Relevant"),"0 Closed - no",IF($R505="Yes","4 Contacted",IF($N505="Yes","2 Engaged",IF($M505="Yes","1 Awareness",IF($AA505&gt;=60,"3 Qualified","1 Awareness"))))))))))</f>
        <v/>
      </c>
    </row>
    <row r="506" customFormat="false" ht="30" hidden="false" customHeight="true" outlineLevel="0" collapsed="false">
      <c r="A506" s="36"/>
      <c r="B506" s="37"/>
      <c r="C506" s="37"/>
      <c r="D506" s="37"/>
      <c r="E506" s="37"/>
      <c r="F506" s="37"/>
      <c r="G506" s="37"/>
      <c r="H506" s="37"/>
      <c r="I506" s="37"/>
      <c r="J506" s="47"/>
      <c r="K506" s="41" t="str">
        <f aca="false">IF(J506="","",IF(J506&gt;=8,"Yes","Check"))</f>
        <v/>
      </c>
      <c r="L506" s="38"/>
      <c r="M506" s="47"/>
      <c r="N506" s="47"/>
      <c r="O506" s="37"/>
      <c r="P506" s="38"/>
      <c r="Q506" s="42" t="str">
        <f aca="false">IF(P506="","",LEN(P506))</f>
        <v/>
      </c>
      <c r="R506" s="47"/>
      <c r="S506" s="37"/>
      <c r="T506" s="38"/>
      <c r="U506" s="43" t="str">
        <f aca="false">IF(OR(R506&lt;&gt;"Yes",A506=""),"",A506+4)</f>
        <v/>
      </c>
      <c r="V506" s="47"/>
      <c r="W506" s="38"/>
      <c r="X506" s="38"/>
      <c r="Y506" s="44"/>
      <c r="Z506" s="44"/>
      <c r="AA506" s="45" t="str">
        <f aca="false">IF(AND($Y506="",$Z506=""),"",ROUND(IFERROR(VALUE(LEFT($Y506,1)),0)*12+IFERROR(VALUE(LEFT($Z506,1)),0)*8,0))</f>
        <v/>
      </c>
      <c r="AB506" s="45" t="str">
        <f aca="false">IF($AA506="","",IF($AA506&gt;=80,"A - call first",IF($AA506&gt;=60,"B - worth pursuing",IF($AA506&gt;=40,"C - nurture","D - do not spend time here"))))</f>
        <v/>
      </c>
      <c r="AC506" s="46" t="str">
        <f aca="false">IF($C506="","",IF($S506="Converted","7 Certification / Enterprise opportunity",IF($S506="Application Started","7 Certification / Enterprise opportunity",IF($S506="Meeting Booked","6 Meeting / Application",IF(OR($S506="Interested",$S506="Info Requested"),"5 Interested",IF(OR($S506="Declined",$S506="Not Relevant"),"0 Closed - no",IF($R506="Yes","4 Contacted",IF($N506="Yes","2 Engaged",IF($M506="Yes","1 Awareness",IF($AA506&gt;=60,"3 Qualified","1 Awareness"))))))))))</f>
        <v/>
      </c>
    </row>
    <row r="507" customFormat="false" ht="30" hidden="false" customHeight="true" outlineLevel="0" collapsed="false">
      <c r="A507" s="36"/>
      <c r="B507" s="37"/>
      <c r="C507" s="37"/>
      <c r="D507" s="37"/>
      <c r="E507" s="37"/>
      <c r="F507" s="37"/>
      <c r="G507" s="37"/>
      <c r="H507" s="37"/>
      <c r="I507" s="37"/>
      <c r="J507" s="47"/>
      <c r="K507" s="41" t="str">
        <f aca="false">IF(J507="","",IF(J507&gt;=8,"Yes","Check"))</f>
        <v/>
      </c>
      <c r="L507" s="38"/>
      <c r="M507" s="47"/>
      <c r="N507" s="47"/>
      <c r="O507" s="37"/>
      <c r="P507" s="38"/>
      <c r="Q507" s="42" t="str">
        <f aca="false">IF(P507="","",LEN(P507))</f>
        <v/>
      </c>
      <c r="R507" s="47"/>
      <c r="S507" s="37"/>
      <c r="T507" s="38"/>
      <c r="U507" s="43" t="str">
        <f aca="false">IF(OR(R507&lt;&gt;"Yes",A507=""),"",A507+4)</f>
        <v/>
      </c>
      <c r="V507" s="47"/>
      <c r="W507" s="38"/>
      <c r="X507" s="38"/>
      <c r="Y507" s="44"/>
      <c r="Z507" s="44"/>
      <c r="AA507" s="45" t="str">
        <f aca="false">IF(AND($Y507="",$Z507=""),"",ROUND(IFERROR(VALUE(LEFT($Y507,1)),0)*12+IFERROR(VALUE(LEFT($Z507,1)),0)*8,0))</f>
        <v/>
      </c>
      <c r="AB507" s="45" t="str">
        <f aca="false">IF($AA507="","",IF($AA507&gt;=80,"A - call first",IF($AA507&gt;=60,"B - worth pursuing",IF($AA507&gt;=40,"C - nurture","D - do not spend time here"))))</f>
        <v/>
      </c>
      <c r="AC507" s="46" t="str">
        <f aca="false">IF($C507="","",IF($S507="Converted","7 Certification / Enterprise opportunity",IF($S507="Application Started","7 Certification / Enterprise opportunity",IF($S507="Meeting Booked","6 Meeting / Application",IF(OR($S507="Interested",$S507="Info Requested"),"5 Interested",IF(OR($S507="Declined",$S507="Not Relevant"),"0 Closed - no",IF($R507="Yes","4 Contacted",IF($N507="Yes","2 Engaged",IF($M507="Yes","1 Awareness",IF($AA507&gt;=60,"3 Qualified","1 Awareness"))))))))))</f>
        <v/>
      </c>
    </row>
    <row r="508" customFormat="false" ht="30" hidden="false" customHeight="true" outlineLevel="0" collapsed="false">
      <c r="A508" s="36"/>
      <c r="B508" s="37"/>
      <c r="C508" s="37"/>
      <c r="D508" s="37"/>
      <c r="E508" s="37"/>
      <c r="F508" s="37"/>
      <c r="G508" s="37"/>
      <c r="H508" s="37"/>
      <c r="I508" s="37"/>
      <c r="J508" s="47"/>
      <c r="K508" s="41" t="str">
        <f aca="false">IF(J508="","",IF(J508&gt;=8,"Yes","Check"))</f>
        <v/>
      </c>
      <c r="L508" s="38"/>
      <c r="M508" s="47"/>
      <c r="N508" s="47"/>
      <c r="O508" s="37"/>
      <c r="P508" s="38"/>
      <c r="Q508" s="42" t="str">
        <f aca="false">IF(P508="","",LEN(P508))</f>
        <v/>
      </c>
      <c r="R508" s="47"/>
      <c r="S508" s="37"/>
      <c r="T508" s="38"/>
      <c r="U508" s="43" t="str">
        <f aca="false">IF(OR(R508&lt;&gt;"Yes",A508=""),"",A508+4)</f>
        <v/>
      </c>
      <c r="V508" s="47"/>
      <c r="W508" s="38"/>
      <c r="X508" s="38"/>
      <c r="Y508" s="44"/>
      <c r="Z508" s="44"/>
      <c r="AA508" s="45" t="str">
        <f aca="false">IF(AND($Y508="",$Z508=""),"",ROUND(IFERROR(VALUE(LEFT($Y508,1)),0)*12+IFERROR(VALUE(LEFT($Z508,1)),0)*8,0))</f>
        <v/>
      </c>
      <c r="AB508" s="45" t="str">
        <f aca="false">IF($AA508="","",IF($AA508&gt;=80,"A - call first",IF($AA508&gt;=60,"B - worth pursuing",IF($AA508&gt;=40,"C - nurture","D - do not spend time here"))))</f>
        <v/>
      </c>
      <c r="AC508" s="46" t="str">
        <f aca="false">IF($C508="","",IF($S508="Converted","7 Certification / Enterprise opportunity",IF($S508="Application Started","7 Certification / Enterprise opportunity",IF($S508="Meeting Booked","6 Meeting / Application",IF(OR($S508="Interested",$S508="Info Requested"),"5 Interested",IF(OR($S508="Declined",$S508="Not Relevant"),"0 Closed - no",IF($R508="Yes","4 Contacted",IF($N508="Yes","2 Engaged",IF($M508="Yes","1 Awareness",IF($AA508&gt;=60,"3 Qualified","1 Awareness"))))))))))</f>
        <v/>
      </c>
    </row>
    <row r="509" customFormat="false" ht="30" hidden="false" customHeight="true" outlineLevel="0" collapsed="false">
      <c r="A509" s="36"/>
      <c r="B509" s="37"/>
      <c r="C509" s="37"/>
      <c r="D509" s="37"/>
      <c r="E509" s="37"/>
      <c r="F509" s="37"/>
      <c r="G509" s="37"/>
      <c r="H509" s="37"/>
      <c r="I509" s="37"/>
      <c r="J509" s="47"/>
      <c r="K509" s="41" t="str">
        <f aca="false">IF(J509="","",IF(J509&gt;=8,"Yes","Check"))</f>
        <v/>
      </c>
      <c r="L509" s="38"/>
      <c r="M509" s="47"/>
      <c r="N509" s="47"/>
      <c r="O509" s="37"/>
      <c r="P509" s="38"/>
      <c r="Q509" s="42" t="str">
        <f aca="false">IF(P509="","",LEN(P509))</f>
        <v/>
      </c>
      <c r="R509" s="47"/>
      <c r="S509" s="37"/>
      <c r="T509" s="38"/>
      <c r="U509" s="43" t="str">
        <f aca="false">IF(OR(R509&lt;&gt;"Yes",A509=""),"",A509+4)</f>
        <v/>
      </c>
      <c r="V509" s="47"/>
      <c r="W509" s="38"/>
      <c r="X509" s="38"/>
      <c r="Y509" s="44"/>
      <c r="Z509" s="44"/>
      <c r="AA509" s="45" t="str">
        <f aca="false">IF(AND($Y509="",$Z509=""),"",ROUND(IFERROR(VALUE(LEFT($Y509,1)),0)*12+IFERROR(VALUE(LEFT($Z509,1)),0)*8,0))</f>
        <v/>
      </c>
      <c r="AB509" s="45" t="str">
        <f aca="false">IF($AA509="","",IF($AA509&gt;=80,"A - call first",IF($AA509&gt;=60,"B - worth pursuing",IF($AA509&gt;=40,"C - nurture","D - do not spend time here"))))</f>
        <v/>
      </c>
      <c r="AC509" s="46" t="str">
        <f aca="false">IF($C509="","",IF($S509="Converted","7 Certification / Enterprise opportunity",IF($S509="Application Started","7 Certification / Enterprise opportunity",IF($S509="Meeting Booked","6 Meeting / Application",IF(OR($S509="Interested",$S509="Info Requested"),"5 Interested",IF(OR($S509="Declined",$S509="Not Relevant"),"0 Closed - no",IF($R509="Yes","4 Contacted",IF($N509="Yes","2 Engaged",IF($M509="Yes","1 Awareness",IF($AA509&gt;=60,"3 Qualified","1 Awareness"))))))))))</f>
        <v/>
      </c>
    </row>
    <row r="510" customFormat="false" ht="30" hidden="false" customHeight="true" outlineLevel="0" collapsed="false">
      <c r="A510" s="36"/>
      <c r="B510" s="37"/>
      <c r="C510" s="37"/>
      <c r="D510" s="37"/>
      <c r="E510" s="37"/>
      <c r="F510" s="37"/>
      <c r="G510" s="37"/>
      <c r="H510" s="37"/>
      <c r="I510" s="37"/>
      <c r="J510" s="47"/>
      <c r="K510" s="41" t="str">
        <f aca="false">IF(J510="","",IF(J510&gt;=8,"Yes","Check"))</f>
        <v/>
      </c>
      <c r="L510" s="38"/>
      <c r="M510" s="47"/>
      <c r="N510" s="47"/>
      <c r="O510" s="37"/>
      <c r="P510" s="38"/>
      <c r="Q510" s="42" t="str">
        <f aca="false">IF(P510="","",LEN(P510))</f>
        <v/>
      </c>
      <c r="R510" s="47"/>
      <c r="S510" s="37"/>
      <c r="T510" s="38"/>
      <c r="U510" s="43" t="str">
        <f aca="false">IF(OR(R510&lt;&gt;"Yes",A510=""),"",A510+4)</f>
        <v/>
      </c>
      <c r="V510" s="47"/>
      <c r="W510" s="38"/>
      <c r="X510" s="38"/>
      <c r="Y510" s="44"/>
      <c r="Z510" s="44"/>
      <c r="AA510" s="45" t="str">
        <f aca="false">IF(AND($Y510="",$Z510=""),"",ROUND(IFERROR(VALUE(LEFT($Y510,1)),0)*12+IFERROR(VALUE(LEFT($Z510,1)),0)*8,0))</f>
        <v/>
      </c>
      <c r="AB510" s="45" t="str">
        <f aca="false">IF($AA510="","",IF($AA510&gt;=80,"A - call first",IF($AA510&gt;=60,"B - worth pursuing",IF($AA510&gt;=40,"C - nurture","D - do not spend time here"))))</f>
        <v/>
      </c>
      <c r="AC510" s="46" t="str">
        <f aca="false">IF($C510="","",IF($S510="Converted","7 Certification / Enterprise opportunity",IF($S510="Application Started","7 Certification / Enterprise opportunity",IF($S510="Meeting Booked","6 Meeting / Application",IF(OR($S510="Interested",$S510="Info Requested"),"5 Interested",IF(OR($S510="Declined",$S510="Not Relevant"),"0 Closed - no",IF($R510="Yes","4 Contacted",IF($N510="Yes","2 Engaged",IF($M510="Yes","1 Awareness",IF($AA510&gt;=60,"3 Qualified","1 Awareness"))))))))))</f>
        <v/>
      </c>
    </row>
    <row r="511" customFormat="false" ht="30" hidden="false" customHeight="true" outlineLevel="0" collapsed="false">
      <c r="A511" s="36"/>
      <c r="B511" s="37"/>
      <c r="C511" s="37"/>
      <c r="D511" s="37"/>
      <c r="E511" s="37"/>
      <c r="F511" s="37"/>
      <c r="G511" s="37"/>
      <c r="H511" s="37"/>
      <c r="I511" s="37"/>
      <c r="J511" s="47"/>
      <c r="K511" s="41" t="str">
        <f aca="false">IF(J511="","",IF(J511&gt;=8,"Yes","Check"))</f>
        <v/>
      </c>
      <c r="L511" s="38"/>
      <c r="M511" s="47"/>
      <c r="N511" s="47"/>
      <c r="O511" s="37"/>
      <c r="P511" s="38"/>
      <c r="Q511" s="42" t="str">
        <f aca="false">IF(P511="","",LEN(P511))</f>
        <v/>
      </c>
      <c r="R511" s="47"/>
      <c r="S511" s="37"/>
      <c r="T511" s="38"/>
      <c r="U511" s="43" t="str">
        <f aca="false">IF(OR(R511&lt;&gt;"Yes",A511=""),"",A511+4)</f>
        <v/>
      </c>
      <c r="V511" s="47"/>
      <c r="W511" s="38"/>
      <c r="X511" s="38"/>
      <c r="Y511" s="44"/>
      <c r="Z511" s="44"/>
      <c r="AA511" s="45" t="str">
        <f aca="false">IF(AND($Y511="",$Z511=""),"",ROUND(IFERROR(VALUE(LEFT($Y511,1)),0)*12+IFERROR(VALUE(LEFT($Z511,1)),0)*8,0))</f>
        <v/>
      </c>
      <c r="AB511" s="45" t="str">
        <f aca="false">IF($AA511="","",IF($AA511&gt;=80,"A - call first",IF($AA511&gt;=60,"B - worth pursuing",IF($AA511&gt;=40,"C - nurture","D - do not spend time here"))))</f>
        <v/>
      </c>
      <c r="AC511" s="46" t="str">
        <f aca="false">IF($C511="","",IF($S511="Converted","7 Certification / Enterprise opportunity",IF($S511="Application Started","7 Certification / Enterprise opportunity",IF($S511="Meeting Booked","6 Meeting / Application",IF(OR($S511="Interested",$S511="Info Requested"),"5 Interested",IF(OR($S511="Declined",$S511="Not Relevant"),"0 Closed - no",IF($R511="Yes","4 Contacted",IF($N511="Yes","2 Engaged",IF($M511="Yes","1 Awareness",IF($AA511&gt;=60,"3 Qualified","1 Awareness"))))))))))</f>
        <v/>
      </c>
    </row>
    <row r="512" customFormat="false" ht="30" hidden="false" customHeight="true" outlineLevel="0" collapsed="false">
      <c r="A512" s="36"/>
      <c r="B512" s="37"/>
      <c r="C512" s="37"/>
      <c r="D512" s="37"/>
      <c r="E512" s="37"/>
      <c r="F512" s="37"/>
      <c r="G512" s="37"/>
      <c r="H512" s="37"/>
      <c r="I512" s="37"/>
      <c r="J512" s="47"/>
      <c r="K512" s="41" t="str">
        <f aca="false">IF(J512="","",IF(J512&gt;=8,"Yes","Check"))</f>
        <v/>
      </c>
      <c r="L512" s="38"/>
      <c r="M512" s="47"/>
      <c r="N512" s="47"/>
      <c r="O512" s="37"/>
      <c r="P512" s="38"/>
      <c r="Q512" s="42" t="str">
        <f aca="false">IF(P512="","",LEN(P512))</f>
        <v/>
      </c>
      <c r="R512" s="47"/>
      <c r="S512" s="37"/>
      <c r="T512" s="38"/>
      <c r="U512" s="43" t="str">
        <f aca="false">IF(OR(R512&lt;&gt;"Yes",A512=""),"",A512+4)</f>
        <v/>
      </c>
      <c r="V512" s="47"/>
      <c r="W512" s="38"/>
      <c r="X512" s="38"/>
      <c r="Y512" s="44"/>
      <c r="Z512" s="44"/>
      <c r="AA512" s="45" t="str">
        <f aca="false">IF(AND($Y512="",$Z512=""),"",ROUND(IFERROR(VALUE(LEFT($Y512,1)),0)*12+IFERROR(VALUE(LEFT($Z512,1)),0)*8,0))</f>
        <v/>
      </c>
      <c r="AB512" s="45" t="str">
        <f aca="false">IF($AA512="","",IF($AA512&gt;=80,"A - call first",IF($AA512&gt;=60,"B - worth pursuing",IF($AA512&gt;=40,"C - nurture","D - do not spend time here"))))</f>
        <v/>
      </c>
      <c r="AC512" s="46" t="str">
        <f aca="false">IF($C512="","",IF($S512="Converted","7 Certification / Enterprise opportunity",IF($S512="Application Started","7 Certification / Enterprise opportunity",IF($S512="Meeting Booked","6 Meeting / Application",IF(OR($S512="Interested",$S512="Info Requested"),"5 Interested",IF(OR($S512="Declined",$S512="Not Relevant"),"0 Closed - no",IF($R512="Yes","4 Contacted",IF($N512="Yes","2 Engaged",IF($M512="Yes","1 Awareness",IF($AA512&gt;=60,"3 Qualified","1 Awareness"))))))))))</f>
        <v/>
      </c>
    </row>
    <row r="513" customFormat="false" ht="30" hidden="false" customHeight="true" outlineLevel="0" collapsed="false">
      <c r="A513" s="36"/>
      <c r="B513" s="37"/>
      <c r="C513" s="37"/>
      <c r="D513" s="37"/>
      <c r="E513" s="37"/>
      <c r="F513" s="37"/>
      <c r="G513" s="37"/>
      <c r="H513" s="37"/>
      <c r="I513" s="37"/>
      <c r="J513" s="47"/>
      <c r="K513" s="41" t="str">
        <f aca="false">IF(J513="","",IF(J513&gt;=8,"Yes","Check"))</f>
        <v/>
      </c>
      <c r="L513" s="38"/>
      <c r="M513" s="47"/>
      <c r="N513" s="47"/>
      <c r="O513" s="37"/>
      <c r="P513" s="38"/>
      <c r="Q513" s="42" t="str">
        <f aca="false">IF(P513="","",LEN(P513))</f>
        <v/>
      </c>
      <c r="R513" s="47"/>
      <c r="S513" s="37"/>
      <c r="T513" s="38"/>
      <c r="U513" s="43" t="str">
        <f aca="false">IF(OR(R513&lt;&gt;"Yes",A513=""),"",A513+4)</f>
        <v/>
      </c>
      <c r="V513" s="47"/>
      <c r="W513" s="38"/>
      <c r="X513" s="38"/>
      <c r="Y513" s="44"/>
      <c r="Z513" s="44"/>
      <c r="AA513" s="45" t="str">
        <f aca="false">IF(AND($Y513="",$Z513=""),"",ROUND(IFERROR(VALUE(LEFT($Y513,1)),0)*12+IFERROR(VALUE(LEFT($Z513,1)),0)*8,0))</f>
        <v/>
      </c>
      <c r="AB513" s="45" t="str">
        <f aca="false">IF($AA513="","",IF($AA513&gt;=80,"A - call first",IF($AA513&gt;=60,"B - worth pursuing",IF($AA513&gt;=40,"C - nurture","D - do not spend time here"))))</f>
        <v/>
      </c>
      <c r="AC513" s="46" t="str">
        <f aca="false">IF($C513="","",IF($S513="Converted","7 Certification / Enterprise opportunity",IF($S513="Application Started","7 Certification / Enterprise opportunity",IF($S513="Meeting Booked","6 Meeting / Application",IF(OR($S513="Interested",$S513="Info Requested"),"5 Interested",IF(OR($S513="Declined",$S513="Not Relevant"),"0 Closed - no",IF($R513="Yes","4 Contacted",IF($N513="Yes","2 Engaged",IF($M513="Yes","1 Awareness",IF($AA513&gt;=60,"3 Qualified","1 Awareness"))))))))))</f>
        <v/>
      </c>
    </row>
    <row r="514" customFormat="false" ht="30" hidden="false" customHeight="true" outlineLevel="0" collapsed="false">
      <c r="A514" s="36"/>
      <c r="B514" s="37"/>
      <c r="C514" s="37"/>
      <c r="D514" s="37"/>
      <c r="E514" s="37"/>
      <c r="F514" s="37"/>
      <c r="G514" s="37"/>
      <c r="H514" s="37"/>
      <c r="I514" s="37"/>
      <c r="J514" s="47"/>
      <c r="K514" s="41" t="str">
        <f aca="false">IF(J514="","",IF(J514&gt;=8,"Yes","Check"))</f>
        <v/>
      </c>
      <c r="L514" s="38"/>
      <c r="M514" s="47"/>
      <c r="N514" s="47"/>
      <c r="O514" s="37"/>
      <c r="P514" s="38"/>
      <c r="Q514" s="42" t="str">
        <f aca="false">IF(P514="","",LEN(P514))</f>
        <v/>
      </c>
      <c r="R514" s="47"/>
      <c r="S514" s="37"/>
      <c r="T514" s="38"/>
      <c r="U514" s="43" t="str">
        <f aca="false">IF(OR(R514&lt;&gt;"Yes",A514=""),"",A514+4)</f>
        <v/>
      </c>
      <c r="V514" s="47"/>
      <c r="W514" s="38"/>
      <c r="X514" s="38"/>
      <c r="Y514" s="44"/>
      <c r="Z514" s="44"/>
      <c r="AA514" s="45" t="str">
        <f aca="false">IF(AND($Y514="",$Z514=""),"",ROUND(IFERROR(VALUE(LEFT($Y514,1)),0)*12+IFERROR(VALUE(LEFT($Z514,1)),0)*8,0))</f>
        <v/>
      </c>
      <c r="AB514" s="45" t="str">
        <f aca="false">IF($AA514="","",IF($AA514&gt;=80,"A - call first",IF($AA514&gt;=60,"B - worth pursuing",IF($AA514&gt;=40,"C - nurture","D - do not spend time here"))))</f>
        <v/>
      </c>
      <c r="AC514" s="46" t="str">
        <f aca="false">IF($C514="","",IF($S514="Converted","7 Certification / Enterprise opportunity",IF($S514="Application Started","7 Certification / Enterprise opportunity",IF($S514="Meeting Booked","6 Meeting / Application",IF(OR($S514="Interested",$S514="Info Requested"),"5 Interested",IF(OR($S514="Declined",$S514="Not Relevant"),"0 Closed - no",IF($R514="Yes","4 Contacted",IF($N514="Yes","2 Engaged",IF($M514="Yes","1 Awareness",IF($AA514&gt;=60,"3 Qualified","1 Awareness"))))))))))</f>
        <v/>
      </c>
    </row>
    <row r="515" customFormat="false" ht="30" hidden="false" customHeight="true" outlineLevel="0" collapsed="false">
      <c r="A515" s="36"/>
      <c r="B515" s="37"/>
      <c r="C515" s="37"/>
      <c r="D515" s="37"/>
      <c r="E515" s="37"/>
      <c r="F515" s="37"/>
      <c r="G515" s="37"/>
      <c r="H515" s="37"/>
      <c r="I515" s="37"/>
      <c r="J515" s="47"/>
      <c r="K515" s="41" t="str">
        <f aca="false">IF(J515="","",IF(J515&gt;=8,"Yes","Check"))</f>
        <v/>
      </c>
      <c r="L515" s="38"/>
      <c r="M515" s="47"/>
      <c r="N515" s="47"/>
      <c r="O515" s="37"/>
      <c r="P515" s="38"/>
      <c r="Q515" s="42" t="str">
        <f aca="false">IF(P515="","",LEN(P515))</f>
        <v/>
      </c>
      <c r="R515" s="47"/>
      <c r="S515" s="37"/>
      <c r="T515" s="38"/>
      <c r="U515" s="43" t="str">
        <f aca="false">IF(OR(R515&lt;&gt;"Yes",A515=""),"",A515+4)</f>
        <v/>
      </c>
      <c r="V515" s="47"/>
      <c r="W515" s="38"/>
      <c r="X515" s="38"/>
      <c r="Y515" s="44"/>
      <c r="Z515" s="44"/>
      <c r="AA515" s="45" t="str">
        <f aca="false">IF(AND($Y515="",$Z515=""),"",ROUND(IFERROR(VALUE(LEFT($Y515,1)),0)*12+IFERROR(VALUE(LEFT($Z515,1)),0)*8,0))</f>
        <v/>
      </c>
      <c r="AB515" s="45" t="str">
        <f aca="false">IF($AA515="","",IF($AA515&gt;=80,"A - call first",IF($AA515&gt;=60,"B - worth pursuing",IF($AA515&gt;=40,"C - nurture","D - do not spend time here"))))</f>
        <v/>
      </c>
      <c r="AC515" s="46" t="str">
        <f aca="false">IF($C515="","",IF($S515="Converted","7 Certification / Enterprise opportunity",IF($S515="Application Started","7 Certification / Enterprise opportunity",IF($S515="Meeting Booked","6 Meeting / Application",IF(OR($S515="Interested",$S515="Info Requested"),"5 Interested",IF(OR($S515="Declined",$S515="Not Relevant"),"0 Closed - no",IF($R515="Yes","4 Contacted",IF($N515="Yes","2 Engaged",IF($M515="Yes","1 Awareness",IF($AA515&gt;=60,"3 Qualified","1 Awareness"))))))))))</f>
        <v/>
      </c>
    </row>
    <row r="516" customFormat="false" ht="30" hidden="false" customHeight="true" outlineLevel="0" collapsed="false">
      <c r="A516" s="36"/>
      <c r="B516" s="37"/>
      <c r="C516" s="37"/>
      <c r="D516" s="37"/>
      <c r="E516" s="37"/>
      <c r="F516" s="37"/>
      <c r="G516" s="37"/>
      <c r="H516" s="37"/>
      <c r="I516" s="37"/>
      <c r="J516" s="47"/>
      <c r="K516" s="41" t="str">
        <f aca="false">IF(J516="","",IF(J516&gt;=8,"Yes","Check"))</f>
        <v/>
      </c>
      <c r="L516" s="38"/>
      <c r="M516" s="47"/>
      <c r="N516" s="47"/>
      <c r="O516" s="37"/>
      <c r="P516" s="38"/>
      <c r="Q516" s="42" t="str">
        <f aca="false">IF(P516="","",LEN(P516))</f>
        <v/>
      </c>
      <c r="R516" s="47"/>
      <c r="S516" s="37"/>
      <c r="T516" s="38"/>
      <c r="U516" s="43" t="str">
        <f aca="false">IF(OR(R516&lt;&gt;"Yes",A516=""),"",A516+4)</f>
        <v/>
      </c>
      <c r="V516" s="47"/>
      <c r="W516" s="38"/>
      <c r="X516" s="38"/>
      <c r="Y516" s="44"/>
      <c r="Z516" s="44"/>
      <c r="AA516" s="45" t="str">
        <f aca="false">IF(AND($Y516="",$Z516=""),"",ROUND(IFERROR(VALUE(LEFT($Y516,1)),0)*12+IFERROR(VALUE(LEFT($Z516,1)),0)*8,0))</f>
        <v/>
      </c>
      <c r="AB516" s="45" t="str">
        <f aca="false">IF($AA516="","",IF($AA516&gt;=80,"A - call first",IF($AA516&gt;=60,"B - worth pursuing",IF($AA516&gt;=40,"C - nurture","D - do not spend time here"))))</f>
        <v/>
      </c>
      <c r="AC516" s="46" t="str">
        <f aca="false">IF($C516="","",IF($S516="Converted","7 Certification / Enterprise opportunity",IF($S516="Application Started","7 Certification / Enterprise opportunity",IF($S516="Meeting Booked","6 Meeting / Application",IF(OR($S516="Interested",$S516="Info Requested"),"5 Interested",IF(OR($S516="Declined",$S516="Not Relevant"),"0 Closed - no",IF($R516="Yes","4 Contacted",IF($N516="Yes","2 Engaged",IF($M516="Yes","1 Awareness",IF($AA516&gt;=60,"3 Qualified","1 Awareness"))))))))))</f>
        <v/>
      </c>
    </row>
    <row r="517" customFormat="false" ht="30" hidden="false" customHeight="true" outlineLevel="0" collapsed="false">
      <c r="A517" s="36"/>
      <c r="B517" s="37"/>
      <c r="C517" s="37"/>
      <c r="D517" s="37"/>
      <c r="E517" s="37"/>
      <c r="F517" s="37"/>
      <c r="G517" s="37"/>
      <c r="H517" s="37"/>
      <c r="I517" s="37"/>
      <c r="J517" s="47"/>
      <c r="K517" s="41" t="str">
        <f aca="false">IF(J517="","",IF(J517&gt;=8,"Yes","Check"))</f>
        <v/>
      </c>
      <c r="L517" s="38"/>
      <c r="M517" s="47"/>
      <c r="N517" s="47"/>
      <c r="O517" s="37"/>
      <c r="P517" s="38"/>
      <c r="Q517" s="42" t="str">
        <f aca="false">IF(P517="","",LEN(P517))</f>
        <v/>
      </c>
      <c r="R517" s="47"/>
      <c r="S517" s="37"/>
      <c r="T517" s="38"/>
      <c r="U517" s="43" t="str">
        <f aca="false">IF(OR(R517&lt;&gt;"Yes",A517=""),"",A517+4)</f>
        <v/>
      </c>
      <c r="V517" s="47"/>
      <c r="W517" s="38"/>
      <c r="X517" s="38"/>
      <c r="Y517" s="44"/>
      <c r="Z517" s="44"/>
      <c r="AA517" s="45" t="str">
        <f aca="false">IF(AND($Y517="",$Z517=""),"",ROUND(IFERROR(VALUE(LEFT($Y517,1)),0)*12+IFERROR(VALUE(LEFT($Z517,1)),0)*8,0))</f>
        <v/>
      </c>
      <c r="AB517" s="45" t="str">
        <f aca="false">IF($AA517="","",IF($AA517&gt;=80,"A - call first",IF($AA517&gt;=60,"B - worth pursuing",IF($AA517&gt;=40,"C - nurture","D - do not spend time here"))))</f>
        <v/>
      </c>
      <c r="AC517" s="46" t="str">
        <f aca="false">IF($C517="","",IF($S517="Converted","7 Certification / Enterprise opportunity",IF($S517="Application Started","7 Certification / Enterprise opportunity",IF($S517="Meeting Booked","6 Meeting / Application",IF(OR($S517="Interested",$S517="Info Requested"),"5 Interested",IF(OR($S517="Declined",$S517="Not Relevant"),"0 Closed - no",IF($R517="Yes","4 Contacted",IF($N517="Yes","2 Engaged",IF($M517="Yes","1 Awareness",IF($AA517&gt;=60,"3 Qualified","1 Awareness"))))))))))</f>
        <v/>
      </c>
    </row>
    <row r="518" customFormat="false" ht="30" hidden="false" customHeight="true" outlineLevel="0" collapsed="false">
      <c r="A518" s="36"/>
      <c r="B518" s="37"/>
      <c r="C518" s="37"/>
      <c r="D518" s="37"/>
      <c r="E518" s="37"/>
      <c r="F518" s="37"/>
      <c r="G518" s="37"/>
      <c r="H518" s="37"/>
      <c r="I518" s="37"/>
      <c r="J518" s="47"/>
      <c r="K518" s="41" t="str">
        <f aca="false">IF(J518="","",IF(J518&gt;=8,"Yes","Check"))</f>
        <v/>
      </c>
      <c r="L518" s="38"/>
      <c r="M518" s="47"/>
      <c r="N518" s="47"/>
      <c r="O518" s="37"/>
      <c r="P518" s="38"/>
      <c r="Q518" s="42" t="str">
        <f aca="false">IF(P518="","",LEN(P518))</f>
        <v/>
      </c>
      <c r="R518" s="47"/>
      <c r="S518" s="37"/>
      <c r="T518" s="38"/>
      <c r="U518" s="43" t="str">
        <f aca="false">IF(OR(R518&lt;&gt;"Yes",A518=""),"",A518+4)</f>
        <v/>
      </c>
      <c r="V518" s="47"/>
      <c r="W518" s="38"/>
      <c r="X518" s="38"/>
      <c r="Y518" s="44"/>
      <c r="Z518" s="44"/>
      <c r="AA518" s="45" t="str">
        <f aca="false">IF(AND($Y518="",$Z518=""),"",ROUND(IFERROR(VALUE(LEFT($Y518,1)),0)*12+IFERROR(VALUE(LEFT($Z518,1)),0)*8,0))</f>
        <v/>
      </c>
      <c r="AB518" s="45" t="str">
        <f aca="false">IF($AA518="","",IF($AA518&gt;=80,"A - call first",IF($AA518&gt;=60,"B - worth pursuing",IF($AA518&gt;=40,"C - nurture","D - do not spend time here"))))</f>
        <v/>
      </c>
      <c r="AC518" s="46" t="str">
        <f aca="false">IF($C518="","",IF($S518="Converted","7 Certification / Enterprise opportunity",IF($S518="Application Started","7 Certification / Enterprise opportunity",IF($S518="Meeting Booked","6 Meeting / Application",IF(OR($S518="Interested",$S518="Info Requested"),"5 Interested",IF(OR($S518="Declined",$S518="Not Relevant"),"0 Closed - no",IF($R518="Yes","4 Contacted",IF($N518="Yes","2 Engaged",IF($M518="Yes","1 Awareness",IF($AA518&gt;=60,"3 Qualified","1 Awareness"))))))))))</f>
        <v/>
      </c>
    </row>
    <row r="519" customFormat="false" ht="30" hidden="false" customHeight="true" outlineLevel="0" collapsed="false">
      <c r="A519" s="36"/>
      <c r="B519" s="37"/>
      <c r="C519" s="37"/>
      <c r="D519" s="37"/>
      <c r="E519" s="37"/>
      <c r="F519" s="37"/>
      <c r="G519" s="37"/>
      <c r="H519" s="37"/>
      <c r="I519" s="37"/>
      <c r="J519" s="47"/>
      <c r="K519" s="41" t="str">
        <f aca="false">IF(J519="","",IF(J519&gt;=8,"Yes","Check"))</f>
        <v/>
      </c>
      <c r="L519" s="38"/>
      <c r="M519" s="47"/>
      <c r="N519" s="47"/>
      <c r="O519" s="37"/>
      <c r="P519" s="38"/>
      <c r="Q519" s="42" t="str">
        <f aca="false">IF(P519="","",LEN(P519))</f>
        <v/>
      </c>
      <c r="R519" s="47"/>
      <c r="S519" s="37"/>
      <c r="T519" s="38"/>
      <c r="U519" s="43" t="str">
        <f aca="false">IF(OR(R519&lt;&gt;"Yes",A519=""),"",A519+4)</f>
        <v/>
      </c>
      <c r="V519" s="47"/>
      <c r="W519" s="38"/>
      <c r="X519" s="38"/>
      <c r="Y519" s="44"/>
      <c r="Z519" s="44"/>
      <c r="AA519" s="45" t="str">
        <f aca="false">IF(AND($Y519="",$Z519=""),"",ROUND(IFERROR(VALUE(LEFT($Y519,1)),0)*12+IFERROR(VALUE(LEFT($Z519,1)),0)*8,0))</f>
        <v/>
      </c>
      <c r="AB519" s="45" t="str">
        <f aca="false">IF($AA519="","",IF($AA519&gt;=80,"A - call first",IF($AA519&gt;=60,"B - worth pursuing",IF($AA519&gt;=40,"C - nurture","D - do not spend time here"))))</f>
        <v/>
      </c>
      <c r="AC519" s="46" t="str">
        <f aca="false">IF($C519="","",IF($S519="Converted","7 Certification / Enterprise opportunity",IF($S519="Application Started","7 Certification / Enterprise opportunity",IF($S519="Meeting Booked","6 Meeting / Application",IF(OR($S519="Interested",$S519="Info Requested"),"5 Interested",IF(OR($S519="Declined",$S519="Not Relevant"),"0 Closed - no",IF($R519="Yes","4 Contacted",IF($N519="Yes","2 Engaged",IF($M519="Yes","1 Awareness",IF($AA519&gt;=60,"3 Qualified","1 Awareness"))))))))))</f>
        <v/>
      </c>
    </row>
    <row r="520" customFormat="false" ht="30" hidden="false" customHeight="true" outlineLevel="0" collapsed="false">
      <c r="A520" s="36"/>
      <c r="B520" s="37"/>
      <c r="C520" s="37"/>
      <c r="D520" s="37"/>
      <c r="E520" s="37"/>
      <c r="F520" s="37"/>
      <c r="G520" s="37"/>
      <c r="H520" s="37"/>
      <c r="I520" s="37"/>
      <c r="J520" s="47"/>
      <c r="K520" s="41" t="str">
        <f aca="false">IF(J520="","",IF(J520&gt;=8,"Yes","Check"))</f>
        <v/>
      </c>
      <c r="L520" s="38"/>
      <c r="M520" s="47"/>
      <c r="N520" s="47"/>
      <c r="O520" s="37"/>
      <c r="P520" s="38"/>
      <c r="Q520" s="42" t="str">
        <f aca="false">IF(P520="","",LEN(P520))</f>
        <v/>
      </c>
      <c r="R520" s="47"/>
      <c r="S520" s="37"/>
      <c r="T520" s="38"/>
      <c r="U520" s="43" t="str">
        <f aca="false">IF(OR(R520&lt;&gt;"Yes",A520=""),"",A520+4)</f>
        <v/>
      </c>
      <c r="V520" s="47"/>
      <c r="W520" s="38"/>
      <c r="X520" s="38"/>
      <c r="Y520" s="44"/>
      <c r="Z520" s="44"/>
      <c r="AA520" s="45" t="str">
        <f aca="false">IF(AND($Y520="",$Z520=""),"",ROUND(IFERROR(VALUE(LEFT($Y520,1)),0)*12+IFERROR(VALUE(LEFT($Z520,1)),0)*8,0))</f>
        <v/>
      </c>
      <c r="AB520" s="45" t="str">
        <f aca="false">IF($AA520="","",IF($AA520&gt;=80,"A - call first",IF($AA520&gt;=60,"B - worth pursuing",IF($AA520&gt;=40,"C - nurture","D - do not spend time here"))))</f>
        <v/>
      </c>
      <c r="AC520" s="46" t="str">
        <f aca="false">IF($C520="","",IF($S520="Converted","7 Certification / Enterprise opportunity",IF($S520="Application Started","7 Certification / Enterprise opportunity",IF($S520="Meeting Booked","6 Meeting / Application",IF(OR($S520="Interested",$S520="Info Requested"),"5 Interested",IF(OR($S520="Declined",$S520="Not Relevant"),"0 Closed - no",IF($R520="Yes","4 Contacted",IF($N520="Yes","2 Engaged",IF($M520="Yes","1 Awareness",IF($AA520&gt;=60,"3 Qualified","1 Awareness"))))))))))</f>
        <v/>
      </c>
    </row>
    <row r="521" customFormat="false" ht="30" hidden="false" customHeight="true" outlineLevel="0" collapsed="false">
      <c r="A521" s="36"/>
      <c r="B521" s="37"/>
      <c r="C521" s="37"/>
      <c r="D521" s="37"/>
      <c r="E521" s="37"/>
      <c r="F521" s="37"/>
      <c r="G521" s="37"/>
      <c r="H521" s="37"/>
      <c r="I521" s="37"/>
      <c r="J521" s="47"/>
      <c r="K521" s="41" t="str">
        <f aca="false">IF(J521="","",IF(J521&gt;=8,"Yes","Check"))</f>
        <v/>
      </c>
      <c r="L521" s="38"/>
      <c r="M521" s="47"/>
      <c r="N521" s="47"/>
      <c r="O521" s="37"/>
      <c r="P521" s="38"/>
      <c r="Q521" s="42" t="str">
        <f aca="false">IF(P521="","",LEN(P521))</f>
        <v/>
      </c>
      <c r="R521" s="47"/>
      <c r="S521" s="37"/>
      <c r="T521" s="38"/>
      <c r="U521" s="43" t="str">
        <f aca="false">IF(OR(R521&lt;&gt;"Yes",A521=""),"",A521+4)</f>
        <v/>
      </c>
      <c r="V521" s="47"/>
      <c r="W521" s="38"/>
      <c r="X521" s="38"/>
      <c r="Y521" s="44"/>
      <c r="Z521" s="44"/>
      <c r="AA521" s="45" t="str">
        <f aca="false">IF(AND($Y521="",$Z521=""),"",ROUND(IFERROR(VALUE(LEFT($Y521,1)),0)*12+IFERROR(VALUE(LEFT($Z521,1)),0)*8,0))</f>
        <v/>
      </c>
      <c r="AB521" s="45" t="str">
        <f aca="false">IF($AA521="","",IF($AA521&gt;=80,"A - call first",IF($AA521&gt;=60,"B - worth pursuing",IF($AA521&gt;=40,"C - nurture","D - do not spend time here"))))</f>
        <v/>
      </c>
      <c r="AC521" s="46" t="str">
        <f aca="false">IF($C521="","",IF($S521="Converted","7 Certification / Enterprise opportunity",IF($S521="Application Started","7 Certification / Enterprise opportunity",IF($S521="Meeting Booked","6 Meeting / Application",IF(OR($S521="Interested",$S521="Info Requested"),"5 Interested",IF(OR($S521="Declined",$S521="Not Relevant"),"0 Closed - no",IF($R521="Yes","4 Contacted",IF($N521="Yes","2 Engaged",IF($M521="Yes","1 Awareness",IF($AA521&gt;=60,"3 Qualified","1 Awareness"))))))))))</f>
        <v/>
      </c>
    </row>
    <row r="522" customFormat="false" ht="30" hidden="false" customHeight="true" outlineLevel="0" collapsed="false">
      <c r="A522" s="36"/>
      <c r="B522" s="37"/>
      <c r="C522" s="37"/>
      <c r="D522" s="37"/>
      <c r="E522" s="37"/>
      <c r="F522" s="37"/>
      <c r="G522" s="37"/>
      <c r="H522" s="37"/>
      <c r="I522" s="37"/>
      <c r="J522" s="47"/>
      <c r="K522" s="41" t="str">
        <f aca="false">IF(J522="","",IF(J522&gt;=8,"Yes","Check"))</f>
        <v/>
      </c>
      <c r="L522" s="38"/>
      <c r="M522" s="47"/>
      <c r="N522" s="47"/>
      <c r="O522" s="37"/>
      <c r="P522" s="38"/>
      <c r="Q522" s="42" t="str">
        <f aca="false">IF(P522="","",LEN(P522))</f>
        <v/>
      </c>
      <c r="R522" s="47"/>
      <c r="S522" s="37"/>
      <c r="T522" s="38"/>
      <c r="U522" s="43" t="str">
        <f aca="false">IF(OR(R522&lt;&gt;"Yes",A522=""),"",A522+4)</f>
        <v/>
      </c>
      <c r="V522" s="47"/>
      <c r="W522" s="38"/>
      <c r="X522" s="38"/>
      <c r="Y522" s="44"/>
      <c r="Z522" s="44"/>
      <c r="AA522" s="45" t="str">
        <f aca="false">IF(AND($Y522="",$Z522=""),"",ROUND(IFERROR(VALUE(LEFT($Y522,1)),0)*12+IFERROR(VALUE(LEFT($Z522,1)),0)*8,0))</f>
        <v/>
      </c>
      <c r="AB522" s="45" t="str">
        <f aca="false">IF($AA522="","",IF($AA522&gt;=80,"A - call first",IF($AA522&gt;=60,"B - worth pursuing",IF($AA522&gt;=40,"C - nurture","D - do not spend time here"))))</f>
        <v/>
      </c>
      <c r="AC522" s="46" t="str">
        <f aca="false">IF($C522="","",IF($S522="Converted","7 Certification / Enterprise opportunity",IF($S522="Application Started","7 Certification / Enterprise opportunity",IF($S522="Meeting Booked","6 Meeting / Application",IF(OR($S522="Interested",$S522="Info Requested"),"5 Interested",IF(OR($S522="Declined",$S522="Not Relevant"),"0 Closed - no",IF($R522="Yes","4 Contacted",IF($N522="Yes","2 Engaged",IF($M522="Yes","1 Awareness",IF($AA522&gt;=60,"3 Qualified","1 Awareness"))))))))))</f>
        <v/>
      </c>
    </row>
    <row r="523" customFormat="false" ht="30" hidden="false" customHeight="true" outlineLevel="0" collapsed="false">
      <c r="A523" s="36"/>
      <c r="B523" s="37"/>
      <c r="C523" s="37"/>
      <c r="D523" s="37"/>
      <c r="E523" s="37"/>
      <c r="F523" s="37"/>
      <c r="G523" s="37"/>
      <c r="H523" s="37"/>
      <c r="I523" s="37"/>
      <c r="J523" s="47"/>
      <c r="K523" s="41" t="str">
        <f aca="false">IF(J523="","",IF(J523&gt;=8,"Yes","Check"))</f>
        <v/>
      </c>
      <c r="L523" s="38"/>
      <c r="M523" s="47"/>
      <c r="N523" s="47"/>
      <c r="O523" s="37"/>
      <c r="P523" s="38"/>
      <c r="Q523" s="42" t="str">
        <f aca="false">IF(P523="","",LEN(P523))</f>
        <v/>
      </c>
      <c r="R523" s="47"/>
      <c r="S523" s="37"/>
      <c r="T523" s="38"/>
      <c r="U523" s="43" t="str">
        <f aca="false">IF(OR(R523&lt;&gt;"Yes",A523=""),"",A523+4)</f>
        <v/>
      </c>
      <c r="V523" s="47"/>
      <c r="W523" s="38"/>
      <c r="X523" s="38"/>
      <c r="Y523" s="44"/>
      <c r="Z523" s="44"/>
      <c r="AA523" s="45" t="str">
        <f aca="false">IF(AND($Y523="",$Z523=""),"",ROUND(IFERROR(VALUE(LEFT($Y523,1)),0)*12+IFERROR(VALUE(LEFT($Z523,1)),0)*8,0))</f>
        <v/>
      </c>
      <c r="AB523" s="45" t="str">
        <f aca="false">IF($AA523="","",IF($AA523&gt;=80,"A - call first",IF($AA523&gt;=60,"B - worth pursuing",IF($AA523&gt;=40,"C - nurture","D - do not spend time here"))))</f>
        <v/>
      </c>
      <c r="AC523" s="46" t="str">
        <f aca="false">IF($C523="","",IF($S523="Converted","7 Certification / Enterprise opportunity",IF($S523="Application Started","7 Certification / Enterprise opportunity",IF($S523="Meeting Booked","6 Meeting / Application",IF(OR($S523="Interested",$S523="Info Requested"),"5 Interested",IF(OR($S523="Declined",$S523="Not Relevant"),"0 Closed - no",IF($R523="Yes","4 Contacted",IF($N523="Yes","2 Engaged",IF($M523="Yes","1 Awareness",IF($AA523&gt;=60,"3 Qualified","1 Awareness"))))))))))</f>
        <v/>
      </c>
    </row>
    <row r="524" customFormat="false" ht="30" hidden="false" customHeight="true" outlineLevel="0" collapsed="false">
      <c r="A524" s="36"/>
      <c r="B524" s="37"/>
      <c r="C524" s="37"/>
      <c r="D524" s="37"/>
      <c r="E524" s="37"/>
      <c r="F524" s="37"/>
      <c r="G524" s="37"/>
      <c r="H524" s="37"/>
      <c r="I524" s="37"/>
      <c r="J524" s="47"/>
      <c r="K524" s="41" t="str">
        <f aca="false">IF(J524="","",IF(J524&gt;=8,"Yes","Check"))</f>
        <v/>
      </c>
      <c r="L524" s="38"/>
      <c r="M524" s="47"/>
      <c r="N524" s="47"/>
      <c r="O524" s="37"/>
      <c r="P524" s="38"/>
      <c r="Q524" s="42" t="str">
        <f aca="false">IF(P524="","",LEN(P524))</f>
        <v/>
      </c>
      <c r="R524" s="47"/>
      <c r="S524" s="37"/>
      <c r="T524" s="38"/>
      <c r="U524" s="43" t="str">
        <f aca="false">IF(OR(R524&lt;&gt;"Yes",A524=""),"",A524+4)</f>
        <v/>
      </c>
      <c r="V524" s="47"/>
      <c r="W524" s="38"/>
      <c r="X524" s="38"/>
      <c r="Y524" s="44"/>
      <c r="Z524" s="44"/>
      <c r="AA524" s="45" t="str">
        <f aca="false">IF(AND($Y524="",$Z524=""),"",ROUND(IFERROR(VALUE(LEFT($Y524,1)),0)*12+IFERROR(VALUE(LEFT($Z524,1)),0)*8,0))</f>
        <v/>
      </c>
      <c r="AB524" s="45" t="str">
        <f aca="false">IF($AA524="","",IF($AA524&gt;=80,"A - call first",IF($AA524&gt;=60,"B - worth pursuing",IF($AA524&gt;=40,"C - nurture","D - do not spend time here"))))</f>
        <v/>
      </c>
      <c r="AC524" s="46" t="str">
        <f aca="false">IF($C524="","",IF($S524="Converted","7 Certification / Enterprise opportunity",IF($S524="Application Started","7 Certification / Enterprise opportunity",IF($S524="Meeting Booked","6 Meeting / Application",IF(OR($S524="Interested",$S524="Info Requested"),"5 Interested",IF(OR($S524="Declined",$S524="Not Relevant"),"0 Closed - no",IF($R524="Yes","4 Contacted",IF($N524="Yes","2 Engaged",IF($M524="Yes","1 Awareness",IF($AA524&gt;=60,"3 Qualified","1 Awareness"))))))))))</f>
        <v/>
      </c>
    </row>
    <row r="525" customFormat="false" ht="30" hidden="false" customHeight="true" outlineLevel="0" collapsed="false">
      <c r="A525" s="36"/>
      <c r="B525" s="37"/>
      <c r="C525" s="37"/>
      <c r="D525" s="37"/>
      <c r="E525" s="37"/>
      <c r="F525" s="37"/>
      <c r="G525" s="37"/>
      <c r="H525" s="37"/>
      <c r="I525" s="37"/>
      <c r="J525" s="47"/>
      <c r="K525" s="41" t="str">
        <f aca="false">IF(J525="","",IF(J525&gt;=8,"Yes","Check"))</f>
        <v/>
      </c>
      <c r="L525" s="38"/>
      <c r="M525" s="47"/>
      <c r="N525" s="47"/>
      <c r="O525" s="37"/>
      <c r="P525" s="38"/>
      <c r="Q525" s="42" t="str">
        <f aca="false">IF(P525="","",LEN(P525))</f>
        <v/>
      </c>
      <c r="R525" s="47"/>
      <c r="S525" s="37"/>
      <c r="T525" s="38"/>
      <c r="U525" s="43" t="str">
        <f aca="false">IF(OR(R525&lt;&gt;"Yes",A525=""),"",A525+4)</f>
        <v/>
      </c>
      <c r="V525" s="47"/>
      <c r="W525" s="38"/>
      <c r="X525" s="38"/>
      <c r="Y525" s="44"/>
      <c r="Z525" s="44"/>
      <c r="AA525" s="45" t="str">
        <f aca="false">IF(AND($Y525="",$Z525=""),"",ROUND(IFERROR(VALUE(LEFT($Y525,1)),0)*12+IFERROR(VALUE(LEFT($Z525,1)),0)*8,0))</f>
        <v/>
      </c>
      <c r="AB525" s="45" t="str">
        <f aca="false">IF($AA525="","",IF($AA525&gt;=80,"A - call first",IF($AA525&gt;=60,"B - worth pursuing",IF($AA525&gt;=40,"C - nurture","D - do not spend time here"))))</f>
        <v/>
      </c>
      <c r="AC525" s="46" t="str">
        <f aca="false">IF($C525="","",IF($S525="Converted","7 Certification / Enterprise opportunity",IF($S525="Application Started","7 Certification / Enterprise opportunity",IF($S525="Meeting Booked","6 Meeting / Application",IF(OR($S525="Interested",$S525="Info Requested"),"5 Interested",IF(OR($S525="Declined",$S525="Not Relevant"),"0 Closed - no",IF($R525="Yes","4 Contacted",IF($N525="Yes","2 Engaged",IF($M525="Yes","1 Awareness",IF($AA525&gt;=60,"3 Qualified","1 Awareness"))))))))))</f>
        <v/>
      </c>
    </row>
    <row r="526" customFormat="false" ht="30" hidden="false" customHeight="true" outlineLevel="0" collapsed="false">
      <c r="A526" s="36"/>
      <c r="B526" s="37"/>
      <c r="C526" s="37"/>
      <c r="D526" s="37"/>
      <c r="E526" s="37"/>
      <c r="F526" s="37"/>
      <c r="G526" s="37"/>
      <c r="H526" s="37"/>
      <c r="I526" s="37"/>
      <c r="J526" s="47"/>
      <c r="K526" s="41" t="str">
        <f aca="false">IF(J526="","",IF(J526&gt;=8,"Yes","Check"))</f>
        <v/>
      </c>
      <c r="L526" s="38"/>
      <c r="M526" s="47"/>
      <c r="N526" s="47"/>
      <c r="O526" s="37"/>
      <c r="P526" s="38"/>
      <c r="Q526" s="42" t="str">
        <f aca="false">IF(P526="","",LEN(P526))</f>
        <v/>
      </c>
      <c r="R526" s="47"/>
      <c r="S526" s="37"/>
      <c r="T526" s="38"/>
      <c r="U526" s="43" t="str">
        <f aca="false">IF(OR(R526&lt;&gt;"Yes",A526=""),"",A526+4)</f>
        <v/>
      </c>
      <c r="V526" s="47"/>
      <c r="W526" s="38"/>
      <c r="X526" s="38"/>
      <c r="Y526" s="44"/>
      <c r="Z526" s="44"/>
      <c r="AA526" s="45" t="str">
        <f aca="false">IF(AND($Y526="",$Z526=""),"",ROUND(IFERROR(VALUE(LEFT($Y526,1)),0)*12+IFERROR(VALUE(LEFT($Z526,1)),0)*8,0))</f>
        <v/>
      </c>
      <c r="AB526" s="45" t="str">
        <f aca="false">IF($AA526="","",IF($AA526&gt;=80,"A - call first",IF($AA526&gt;=60,"B - worth pursuing",IF($AA526&gt;=40,"C - nurture","D - do not spend time here"))))</f>
        <v/>
      </c>
      <c r="AC526" s="46" t="str">
        <f aca="false">IF($C526="","",IF($S526="Converted","7 Certification / Enterprise opportunity",IF($S526="Application Started","7 Certification / Enterprise opportunity",IF($S526="Meeting Booked","6 Meeting / Application",IF(OR($S526="Interested",$S526="Info Requested"),"5 Interested",IF(OR($S526="Declined",$S526="Not Relevant"),"0 Closed - no",IF($R526="Yes","4 Contacted",IF($N526="Yes","2 Engaged",IF($M526="Yes","1 Awareness",IF($AA526&gt;=60,"3 Qualified","1 Awareness"))))))))))</f>
        <v/>
      </c>
    </row>
    <row r="527" customFormat="false" ht="30" hidden="false" customHeight="true" outlineLevel="0" collapsed="false">
      <c r="A527" s="36"/>
      <c r="B527" s="37"/>
      <c r="C527" s="37"/>
      <c r="D527" s="37"/>
      <c r="E527" s="37"/>
      <c r="F527" s="37"/>
      <c r="G527" s="37"/>
      <c r="H527" s="37"/>
      <c r="I527" s="37"/>
      <c r="J527" s="47"/>
      <c r="K527" s="41" t="str">
        <f aca="false">IF(J527="","",IF(J527&gt;=8,"Yes","Check"))</f>
        <v/>
      </c>
      <c r="L527" s="38"/>
      <c r="M527" s="47"/>
      <c r="N527" s="47"/>
      <c r="O527" s="37"/>
      <c r="P527" s="38"/>
      <c r="Q527" s="42" t="str">
        <f aca="false">IF(P527="","",LEN(P527))</f>
        <v/>
      </c>
      <c r="R527" s="47"/>
      <c r="S527" s="37"/>
      <c r="T527" s="38"/>
      <c r="U527" s="43" t="str">
        <f aca="false">IF(OR(R527&lt;&gt;"Yes",A527=""),"",A527+4)</f>
        <v/>
      </c>
      <c r="V527" s="47"/>
      <c r="W527" s="38"/>
      <c r="X527" s="38"/>
      <c r="Y527" s="44"/>
      <c r="Z527" s="44"/>
      <c r="AA527" s="45" t="str">
        <f aca="false">IF(AND($Y527="",$Z527=""),"",ROUND(IFERROR(VALUE(LEFT($Y527,1)),0)*12+IFERROR(VALUE(LEFT($Z527,1)),0)*8,0))</f>
        <v/>
      </c>
      <c r="AB527" s="45" t="str">
        <f aca="false">IF($AA527="","",IF($AA527&gt;=80,"A - call first",IF($AA527&gt;=60,"B - worth pursuing",IF($AA527&gt;=40,"C - nurture","D - do not spend time here"))))</f>
        <v/>
      </c>
      <c r="AC527" s="46" t="str">
        <f aca="false">IF($C527="","",IF($S527="Converted","7 Certification / Enterprise opportunity",IF($S527="Application Started","7 Certification / Enterprise opportunity",IF($S527="Meeting Booked","6 Meeting / Application",IF(OR($S527="Interested",$S527="Info Requested"),"5 Interested",IF(OR($S527="Declined",$S527="Not Relevant"),"0 Closed - no",IF($R527="Yes","4 Contacted",IF($N527="Yes","2 Engaged",IF($M527="Yes","1 Awareness",IF($AA527&gt;=60,"3 Qualified","1 Awareness"))))))))))</f>
        <v/>
      </c>
    </row>
    <row r="528" customFormat="false" ht="30" hidden="false" customHeight="true" outlineLevel="0" collapsed="false">
      <c r="A528" s="36"/>
      <c r="B528" s="37"/>
      <c r="C528" s="37"/>
      <c r="D528" s="37"/>
      <c r="E528" s="37"/>
      <c r="F528" s="37"/>
      <c r="G528" s="37"/>
      <c r="H528" s="37"/>
      <c r="I528" s="37"/>
      <c r="J528" s="47"/>
      <c r="K528" s="41" t="str">
        <f aca="false">IF(J528="","",IF(J528&gt;=8,"Yes","Check"))</f>
        <v/>
      </c>
      <c r="L528" s="38"/>
      <c r="M528" s="47"/>
      <c r="N528" s="47"/>
      <c r="O528" s="37"/>
      <c r="P528" s="38"/>
      <c r="Q528" s="42" t="str">
        <f aca="false">IF(P528="","",LEN(P528))</f>
        <v/>
      </c>
      <c r="R528" s="47"/>
      <c r="S528" s="37"/>
      <c r="T528" s="38"/>
      <c r="U528" s="43" t="str">
        <f aca="false">IF(OR(R528&lt;&gt;"Yes",A528=""),"",A528+4)</f>
        <v/>
      </c>
      <c r="V528" s="47"/>
      <c r="W528" s="38"/>
      <c r="X528" s="38"/>
      <c r="Y528" s="44"/>
      <c r="Z528" s="44"/>
      <c r="AA528" s="45" t="str">
        <f aca="false">IF(AND($Y528="",$Z528=""),"",ROUND(IFERROR(VALUE(LEFT($Y528,1)),0)*12+IFERROR(VALUE(LEFT($Z528,1)),0)*8,0))</f>
        <v/>
      </c>
      <c r="AB528" s="45" t="str">
        <f aca="false">IF($AA528="","",IF($AA528&gt;=80,"A - call first",IF($AA528&gt;=60,"B - worth pursuing",IF($AA528&gt;=40,"C - nurture","D - do not spend time here"))))</f>
        <v/>
      </c>
      <c r="AC528" s="46" t="str">
        <f aca="false">IF($C528="","",IF($S528="Converted","7 Certification / Enterprise opportunity",IF($S528="Application Started","7 Certification / Enterprise opportunity",IF($S528="Meeting Booked","6 Meeting / Application",IF(OR($S528="Interested",$S528="Info Requested"),"5 Interested",IF(OR($S528="Declined",$S528="Not Relevant"),"0 Closed - no",IF($R528="Yes","4 Contacted",IF($N528="Yes","2 Engaged",IF($M528="Yes","1 Awareness",IF($AA528&gt;=60,"3 Qualified","1 Awareness"))))))))))</f>
        <v/>
      </c>
    </row>
    <row r="529" customFormat="false" ht="30" hidden="false" customHeight="true" outlineLevel="0" collapsed="false">
      <c r="A529" s="36"/>
      <c r="B529" s="37"/>
      <c r="C529" s="37"/>
      <c r="D529" s="37"/>
      <c r="E529" s="37"/>
      <c r="F529" s="37"/>
      <c r="G529" s="37"/>
      <c r="H529" s="37"/>
      <c r="I529" s="37"/>
      <c r="J529" s="47"/>
      <c r="K529" s="41" t="str">
        <f aca="false">IF(J529="","",IF(J529&gt;=8,"Yes","Check"))</f>
        <v/>
      </c>
      <c r="L529" s="38"/>
      <c r="M529" s="47"/>
      <c r="N529" s="47"/>
      <c r="O529" s="37"/>
      <c r="P529" s="38"/>
      <c r="Q529" s="42" t="str">
        <f aca="false">IF(P529="","",LEN(P529))</f>
        <v/>
      </c>
      <c r="R529" s="47"/>
      <c r="S529" s="37"/>
      <c r="T529" s="38"/>
      <c r="U529" s="43" t="str">
        <f aca="false">IF(OR(R529&lt;&gt;"Yes",A529=""),"",A529+4)</f>
        <v/>
      </c>
      <c r="V529" s="47"/>
      <c r="W529" s="38"/>
      <c r="X529" s="38"/>
      <c r="Y529" s="44"/>
      <c r="Z529" s="44"/>
      <c r="AA529" s="45" t="str">
        <f aca="false">IF(AND($Y529="",$Z529=""),"",ROUND(IFERROR(VALUE(LEFT($Y529,1)),0)*12+IFERROR(VALUE(LEFT($Z529,1)),0)*8,0))</f>
        <v/>
      </c>
      <c r="AB529" s="45" t="str">
        <f aca="false">IF($AA529="","",IF($AA529&gt;=80,"A - call first",IF($AA529&gt;=60,"B - worth pursuing",IF($AA529&gt;=40,"C - nurture","D - do not spend time here"))))</f>
        <v/>
      </c>
      <c r="AC529" s="46" t="str">
        <f aca="false">IF($C529="","",IF($S529="Converted","7 Certification / Enterprise opportunity",IF($S529="Application Started","7 Certification / Enterprise opportunity",IF($S529="Meeting Booked","6 Meeting / Application",IF(OR($S529="Interested",$S529="Info Requested"),"5 Interested",IF(OR($S529="Declined",$S529="Not Relevant"),"0 Closed - no",IF($R529="Yes","4 Contacted",IF($N529="Yes","2 Engaged",IF($M529="Yes","1 Awareness",IF($AA529&gt;=60,"3 Qualified","1 Awareness"))))))))))</f>
        <v/>
      </c>
    </row>
    <row r="530" customFormat="false" ht="30" hidden="false" customHeight="true" outlineLevel="0" collapsed="false">
      <c r="A530" s="36"/>
      <c r="B530" s="37"/>
      <c r="C530" s="37"/>
      <c r="D530" s="37"/>
      <c r="E530" s="37"/>
      <c r="F530" s="37"/>
      <c r="G530" s="37"/>
      <c r="H530" s="37"/>
      <c r="I530" s="37"/>
      <c r="J530" s="47"/>
      <c r="K530" s="41" t="str">
        <f aca="false">IF(J530="","",IF(J530&gt;=8,"Yes","Check"))</f>
        <v/>
      </c>
      <c r="L530" s="38"/>
      <c r="M530" s="47"/>
      <c r="N530" s="47"/>
      <c r="O530" s="37"/>
      <c r="P530" s="38"/>
      <c r="Q530" s="42" t="str">
        <f aca="false">IF(P530="","",LEN(P530))</f>
        <v/>
      </c>
      <c r="R530" s="47"/>
      <c r="S530" s="37"/>
      <c r="T530" s="38"/>
      <c r="U530" s="43" t="str">
        <f aca="false">IF(OR(R530&lt;&gt;"Yes",A530=""),"",A530+4)</f>
        <v/>
      </c>
      <c r="V530" s="47"/>
      <c r="W530" s="38"/>
      <c r="X530" s="38"/>
      <c r="Y530" s="44"/>
      <c r="Z530" s="44"/>
      <c r="AA530" s="45" t="str">
        <f aca="false">IF(AND($Y530="",$Z530=""),"",ROUND(IFERROR(VALUE(LEFT($Y530,1)),0)*12+IFERROR(VALUE(LEFT($Z530,1)),0)*8,0))</f>
        <v/>
      </c>
      <c r="AB530" s="45" t="str">
        <f aca="false">IF($AA530="","",IF($AA530&gt;=80,"A - call first",IF($AA530&gt;=60,"B - worth pursuing",IF($AA530&gt;=40,"C - nurture","D - do not spend time here"))))</f>
        <v/>
      </c>
      <c r="AC530" s="46" t="str">
        <f aca="false">IF($C530="","",IF($S530="Converted","7 Certification / Enterprise opportunity",IF($S530="Application Started","7 Certification / Enterprise opportunity",IF($S530="Meeting Booked","6 Meeting / Application",IF(OR($S530="Interested",$S530="Info Requested"),"5 Interested",IF(OR($S530="Declined",$S530="Not Relevant"),"0 Closed - no",IF($R530="Yes","4 Contacted",IF($N530="Yes","2 Engaged",IF($M530="Yes","1 Awareness",IF($AA530&gt;=60,"3 Qualified","1 Awareness"))))))))))</f>
        <v/>
      </c>
    </row>
    <row r="531" customFormat="false" ht="30" hidden="false" customHeight="true" outlineLevel="0" collapsed="false">
      <c r="A531" s="36"/>
      <c r="B531" s="37"/>
      <c r="C531" s="37"/>
      <c r="D531" s="37"/>
      <c r="E531" s="37"/>
      <c r="F531" s="37"/>
      <c r="G531" s="37"/>
      <c r="H531" s="37"/>
      <c r="I531" s="37"/>
      <c r="J531" s="47"/>
      <c r="K531" s="41" t="str">
        <f aca="false">IF(J531="","",IF(J531&gt;=8,"Yes","Check"))</f>
        <v/>
      </c>
      <c r="L531" s="38"/>
      <c r="M531" s="47"/>
      <c r="N531" s="47"/>
      <c r="O531" s="37"/>
      <c r="P531" s="38"/>
      <c r="Q531" s="42" t="str">
        <f aca="false">IF(P531="","",LEN(P531))</f>
        <v/>
      </c>
      <c r="R531" s="47"/>
      <c r="S531" s="37"/>
      <c r="T531" s="38"/>
      <c r="U531" s="43" t="str">
        <f aca="false">IF(OR(R531&lt;&gt;"Yes",A531=""),"",A531+4)</f>
        <v/>
      </c>
      <c r="V531" s="47"/>
      <c r="W531" s="38"/>
      <c r="X531" s="38"/>
      <c r="Y531" s="44"/>
      <c r="Z531" s="44"/>
      <c r="AA531" s="45" t="str">
        <f aca="false">IF(AND($Y531="",$Z531=""),"",ROUND(IFERROR(VALUE(LEFT($Y531,1)),0)*12+IFERROR(VALUE(LEFT($Z531,1)),0)*8,0))</f>
        <v/>
      </c>
      <c r="AB531" s="45" t="str">
        <f aca="false">IF($AA531="","",IF($AA531&gt;=80,"A - call first",IF($AA531&gt;=60,"B - worth pursuing",IF($AA531&gt;=40,"C - nurture","D - do not spend time here"))))</f>
        <v/>
      </c>
      <c r="AC531" s="46" t="str">
        <f aca="false">IF($C531="","",IF($S531="Converted","7 Certification / Enterprise opportunity",IF($S531="Application Started","7 Certification / Enterprise opportunity",IF($S531="Meeting Booked","6 Meeting / Application",IF(OR($S531="Interested",$S531="Info Requested"),"5 Interested",IF(OR($S531="Declined",$S531="Not Relevant"),"0 Closed - no",IF($R531="Yes","4 Contacted",IF($N531="Yes","2 Engaged",IF($M531="Yes","1 Awareness",IF($AA531&gt;=60,"3 Qualified","1 Awareness"))))))))))</f>
        <v/>
      </c>
    </row>
    <row r="532" customFormat="false" ht="30" hidden="false" customHeight="true" outlineLevel="0" collapsed="false">
      <c r="A532" s="36"/>
      <c r="B532" s="37"/>
      <c r="C532" s="37"/>
      <c r="D532" s="37"/>
      <c r="E532" s="37"/>
      <c r="F532" s="37"/>
      <c r="G532" s="37"/>
      <c r="H532" s="37"/>
      <c r="I532" s="37"/>
      <c r="J532" s="47"/>
      <c r="K532" s="41" t="str">
        <f aca="false">IF(J532="","",IF(J532&gt;=8,"Yes","Check"))</f>
        <v/>
      </c>
      <c r="L532" s="38"/>
      <c r="M532" s="47"/>
      <c r="N532" s="47"/>
      <c r="O532" s="37"/>
      <c r="P532" s="38"/>
      <c r="Q532" s="42" t="str">
        <f aca="false">IF(P532="","",LEN(P532))</f>
        <v/>
      </c>
      <c r="R532" s="47"/>
      <c r="S532" s="37"/>
      <c r="T532" s="38"/>
      <c r="U532" s="43" t="str">
        <f aca="false">IF(OR(R532&lt;&gt;"Yes",A532=""),"",A532+4)</f>
        <v/>
      </c>
      <c r="V532" s="47"/>
      <c r="W532" s="38"/>
      <c r="X532" s="38"/>
      <c r="Y532" s="44"/>
      <c r="Z532" s="44"/>
      <c r="AA532" s="45" t="str">
        <f aca="false">IF(AND($Y532="",$Z532=""),"",ROUND(IFERROR(VALUE(LEFT($Y532,1)),0)*12+IFERROR(VALUE(LEFT($Z532,1)),0)*8,0))</f>
        <v/>
      </c>
      <c r="AB532" s="45" t="str">
        <f aca="false">IF($AA532="","",IF($AA532&gt;=80,"A - call first",IF($AA532&gt;=60,"B - worth pursuing",IF($AA532&gt;=40,"C - nurture","D - do not spend time here"))))</f>
        <v/>
      </c>
      <c r="AC532" s="46" t="str">
        <f aca="false">IF($C532="","",IF($S532="Converted","7 Certification / Enterprise opportunity",IF($S532="Application Started","7 Certification / Enterprise opportunity",IF($S532="Meeting Booked","6 Meeting / Application",IF(OR($S532="Interested",$S532="Info Requested"),"5 Interested",IF(OR($S532="Declined",$S532="Not Relevant"),"0 Closed - no",IF($R532="Yes","4 Contacted",IF($N532="Yes","2 Engaged",IF($M532="Yes","1 Awareness",IF($AA532&gt;=60,"3 Qualified","1 Awareness"))))))))))</f>
        <v/>
      </c>
    </row>
    <row r="533" customFormat="false" ht="30" hidden="false" customHeight="true" outlineLevel="0" collapsed="false">
      <c r="A533" s="36"/>
      <c r="B533" s="37"/>
      <c r="C533" s="37"/>
      <c r="D533" s="37"/>
      <c r="E533" s="37"/>
      <c r="F533" s="37"/>
      <c r="G533" s="37"/>
      <c r="H533" s="37"/>
      <c r="I533" s="37"/>
      <c r="J533" s="47"/>
      <c r="K533" s="41" t="str">
        <f aca="false">IF(J533="","",IF(J533&gt;=8,"Yes","Check"))</f>
        <v/>
      </c>
      <c r="L533" s="38"/>
      <c r="M533" s="47"/>
      <c r="N533" s="47"/>
      <c r="O533" s="37"/>
      <c r="P533" s="38"/>
      <c r="Q533" s="42" t="str">
        <f aca="false">IF(P533="","",LEN(P533))</f>
        <v/>
      </c>
      <c r="R533" s="47"/>
      <c r="S533" s="37"/>
      <c r="T533" s="38"/>
      <c r="U533" s="43" t="str">
        <f aca="false">IF(OR(R533&lt;&gt;"Yes",A533=""),"",A533+4)</f>
        <v/>
      </c>
      <c r="V533" s="47"/>
      <c r="W533" s="38"/>
      <c r="X533" s="38"/>
      <c r="Y533" s="44"/>
      <c r="Z533" s="44"/>
      <c r="AA533" s="45" t="str">
        <f aca="false">IF(AND($Y533="",$Z533=""),"",ROUND(IFERROR(VALUE(LEFT($Y533,1)),0)*12+IFERROR(VALUE(LEFT($Z533,1)),0)*8,0))</f>
        <v/>
      </c>
      <c r="AB533" s="45" t="str">
        <f aca="false">IF($AA533="","",IF($AA533&gt;=80,"A - call first",IF($AA533&gt;=60,"B - worth pursuing",IF($AA533&gt;=40,"C - nurture","D - do not spend time here"))))</f>
        <v/>
      </c>
      <c r="AC533" s="46" t="str">
        <f aca="false">IF($C533="","",IF($S533="Converted","7 Certification / Enterprise opportunity",IF($S533="Application Started","7 Certification / Enterprise opportunity",IF($S533="Meeting Booked","6 Meeting / Application",IF(OR($S533="Interested",$S533="Info Requested"),"5 Interested",IF(OR($S533="Declined",$S533="Not Relevant"),"0 Closed - no",IF($R533="Yes","4 Contacted",IF($N533="Yes","2 Engaged",IF($M533="Yes","1 Awareness",IF($AA533&gt;=60,"3 Qualified","1 Awareness"))))))))))</f>
        <v/>
      </c>
    </row>
    <row r="534" customFormat="false" ht="30" hidden="false" customHeight="true" outlineLevel="0" collapsed="false">
      <c r="A534" s="36"/>
      <c r="B534" s="37"/>
      <c r="C534" s="37"/>
      <c r="D534" s="37"/>
      <c r="E534" s="37"/>
      <c r="F534" s="37"/>
      <c r="G534" s="37"/>
      <c r="H534" s="37"/>
      <c r="I534" s="37"/>
      <c r="J534" s="47"/>
      <c r="K534" s="41" t="str">
        <f aca="false">IF(J534="","",IF(J534&gt;=8,"Yes","Check"))</f>
        <v/>
      </c>
      <c r="L534" s="38"/>
      <c r="M534" s="47"/>
      <c r="N534" s="47"/>
      <c r="O534" s="37"/>
      <c r="P534" s="38"/>
      <c r="Q534" s="42" t="str">
        <f aca="false">IF(P534="","",LEN(P534))</f>
        <v/>
      </c>
      <c r="R534" s="47"/>
      <c r="S534" s="37"/>
      <c r="T534" s="38"/>
      <c r="U534" s="43" t="str">
        <f aca="false">IF(OR(R534&lt;&gt;"Yes",A534=""),"",A534+4)</f>
        <v/>
      </c>
      <c r="V534" s="47"/>
      <c r="W534" s="38"/>
      <c r="X534" s="38"/>
      <c r="Y534" s="44"/>
      <c r="Z534" s="44"/>
      <c r="AA534" s="45" t="str">
        <f aca="false">IF(AND($Y534="",$Z534=""),"",ROUND(IFERROR(VALUE(LEFT($Y534,1)),0)*12+IFERROR(VALUE(LEFT($Z534,1)),0)*8,0))</f>
        <v/>
      </c>
      <c r="AB534" s="45" t="str">
        <f aca="false">IF($AA534="","",IF($AA534&gt;=80,"A - call first",IF($AA534&gt;=60,"B - worth pursuing",IF($AA534&gt;=40,"C - nurture","D - do not spend time here"))))</f>
        <v/>
      </c>
      <c r="AC534" s="46" t="str">
        <f aca="false">IF($C534="","",IF($S534="Converted","7 Certification / Enterprise opportunity",IF($S534="Application Started","7 Certification / Enterprise opportunity",IF($S534="Meeting Booked","6 Meeting / Application",IF(OR($S534="Interested",$S534="Info Requested"),"5 Interested",IF(OR($S534="Declined",$S534="Not Relevant"),"0 Closed - no",IF($R534="Yes","4 Contacted",IF($N534="Yes","2 Engaged",IF($M534="Yes","1 Awareness",IF($AA534&gt;=60,"3 Qualified","1 Awareness"))))))))))</f>
        <v/>
      </c>
    </row>
    <row r="535" customFormat="false" ht="30" hidden="false" customHeight="true" outlineLevel="0" collapsed="false">
      <c r="A535" s="36"/>
      <c r="B535" s="37"/>
      <c r="C535" s="37"/>
      <c r="D535" s="37"/>
      <c r="E535" s="37"/>
      <c r="F535" s="37"/>
      <c r="G535" s="37"/>
      <c r="H535" s="37"/>
      <c r="I535" s="37"/>
      <c r="J535" s="47"/>
      <c r="K535" s="41" t="str">
        <f aca="false">IF(J535="","",IF(J535&gt;=8,"Yes","Check"))</f>
        <v/>
      </c>
      <c r="L535" s="38"/>
      <c r="M535" s="47"/>
      <c r="N535" s="47"/>
      <c r="O535" s="37"/>
      <c r="P535" s="38"/>
      <c r="Q535" s="42" t="str">
        <f aca="false">IF(P535="","",LEN(P535))</f>
        <v/>
      </c>
      <c r="R535" s="47"/>
      <c r="S535" s="37"/>
      <c r="T535" s="38"/>
      <c r="U535" s="43" t="str">
        <f aca="false">IF(OR(R535&lt;&gt;"Yes",A535=""),"",A535+4)</f>
        <v/>
      </c>
      <c r="V535" s="47"/>
      <c r="W535" s="38"/>
      <c r="X535" s="38"/>
      <c r="Y535" s="44"/>
      <c r="Z535" s="44"/>
      <c r="AA535" s="45" t="str">
        <f aca="false">IF(AND($Y535="",$Z535=""),"",ROUND(IFERROR(VALUE(LEFT($Y535,1)),0)*12+IFERROR(VALUE(LEFT($Z535,1)),0)*8,0))</f>
        <v/>
      </c>
      <c r="AB535" s="45" t="str">
        <f aca="false">IF($AA535="","",IF($AA535&gt;=80,"A - call first",IF($AA535&gt;=60,"B - worth pursuing",IF($AA535&gt;=40,"C - nurture","D - do not spend time here"))))</f>
        <v/>
      </c>
      <c r="AC535" s="46" t="str">
        <f aca="false">IF($C535="","",IF($S535="Converted","7 Certification / Enterprise opportunity",IF($S535="Application Started","7 Certification / Enterprise opportunity",IF($S535="Meeting Booked","6 Meeting / Application",IF(OR($S535="Interested",$S535="Info Requested"),"5 Interested",IF(OR($S535="Declined",$S535="Not Relevant"),"0 Closed - no",IF($R535="Yes","4 Contacted",IF($N535="Yes","2 Engaged",IF($M535="Yes","1 Awareness",IF($AA535&gt;=60,"3 Qualified","1 Awareness"))))))))))</f>
        <v/>
      </c>
    </row>
    <row r="536" customFormat="false" ht="30" hidden="false" customHeight="true" outlineLevel="0" collapsed="false">
      <c r="A536" s="36"/>
      <c r="B536" s="37"/>
      <c r="C536" s="37"/>
      <c r="D536" s="37"/>
      <c r="E536" s="37"/>
      <c r="F536" s="37"/>
      <c r="G536" s="37"/>
      <c r="H536" s="37"/>
      <c r="I536" s="37"/>
      <c r="J536" s="47"/>
      <c r="K536" s="41" t="str">
        <f aca="false">IF(J536="","",IF(J536&gt;=8,"Yes","Check"))</f>
        <v/>
      </c>
      <c r="L536" s="38"/>
      <c r="M536" s="47"/>
      <c r="N536" s="47"/>
      <c r="O536" s="37"/>
      <c r="P536" s="38"/>
      <c r="Q536" s="42" t="str">
        <f aca="false">IF(P536="","",LEN(P536))</f>
        <v/>
      </c>
      <c r="R536" s="47"/>
      <c r="S536" s="37"/>
      <c r="T536" s="38"/>
      <c r="U536" s="43" t="str">
        <f aca="false">IF(OR(R536&lt;&gt;"Yes",A536=""),"",A536+4)</f>
        <v/>
      </c>
      <c r="V536" s="47"/>
      <c r="W536" s="38"/>
      <c r="X536" s="38"/>
      <c r="Y536" s="44"/>
      <c r="Z536" s="44"/>
      <c r="AA536" s="45" t="str">
        <f aca="false">IF(AND($Y536="",$Z536=""),"",ROUND(IFERROR(VALUE(LEFT($Y536,1)),0)*12+IFERROR(VALUE(LEFT($Z536,1)),0)*8,0))</f>
        <v/>
      </c>
      <c r="AB536" s="45" t="str">
        <f aca="false">IF($AA536="","",IF($AA536&gt;=80,"A - call first",IF($AA536&gt;=60,"B - worth pursuing",IF($AA536&gt;=40,"C - nurture","D - do not spend time here"))))</f>
        <v/>
      </c>
      <c r="AC536" s="46" t="str">
        <f aca="false">IF($C536="","",IF($S536="Converted","7 Certification / Enterprise opportunity",IF($S536="Application Started","7 Certification / Enterprise opportunity",IF($S536="Meeting Booked","6 Meeting / Application",IF(OR($S536="Interested",$S536="Info Requested"),"5 Interested",IF(OR($S536="Declined",$S536="Not Relevant"),"0 Closed - no",IF($R536="Yes","4 Contacted",IF($N536="Yes","2 Engaged",IF($M536="Yes","1 Awareness",IF($AA536&gt;=60,"3 Qualified","1 Awareness"))))))))))</f>
        <v/>
      </c>
    </row>
    <row r="537" customFormat="false" ht="30" hidden="false" customHeight="true" outlineLevel="0" collapsed="false">
      <c r="A537" s="36"/>
      <c r="B537" s="37"/>
      <c r="C537" s="37"/>
      <c r="D537" s="37"/>
      <c r="E537" s="37"/>
      <c r="F537" s="37"/>
      <c r="G537" s="37"/>
      <c r="H537" s="37"/>
      <c r="I537" s="37"/>
      <c r="J537" s="47"/>
      <c r="K537" s="41" t="str">
        <f aca="false">IF(J537="","",IF(J537&gt;=8,"Yes","Check"))</f>
        <v/>
      </c>
      <c r="L537" s="38"/>
      <c r="M537" s="47"/>
      <c r="N537" s="47"/>
      <c r="O537" s="37"/>
      <c r="P537" s="38"/>
      <c r="Q537" s="42" t="str">
        <f aca="false">IF(P537="","",LEN(P537))</f>
        <v/>
      </c>
      <c r="R537" s="47"/>
      <c r="S537" s="37"/>
      <c r="T537" s="38"/>
      <c r="U537" s="43" t="str">
        <f aca="false">IF(OR(R537&lt;&gt;"Yes",A537=""),"",A537+4)</f>
        <v/>
      </c>
      <c r="V537" s="47"/>
      <c r="W537" s="38"/>
      <c r="X537" s="38"/>
      <c r="Y537" s="44"/>
      <c r="Z537" s="44"/>
      <c r="AA537" s="45" t="str">
        <f aca="false">IF(AND($Y537="",$Z537=""),"",ROUND(IFERROR(VALUE(LEFT($Y537,1)),0)*12+IFERROR(VALUE(LEFT($Z537,1)),0)*8,0))</f>
        <v/>
      </c>
      <c r="AB537" s="45" t="str">
        <f aca="false">IF($AA537="","",IF($AA537&gt;=80,"A - call first",IF($AA537&gt;=60,"B - worth pursuing",IF($AA537&gt;=40,"C - nurture","D - do not spend time here"))))</f>
        <v/>
      </c>
      <c r="AC537" s="46" t="str">
        <f aca="false">IF($C537="","",IF($S537="Converted","7 Certification / Enterprise opportunity",IF($S537="Application Started","7 Certification / Enterprise opportunity",IF($S537="Meeting Booked","6 Meeting / Application",IF(OR($S537="Interested",$S537="Info Requested"),"5 Interested",IF(OR($S537="Declined",$S537="Not Relevant"),"0 Closed - no",IF($R537="Yes","4 Contacted",IF($N537="Yes","2 Engaged",IF($M537="Yes","1 Awareness",IF($AA537&gt;=60,"3 Qualified","1 Awareness"))))))))))</f>
        <v/>
      </c>
    </row>
    <row r="538" customFormat="false" ht="30" hidden="false" customHeight="true" outlineLevel="0" collapsed="false">
      <c r="A538" s="36"/>
      <c r="B538" s="37"/>
      <c r="C538" s="37"/>
      <c r="D538" s="37"/>
      <c r="E538" s="37"/>
      <c r="F538" s="37"/>
      <c r="G538" s="37"/>
      <c r="H538" s="37"/>
      <c r="I538" s="37"/>
      <c r="J538" s="47"/>
      <c r="K538" s="41" t="str">
        <f aca="false">IF(J538="","",IF(J538&gt;=8,"Yes","Check"))</f>
        <v/>
      </c>
      <c r="L538" s="38"/>
      <c r="M538" s="47"/>
      <c r="N538" s="47"/>
      <c r="O538" s="37"/>
      <c r="P538" s="38"/>
      <c r="Q538" s="42" t="str">
        <f aca="false">IF(P538="","",LEN(P538))</f>
        <v/>
      </c>
      <c r="R538" s="47"/>
      <c r="S538" s="37"/>
      <c r="T538" s="38"/>
      <c r="U538" s="43" t="str">
        <f aca="false">IF(OR(R538&lt;&gt;"Yes",A538=""),"",A538+4)</f>
        <v/>
      </c>
      <c r="V538" s="47"/>
      <c r="W538" s="38"/>
      <c r="X538" s="38"/>
      <c r="Y538" s="44"/>
      <c r="Z538" s="44"/>
      <c r="AA538" s="45" t="str">
        <f aca="false">IF(AND($Y538="",$Z538=""),"",ROUND(IFERROR(VALUE(LEFT($Y538,1)),0)*12+IFERROR(VALUE(LEFT($Z538,1)),0)*8,0))</f>
        <v/>
      </c>
      <c r="AB538" s="45" t="str">
        <f aca="false">IF($AA538="","",IF($AA538&gt;=80,"A - call first",IF($AA538&gt;=60,"B - worth pursuing",IF($AA538&gt;=40,"C - nurture","D - do not spend time here"))))</f>
        <v/>
      </c>
      <c r="AC538" s="46" t="str">
        <f aca="false">IF($C538="","",IF($S538="Converted","7 Certification / Enterprise opportunity",IF($S538="Application Started","7 Certification / Enterprise opportunity",IF($S538="Meeting Booked","6 Meeting / Application",IF(OR($S538="Interested",$S538="Info Requested"),"5 Interested",IF(OR($S538="Declined",$S538="Not Relevant"),"0 Closed - no",IF($R538="Yes","4 Contacted",IF($N538="Yes","2 Engaged",IF($M538="Yes","1 Awareness",IF($AA538&gt;=60,"3 Qualified","1 Awareness"))))))))))</f>
        <v/>
      </c>
    </row>
    <row r="539" customFormat="false" ht="30" hidden="false" customHeight="true" outlineLevel="0" collapsed="false">
      <c r="A539" s="36"/>
      <c r="B539" s="37"/>
      <c r="C539" s="37"/>
      <c r="D539" s="37"/>
      <c r="E539" s="37"/>
      <c r="F539" s="37"/>
      <c r="G539" s="37"/>
      <c r="H539" s="37"/>
      <c r="I539" s="37"/>
      <c r="J539" s="47"/>
      <c r="K539" s="41" t="str">
        <f aca="false">IF(J539="","",IF(J539&gt;=8,"Yes","Check"))</f>
        <v/>
      </c>
      <c r="L539" s="38"/>
      <c r="M539" s="47"/>
      <c r="N539" s="47"/>
      <c r="O539" s="37"/>
      <c r="P539" s="38"/>
      <c r="Q539" s="42" t="str">
        <f aca="false">IF(P539="","",LEN(P539))</f>
        <v/>
      </c>
      <c r="R539" s="47"/>
      <c r="S539" s="37"/>
      <c r="T539" s="38"/>
      <c r="U539" s="43" t="str">
        <f aca="false">IF(OR(R539&lt;&gt;"Yes",A539=""),"",A539+4)</f>
        <v/>
      </c>
      <c r="V539" s="47"/>
      <c r="W539" s="38"/>
      <c r="X539" s="38"/>
      <c r="Y539" s="44"/>
      <c r="Z539" s="44"/>
      <c r="AA539" s="45" t="str">
        <f aca="false">IF(AND($Y539="",$Z539=""),"",ROUND(IFERROR(VALUE(LEFT($Y539,1)),0)*12+IFERROR(VALUE(LEFT($Z539,1)),0)*8,0))</f>
        <v/>
      </c>
      <c r="AB539" s="45" t="str">
        <f aca="false">IF($AA539="","",IF($AA539&gt;=80,"A - call first",IF($AA539&gt;=60,"B - worth pursuing",IF($AA539&gt;=40,"C - nurture","D - do not spend time here"))))</f>
        <v/>
      </c>
      <c r="AC539" s="46" t="str">
        <f aca="false">IF($C539="","",IF($S539="Converted","7 Certification / Enterprise opportunity",IF($S539="Application Started","7 Certification / Enterprise opportunity",IF($S539="Meeting Booked","6 Meeting / Application",IF(OR($S539="Interested",$S539="Info Requested"),"5 Interested",IF(OR($S539="Declined",$S539="Not Relevant"),"0 Closed - no",IF($R539="Yes","4 Contacted",IF($N539="Yes","2 Engaged",IF($M539="Yes","1 Awareness",IF($AA539&gt;=60,"3 Qualified","1 Awareness"))))))))))</f>
        <v/>
      </c>
    </row>
    <row r="540" customFormat="false" ht="30" hidden="false" customHeight="true" outlineLevel="0" collapsed="false">
      <c r="A540" s="36"/>
      <c r="B540" s="37"/>
      <c r="C540" s="37"/>
      <c r="D540" s="37"/>
      <c r="E540" s="37"/>
      <c r="F540" s="37"/>
      <c r="G540" s="37"/>
      <c r="H540" s="37"/>
      <c r="I540" s="37"/>
      <c r="J540" s="47"/>
      <c r="K540" s="41" t="str">
        <f aca="false">IF(J540="","",IF(J540&gt;=8,"Yes","Check"))</f>
        <v/>
      </c>
      <c r="L540" s="38"/>
      <c r="M540" s="47"/>
      <c r="N540" s="47"/>
      <c r="O540" s="37"/>
      <c r="P540" s="38"/>
      <c r="Q540" s="42" t="str">
        <f aca="false">IF(P540="","",LEN(P540))</f>
        <v/>
      </c>
      <c r="R540" s="47"/>
      <c r="S540" s="37"/>
      <c r="T540" s="38"/>
      <c r="U540" s="43" t="str">
        <f aca="false">IF(OR(R540&lt;&gt;"Yes",A540=""),"",A540+4)</f>
        <v/>
      </c>
      <c r="V540" s="47"/>
      <c r="W540" s="38"/>
      <c r="X540" s="38"/>
      <c r="Y540" s="44"/>
      <c r="Z540" s="44"/>
      <c r="AA540" s="45" t="str">
        <f aca="false">IF(AND($Y540="",$Z540=""),"",ROUND(IFERROR(VALUE(LEFT($Y540,1)),0)*12+IFERROR(VALUE(LEFT($Z540,1)),0)*8,0))</f>
        <v/>
      </c>
      <c r="AB540" s="45" t="str">
        <f aca="false">IF($AA540="","",IF($AA540&gt;=80,"A - call first",IF($AA540&gt;=60,"B - worth pursuing",IF($AA540&gt;=40,"C - nurture","D - do not spend time here"))))</f>
        <v/>
      </c>
      <c r="AC540" s="46" t="str">
        <f aca="false">IF($C540="","",IF($S540="Converted","7 Certification / Enterprise opportunity",IF($S540="Application Started","7 Certification / Enterprise opportunity",IF($S540="Meeting Booked","6 Meeting / Application",IF(OR($S540="Interested",$S540="Info Requested"),"5 Interested",IF(OR($S540="Declined",$S540="Not Relevant"),"0 Closed - no",IF($R540="Yes","4 Contacted",IF($N540="Yes","2 Engaged",IF($M540="Yes","1 Awareness",IF($AA540&gt;=60,"3 Qualified","1 Awareness"))))))))))</f>
        <v/>
      </c>
    </row>
    <row r="541" customFormat="false" ht="30" hidden="false" customHeight="true" outlineLevel="0" collapsed="false">
      <c r="A541" s="36"/>
      <c r="B541" s="37"/>
      <c r="C541" s="37"/>
      <c r="D541" s="37"/>
      <c r="E541" s="37"/>
      <c r="F541" s="37"/>
      <c r="G541" s="37"/>
      <c r="H541" s="37"/>
      <c r="I541" s="37"/>
      <c r="J541" s="47"/>
      <c r="K541" s="41" t="str">
        <f aca="false">IF(J541="","",IF(J541&gt;=8,"Yes","Check"))</f>
        <v/>
      </c>
      <c r="L541" s="38"/>
      <c r="M541" s="47"/>
      <c r="N541" s="47"/>
      <c r="O541" s="37"/>
      <c r="P541" s="38"/>
      <c r="Q541" s="42" t="str">
        <f aca="false">IF(P541="","",LEN(P541))</f>
        <v/>
      </c>
      <c r="R541" s="47"/>
      <c r="S541" s="37"/>
      <c r="T541" s="38"/>
      <c r="U541" s="43" t="str">
        <f aca="false">IF(OR(R541&lt;&gt;"Yes",A541=""),"",A541+4)</f>
        <v/>
      </c>
      <c r="V541" s="47"/>
      <c r="W541" s="38"/>
      <c r="X541" s="38"/>
      <c r="Y541" s="44"/>
      <c r="Z541" s="44"/>
      <c r="AA541" s="45" t="str">
        <f aca="false">IF(AND($Y541="",$Z541=""),"",ROUND(IFERROR(VALUE(LEFT($Y541,1)),0)*12+IFERROR(VALUE(LEFT($Z541,1)),0)*8,0))</f>
        <v/>
      </c>
      <c r="AB541" s="45" t="str">
        <f aca="false">IF($AA541="","",IF($AA541&gt;=80,"A - call first",IF($AA541&gt;=60,"B - worth pursuing",IF($AA541&gt;=40,"C - nurture","D - do not spend time here"))))</f>
        <v/>
      </c>
      <c r="AC541" s="46" t="str">
        <f aca="false">IF($C541="","",IF($S541="Converted","7 Certification / Enterprise opportunity",IF($S541="Application Started","7 Certification / Enterprise opportunity",IF($S541="Meeting Booked","6 Meeting / Application",IF(OR($S541="Interested",$S541="Info Requested"),"5 Interested",IF(OR($S541="Declined",$S541="Not Relevant"),"0 Closed - no",IF($R541="Yes","4 Contacted",IF($N541="Yes","2 Engaged",IF($M541="Yes","1 Awareness",IF($AA541&gt;=60,"3 Qualified","1 Awareness"))))))))))</f>
        <v/>
      </c>
    </row>
    <row r="542" customFormat="false" ht="30" hidden="false" customHeight="true" outlineLevel="0" collapsed="false">
      <c r="A542" s="36"/>
      <c r="B542" s="37"/>
      <c r="C542" s="37"/>
      <c r="D542" s="37"/>
      <c r="E542" s="37"/>
      <c r="F542" s="37"/>
      <c r="G542" s="37"/>
      <c r="H542" s="37"/>
      <c r="I542" s="37"/>
      <c r="J542" s="47"/>
      <c r="K542" s="41" t="str">
        <f aca="false">IF(J542="","",IF(J542&gt;=8,"Yes","Check"))</f>
        <v/>
      </c>
      <c r="L542" s="38"/>
      <c r="M542" s="47"/>
      <c r="N542" s="47"/>
      <c r="O542" s="37"/>
      <c r="P542" s="38"/>
      <c r="Q542" s="42" t="str">
        <f aca="false">IF(P542="","",LEN(P542))</f>
        <v/>
      </c>
      <c r="R542" s="47"/>
      <c r="S542" s="37"/>
      <c r="T542" s="38"/>
      <c r="U542" s="43" t="str">
        <f aca="false">IF(OR(R542&lt;&gt;"Yes",A542=""),"",A542+4)</f>
        <v/>
      </c>
      <c r="V542" s="47"/>
      <c r="W542" s="38"/>
      <c r="X542" s="38"/>
      <c r="Y542" s="44"/>
      <c r="Z542" s="44"/>
      <c r="AA542" s="45" t="str">
        <f aca="false">IF(AND($Y542="",$Z542=""),"",ROUND(IFERROR(VALUE(LEFT($Y542,1)),0)*12+IFERROR(VALUE(LEFT($Z542,1)),0)*8,0))</f>
        <v/>
      </c>
      <c r="AB542" s="45" t="str">
        <f aca="false">IF($AA542="","",IF($AA542&gt;=80,"A - call first",IF($AA542&gt;=60,"B - worth pursuing",IF($AA542&gt;=40,"C - nurture","D - do not spend time here"))))</f>
        <v/>
      </c>
      <c r="AC542" s="46" t="str">
        <f aca="false">IF($C542="","",IF($S542="Converted","7 Certification / Enterprise opportunity",IF($S542="Application Started","7 Certification / Enterprise opportunity",IF($S542="Meeting Booked","6 Meeting / Application",IF(OR($S542="Interested",$S542="Info Requested"),"5 Interested",IF(OR($S542="Declined",$S542="Not Relevant"),"0 Closed - no",IF($R542="Yes","4 Contacted",IF($N542="Yes","2 Engaged",IF($M542="Yes","1 Awareness",IF($AA542&gt;=60,"3 Qualified","1 Awareness"))))))))))</f>
        <v/>
      </c>
    </row>
    <row r="543" customFormat="false" ht="30" hidden="false" customHeight="true" outlineLevel="0" collapsed="false">
      <c r="A543" s="36"/>
      <c r="B543" s="37"/>
      <c r="C543" s="37"/>
      <c r="D543" s="37"/>
      <c r="E543" s="37"/>
      <c r="F543" s="37"/>
      <c r="G543" s="37"/>
      <c r="H543" s="37"/>
      <c r="I543" s="37"/>
      <c r="J543" s="47"/>
      <c r="K543" s="41" t="str">
        <f aca="false">IF(J543="","",IF(J543&gt;=8,"Yes","Check"))</f>
        <v/>
      </c>
      <c r="L543" s="38"/>
      <c r="M543" s="47"/>
      <c r="N543" s="47"/>
      <c r="O543" s="37"/>
      <c r="P543" s="38"/>
      <c r="Q543" s="42" t="str">
        <f aca="false">IF(P543="","",LEN(P543))</f>
        <v/>
      </c>
      <c r="R543" s="47"/>
      <c r="S543" s="37"/>
      <c r="T543" s="38"/>
      <c r="U543" s="43" t="str">
        <f aca="false">IF(OR(R543&lt;&gt;"Yes",A543=""),"",A543+4)</f>
        <v/>
      </c>
      <c r="V543" s="47"/>
      <c r="W543" s="38"/>
      <c r="X543" s="38"/>
      <c r="Y543" s="44"/>
      <c r="Z543" s="44"/>
      <c r="AA543" s="45" t="str">
        <f aca="false">IF(AND($Y543="",$Z543=""),"",ROUND(IFERROR(VALUE(LEFT($Y543,1)),0)*12+IFERROR(VALUE(LEFT($Z543,1)),0)*8,0))</f>
        <v/>
      </c>
      <c r="AB543" s="45" t="str">
        <f aca="false">IF($AA543="","",IF($AA543&gt;=80,"A - call first",IF($AA543&gt;=60,"B - worth pursuing",IF($AA543&gt;=40,"C - nurture","D - do not spend time here"))))</f>
        <v/>
      </c>
      <c r="AC543" s="46" t="str">
        <f aca="false">IF($C543="","",IF($S543="Converted","7 Certification / Enterprise opportunity",IF($S543="Application Started","7 Certification / Enterprise opportunity",IF($S543="Meeting Booked","6 Meeting / Application",IF(OR($S543="Interested",$S543="Info Requested"),"5 Interested",IF(OR($S543="Declined",$S543="Not Relevant"),"0 Closed - no",IF($R543="Yes","4 Contacted",IF($N543="Yes","2 Engaged",IF($M543="Yes","1 Awareness",IF($AA543&gt;=60,"3 Qualified","1 Awareness"))))))))))</f>
        <v/>
      </c>
    </row>
    <row r="544" customFormat="false" ht="30" hidden="false" customHeight="true" outlineLevel="0" collapsed="false">
      <c r="A544" s="36"/>
      <c r="B544" s="37"/>
      <c r="C544" s="37"/>
      <c r="D544" s="37"/>
      <c r="E544" s="37"/>
      <c r="F544" s="37"/>
      <c r="G544" s="37"/>
      <c r="H544" s="37"/>
      <c r="I544" s="37"/>
      <c r="J544" s="47"/>
      <c r="K544" s="41" t="str">
        <f aca="false">IF(J544="","",IF(J544&gt;=8,"Yes","Check"))</f>
        <v/>
      </c>
      <c r="L544" s="38"/>
      <c r="M544" s="47"/>
      <c r="N544" s="47"/>
      <c r="O544" s="37"/>
      <c r="P544" s="38"/>
      <c r="Q544" s="42" t="str">
        <f aca="false">IF(P544="","",LEN(P544))</f>
        <v/>
      </c>
      <c r="R544" s="47"/>
      <c r="S544" s="37"/>
      <c r="T544" s="38"/>
      <c r="U544" s="43" t="str">
        <f aca="false">IF(OR(R544&lt;&gt;"Yes",A544=""),"",A544+4)</f>
        <v/>
      </c>
      <c r="V544" s="47"/>
      <c r="W544" s="38"/>
      <c r="X544" s="38"/>
      <c r="Y544" s="44"/>
      <c r="Z544" s="44"/>
      <c r="AA544" s="45" t="str">
        <f aca="false">IF(AND($Y544="",$Z544=""),"",ROUND(IFERROR(VALUE(LEFT($Y544,1)),0)*12+IFERROR(VALUE(LEFT($Z544,1)),0)*8,0))</f>
        <v/>
      </c>
      <c r="AB544" s="45" t="str">
        <f aca="false">IF($AA544="","",IF($AA544&gt;=80,"A - call first",IF($AA544&gt;=60,"B - worth pursuing",IF($AA544&gt;=40,"C - nurture","D - do not spend time here"))))</f>
        <v/>
      </c>
      <c r="AC544" s="46" t="str">
        <f aca="false">IF($C544="","",IF($S544="Converted","7 Certification / Enterprise opportunity",IF($S544="Application Started","7 Certification / Enterprise opportunity",IF($S544="Meeting Booked","6 Meeting / Application",IF(OR($S544="Interested",$S544="Info Requested"),"5 Interested",IF(OR($S544="Declined",$S544="Not Relevant"),"0 Closed - no",IF($R544="Yes","4 Contacted",IF($N544="Yes","2 Engaged",IF($M544="Yes","1 Awareness",IF($AA544&gt;=60,"3 Qualified","1 Awareness"))))))))))</f>
        <v/>
      </c>
    </row>
    <row r="545" customFormat="false" ht="30" hidden="false" customHeight="true" outlineLevel="0" collapsed="false">
      <c r="A545" s="36"/>
      <c r="B545" s="37"/>
      <c r="C545" s="37"/>
      <c r="D545" s="37"/>
      <c r="E545" s="37"/>
      <c r="F545" s="37"/>
      <c r="G545" s="37"/>
      <c r="H545" s="37"/>
      <c r="I545" s="37"/>
      <c r="J545" s="47"/>
      <c r="K545" s="41" t="str">
        <f aca="false">IF(J545="","",IF(J545&gt;=8,"Yes","Check"))</f>
        <v/>
      </c>
      <c r="L545" s="38"/>
      <c r="M545" s="47"/>
      <c r="N545" s="47"/>
      <c r="O545" s="37"/>
      <c r="P545" s="38"/>
      <c r="Q545" s="42" t="str">
        <f aca="false">IF(P545="","",LEN(P545))</f>
        <v/>
      </c>
      <c r="R545" s="47"/>
      <c r="S545" s="37"/>
      <c r="T545" s="38"/>
      <c r="U545" s="43" t="str">
        <f aca="false">IF(OR(R545&lt;&gt;"Yes",A545=""),"",A545+4)</f>
        <v/>
      </c>
      <c r="V545" s="47"/>
      <c r="W545" s="38"/>
      <c r="X545" s="38"/>
      <c r="Y545" s="44"/>
      <c r="Z545" s="44"/>
      <c r="AA545" s="45" t="str">
        <f aca="false">IF(AND($Y545="",$Z545=""),"",ROUND(IFERROR(VALUE(LEFT($Y545,1)),0)*12+IFERROR(VALUE(LEFT($Z545,1)),0)*8,0))</f>
        <v/>
      </c>
      <c r="AB545" s="45" t="str">
        <f aca="false">IF($AA545="","",IF($AA545&gt;=80,"A - call first",IF($AA545&gt;=60,"B - worth pursuing",IF($AA545&gt;=40,"C - nurture","D - do not spend time here"))))</f>
        <v/>
      </c>
      <c r="AC545" s="46" t="str">
        <f aca="false">IF($C545="","",IF($S545="Converted","7 Certification / Enterprise opportunity",IF($S545="Application Started","7 Certification / Enterprise opportunity",IF($S545="Meeting Booked","6 Meeting / Application",IF(OR($S545="Interested",$S545="Info Requested"),"5 Interested",IF(OR($S545="Declined",$S545="Not Relevant"),"0 Closed - no",IF($R545="Yes","4 Contacted",IF($N545="Yes","2 Engaged",IF($M545="Yes","1 Awareness",IF($AA545&gt;=60,"3 Qualified","1 Awareness"))))))))))</f>
        <v/>
      </c>
    </row>
    <row r="546" customFormat="false" ht="30" hidden="false" customHeight="true" outlineLevel="0" collapsed="false">
      <c r="A546" s="36"/>
      <c r="B546" s="37"/>
      <c r="C546" s="37"/>
      <c r="D546" s="37"/>
      <c r="E546" s="37"/>
      <c r="F546" s="37"/>
      <c r="G546" s="37"/>
      <c r="H546" s="37"/>
      <c r="I546" s="37"/>
      <c r="J546" s="47"/>
      <c r="K546" s="41" t="str">
        <f aca="false">IF(J546="","",IF(J546&gt;=8,"Yes","Check"))</f>
        <v/>
      </c>
      <c r="L546" s="38"/>
      <c r="M546" s="47"/>
      <c r="N546" s="47"/>
      <c r="O546" s="37"/>
      <c r="P546" s="38"/>
      <c r="Q546" s="42" t="str">
        <f aca="false">IF(P546="","",LEN(P546))</f>
        <v/>
      </c>
      <c r="R546" s="47"/>
      <c r="S546" s="37"/>
      <c r="T546" s="38"/>
      <c r="U546" s="43" t="str">
        <f aca="false">IF(OR(R546&lt;&gt;"Yes",A546=""),"",A546+4)</f>
        <v/>
      </c>
      <c r="V546" s="47"/>
      <c r="W546" s="38"/>
      <c r="X546" s="38"/>
      <c r="Y546" s="44"/>
      <c r="Z546" s="44"/>
      <c r="AA546" s="45" t="str">
        <f aca="false">IF(AND($Y546="",$Z546=""),"",ROUND(IFERROR(VALUE(LEFT($Y546,1)),0)*12+IFERROR(VALUE(LEFT($Z546,1)),0)*8,0))</f>
        <v/>
      </c>
      <c r="AB546" s="45" t="str">
        <f aca="false">IF($AA546="","",IF($AA546&gt;=80,"A - call first",IF($AA546&gt;=60,"B - worth pursuing",IF($AA546&gt;=40,"C - nurture","D - do not spend time here"))))</f>
        <v/>
      </c>
      <c r="AC546" s="46" t="str">
        <f aca="false">IF($C546="","",IF($S546="Converted","7 Certification / Enterprise opportunity",IF($S546="Application Started","7 Certification / Enterprise opportunity",IF($S546="Meeting Booked","6 Meeting / Application",IF(OR($S546="Interested",$S546="Info Requested"),"5 Interested",IF(OR($S546="Declined",$S546="Not Relevant"),"0 Closed - no",IF($R546="Yes","4 Contacted",IF($N546="Yes","2 Engaged",IF($M546="Yes","1 Awareness",IF($AA546&gt;=60,"3 Qualified","1 Awareness"))))))))))</f>
        <v/>
      </c>
    </row>
    <row r="547" customFormat="false" ht="30" hidden="false" customHeight="true" outlineLevel="0" collapsed="false">
      <c r="A547" s="36"/>
      <c r="B547" s="37"/>
      <c r="C547" s="37"/>
      <c r="D547" s="37"/>
      <c r="E547" s="37"/>
      <c r="F547" s="37"/>
      <c r="G547" s="37"/>
      <c r="H547" s="37"/>
      <c r="I547" s="37"/>
      <c r="J547" s="47"/>
      <c r="K547" s="41" t="str">
        <f aca="false">IF(J547="","",IF(J547&gt;=8,"Yes","Check"))</f>
        <v/>
      </c>
      <c r="L547" s="38"/>
      <c r="M547" s="47"/>
      <c r="N547" s="47"/>
      <c r="O547" s="37"/>
      <c r="P547" s="38"/>
      <c r="Q547" s="42" t="str">
        <f aca="false">IF(P547="","",LEN(P547))</f>
        <v/>
      </c>
      <c r="R547" s="47"/>
      <c r="S547" s="37"/>
      <c r="T547" s="38"/>
      <c r="U547" s="43" t="str">
        <f aca="false">IF(OR(R547&lt;&gt;"Yes",A547=""),"",A547+4)</f>
        <v/>
      </c>
      <c r="V547" s="47"/>
      <c r="W547" s="38"/>
      <c r="X547" s="38"/>
      <c r="Y547" s="44"/>
      <c r="Z547" s="44"/>
      <c r="AA547" s="45" t="str">
        <f aca="false">IF(AND($Y547="",$Z547=""),"",ROUND(IFERROR(VALUE(LEFT($Y547,1)),0)*12+IFERROR(VALUE(LEFT($Z547,1)),0)*8,0))</f>
        <v/>
      </c>
      <c r="AB547" s="45" t="str">
        <f aca="false">IF($AA547="","",IF($AA547&gt;=80,"A - call first",IF($AA547&gt;=60,"B - worth pursuing",IF($AA547&gt;=40,"C - nurture","D - do not spend time here"))))</f>
        <v/>
      </c>
      <c r="AC547" s="46" t="str">
        <f aca="false">IF($C547="","",IF($S547="Converted","7 Certification / Enterprise opportunity",IF($S547="Application Started","7 Certification / Enterprise opportunity",IF($S547="Meeting Booked","6 Meeting / Application",IF(OR($S547="Interested",$S547="Info Requested"),"5 Interested",IF(OR($S547="Declined",$S547="Not Relevant"),"0 Closed - no",IF($R547="Yes","4 Contacted",IF($N547="Yes","2 Engaged",IF($M547="Yes","1 Awareness",IF($AA547&gt;=60,"3 Qualified","1 Awareness"))))))))))</f>
        <v/>
      </c>
    </row>
    <row r="548" customFormat="false" ht="30" hidden="false" customHeight="true" outlineLevel="0" collapsed="false">
      <c r="A548" s="36"/>
      <c r="B548" s="37"/>
      <c r="C548" s="37"/>
      <c r="D548" s="37"/>
      <c r="E548" s="37"/>
      <c r="F548" s="37"/>
      <c r="G548" s="37"/>
      <c r="H548" s="37"/>
      <c r="I548" s="37"/>
      <c r="J548" s="47"/>
      <c r="K548" s="41" t="str">
        <f aca="false">IF(J548="","",IF(J548&gt;=8,"Yes","Check"))</f>
        <v/>
      </c>
      <c r="L548" s="38"/>
      <c r="M548" s="47"/>
      <c r="N548" s="47"/>
      <c r="O548" s="37"/>
      <c r="P548" s="38"/>
      <c r="Q548" s="42" t="str">
        <f aca="false">IF(P548="","",LEN(P548))</f>
        <v/>
      </c>
      <c r="R548" s="47"/>
      <c r="S548" s="37"/>
      <c r="T548" s="38"/>
      <c r="U548" s="43" t="str">
        <f aca="false">IF(OR(R548&lt;&gt;"Yes",A548=""),"",A548+4)</f>
        <v/>
      </c>
      <c r="V548" s="47"/>
      <c r="W548" s="38"/>
      <c r="X548" s="38"/>
      <c r="Y548" s="44"/>
      <c r="Z548" s="44"/>
      <c r="AA548" s="45" t="str">
        <f aca="false">IF(AND($Y548="",$Z548=""),"",ROUND(IFERROR(VALUE(LEFT($Y548,1)),0)*12+IFERROR(VALUE(LEFT($Z548,1)),0)*8,0))</f>
        <v/>
      </c>
      <c r="AB548" s="45" t="str">
        <f aca="false">IF($AA548="","",IF($AA548&gt;=80,"A - call first",IF($AA548&gt;=60,"B - worth pursuing",IF($AA548&gt;=40,"C - nurture","D - do not spend time here"))))</f>
        <v/>
      </c>
      <c r="AC548" s="46" t="str">
        <f aca="false">IF($C548="","",IF($S548="Converted","7 Certification / Enterprise opportunity",IF($S548="Application Started","7 Certification / Enterprise opportunity",IF($S548="Meeting Booked","6 Meeting / Application",IF(OR($S548="Interested",$S548="Info Requested"),"5 Interested",IF(OR($S548="Declined",$S548="Not Relevant"),"0 Closed - no",IF($R548="Yes","4 Contacted",IF($N548="Yes","2 Engaged",IF($M548="Yes","1 Awareness",IF($AA548&gt;=60,"3 Qualified","1 Awareness"))))))))))</f>
        <v/>
      </c>
    </row>
    <row r="549" customFormat="false" ht="30" hidden="false" customHeight="true" outlineLevel="0" collapsed="false">
      <c r="A549" s="36"/>
      <c r="B549" s="37"/>
      <c r="C549" s="37"/>
      <c r="D549" s="37"/>
      <c r="E549" s="37"/>
      <c r="F549" s="37"/>
      <c r="G549" s="37"/>
      <c r="H549" s="37"/>
      <c r="I549" s="37"/>
      <c r="J549" s="47"/>
      <c r="K549" s="41" t="str">
        <f aca="false">IF(J549="","",IF(J549&gt;=8,"Yes","Check"))</f>
        <v/>
      </c>
      <c r="L549" s="38"/>
      <c r="M549" s="47"/>
      <c r="N549" s="47"/>
      <c r="O549" s="37"/>
      <c r="P549" s="38"/>
      <c r="Q549" s="42" t="str">
        <f aca="false">IF(P549="","",LEN(P549))</f>
        <v/>
      </c>
      <c r="R549" s="47"/>
      <c r="S549" s="37"/>
      <c r="T549" s="38"/>
      <c r="U549" s="43" t="str">
        <f aca="false">IF(OR(R549&lt;&gt;"Yes",A549=""),"",A549+4)</f>
        <v/>
      </c>
      <c r="V549" s="47"/>
      <c r="W549" s="38"/>
      <c r="X549" s="38"/>
      <c r="Y549" s="44"/>
      <c r="Z549" s="44"/>
      <c r="AA549" s="45" t="str">
        <f aca="false">IF(AND($Y549="",$Z549=""),"",ROUND(IFERROR(VALUE(LEFT($Y549,1)),0)*12+IFERROR(VALUE(LEFT($Z549,1)),0)*8,0))</f>
        <v/>
      </c>
      <c r="AB549" s="45" t="str">
        <f aca="false">IF($AA549="","",IF($AA549&gt;=80,"A - call first",IF($AA549&gt;=60,"B - worth pursuing",IF($AA549&gt;=40,"C - nurture","D - do not spend time here"))))</f>
        <v/>
      </c>
      <c r="AC549" s="46" t="str">
        <f aca="false">IF($C549="","",IF($S549="Converted","7 Certification / Enterprise opportunity",IF($S549="Application Started","7 Certification / Enterprise opportunity",IF($S549="Meeting Booked","6 Meeting / Application",IF(OR($S549="Interested",$S549="Info Requested"),"5 Interested",IF(OR($S549="Declined",$S549="Not Relevant"),"0 Closed - no",IF($R549="Yes","4 Contacted",IF($N549="Yes","2 Engaged",IF($M549="Yes","1 Awareness",IF($AA549&gt;=60,"3 Qualified","1 Awareness"))))))))))</f>
        <v/>
      </c>
    </row>
    <row r="550" customFormat="false" ht="30" hidden="false" customHeight="true" outlineLevel="0" collapsed="false">
      <c r="A550" s="36"/>
      <c r="B550" s="37"/>
      <c r="C550" s="37"/>
      <c r="D550" s="37"/>
      <c r="E550" s="37"/>
      <c r="F550" s="37"/>
      <c r="G550" s="37"/>
      <c r="H550" s="37"/>
      <c r="I550" s="37"/>
      <c r="J550" s="47"/>
      <c r="K550" s="41" t="str">
        <f aca="false">IF(J550="","",IF(J550&gt;=8,"Yes","Check"))</f>
        <v/>
      </c>
      <c r="L550" s="38"/>
      <c r="M550" s="47"/>
      <c r="N550" s="47"/>
      <c r="O550" s="37"/>
      <c r="P550" s="38"/>
      <c r="Q550" s="42" t="str">
        <f aca="false">IF(P550="","",LEN(P550))</f>
        <v/>
      </c>
      <c r="R550" s="47"/>
      <c r="S550" s="37"/>
      <c r="T550" s="38"/>
      <c r="U550" s="43" t="str">
        <f aca="false">IF(OR(R550&lt;&gt;"Yes",A550=""),"",A550+4)</f>
        <v/>
      </c>
      <c r="V550" s="47"/>
      <c r="W550" s="38"/>
      <c r="X550" s="38"/>
      <c r="Y550" s="44"/>
      <c r="Z550" s="44"/>
      <c r="AA550" s="45" t="str">
        <f aca="false">IF(AND($Y550="",$Z550=""),"",ROUND(IFERROR(VALUE(LEFT($Y550,1)),0)*12+IFERROR(VALUE(LEFT($Z550,1)),0)*8,0))</f>
        <v/>
      </c>
      <c r="AB550" s="45" t="str">
        <f aca="false">IF($AA550="","",IF($AA550&gt;=80,"A - call first",IF($AA550&gt;=60,"B - worth pursuing",IF($AA550&gt;=40,"C - nurture","D - do not spend time here"))))</f>
        <v/>
      </c>
      <c r="AC550" s="46" t="str">
        <f aca="false">IF($C550="","",IF($S550="Converted","7 Certification / Enterprise opportunity",IF($S550="Application Started","7 Certification / Enterprise opportunity",IF($S550="Meeting Booked","6 Meeting / Application",IF(OR($S550="Interested",$S550="Info Requested"),"5 Interested",IF(OR($S550="Declined",$S550="Not Relevant"),"0 Closed - no",IF($R550="Yes","4 Contacted",IF($N550="Yes","2 Engaged",IF($M550="Yes","1 Awareness",IF($AA550&gt;=60,"3 Qualified","1 Awareness"))))))))))</f>
        <v/>
      </c>
    </row>
    <row r="551" customFormat="false" ht="30" hidden="false" customHeight="true" outlineLevel="0" collapsed="false">
      <c r="A551" s="36"/>
      <c r="B551" s="37"/>
      <c r="C551" s="37"/>
      <c r="D551" s="37"/>
      <c r="E551" s="37"/>
      <c r="F551" s="37"/>
      <c r="G551" s="37"/>
      <c r="H551" s="37"/>
      <c r="I551" s="37"/>
      <c r="J551" s="47"/>
      <c r="K551" s="41" t="str">
        <f aca="false">IF(J551="","",IF(J551&gt;=8,"Yes","Check"))</f>
        <v/>
      </c>
      <c r="L551" s="38"/>
      <c r="M551" s="47"/>
      <c r="N551" s="47"/>
      <c r="O551" s="37"/>
      <c r="P551" s="38"/>
      <c r="Q551" s="42" t="str">
        <f aca="false">IF(P551="","",LEN(P551))</f>
        <v/>
      </c>
      <c r="R551" s="47"/>
      <c r="S551" s="37"/>
      <c r="T551" s="38"/>
      <c r="U551" s="43" t="str">
        <f aca="false">IF(OR(R551&lt;&gt;"Yes",A551=""),"",A551+4)</f>
        <v/>
      </c>
      <c r="V551" s="47"/>
      <c r="W551" s="38"/>
      <c r="X551" s="38"/>
      <c r="Y551" s="44"/>
      <c r="Z551" s="44"/>
      <c r="AA551" s="45" t="str">
        <f aca="false">IF(AND($Y551="",$Z551=""),"",ROUND(IFERROR(VALUE(LEFT($Y551,1)),0)*12+IFERROR(VALUE(LEFT($Z551,1)),0)*8,0))</f>
        <v/>
      </c>
      <c r="AB551" s="45" t="str">
        <f aca="false">IF($AA551="","",IF($AA551&gt;=80,"A - call first",IF($AA551&gt;=60,"B - worth pursuing",IF($AA551&gt;=40,"C - nurture","D - do not spend time here"))))</f>
        <v/>
      </c>
      <c r="AC551" s="46" t="str">
        <f aca="false">IF($C551="","",IF($S551="Converted","7 Certification / Enterprise opportunity",IF($S551="Application Started","7 Certification / Enterprise opportunity",IF($S551="Meeting Booked","6 Meeting / Application",IF(OR($S551="Interested",$S551="Info Requested"),"5 Interested",IF(OR($S551="Declined",$S551="Not Relevant"),"0 Closed - no",IF($R551="Yes","4 Contacted",IF($N551="Yes","2 Engaged",IF($M551="Yes","1 Awareness",IF($AA551&gt;=60,"3 Qualified","1 Awareness"))))))))))</f>
        <v/>
      </c>
    </row>
    <row r="552" customFormat="false" ht="30" hidden="false" customHeight="true" outlineLevel="0" collapsed="false">
      <c r="A552" s="36"/>
      <c r="B552" s="37"/>
      <c r="C552" s="37"/>
      <c r="D552" s="37"/>
      <c r="E552" s="37"/>
      <c r="F552" s="37"/>
      <c r="G552" s="37"/>
      <c r="H552" s="37"/>
      <c r="I552" s="37"/>
      <c r="J552" s="47"/>
      <c r="K552" s="41" t="str">
        <f aca="false">IF(J552="","",IF(J552&gt;=8,"Yes","Check"))</f>
        <v/>
      </c>
      <c r="L552" s="38"/>
      <c r="M552" s="47"/>
      <c r="N552" s="47"/>
      <c r="O552" s="37"/>
      <c r="P552" s="38"/>
      <c r="Q552" s="42" t="str">
        <f aca="false">IF(P552="","",LEN(P552))</f>
        <v/>
      </c>
      <c r="R552" s="47"/>
      <c r="S552" s="37"/>
      <c r="T552" s="38"/>
      <c r="U552" s="43" t="str">
        <f aca="false">IF(OR(R552&lt;&gt;"Yes",A552=""),"",A552+4)</f>
        <v/>
      </c>
      <c r="V552" s="47"/>
      <c r="W552" s="38"/>
      <c r="X552" s="38"/>
      <c r="Y552" s="44"/>
      <c r="Z552" s="44"/>
      <c r="AA552" s="45" t="str">
        <f aca="false">IF(AND($Y552="",$Z552=""),"",ROUND(IFERROR(VALUE(LEFT($Y552,1)),0)*12+IFERROR(VALUE(LEFT($Z552,1)),0)*8,0))</f>
        <v/>
      </c>
      <c r="AB552" s="45" t="str">
        <f aca="false">IF($AA552="","",IF($AA552&gt;=80,"A - call first",IF($AA552&gt;=60,"B - worth pursuing",IF($AA552&gt;=40,"C - nurture","D - do not spend time here"))))</f>
        <v/>
      </c>
      <c r="AC552" s="46" t="str">
        <f aca="false">IF($C552="","",IF($S552="Converted","7 Certification / Enterprise opportunity",IF($S552="Application Started","7 Certification / Enterprise opportunity",IF($S552="Meeting Booked","6 Meeting / Application",IF(OR($S552="Interested",$S552="Info Requested"),"5 Interested",IF(OR($S552="Declined",$S552="Not Relevant"),"0 Closed - no",IF($R552="Yes","4 Contacted",IF($N552="Yes","2 Engaged",IF($M552="Yes","1 Awareness",IF($AA552&gt;=60,"3 Qualified","1 Awareness"))))))))))</f>
        <v/>
      </c>
    </row>
    <row r="553" customFormat="false" ht="30" hidden="false" customHeight="true" outlineLevel="0" collapsed="false">
      <c r="A553" s="36"/>
      <c r="B553" s="37"/>
      <c r="C553" s="37"/>
      <c r="D553" s="37"/>
      <c r="E553" s="37"/>
      <c r="F553" s="37"/>
      <c r="G553" s="37"/>
      <c r="H553" s="37"/>
      <c r="I553" s="37"/>
      <c r="J553" s="47"/>
      <c r="K553" s="41" t="str">
        <f aca="false">IF(J553="","",IF(J553&gt;=8,"Yes","Check"))</f>
        <v/>
      </c>
      <c r="L553" s="38"/>
      <c r="M553" s="47"/>
      <c r="N553" s="47"/>
      <c r="O553" s="37"/>
      <c r="P553" s="38"/>
      <c r="Q553" s="42" t="str">
        <f aca="false">IF(P553="","",LEN(P553))</f>
        <v/>
      </c>
      <c r="R553" s="47"/>
      <c r="S553" s="37"/>
      <c r="T553" s="38"/>
      <c r="U553" s="43" t="str">
        <f aca="false">IF(OR(R553&lt;&gt;"Yes",A553=""),"",A553+4)</f>
        <v/>
      </c>
      <c r="V553" s="47"/>
      <c r="W553" s="38"/>
      <c r="X553" s="38"/>
      <c r="Y553" s="44"/>
      <c r="Z553" s="44"/>
      <c r="AA553" s="45" t="str">
        <f aca="false">IF(AND($Y553="",$Z553=""),"",ROUND(IFERROR(VALUE(LEFT($Y553,1)),0)*12+IFERROR(VALUE(LEFT($Z553,1)),0)*8,0))</f>
        <v/>
      </c>
      <c r="AB553" s="45" t="str">
        <f aca="false">IF($AA553="","",IF($AA553&gt;=80,"A - call first",IF($AA553&gt;=60,"B - worth pursuing",IF($AA553&gt;=40,"C - nurture","D - do not spend time here"))))</f>
        <v/>
      </c>
      <c r="AC553" s="46" t="str">
        <f aca="false">IF($C553="","",IF($S553="Converted","7 Certification / Enterprise opportunity",IF($S553="Application Started","7 Certification / Enterprise opportunity",IF($S553="Meeting Booked","6 Meeting / Application",IF(OR($S553="Interested",$S553="Info Requested"),"5 Interested",IF(OR($S553="Declined",$S553="Not Relevant"),"0 Closed - no",IF($R553="Yes","4 Contacted",IF($N553="Yes","2 Engaged",IF($M553="Yes","1 Awareness",IF($AA553&gt;=60,"3 Qualified","1 Awareness"))))))))))</f>
        <v/>
      </c>
    </row>
    <row r="554" customFormat="false" ht="30" hidden="false" customHeight="true" outlineLevel="0" collapsed="false">
      <c r="A554" s="36"/>
      <c r="B554" s="37"/>
      <c r="C554" s="37"/>
      <c r="D554" s="37"/>
      <c r="E554" s="37"/>
      <c r="F554" s="37"/>
      <c r="G554" s="37"/>
      <c r="H554" s="37"/>
      <c r="I554" s="37"/>
      <c r="J554" s="47"/>
      <c r="K554" s="41" t="str">
        <f aca="false">IF(J554="","",IF(J554&gt;=8,"Yes","Check"))</f>
        <v/>
      </c>
      <c r="L554" s="38"/>
      <c r="M554" s="47"/>
      <c r="N554" s="47"/>
      <c r="O554" s="37"/>
      <c r="P554" s="38"/>
      <c r="Q554" s="42" t="str">
        <f aca="false">IF(P554="","",LEN(P554))</f>
        <v/>
      </c>
      <c r="R554" s="47"/>
      <c r="S554" s="37"/>
      <c r="T554" s="38"/>
      <c r="U554" s="43" t="str">
        <f aca="false">IF(OR(R554&lt;&gt;"Yes",A554=""),"",A554+4)</f>
        <v/>
      </c>
      <c r="V554" s="47"/>
      <c r="W554" s="38"/>
      <c r="X554" s="38"/>
      <c r="Y554" s="44"/>
      <c r="Z554" s="44"/>
      <c r="AA554" s="45" t="str">
        <f aca="false">IF(AND($Y554="",$Z554=""),"",ROUND(IFERROR(VALUE(LEFT($Y554,1)),0)*12+IFERROR(VALUE(LEFT($Z554,1)),0)*8,0))</f>
        <v/>
      </c>
      <c r="AB554" s="45" t="str">
        <f aca="false">IF($AA554="","",IF($AA554&gt;=80,"A - call first",IF($AA554&gt;=60,"B - worth pursuing",IF($AA554&gt;=40,"C - nurture","D - do not spend time here"))))</f>
        <v/>
      </c>
      <c r="AC554" s="46" t="str">
        <f aca="false">IF($C554="","",IF($S554="Converted","7 Certification / Enterprise opportunity",IF($S554="Application Started","7 Certification / Enterprise opportunity",IF($S554="Meeting Booked","6 Meeting / Application",IF(OR($S554="Interested",$S554="Info Requested"),"5 Interested",IF(OR($S554="Declined",$S554="Not Relevant"),"0 Closed - no",IF($R554="Yes","4 Contacted",IF($N554="Yes","2 Engaged",IF($M554="Yes","1 Awareness",IF($AA554&gt;=60,"3 Qualified","1 Awareness"))))))))))</f>
        <v/>
      </c>
    </row>
    <row r="555" customFormat="false" ht="30" hidden="false" customHeight="true" outlineLevel="0" collapsed="false">
      <c r="A555" s="36"/>
      <c r="B555" s="37"/>
      <c r="C555" s="37"/>
      <c r="D555" s="37"/>
      <c r="E555" s="37"/>
      <c r="F555" s="37"/>
      <c r="G555" s="37"/>
      <c r="H555" s="37"/>
      <c r="I555" s="37"/>
      <c r="J555" s="47"/>
      <c r="K555" s="41" t="str">
        <f aca="false">IF(J555="","",IF(J555&gt;=8,"Yes","Check"))</f>
        <v/>
      </c>
      <c r="L555" s="38"/>
      <c r="M555" s="47"/>
      <c r="N555" s="47"/>
      <c r="O555" s="37"/>
      <c r="P555" s="38"/>
      <c r="Q555" s="42" t="str">
        <f aca="false">IF(P555="","",LEN(P555))</f>
        <v/>
      </c>
      <c r="R555" s="47"/>
      <c r="S555" s="37"/>
      <c r="T555" s="38"/>
      <c r="U555" s="43" t="str">
        <f aca="false">IF(OR(R555&lt;&gt;"Yes",A555=""),"",A555+4)</f>
        <v/>
      </c>
      <c r="V555" s="47"/>
      <c r="W555" s="38"/>
      <c r="X555" s="38"/>
      <c r="Y555" s="44"/>
      <c r="Z555" s="44"/>
      <c r="AA555" s="45" t="str">
        <f aca="false">IF(AND($Y555="",$Z555=""),"",ROUND(IFERROR(VALUE(LEFT($Y555,1)),0)*12+IFERROR(VALUE(LEFT($Z555,1)),0)*8,0))</f>
        <v/>
      </c>
      <c r="AB555" s="45" t="str">
        <f aca="false">IF($AA555="","",IF($AA555&gt;=80,"A - call first",IF($AA555&gt;=60,"B - worth pursuing",IF($AA555&gt;=40,"C - nurture","D - do not spend time here"))))</f>
        <v/>
      </c>
      <c r="AC555" s="46" t="str">
        <f aca="false">IF($C555="","",IF($S555="Converted","7 Certification / Enterprise opportunity",IF($S555="Application Started","7 Certification / Enterprise opportunity",IF($S555="Meeting Booked","6 Meeting / Application",IF(OR($S555="Interested",$S555="Info Requested"),"5 Interested",IF(OR($S555="Declined",$S555="Not Relevant"),"0 Closed - no",IF($R555="Yes","4 Contacted",IF($N555="Yes","2 Engaged",IF($M555="Yes","1 Awareness",IF($AA555&gt;=60,"3 Qualified","1 Awareness"))))))))))</f>
        <v/>
      </c>
    </row>
    <row r="556" customFormat="false" ht="30" hidden="false" customHeight="true" outlineLevel="0" collapsed="false">
      <c r="A556" s="36"/>
      <c r="B556" s="37"/>
      <c r="C556" s="37"/>
      <c r="D556" s="37"/>
      <c r="E556" s="37"/>
      <c r="F556" s="37"/>
      <c r="G556" s="37"/>
      <c r="H556" s="37"/>
      <c r="I556" s="37"/>
      <c r="J556" s="47"/>
      <c r="K556" s="41" t="str">
        <f aca="false">IF(J556="","",IF(J556&gt;=8,"Yes","Check"))</f>
        <v/>
      </c>
      <c r="L556" s="38"/>
      <c r="M556" s="47"/>
      <c r="N556" s="47"/>
      <c r="O556" s="37"/>
      <c r="P556" s="38"/>
      <c r="Q556" s="42" t="str">
        <f aca="false">IF(P556="","",LEN(P556))</f>
        <v/>
      </c>
      <c r="R556" s="47"/>
      <c r="S556" s="37"/>
      <c r="T556" s="38"/>
      <c r="U556" s="43" t="str">
        <f aca="false">IF(OR(R556&lt;&gt;"Yes",A556=""),"",A556+4)</f>
        <v/>
      </c>
      <c r="V556" s="47"/>
      <c r="W556" s="38"/>
      <c r="X556" s="38"/>
      <c r="Y556" s="44"/>
      <c r="Z556" s="44"/>
      <c r="AA556" s="45" t="str">
        <f aca="false">IF(AND($Y556="",$Z556=""),"",ROUND(IFERROR(VALUE(LEFT($Y556,1)),0)*12+IFERROR(VALUE(LEFT($Z556,1)),0)*8,0))</f>
        <v/>
      </c>
      <c r="AB556" s="45" t="str">
        <f aca="false">IF($AA556="","",IF($AA556&gt;=80,"A - call first",IF($AA556&gt;=60,"B - worth pursuing",IF($AA556&gt;=40,"C - nurture","D - do not spend time here"))))</f>
        <v/>
      </c>
      <c r="AC556" s="46" t="str">
        <f aca="false">IF($C556="","",IF($S556="Converted","7 Certification / Enterprise opportunity",IF($S556="Application Started","7 Certification / Enterprise opportunity",IF($S556="Meeting Booked","6 Meeting / Application",IF(OR($S556="Interested",$S556="Info Requested"),"5 Interested",IF(OR($S556="Declined",$S556="Not Relevant"),"0 Closed - no",IF($R556="Yes","4 Contacted",IF($N556="Yes","2 Engaged",IF($M556="Yes","1 Awareness",IF($AA556&gt;=60,"3 Qualified","1 Awareness"))))))))))</f>
        <v/>
      </c>
    </row>
    <row r="557" customFormat="false" ht="30" hidden="false" customHeight="true" outlineLevel="0" collapsed="false">
      <c r="A557" s="36"/>
      <c r="B557" s="37"/>
      <c r="C557" s="37"/>
      <c r="D557" s="37"/>
      <c r="E557" s="37"/>
      <c r="F557" s="37"/>
      <c r="G557" s="37"/>
      <c r="H557" s="37"/>
      <c r="I557" s="37"/>
      <c r="J557" s="47"/>
      <c r="K557" s="41" t="str">
        <f aca="false">IF(J557="","",IF(J557&gt;=8,"Yes","Check"))</f>
        <v/>
      </c>
      <c r="L557" s="38"/>
      <c r="M557" s="47"/>
      <c r="N557" s="47"/>
      <c r="O557" s="37"/>
      <c r="P557" s="38"/>
      <c r="Q557" s="42" t="str">
        <f aca="false">IF(P557="","",LEN(P557))</f>
        <v/>
      </c>
      <c r="R557" s="47"/>
      <c r="S557" s="37"/>
      <c r="T557" s="38"/>
      <c r="U557" s="43" t="str">
        <f aca="false">IF(OR(R557&lt;&gt;"Yes",A557=""),"",A557+4)</f>
        <v/>
      </c>
      <c r="V557" s="47"/>
      <c r="W557" s="38"/>
      <c r="X557" s="38"/>
      <c r="Y557" s="44"/>
      <c r="Z557" s="44"/>
      <c r="AA557" s="45" t="str">
        <f aca="false">IF(AND($Y557="",$Z557=""),"",ROUND(IFERROR(VALUE(LEFT($Y557,1)),0)*12+IFERROR(VALUE(LEFT($Z557,1)),0)*8,0))</f>
        <v/>
      </c>
      <c r="AB557" s="45" t="str">
        <f aca="false">IF($AA557="","",IF($AA557&gt;=80,"A - call first",IF($AA557&gt;=60,"B - worth pursuing",IF($AA557&gt;=40,"C - nurture","D - do not spend time here"))))</f>
        <v/>
      </c>
      <c r="AC557" s="46" t="str">
        <f aca="false">IF($C557="","",IF($S557="Converted","7 Certification / Enterprise opportunity",IF($S557="Application Started","7 Certification / Enterprise opportunity",IF($S557="Meeting Booked","6 Meeting / Application",IF(OR($S557="Interested",$S557="Info Requested"),"5 Interested",IF(OR($S557="Declined",$S557="Not Relevant"),"0 Closed - no",IF($R557="Yes","4 Contacted",IF($N557="Yes","2 Engaged",IF($M557="Yes","1 Awareness",IF($AA557&gt;=60,"3 Qualified","1 Awareness"))))))))))</f>
        <v/>
      </c>
    </row>
    <row r="558" customFormat="false" ht="30" hidden="false" customHeight="true" outlineLevel="0" collapsed="false">
      <c r="A558" s="36"/>
      <c r="B558" s="37"/>
      <c r="C558" s="37"/>
      <c r="D558" s="37"/>
      <c r="E558" s="37"/>
      <c r="F558" s="37"/>
      <c r="G558" s="37"/>
      <c r="H558" s="37"/>
      <c r="I558" s="37"/>
      <c r="J558" s="47"/>
      <c r="K558" s="41" t="str">
        <f aca="false">IF(J558="","",IF(J558&gt;=8,"Yes","Check"))</f>
        <v/>
      </c>
      <c r="L558" s="38"/>
      <c r="M558" s="47"/>
      <c r="N558" s="47"/>
      <c r="O558" s="37"/>
      <c r="P558" s="38"/>
      <c r="Q558" s="42" t="str">
        <f aca="false">IF(P558="","",LEN(P558))</f>
        <v/>
      </c>
      <c r="R558" s="47"/>
      <c r="S558" s="37"/>
      <c r="T558" s="38"/>
      <c r="U558" s="43" t="str">
        <f aca="false">IF(OR(R558&lt;&gt;"Yes",A558=""),"",A558+4)</f>
        <v/>
      </c>
      <c r="V558" s="47"/>
      <c r="W558" s="38"/>
      <c r="X558" s="38"/>
      <c r="Y558" s="44"/>
      <c r="Z558" s="44"/>
      <c r="AA558" s="45" t="str">
        <f aca="false">IF(AND($Y558="",$Z558=""),"",ROUND(IFERROR(VALUE(LEFT($Y558,1)),0)*12+IFERROR(VALUE(LEFT($Z558,1)),0)*8,0))</f>
        <v/>
      </c>
      <c r="AB558" s="45" t="str">
        <f aca="false">IF($AA558="","",IF($AA558&gt;=80,"A - call first",IF($AA558&gt;=60,"B - worth pursuing",IF($AA558&gt;=40,"C - nurture","D - do not spend time here"))))</f>
        <v/>
      </c>
      <c r="AC558" s="46" t="str">
        <f aca="false">IF($C558="","",IF($S558="Converted","7 Certification / Enterprise opportunity",IF($S558="Application Started","7 Certification / Enterprise opportunity",IF($S558="Meeting Booked","6 Meeting / Application",IF(OR($S558="Interested",$S558="Info Requested"),"5 Interested",IF(OR($S558="Declined",$S558="Not Relevant"),"0 Closed - no",IF($R558="Yes","4 Contacted",IF($N558="Yes","2 Engaged",IF($M558="Yes","1 Awareness",IF($AA558&gt;=60,"3 Qualified","1 Awareness"))))))))))</f>
        <v/>
      </c>
    </row>
    <row r="559" customFormat="false" ht="30" hidden="false" customHeight="true" outlineLevel="0" collapsed="false">
      <c r="A559" s="36"/>
      <c r="B559" s="37"/>
      <c r="C559" s="37"/>
      <c r="D559" s="37"/>
      <c r="E559" s="37"/>
      <c r="F559" s="37"/>
      <c r="G559" s="37"/>
      <c r="H559" s="37"/>
      <c r="I559" s="37"/>
      <c r="J559" s="47"/>
      <c r="K559" s="41" t="str">
        <f aca="false">IF(J559="","",IF(J559&gt;=8,"Yes","Check"))</f>
        <v/>
      </c>
      <c r="L559" s="38"/>
      <c r="M559" s="47"/>
      <c r="N559" s="47"/>
      <c r="O559" s="37"/>
      <c r="P559" s="38"/>
      <c r="Q559" s="42" t="str">
        <f aca="false">IF(P559="","",LEN(P559))</f>
        <v/>
      </c>
      <c r="R559" s="47"/>
      <c r="S559" s="37"/>
      <c r="T559" s="38"/>
      <c r="U559" s="43" t="str">
        <f aca="false">IF(OR(R559&lt;&gt;"Yes",A559=""),"",A559+4)</f>
        <v/>
      </c>
      <c r="V559" s="47"/>
      <c r="W559" s="38"/>
      <c r="X559" s="38"/>
      <c r="Y559" s="44"/>
      <c r="Z559" s="44"/>
      <c r="AA559" s="45" t="str">
        <f aca="false">IF(AND($Y559="",$Z559=""),"",ROUND(IFERROR(VALUE(LEFT($Y559,1)),0)*12+IFERROR(VALUE(LEFT($Z559,1)),0)*8,0))</f>
        <v/>
      </c>
      <c r="AB559" s="45" t="str">
        <f aca="false">IF($AA559="","",IF($AA559&gt;=80,"A - call first",IF($AA559&gt;=60,"B - worth pursuing",IF($AA559&gt;=40,"C - nurture","D - do not spend time here"))))</f>
        <v/>
      </c>
      <c r="AC559" s="46" t="str">
        <f aca="false">IF($C559="","",IF($S559="Converted","7 Certification / Enterprise opportunity",IF($S559="Application Started","7 Certification / Enterprise opportunity",IF($S559="Meeting Booked","6 Meeting / Application",IF(OR($S559="Interested",$S559="Info Requested"),"5 Interested",IF(OR($S559="Declined",$S559="Not Relevant"),"0 Closed - no",IF($R559="Yes","4 Contacted",IF($N559="Yes","2 Engaged",IF($M559="Yes","1 Awareness",IF($AA559&gt;=60,"3 Qualified","1 Awareness"))))))))))</f>
        <v/>
      </c>
    </row>
    <row r="560" customFormat="false" ht="30" hidden="false" customHeight="true" outlineLevel="0" collapsed="false">
      <c r="A560" s="36"/>
      <c r="B560" s="37"/>
      <c r="C560" s="37"/>
      <c r="D560" s="37"/>
      <c r="E560" s="37"/>
      <c r="F560" s="37"/>
      <c r="G560" s="37"/>
      <c r="H560" s="37"/>
      <c r="I560" s="37"/>
      <c r="J560" s="47"/>
      <c r="K560" s="41" t="str">
        <f aca="false">IF(J560="","",IF(J560&gt;=8,"Yes","Check"))</f>
        <v/>
      </c>
      <c r="L560" s="38"/>
      <c r="M560" s="47"/>
      <c r="N560" s="47"/>
      <c r="O560" s="37"/>
      <c r="P560" s="38"/>
      <c r="Q560" s="42" t="str">
        <f aca="false">IF(P560="","",LEN(P560))</f>
        <v/>
      </c>
      <c r="R560" s="47"/>
      <c r="S560" s="37"/>
      <c r="T560" s="38"/>
      <c r="U560" s="43" t="str">
        <f aca="false">IF(OR(R560&lt;&gt;"Yes",A560=""),"",A560+4)</f>
        <v/>
      </c>
      <c r="V560" s="47"/>
      <c r="W560" s="38"/>
      <c r="X560" s="38"/>
      <c r="Y560" s="44"/>
      <c r="Z560" s="44"/>
      <c r="AA560" s="45" t="str">
        <f aca="false">IF(AND($Y560="",$Z560=""),"",ROUND(IFERROR(VALUE(LEFT($Y560,1)),0)*12+IFERROR(VALUE(LEFT($Z560,1)),0)*8,0))</f>
        <v/>
      </c>
      <c r="AB560" s="45" t="str">
        <f aca="false">IF($AA560="","",IF($AA560&gt;=80,"A - call first",IF($AA560&gt;=60,"B - worth pursuing",IF($AA560&gt;=40,"C - nurture","D - do not spend time here"))))</f>
        <v/>
      </c>
      <c r="AC560" s="46" t="str">
        <f aca="false">IF($C560="","",IF($S560="Converted","7 Certification / Enterprise opportunity",IF($S560="Application Started","7 Certification / Enterprise opportunity",IF($S560="Meeting Booked","6 Meeting / Application",IF(OR($S560="Interested",$S560="Info Requested"),"5 Interested",IF(OR($S560="Declined",$S560="Not Relevant"),"0 Closed - no",IF($R560="Yes","4 Contacted",IF($N560="Yes","2 Engaged",IF($M560="Yes","1 Awareness",IF($AA560&gt;=60,"3 Qualified","1 Awareness"))))))))))</f>
        <v/>
      </c>
    </row>
    <row r="561" customFormat="false" ht="30" hidden="false" customHeight="true" outlineLevel="0" collapsed="false">
      <c r="A561" s="36"/>
      <c r="B561" s="37"/>
      <c r="C561" s="37"/>
      <c r="D561" s="37"/>
      <c r="E561" s="37"/>
      <c r="F561" s="37"/>
      <c r="G561" s="37"/>
      <c r="H561" s="37"/>
      <c r="I561" s="37"/>
      <c r="J561" s="47"/>
      <c r="K561" s="41" t="str">
        <f aca="false">IF(J561="","",IF(J561&gt;=8,"Yes","Check"))</f>
        <v/>
      </c>
      <c r="L561" s="38"/>
      <c r="M561" s="47"/>
      <c r="N561" s="47"/>
      <c r="O561" s="37"/>
      <c r="P561" s="38"/>
      <c r="Q561" s="42" t="str">
        <f aca="false">IF(P561="","",LEN(P561))</f>
        <v/>
      </c>
      <c r="R561" s="47"/>
      <c r="S561" s="37"/>
      <c r="T561" s="38"/>
      <c r="U561" s="43" t="str">
        <f aca="false">IF(OR(R561&lt;&gt;"Yes",A561=""),"",A561+4)</f>
        <v/>
      </c>
      <c r="V561" s="47"/>
      <c r="W561" s="38"/>
      <c r="X561" s="38"/>
      <c r="Y561" s="44"/>
      <c r="Z561" s="44"/>
      <c r="AA561" s="45" t="str">
        <f aca="false">IF(AND($Y561="",$Z561=""),"",ROUND(IFERROR(VALUE(LEFT($Y561,1)),0)*12+IFERROR(VALUE(LEFT($Z561,1)),0)*8,0))</f>
        <v/>
      </c>
      <c r="AB561" s="45" t="str">
        <f aca="false">IF($AA561="","",IF($AA561&gt;=80,"A - call first",IF($AA561&gt;=60,"B - worth pursuing",IF($AA561&gt;=40,"C - nurture","D - do not spend time here"))))</f>
        <v/>
      </c>
      <c r="AC561" s="46" t="str">
        <f aca="false">IF($C561="","",IF($S561="Converted","7 Certification / Enterprise opportunity",IF($S561="Application Started","7 Certification / Enterprise opportunity",IF($S561="Meeting Booked","6 Meeting / Application",IF(OR($S561="Interested",$S561="Info Requested"),"5 Interested",IF(OR($S561="Declined",$S561="Not Relevant"),"0 Closed - no",IF($R561="Yes","4 Contacted",IF($N561="Yes","2 Engaged",IF($M561="Yes","1 Awareness",IF($AA561&gt;=60,"3 Qualified","1 Awareness"))))))))))</f>
        <v/>
      </c>
    </row>
    <row r="562" customFormat="false" ht="30" hidden="false" customHeight="true" outlineLevel="0" collapsed="false">
      <c r="A562" s="36"/>
      <c r="B562" s="37"/>
      <c r="C562" s="37"/>
      <c r="D562" s="37"/>
      <c r="E562" s="37"/>
      <c r="F562" s="37"/>
      <c r="G562" s="37"/>
      <c r="H562" s="37"/>
      <c r="I562" s="37"/>
      <c r="J562" s="47"/>
      <c r="K562" s="41" t="str">
        <f aca="false">IF(J562="","",IF(J562&gt;=8,"Yes","Check"))</f>
        <v/>
      </c>
      <c r="L562" s="38"/>
      <c r="M562" s="47"/>
      <c r="N562" s="47"/>
      <c r="O562" s="37"/>
      <c r="P562" s="38"/>
      <c r="Q562" s="42" t="str">
        <f aca="false">IF(P562="","",LEN(P562))</f>
        <v/>
      </c>
      <c r="R562" s="47"/>
      <c r="S562" s="37"/>
      <c r="T562" s="38"/>
      <c r="U562" s="43" t="str">
        <f aca="false">IF(OR(R562&lt;&gt;"Yes",A562=""),"",A562+4)</f>
        <v/>
      </c>
      <c r="V562" s="47"/>
      <c r="W562" s="38"/>
      <c r="X562" s="38"/>
      <c r="Y562" s="44"/>
      <c r="Z562" s="44"/>
      <c r="AA562" s="45" t="str">
        <f aca="false">IF(AND($Y562="",$Z562=""),"",ROUND(IFERROR(VALUE(LEFT($Y562,1)),0)*12+IFERROR(VALUE(LEFT($Z562,1)),0)*8,0))</f>
        <v/>
      </c>
      <c r="AB562" s="45" t="str">
        <f aca="false">IF($AA562="","",IF($AA562&gt;=80,"A - call first",IF($AA562&gt;=60,"B - worth pursuing",IF($AA562&gt;=40,"C - nurture","D - do not spend time here"))))</f>
        <v/>
      </c>
      <c r="AC562" s="46" t="str">
        <f aca="false">IF($C562="","",IF($S562="Converted","7 Certification / Enterprise opportunity",IF($S562="Application Started","7 Certification / Enterprise opportunity",IF($S562="Meeting Booked","6 Meeting / Application",IF(OR($S562="Interested",$S562="Info Requested"),"5 Interested",IF(OR($S562="Declined",$S562="Not Relevant"),"0 Closed - no",IF($R562="Yes","4 Contacted",IF($N562="Yes","2 Engaged",IF($M562="Yes","1 Awareness",IF($AA562&gt;=60,"3 Qualified","1 Awareness"))))))))))</f>
        <v/>
      </c>
    </row>
    <row r="563" customFormat="false" ht="30" hidden="false" customHeight="true" outlineLevel="0" collapsed="false">
      <c r="A563" s="36"/>
      <c r="B563" s="37"/>
      <c r="C563" s="37"/>
      <c r="D563" s="37"/>
      <c r="E563" s="37"/>
      <c r="F563" s="37"/>
      <c r="G563" s="37"/>
      <c r="H563" s="37"/>
      <c r="I563" s="37"/>
      <c r="J563" s="47"/>
      <c r="K563" s="41" t="str">
        <f aca="false">IF(J563="","",IF(J563&gt;=8,"Yes","Check"))</f>
        <v/>
      </c>
      <c r="L563" s="38"/>
      <c r="M563" s="47"/>
      <c r="N563" s="47"/>
      <c r="O563" s="37"/>
      <c r="P563" s="38"/>
      <c r="Q563" s="42" t="str">
        <f aca="false">IF(P563="","",LEN(P563))</f>
        <v/>
      </c>
      <c r="R563" s="47"/>
      <c r="S563" s="37"/>
      <c r="T563" s="38"/>
      <c r="U563" s="43" t="str">
        <f aca="false">IF(OR(R563&lt;&gt;"Yes",A563=""),"",A563+4)</f>
        <v/>
      </c>
      <c r="V563" s="47"/>
      <c r="W563" s="38"/>
      <c r="X563" s="38"/>
      <c r="Y563" s="44"/>
      <c r="Z563" s="44"/>
      <c r="AA563" s="45" t="str">
        <f aca="false">IF(AND($Y563="",$Z563=""),"",ROUND(IFERROR(VALUE(LEFT($Y563,1)),0)*12+IFERROR(VALUE(LEFT($Z563,1)),0)*8,0))</f>
        <v/>
      </c>
      <c r="AB563" s="45" t="str">
        <f aca="false">IF($AA563="","",IF($AA563&gt;=80,"A - call first",IF($AA563&gt;=60,"B - worth pursuing",IF($AA563&gt;=40,"C - nurture","D - do not spend time here"))))</f>
        <v/>
      </c>
      <c r="AC563" s="46" t="str">
        <f aca="false">IF($C563="","",IF($S563="Converted","7 Certification / Enterprise opportunity",IF($S563="Application Started","7 Certification / Enterprise opportunity",IF($S563="Meeting Booked","6 Meeting / Application",IF(OR($S563="Interested",$S563="Info Requested"),"5 Interested",IF(OR($S563="Declined",$S563="Not Relevant"),"0 Closed - no",IF($R563="Yes","4 Contacted",IF($N563="Yes","2 Engaged",IF($M563="Yes","1 Awareness",IF($AA563&gt;=60,"3 Qualified","1 Awareness"))))))))))</f>
        <v/>
      </c>
    </row>
    <row r="564" customFormat="false" ht="30" hidden="false" customHeight="true" outlineLevel="0" collapsed="false">
      <c r="A564" s="36"/>
      <c r="B564" s="37"/>
      <c r="C564" s="37"/>
      <c r="D564" s="37"/>
      <c r="E564" s="37"/>
      <c r="F564" s="37"/>
      <c r="G564" s="37"/>
      <c r="H564" s="37"/>
      <c r="I564" s="37"/>
      <c r="J564" s="47"/>
      <c r="K564" s="41" t="str">
        <f aca="false">IF(J564="","",IF(J564&gt;=8,"Yes","Check"))</f>
        <v/>
      </c>
      <c r="L564" s="38"/>
      <c r="M564" s="47"/>
      <c r="N564" s="47"/>
      <c r="O564" s="37"/>
      <c r="P564" s="38"/>
      <c r="Q564" s="42" t="str">
        <f aca="false">IF(P564="","",LEN(P564))</f>
        <v/>
      </c>
      <c r="R564" s="47"/>
      <c r="S564" s="37"/>
      <c r="T564" s="38"/>
      <c r="U564" s="43" t="str">
        <f aca="false">IF(OR(R564&lt;&gt;"Yes",A564=""),"",A564+4)</f>
        <v/>
      </c>
      <c r="V564" s="47"/>
      <c r="W564" s="38"/>
      <c r="X564" s="38"/>
      <c r="Y564" s="44"/>
      <c r="Z564" s="44"/>
      <c r="AA564" s="45" t="str">
        <f aca="false">IF(AND($Y564="",$Z564=""),"",ROUND(IFERROR(VALUE(LEFT($Y564,1)),0)*12+IFERROR(VALUE(LEFT($Z564,1)),0)*8,0))</f>
        <v/>
      </c>
      <c r="AB564" s="45" t="str">
        <f aca="false">IF($AA564="","",IF($AA564&gt;=80,"A - call first",IF($AA564&gt;=60,"B - worth pursuing",IF($AA564&gt;=40,"C - nurture","D - do not spend time here"))))</f>
        <v/>
      </c>
      <c r="AC564" s="46" t="str">
        <f aca="false">IF($C564="","",IF($S564="Converted","7 Certification / Enterprise opportunity",IF($S564="Application Started","7 Certification / Enterprise opportunity",IF($S564="Meeting Booked","6 Meeting / Application",IF(OR($S564="Interested",$S564="Info Requested"),"5 Interested",IF(OR($S564="Declined",$S564="Not Relevant"),"0 Closed - no",IF($R564="Yes","4 Contacted",IF($N564="Yes","2 Engaged",IF($M564="Yes","1 Awareness",IF($AA564&gt;=60,"3 Qualified","1 Awareness"))))))))))</f>
        <v/>
      </c>
    </row>
    <row r="565" customFormat="false" ht="30" hidden="false" customHeight="true" outlineLevel="0" collapsed="false">
      <c r="A565" s="36"/>
      <c r="B565" s="37"/>
      <c r="C565" s="37"/>
      <c r="D565" s="37"/>
      <c r="E565" s="37"/>
      <c r="F565" s="37"/>
      <c r="G565" s="37"/>
      <c r="H565" s="37"/>
      <c r="I565" s="37"/>
      <c r="J565" s="47"/>
      <c r="K565" s="41" t="str">
        <f aca="false">IF(J565="","",IF(J565&gt;=8,"Yes","Check"))</f>
        <v/>
      </c>
      <c r="L565" s="38"/>
      <c r="M565" s="47"/>
      <c r="N565" s="47"/>
      <c r="O565" s="37"/>
      <c r="P565" s="38"/>
      <c r="Q565" s="42" t="str">
        <f aca="false">IF(P565="","",LEN(P565))</f>
        <v/>
      </c>
      <c r="R565" s="47"/>
      <c r="S565" s="37"/>
      <c r="T565" s="38"/>
      <c r="U565" s="43" t="str">
        <f aca="false">IF(OR(R565&lt;&gt;"Yes",A565=""),"",A565+4)</f>
        <v/>
      </c>
      <c r="V565" s="47"/>
      <c r="W565" s="38"/>
      <c r="X565" s="38"/>
      <c r="Y565" s="44"/>
      <c r="Z565" s="44"/>
      <c r="AA565" s="45" t="str">
        <f aca="false">IF(AND($Y565="",$Z565=""),"",ROUND(IFERROR(VALUE(LEFT($Y565,1)),0)*12+IFERROR(VALUE(LEFT($Z565,1)),0)*8,0))</f>
        <v/>
      </c>
      <c r="AB565" s="45" t="str">
        <f aca="false">IF($AA565="","",IF($AA565&gt;=80,"A - call first",IF($AA565&gt;=60,"B - worth pursuing",IF($AA565&gt;=40,"C - nurture","D - do not spend time here"))))</f>
        <v/>
      </c>
      <c r="AC565" s="46" t="str">
        <f aca="false">IF($C565="","",IF($S565="Converted","7 Certification / Enterprise opportunity",IF($S565="Application Started","7 Certification / Enterprise opportunity",IF($S565="Meeting Booked","6 Meeting / Application",IF(OR($S565="Interested",$S565="Info Requested"),"5 Interested",IF(OR($S565="Declined",$S565="Not Relevant"),"0 Closed - no",IF($R565="Yes","4 Contacted",IF($N565="Yes","2 Engaged",IF($M565="Yes","1 Awareness",IF($AA565&gt;=60,"3 Qualified","1 Awareness"))))))))))</f>
        <v/>
      </c>
    </row>
    <row r="566" customFormat="false" ht="30" hidden="false" customHeight="true" outlineLevel="0" collapsed="false">
      <c r="A566" s="36"/>
      <c r="B566" s="37"/>
      <c r="C566" s="37"/>
      <c r="D566" s="37"/>
      <c r="E566" s="37"/>
      <c r="F566" s="37"/>
      <c r="G566" s="37"/>
      <c r="H566" s="37"/>
      <c r="I566" s="37"/>
      <c r="J566" s="47"/>
      <c r="K566" s="41" t="str">
        <f aca="false">IF(J566="","",IF(J566&gt;=8,"Yes","Check"))</f>
        <v/>
      </c>
      <c r="L566" s="38"/>
      <c r="M566" s="47"/>
      <c r="N566" s="47"/>
      <c r="O566" s="37"/>
      <c r="P566" s="38"/>
      <c r="Q566" s="42" t="str">
        <f aca="false">IF(P566="","",LEN(P566))</f>
        <v/>
      </c>
      <c r="R566" s="47"/>
      <c r="S566" s="37"/>
      <c r="T566" s="38"/>
      <c r="U566" s="43" t="str">
        <f aca="false">IF(OR(R566&lt;&gt;"Yes",A566=""),"",A566+4)</f>
        <v/>
      </c>
      <c r="V566" s="47"/>
      <c r="W566" s="38"/>
      <c r="X566" s="38"/>
      <c r="Y566" s="44"/>
      <c r="Z566" s="44"/>
      <c r="AA566" s="45" t="str">
        <f aca="false">IF(AND($Y566="",$Z566=""),"",ROUND(IFERROR(VALUE(LEFT($Y566,1)),0)*12+IFERROR(VALUE(LEFT($Z566,1)),0)*8,0))</f>
        <v/>
      </c>
      <c r="AB566" s="45" t="str">
        <f aca="false">IF($AA566="","",IF($AA566&gt;=80,"A - call first",IF($AA566&gt;=60,"B - worth pursuing",IF($AA566&gt;=40,"C - nurture","D - do not spend time here"))))</f>
        <v/>
      </c>
      <c r="AC566" s="46" t="str">
        <f aca="false">IF($C566="","",IF($S566="Converted","7 Certification / Enterprise opportunity",IF($S566="Application Started","7 Certification / Enterprise opportunity",IF($S566="Meeting Booked","6 Meeting / Application",IF(OR($S566="Interested",$S566="Info Requested"),"5 Interested",IF(OR($S566="Declined",$S566="Not Relevant"),"0 Closed - no",IF($R566="Yes","4 Contacted",IF($N566="Yes","2 Engaged",IF($M566="Yes","1 Awareness",IF($AA566&gt;=60,"3 Qualified","1 Awareness"))))))))))</f>
        <v/>
      </c>
    </row>
    <row r="567" customFormat="false" ht="30" hidden="false" customHeight="true" outlineLevel="0" collapsed="false">
      <c r="A567" s="36"/>
      <c r="B567" s="37"/>
      <c r="C567" s="37"/>
      <c r="D567" s="37"/>
      <c r="E567" s="37"/>
      <c r="F567" s="37"/>
      <c r="G567" s="37"/>
      <c r="H567" s="37"/>
      <c r="I567" s="37"/>
      <c r="J567" s="47"/>
      <c r="K567" s="41" t="str">
        <f aca="false">IF(J567="","",IF(J567&gt;=8,"Yes","Check"))</f>
        <v/>
      </c>
      <c r="L567" s="38"/>
      <c r="M567" s="47"/>
      <c r="N567" s="47"/>
      <c r="O567" s="37"/>
      <c r="P567" s="38"/>
      <c r="Q567" s="42" t="str">
        <f aca="false">IF(P567="","",LEN(P567))</f>
        <v/>
      </c>
      <c r="R567" s="47"/>
      <c r="S567" s="37"/>
      <c r="T567" s="38"/>
      <c r="U567" s="43" t="str">
        <f aca="false">IF(OR(R567&lt;&gt;"Yes",A567=""),"",A567+4)</f>
        <v/>
      </c>
      <c r="V567" s="47"/>
      <c r="W567" s="38"/>
      <c r="X567" s="38"/>
      <c r="Y567" s="44"/>
      <c r="Z567" s="44"/>
      <c r="AA567" s="45" t="str">
        <f aca="false">IF(AND($Y567="",$Z567=""),"",ROUND(IFERROR(VALUE(LEFT($Y567,1)),0)*12+IFERROR(VALUE(LEFT($Z567,1)),0)*8,0))</f>
        <v/>
      </c>
      <c r="AB567" s="45" t="str">
        <f aca="false">IF($AA567="","",IF($AA567&gt;=80,"A - call first",IF($AA567&gt;=60,"B - worth pursuing",IF($AA567&gt;=40,"C - nurture","D - do not spend time here"))))</f>
        <v/>
      </c>
      <c r="AC567" s="46" t="str">
        <f aca="false">IF($C567="","",IF($S567="Converted","7 Certification / Enterprise opportunity",IF($S567="Application Started","7 Certification / Enterprise opportunity",IF($S567="Meeting Booked","6 Meeting / Application",IF(OR($S567="Interested",$S567="Info Requested"),"5 Interested",IF(OR($S567="Declined",$S567="Not Relevant"),"0 Closed - no",IF($R567="Yes","4 Contacted",IF($N567="Yes","2 Engaged",IF($M567="Yes","1 Awareness",IF($AA567&gt;=60,"3 Qualified","1 Awareness"))))))))))</f>
        <v/>
      </c>
    </row>
    <row r="568" customFormat="false" ht="30" hidden="false" customHeight="true" outlineLevel="0" collapsed="false">
      <c r="A568" s="36"/>
      <c r="B568" s="37"/>
      <c r="C568" s="37"/>
      <c r="D568" s="37"/>
      <c r="E568" s="37"/>
      <c r="F568" s="37"/>
      <c r="G568" s="37"/>
      <c r="H568" s="37"/>
      <c r="I568" s="37"/>
      <c r="J568" s="47"/>
      <c r="K568" s="41" t="str">
        <f aca="false">IF(J568="","",IF(J568&gt;=8,"Yes","Check"))</f>
        <v/>
      </c>
      <c r="L568" s="38"/>
      <c r="M568" s="47"/>
      <c r="N568" s="47"/>
      <c r="O568" s="37"/>
      <c r="P568" s="38"/>
      <c r="Q568" s="42" t="str">
        <f aca="false">IF(P568="","",LEN(P568))</f>
        <v/>
      </c>
      <c r="R568" s="47"/>
      <c r="S568" s="37"/>
      <c r="T568" s="38"/>
      <c r="U568" s="43" t="str">
        <f aca="false">IF(OR(R568&lt;&gt;"Yes",A568=""),"",A568+4)</f>
        <v/>
      </c>
      <c r="V568" s="47"/>
      <c r="W568" s="38"/>
      <c r="X568" s="38"/>
      <c r="Y568" s="44"/>
      <c r="Z568" s="44"/>
      <c r="AA568" s="45" t="str">
        <f aca="false">IF(AND($Y568="",$Z568=""),"",ROUND(IFERROR(VALUE(LEFT($Y568,1)),0)*12+IFERROR(VALUE(LEFT($Z568,1)),0)*8,0))</f>
        <v/>
      </c>
      <c r="AB568" s="45" t="str">
        <f aca="false">IF($AA568="","",IF($AA568&gt;=80,"A - call first",IF($AA568&gt;=60,"B - worth pursuing",IF($AA568&gt;=40,"C - nurture","D - do not spend time here"))))</f>
        <v/>
      </c>
      <c r="AC568" s="46" t="str">
        <f aca="false">IF($C568="","",IF($S568="Converted","7 Certification / Enterprise opportunity",IF($S568="Application Started","7 Certification / Enterprise opportunity",IF($S568="Meeting Booked","6 Meeting / Application",IF(OR($S568="Interested",$S568="Info Requested"),"5 Interested",IF(OR($S568="Declined",$S568="Not Relevant"),"0 Closed - no",IF($R568="Yes","4 Contacted",IF($N568="Yes","2 Engaged",IF($M568="Yes","1 Awareness",IF($AA568&gt;=60,"3 Qualified","1 Awareness"))))))))))</f>
        <v/>
      </c>
    </row>
    <row r="569" customFormat="false" ht="30" hidden="false" customHeight="true" outlineLevel="0" collapsed="false">
      <c r="A569" s="36"/>
      <c r="B569" s="37"/>
      <c r="C569" s="37"/>
      <c r="D569" s="37"/>
      <c r="E569" s="37"/>
      <c r="F569" s="37"/>
      <c r="G569" s="37"/>
      <c r="H569" s="37"/>
      <c r="I569" s="37"/>
      <c r="J569" s="47"/>
      <c r="K569" s="41" t="str">
        <f aca="false">IF(J569="","",IF(J569&gt;=8,"Yes","Check"))</f>
        <v/>
      </c>
      <c r="L569" s="38"/>
      <c r="M569" s="47"/>
      <c r="N569" s="47"/>
      <c r="O569" s="37"/>
      <c r="P569" s="38"/>
      <c r="Q569" s="42" t="str">
        <f aca="false">IF(P569="","",LEN(P569))</f>
        <v/>
      </c>
      <c r="R569" s="47"/>
      <c r="S569" s="37"/>
      <c r="T569" s="38"/>
      <c r="U569" s="43" t="str">
        <f aca="false">IF(OR(R569&lt;&gt;"Yes",A569=""),"",A569+4)</f>
        <v/>
      </c>
      <c r="V569" s="47"/>
      <c r="W569" s="38"/>
      <c r="X569" s="38"/>
      <c r="Y569" s="44"/>
      <c r="Z569" s="44"/>
      <c r="AA569" s="45" t="str">
        <f aca="false">IF(AND($Y569="",$Z569=""),"",ROUND(IFERROR(VALUE(LEFT($Y569,1)),0)*12+IFERROR(VALUE(LEFT($Z569,1)),0)*8,0))</f>
        <v/>
      </c>
      <c r="AB569" s="45" t="str">
        <f aca="false">IF($AA569="","",IF($AA569&gt;=80,"A - call first",IF($AA569&gt;=60,"B - worth pursuing",IF($AA569&gt;=40,"C - nurture","D - do not spend time here"))))</f>
        <v/>
      </c>
      <c r="AC569" s="46" t="str">
        <f aca="false">IF($C569="","",IF($S569="Converted","7 Certification / Enterprise opportunity",IF($S569="Application Started","7 Certification / Enterprise opportunity",IF($S569="Meeting Booked","6 Meeting / Application",IF(OR($S569="Interested",$S569="Info Requested"),"5 Interested",IF(OR($S569="Declined",$S569="Not Relevant"),"0 Closed - no",IF($R569="Yes","4 Contacted",IF($N569="Yes","2 Engaged",IF($M569="Yes","1 Awareness",IF($AA569&gt;=60,"3 Qualified","1 Awareness"))))))))))</f>
        <v/>
      </c>
    </row>
    <row r="570" customFormat="false" ht="30" hidden="false" customHeight="true" outlineLevel="0" collapsed="false">
      <c r="A570" s="36"/>
      <c r="B570" s="37"/>
      <c r="C570" s="37"/>
      <c r="D570" s="37"/>
      <c r="E570" s="37"/>
      <c r="F570" s="37"/>
      <c r="G570" s="37"/>
      <c r="H570" s="37"/>
      <c r="I570" s="37"/>
      <c r="J570" s="47"/>
      <c r="K570" s="41" t="str">
        <f aca="false">IF(J570="","",IF(J570&gt;=8,"Yes","Check"))</f>
        <v/>
      </c>
      <c r="L570" s="38"/>
      <c r="M570" s="47"/>
      <c r="N570" s="47"/>
      <c r="O570" s="37"/>
      <c r="P570" s="38"/>
      <c r="Q570" s="42" t="str">
        <f aca="false">IF(P570="","",LEN(P570))</f>
        <v/>
      </c>
      <c r="R570" s="47"/>
      <c r="S570" s="37"/>
      <c r="T570" s="38"/>
      <c r="U570" s="43" t="str">
        <f aca="false">IF(OR(R570&lt;&gt;"Yes",A570=""),"",A570+4)</f>
        <v/>
      </c>
      <c r="V570" s="47"/>
      <c r="W570" s="38"/>
      <c r="X570" s="38"/>
      <c r="Y570" s="44"/>
      <c r="Z570" s="44"/>
      <c r="AA570" s="45" t="str">
        <f aca="false">IF(AND($Y570="",$Z570=""),"",ROUND(IFERROR(VALUE(LEFT($Y570,1)),0)*12+IFERROR(VALUE(LEFT($Z570,1)),0)*8,0))</f>
        <v/>
      </c>
      <c r="AB570" s="45" t="str">
        <f aca="false">IF($AA570="","",IF($AA570&gt;=80,"A - call first",IF($AA570&gt;=60,"B - worth pursuing",IF($AA570&gt;=40,"C - nurture","D - do not spend time here"))))</f>
        <v/>
      </c>
      <c r="AC570" s="46" t="str">
        <f aca="false">IF($C570="","",IF($S570="Converted","7 Certification / Enterprise opportunity",IF($S570="Application Started","7 Certification / Enterprise opportunity",IF($S570="Meeting Booked","6 Meeting / Application",IF(OR($S570="Interested",$S570="Info Requested"),"5 Interested",IF(OR($S570="Declined",$S570="Not Relevant"),"0 Closed - no",IF($R570="Yes","4 Contacted",IF($N570="Yes","2 Engaged",IF($M570="Yes","1 Awareness",IF($AA570&gt;=60,"3 Qualified","1 Awareness"))))))))))</f>
        <v/>
      </c>
    </row>
    <row r="571" customFormat="false" ht="30" hidden="false" customHeight="true" outlineLevel="0" collapsed="false">
      <c r="A571" s="36"/>
      <c r="B571" s="37"/>
      <c r="C571" s="37"/>
      <c r="D571" s="37"/>
      <c r="E571" s="37"/>
      <c r="F571" s="37"/>
      <c r="G571" s="37"/>
      <c r="H571" s="37"/>
      <c r="I571" s="37"/>
      <c r="J571" s="47"/>
      <c r="K571" s="41" t="str">
        <f aca="false">IF(J571="","",IF(J571&gt;=8,"Yes","Check"))</f>
        <v/>
      </c>
      <c r="L571" s="38"/>
      <c r="M571" s="47"/>
      <c r="N571" s="47"/>
      <c r="O571" s="37"/>
      <c r="P571" s="38"/>
      <c r="Q571" s="42" t="str">
        <f aca="false">IF(P571="","",LEN(P571))</f>
        <v/>
      </c>
      <c r="R571" s="47"/>
      <c r="S571" s="37"/>
      <c r="T571" s="38"/>
      <c r="U571" s="43" t="str">
        <f aca="false">IF(OR(R571&lt;&gt;"Yes",A571=""),"",A571+4)</f>
        <v/>
      </c>
      <c r="V571" s="47"/>
      <c r="W571" s="38"/>
      <c r="X571" s="38"/>
      <c r="Y571" s="44"/>
      <c r="Z571" s="44"/>
      <c r="AA571" s="45" t="str">
        <f aca="false">IF(AND($Y571="",$Z571=""),"",ROUND(IFERROR(VALUE(LEFT($Y571,1)),0)*12+IFERROR(VALUE(LEFT($Z571,1)),0)*8,0))</f>
        <v/>
      </c>
      <c r="AB571" s="45" t="str">
        <f aca="false">IF($AA571="","",IF($AA571&gt;=80,"A - call first",IF($AA571&gt;=60,"B - worth pursuing",IF($AA571&gt;=40,"C - nurture","D - do not spend time here"))))</f>
        <v/>
      </c>
      <c r="AC571" s="46" t="str">
        <f aca="false">IF($C571="","",IF($S571="Converted","7 Certification / Enterprise opportunity",IF($S571="Application Started","7 Certification / Enterprise opportunity",IF($S571="Meeting Booked","6 Meeting / Application",IF(OR($S571="Interested",$S571="Info Requested"),"5 Interested",IF(OR($S571="Declined",$S571="Not Relevant"),"0 Closed - no",IF($R571="Yes","4 Contacted",IF($N571="Yes","2 Engaged",IF($M571="Yes","1 Awareness",IF($AA571&gt;=60,"3 Qualified","1 Awareness"))))))))))</f>
        <v/>
      </c>
    </row>
    <row r="572" customFormat="false" ht="30" hidden="false" customHeight="true" outlineLevel="0" collapsed="false">
      <c r="A572" s="36"/>
      <c r="B572" s="37"/>
      <c r="C572" s="37"/>
      <c r="D572" s="37"/>
      <c r="E572" s="37"/>
      <c r="F572" s="37"/>
      <c r="G572" s="37"/>
      <c r="H572" s="37"/>
      <c r="I572" s="37"/>
      <c r="J572" s="47"/>
      <c r="K572" s="41" t="str">
        <f aca="false">IF(J572="","",IF(J572&gt;=8,"Yes","Check"))</f>
        <v/>
      </c>
      <c r="L572" s="38"/>
      <c r="M572" s="47"/>
      <c r="N572" s="47"/>
      <c r="O572" s="37"/>
      <c r="P572" s="38"/>
      <c r="Q572" s="42" t="str">
        <f aca="false">IF(P572="","",LEN(P572))</f>
        <v/>
      </c>
      <c r="R572" s="47"/>
      <c r="S572" s="37"/>
      <c r="T572" s="38"/>
      <c r="U572" s="43" t="str">
        <f aca="false">IF(OR(R572&lt;&gt;"Yes",A572=""),"",A572+4)</f>
        <v/>
      </c>
      <c r="V572" s="47"/>
      <c r="W572" s="38"/>
      <c r="X572" s="38"/>
      <c r="Y572" s="44"/>
      <c r="Z572" s="44"/>
      <c r="AA572" s="45" t="str">
        <f aca="false">IF(AND($Y572="",$Z572=""),"",ROUND(IFERROR(VALUE(LEFT($Y572,1)),0)*12+IFERROR(VALUE(LEFT($Z572,1)),0)*8,0))</f>
        <v/>
      </c>
      <c r="AB572" s="45" t="str">
        <f aca="false">IF($AA572="","",IF($AA572&gt;=80,"A - call first",IF($AA572&gt;=60,"B - worth pursuing",IF($AA572&gt;=40,"C - nurture","D - do not spend time here"))))</f>
        <v/>
      </c>
      <c r="AC572" s="46" t="str">
        <f aca="false">IF($C572="","",IF($S572="Converted","7 Certification / Enterprise opportunity",IF($S572="Application Started","7 Certification / Enterprise opportunity",IF($S572="Meeting Booked","6 Meeting / Application",IF(OR($S572="Interested",$S572="Info Requested"),"5 Interested",IF(OR($S572="Declined",$S572="Not Relevant"),"0 Closed - no",IF($R572="Yes","4 Contacted",IF($N572="Yes","2 Engaged",IF($M572="Yes","1 Awareness",IF($AA572&gt;=60,"3 Qualified","1 Awareness"))))))))))</f>
        <v/>
      </c>
    </row>
    <row r="573" customFormat="false" ht="30" hidden="false" customHeight="true" outlineLevel="0" collapsed="false">
      <c r="A573" s="36"/>
      <c r="B573" s="37"/>
      <c r="C573" s="37"/>
      <c r="D573" s="37"/>
      <c r="E573" s="37"/>
      <c r="F573" s="37"/>
      <c r="G573" s="37"/>
      <c r="H573" s="37"/>
      <c r="I573" s="37"/>
      <c r="J573" s="47"/>
      <c r="K573" s="41" t="str">
        <f aca="false">IF(J573="","",IF(J573&gt;=8,"Yes","Check"))</f>
        <v/>
      </c>
      <c r="L573" s="38"/>
      <c r="M573" s="47"/>
      <c r="N573" s="47"/>
      <c r="O573" s="37"/>
      <c r="P573" s="38"/>
      <c r="Q573" s="42" t="str">
        <f aca="false">IF(P573="","",LEN(P573))</f>
        <v/>
      </c>
      <c r="R573" s="47"/>
      <c r="S573" s="37"/>
      <c r="T573" s="38"/>
      <c r="U573" s="43" t="str">
        <f aca="false">IF(OR(R573&lt;&gt;"Yes",A573=""),"",A573+4)</f>
        <v/>
      </c>
      <c r="V573" s="47"/>
      <c r="W573" s="38"/>
      <c r="X573" s="38"/>
      <c r="Y573" s="44"/>
      <c r="Z573" s="44"/>
      <c r="AA573" s="45" t="str">
        <f aca="false">IF(AND($Y573="",$Z573=""),"",ROUND(IFERROR(VALUE(LEFT($Y573,1)),0)*12+IFERROR(VALUE(LEFT($Z573,1)),0)*8,0))</f>
        <v/>
      </c>
      <c r="AB573" s="45" t="str">
        <f aca="false">IF($AA573="","",IF($AA573&gt;=80,"A - call first",IF($AA573&gt;=60,"B - worth pursuing",IF($AA573&gt;=40,"C - nurture","D - do not spend time here"))))</f>
        <v/>
      </c>
      <c r="AC573" s="46" t="str">
        <f aca="false">IF($C573="","",IF($S573="Converted","7 Certification / Enterprise opportunity",IF($S573="Application Started","7 Certification / Enterprise opportunity",IF($S573="Meeting Booked","6 Meeting / Application",IF(OR($S573="Interested",$S573="Info Requested"),"5 Interested",IF(OR($S573="Declined",$S573="Not Relevant"),"0 Closed - no",IF($R573="Yes","4 Contacted",IF($N573="Yes","2 Engaged",IF($M573="Yes","1 Awareness",IF($AA573&gt;=60,"3 Qualified","1 Awareness"))))))))))</f>
        <v/>
      </c>
    </row>
    <row r="574" customFormat="false" ht="30" hidden="false" customHeight="true" outlineLevel="0" collapsed="false">
      <c r="A574" s="36"/>
      <c r="B574" s="37"/>
      <c r="C574" s="37"/>
      <c r="D574" s="37"/>
      <c r="E574" s="37"/>
      <c r="F574" s="37"/>
      <c r="G574" s="37"/>
      <c r="H574" s="37"/>
      <c r="I574" s="37"/>
      <c r="J574" s="47"/>
      <c r="K574" s="41" t="str">
        <f aca="false">IF(J574="","",IF(J574&gt;=8,"Yes","Check"))</f>
        <v/>
      </c>
      <c r="L574" s="38"/>
      <c r="M574" s="47"/>
      <c r="N574" s="47"/>
      <c r="O574" s="37"/>
      <c r="P574" s="38"/>
      <c r="Q574" s="42" t="str">
        <f aca="false">IF(P574="","",LEN(P574))</f>
        <v/>
      </c>
      <c r="R574" s="47"/>
      <c r="S574" s="37"/>
      <c r="T574" s="38"/>
      <c r="U574" s="43" t="str">
        <f aca="false">IF(OR(R574&lt;&gt;"Yes",A574=""),"",A574+4)</f>
        <v/>
      </c>
      <c r="V574" s="47"/>
      <c r="W574" s="38"/>
      <c r="X574" s="38"/>
      <c r="Y574" s="44"/>
      <c r="Z574" s="44"/>
      <c r="AA574" s="45" t="str">
        <f aca="false">IF(AND($Y574="",$Z574=""),"",ROUND(IFERROR(VALUE(LEFT($Y574,1)),0)*12+IFERROR(VALUE(LEFT($Z574,1)),0)*8,0))</f>
        <v/>
      </c>
      <c r="AB574" s="45" t="str">
        <f aca="false">IF($AA574="","",IF($AA574&gt;=80,"A - call first",IF($AA574&gt;=60,"B - worth pursuing",IF($AA574&gt;=40,"C - nurture","D - do not spend time here"))))</f>
        <v/>
      </c>
      <c r="AC574" s="46" t="str">
        <f aca="false">IF($C574="","",IF($S574="Converted","7 Certification / Enterprise opportunity",IF($S574="Application Started","7 Certification / Enterprise opportunity",IF($S574="Meeting Booked","6 Meeting / Application",IF(OR($S574="Interested",$S574="Info Requested"),"5 Interested",IF(OR($S574="Declined",$S574="Not Relevant"),"0 Closed - no",IF($R574="Yes","4 Contacted",IF($N574="Yes","2 Engaged",IF($M574="Yes","1 Awareness",IF($AA574&gt;=60,"3 Qualified","1 Awareness"))))))))))</f>
        <v/>
      </c>
    </row>
    <row r="575" customFormat="false" ht="30" hidden="false" customHeight="true" outlineLevel="0" collapsed="false">
      <c r="A575" s="36"/>
      <c r="B575" s="37"/>
      <c r="C575" s="37"/>
      <c r="D575" s="37"/>
      <c r="E575" s="37"/>
      <c r="F575" s="37"/>
      <c r="G575" s="37"/>
      <c r="H575" s="37"/>
      <c r="I575" s="37"/>
      <c r="J575" s="47"/>
      <c r="K575" s="41" t="str">
        <f aca="false">IF(J575="","",IF(J575&gt;=8,"Yes","Check"))</f>
        <v/>
      </c>
      <c r="L575" s="38"/>
      <c r="M575" s="47"/>
      <c r="N575" s="47"/>
      <c r="O575" s="37"/>
      <c r="P575" s="38"/>
      <c r="Q575" s="42" t="str">
        <f aca="false">IF(P575="","",LEN(P575))</f>
        <v/>
      </c>
      <c r="R575" s="47"/>
      <c r="S575" s="37"/>
      <c r="T575" s="38"/>
      <c r="U575" s="43" t="str">
        <f aca="false">IF(OR(R575&lt;&gt;"Yes",A575=""),"",A575+4)</f>
        <v/>
      </c>
      <c r="V575" s="47"/>
      <c r="W575" s="38"/>
      <c r="X575" s="38"/>
      <c r="Y575" s="44"/>
      <c r="Z575" s="44"/>
      <c r="AA575" s="45" t="str">
        <f aca="false">IF(AND($Y575="",$Z575=""),"",ROUND(IFERROR(VALUE(LEFT($Y575,1)),0)*12+IFERROR(VALUE(LEFT($Z575,1)),0)*8,0))</f>
        <v/>
      </c>
      <c r="AB575" s="45" t="str">
        <f aca="false">IF($AA575="","",IF($AA575&gt;=80,"A - call first",IF($AA575&gt;=60,"B - worth pursuing",IF($AA575&gt;=40,"C - nurture","D - do not spend time here"))))</f>
        <v/>
      </c>
      <c r="AC575" s="46" t="str">
        <f aca="false">IF($C575="","",IF($S575="Converted","7 Certification / Enterprise opportunity",IF($S575="Application Started","7 Certification / Enterprise opportunity",IF($S575="Meeting Booked","6 Meeting / Application",IF(OR($S575="Interested",$S575="Info Requested"),"5 Interested",IF(OR($S575="Declined",$S575="Not Relevant"),"0 Closed - no",IF($R575="Yes","4 Contacted",IF($N575="Yes","2 Engaged",IF($M575="Yes","1 Awareness",IF($AA575&gt;=60,"3 Qualified","1 Awareness"))))))))))</f>
        <v/>
      </c>
    </row>
    <row r="576" customFormat="false" ht="30" hidden="false" customHeight="true" outlineLevel="0" collapsed="false">
      <c r="A576" s="36"/>
      <c r="B576" s="37"/>
      <c r="C576" s="37"/>
      <c r="D576" s="37"/>
      <c r="E576" s="37"/>
      <c r="F576" s="37"/>
      <c r="G576" s="37"/>
      <c r="H576" s="37"/>
      <c r="I576" s="37"/>
      <c r="J576" s="47"/>
      <c r="K576" s="41" t="str">
        <f aca="false">IF(J576="","",IF(J576&gt;=8,"Yes","Check"))</f>
        <v/>
      </c>
      <c r="L576" s="38"/>
      <c r="M576" s="47"/>
      <c r="N576" s="47"/>
      <c r="O576" s="37"/>
      <c r="P576" s="38"/>
      <c r="Q576" s="42" t="str">
        <f aca="false">IF(P576="","",LEN(P576))</f>
        <v/>
      </c>
      <c r="R576" s="47"/>
      <c r="S576" s="37"/>
      <c r="T576" s="38"/>
      <c r="U576" s="43" t="str">
        <f aca="false">IF(OR(R576&lt;&gt;"Yes",A576=""),"",A576+4)</f>
        <v/>
      </c>
      <c r="V576" s="47"/>
      <c r="W576" s="38"/>
      <c r="X576" s="38"/>
      <c r="Y576" s="44"/>
      <c r="Z576" s="44"/>
      <c r="AA576" s="45" t="str">
        <f aca="false">IF(AND($Y576="",$Z576=""),"",ROUND(IFERROR(VALUE(LEFT($Y576,1)),0)*12+IFERROR(VALUE(LEFT($Z576,1)),0)*8,0))</f>
        <v/>
      </c>
      <c r="AB576" s="45" t="str">
        <f aca="false">IF($AA576="","",IF($AA576&gt;=80,"A - call first",IF($AA576&gt;=60,"B - worth pursuing",IF($AA576&gt;=40,"C - nurture","D - do not spend time here"))))</f>
        <v/>
      </c>
      <c r="AC576" s="46" t="str">
        <f aca="false">IF($C576="","",IF($S576="Converted","7 Certification / Enterprise opportunity",IF($S576="Application Started","7 Certification / Enterprise opportunity",IF($S576="Meeting Booked","6 Meeting / Application",IF(OR($S576="Interested",$S576="Info Requested"),"5 Interested",IF(OR($S576="Declined",$S576="Not Relevant"),"0 Closed - no",IF($R576="Yes","4 Contacted",IF($N576="Yes","2 Engaged",IF($M576="Yes","1 Awareness",IF($AA576&gt;=60,"3 Qualified","1 Awareness"))))))))))</f>
        <v/>
      </c>
    </row>
    <row r="577" customFormat="false" ht="30" hidden="false" customHeight="true" outlineLevel="0" collapsed="false">
      <c r="A577" s="36"/>
      <c r="B577" s="37"/>
      <c r="C577" s="37"/>
      <c r="D577" s="37"/>
      <c r="E577" s="37"/>
      <c r="F577" s="37"/>
      <c r="G577" s="37"/>
      <c r="H577" s="37"/>
      <c r="I577" s="37"/>
      <c r="J577" s="47"/>
      <c r="K577" s="41" t="str">
        <f aca="false">IF(J577="","",IF(J577&gt;=8,"Yes","Check"))</f>
        <v/>
      </c>
      <c r="L577" s="38"/>
      <c r="M577" s="47"/>
      <c r="N577" s="47"/>
      <c r="O577" s="37"/>
      <c r="P577" s="38"/>
      <c r="Q577" s="42" t="str">
        <f aca="false">IF(P577="","",LEN(P577))</f>
        <v/>
      </c>
      <c r="R577" s="47"/>
      <c r="S577" s="37"/>
      <c r="T577" s="38"/>
      <c r="U577" s="43" t="str">
        <f aca="false">IF(OR(R577&lt;&gt;"Yes",A577=""),"",A577+4)</f>
        <v/>
      </c>
      <c r="V577" s="47"/>
      <c r="W577" s="38"/>
      <c r="X577" s="38"/>
      <c r="Y577" s="44"/>
      <c r="Z577" s="44"/>
      <c r="AA577" s="45" t="str">
        <f aca="false">IF(AND($Y577="",$Z577=""),"",ROUND(IFERROR(VALUE(LEFT($Y577,1)),0)*12+IFERROR(VALUE(LEFT($Z577,1)),0)*8,0))</f>
        <v/>
      </c>
      <c r="AB577" s="45" t="str">
        <f aca="false">IF($AA577="","",IF($AA577&gt;=80,"A - call first",IF($AA577&gt;=60,"B - worth pursuing",IF($AA577&gt;=40,"C - nurture","D - do not spend time here"))))</f>
        <v/>
      </c>
      <c r="AC577" s="46" t="str">
        <f aca="false">IF($C577="","",IF($S577="Converted","7 Certification / Enterprise opportunity",IF($S577="Application Started","7 Certification / Enterprise opportunity",IF($S577="Meeting Booked","6 Meeting / Application",IF(OR($S577="Interested",$S577="Info Requested"),"5 Interested",IF(OR($S577="Declined",$S577="Not Relevant"),"0 Closed - no",IF($R577="Yes","4 Contacted",IF($N577="Yes","2 Engaged",IF($M577="Yes","1 Awareness",IF($AA577&gt;=60,"3 Qualified","1 Awareness"))))))))))</f>
        <v/>
      </c>
    </row>
    <row r="578" customFormat="false" ht="30" hidden="false" customHeight="true" outlineLevel="0" collapsed="false">
      <c r="A578" s="36"/>
      <c r="B578" s="37"/>
      <c r="C578" s="37"/>
      <c r="D578" s="37"/>
      <c r="E578" s="37"/>
      <c r="F578" s="37"/>
      <c r="G578" s="37"/>
      <c r="H578" s="37"/>
      <c r="I578" s="37"/>
      <c r="J578" s="47"/>
      <c r="K578" s="41" t="str">
        <f aca="false">IF(J578="","",IF(J578&gt;=8,"Yes","Check"))</f>
        <v/>
      </c>
      <c r="L578" s="38"/>
      <c r="M578" s="47"/>
      <c r="N578" s="47"/>
      <c r="O578" s="37"/>
      <c r="P578" s="38"/>
      <c r="Q578" s="42" t="str">
        <f aca="false">IF(P578="","",LEN(P578))</f>
        <v/>
      </c>
      <c r="R578" s="47"/>
      <c r="S578" s="37"/>
      <c r="T578" s="38"/>
      <c r="U578" s="43" t="str">
        <f aca="false">IF(OR(R578&lt;&gt;"Yes",A578=""),"",A578+4)</f>
        <v/>
      </c>
      <c r="V578" s="47"/>
      <c r="W578" s="38"/>
      <c r="X578" s="38"/>
      <c r="Y578" s="44"/>
      <c r="Z578" s="44"/>
      <c r="AA578" s="45" t="str">
        <f aca="false">IF(AND($Y578="",$Z578=""),"",ROUND(IFERROR(VALUE(LEFT($Y578,1)),0)*12+IFERROR(VALUE(LEFT($Z578,1)),0)*8,0))</f>
        <v/>
      </c>
      <c r="AB578" s="45" t="str">
        <f aca="false">IF($AA578="","",IF($AA578&gt;=80,"A - call first",IF($AA578&gt;=60,"B - worth pursuing",IF($AA578&gt;=40,"C - nurture","D - do not spend time here"))))</f>
        <v/>
      </c>
      <c r="AC578" s="46" t="str">
        <f aca="false">IF($C578="","",IF($S578="Converted","7 Certification / Enterprise opportunity",IF($S578="Application Started","7 Certification / Enterprise opportunity",IF($S578="Meeting Booked","6 Meeting / Application",IF(OR($S578="Interested",$S578="Info Requested"),"5 Interested",IF(OR($S578="Declined",$S578="Not Relevant"),"0 Closed - no",IF($R578="Yes","4 Contacted",IF($N578="Yes","2 Engaged",IF($M578="Yes","1 Awareness",IF($AA578&gt;=60,"3 Qualified","1 Awareness"))))))))))</f>
        <v/>
      </c>
    </row>
    <row r="579" customFormat="false" ht="30" hidden="false" customHeight="true" outlineLevel="0" collapsed="false">
      <c r="A579" s="36"/>
      <c r="B579" s="37"/>
      <c r="C579" s="37"/>
      <c r="D579" s="37"/>
      <c r="E579" s="37"/>
      <c r="F579" s="37"/>
      <c r="G579" s="37"/>
      <c r="H579" s="37"/>
      <c r="I579" s="37"/>
      <c r="J579" s="47"/>
      <c r="K579" s="41" t="str">
        <f aca="false">IF(J579="","",IF(J579&gt;=8,"Yes","Check"))</f>
        <v/>
      </c>
      <c r="L579" s="38"/>
      <c r="M579" s="47"/>
      <c r="N579" s="47"/>
      <c r="O579" s="37"/>
      <c r="P579" s="38"/>
      <c r="Q579" s="42" t="str">
        <f aca="false">IF(P579="","",LEN(P579))</f>
        <v/>
      </c>
      <c r="R579" s="47"/>
      <c r="S579" s="37"/>
      <c r="T579" s="38"/>
      <c r="U579" s="43" t="str">
        <f aca="false">IF(OR(R579&lt;&gt;"Yes",A579=""),"",A579+4)</f>
        <v/>
      </c>
      <c r="V579" s="47"/>
      <c r="W579" s="38"/>
      <c r="X579" s="38"/>
      <c r="Y579" s="44"/>
      <c r="Z579" s="44"/>
      <c r="AA579" s="45" t="str">
        <f aca="false">IF(AND($Y579="",$Z579=""),"",ROUND(IFERROR(VALUE(LEFT($Y579,1)),0)*12+IFERROR(VALUE(LEFT($Z579,1)),0)*8,0))</f>
        <v/>
      </c>
      <c r="AB579" s="45" t="str">
        <f aca="false">IF($AA579="","",IF($AA579&gt;=80,"A - call first",IF($AA579&gt;=60,"B - worth pursuing",IF($AA579&gt;=40,"C - nurture","D - do not spend time here"))))</f>
        <v/>
      </c>
      <c r="AC579" s="46" t="str">
        <f aca="false">IF($C579="","",IF($S579="Converted","7 Certification / Enterprise opportunity",IF($S579="Application Started","7 Certification / Enterprise opportunity",IF($S579="Meeting Booked","6 Meeting / Application",IF(OR($S579="Interested",$S579="Info Requested"),"5 Interested",IF(OR($S579="Declined",$S579="Not Relevant"),"0 Closed - no",IF($R579="Yes","4 Contacted",IF($N579="Yes","2 Engaged",IF($M579="Yes","1 Awareness",IF($AA579&gt;=60,"3 Qualified","1 Awareness"))))))))))</f>
        <v/>
      </c>
    </row>
    <row r="580" customFormat="false" ht="30" hidden="false" customHeight="true" outlineLevel="0" collapsed="false">
      <c r="A580" s="36"/>
      <c r="B580" s="37"/>
      <c r="C580" s="37"/>
      <c r="D580" s="37"/>
      <c r="E580" s="37"/>
      <c r="F580" s="37"/>
      <c r="G580" s="37"/>
      <c r="H580" s="37"/>
      <c r="I580" s="37"/>
      <c r="J580" s="47"/>
      <c r="K580" s="41" t="str">
        <f aca="false">IF(J580="","",IF(J580&gt;=8,"Yes","Check"))</f>
        <v/>
      </c>
      <c r="L580" s="38"/>
      <c r="M580" s="47"/>
      <c r="N580" s="47"/>
      <c r="O580" s="37"/>
      <c r="P580" s="38"/>
      <c r="Q580" s="42" t="str">
        <f aca="false">IF(P580="","",LEN(P580))</f>
        <v/>
      </c>
      <c r="R580" s="47"/>
      <c r="S580" s="37"/>
      <c r="T580" s="38"/>
      <c r="U580" s="43" t="str">
        <f aca="false">IF(OR(R580&lt;&gt;"Yes",A580=""),"",A580+4)</f>
        <v/>
      </c>
      <c r="V580" s="47"/>
      <c r="W580" s="38"/>
      <c r="X580" s="38"/>
      <c r="Y580" s="44"/>
      <c r="Z580" s="44"/>
      <c r="AA580" s="45" t="str">
        <f aca="false">IF(AND($Y580="",$Z580=""),"",ROUND(IFERROR(VALUE(LEFT($Y580,1)),0)*12+IFERROR(VALUE(LEFT($Z580,1)),0)*8,0))</f>
        <v/>
      </c>
      <c r="AB580" s="45" t="str">
        <f aca="false">IF($AA580="","",IF($AA580&gt;=80,"A - call first",IF($AA580&gt;=60,"B - worth pursuing",IF($AA580&gt;=40,"C - nurture","D - do not spend time here"))))</f>
        <v/>
      </c>
      <c r="AC580" s="46" t="str">
        <f aca="false">IF($C580="","",IF($S580="Converted","7 Certification / Enterprise opportunity",IF($S580="Application Started","7 Certification / Enterprise opportunity",IF($S580="Meeting Booked","6 Meeting / Application",IF(OR($S580="Interested",$S580="Info Requested"),"5 Interested",IF(OR($S580="Declined",$S580="Not Relevant"),"0 Closed - no",IF($R580="Yes","4 Contacted",IF($N580="Yes","2 Engaged",IF($M580="Yes","1 Awareness",IF($AA580&gt;=60,"3 Qualified","1 Awareness"))))))))))</f>
        <v/>
      </c>
    </row>
    <row r="581" customFormat="false" ht="30" hidden="false" customHeight="true" outlineLevel="0" collapsed="false">
      <c r="A581" s="36"/>
      <c r="B581" s="37"/>
      <c r="C581" s="37"/>
      <c r="D581" s="37"/>
      <c r="E581" s="37"/>
      <c r="F581" s="37"/>
      <c r="G581" s="37"/>
      <c r="H581" s="37"/>
      <c r="I581" s="37"/>
      <c r="J581" s="47"/>
      <c r="K581" s="41" t="str">
        <f aca="false">IF(J581="","",IF(J581&gt;=8,"Yes","Check"))</f>
        <v/>
      </c>
      <c r="L581" s="38"/>
      <c r="M581" s="47"/>
      <c r="N581" s="47"/>
      <c r="O581" s="37"/>
      <c r="P581" s="38"/>
      <c r="Q581" s="42" t="str">
        <f aca="false">IF(P581="","",LEN(P581))</f>
        <v/>
      </c>
      <c r="R581" s="47"/>
      <c r="S581" s="37"/>
      <c r="T581" s="38"/>
      <c r="U581" s="43" t="str">
        <f aca="false">IF(OR(R581&lt;&gt;"Yes",A581=""),"",A581+4)</f>
        <v/>
      </c>
      <c r="V581" s="47"/>
      <c r="W581" s="38"/>
      <c r="X581" s="38"/>
      <c r="Y581" s="44"/>
      <c r="Z581" s="44"/>
      <c r="AA581" s="45" t="str">
        <f aca="false">IF(AND($Y581="",$Z581=""),"",ROUND(IFERROR(VALUE(LEFT($Y581,1)),0)*12+IFERROR(VALUE(LEFT($Z581,1)),0)*8,0))</f>
        <v/>
      </c>
      <c r="AB581" s="45" t="str">
        <f aca="false">IF($AA581="","",IF($AA581&gt;=80,"A - call first",IF($AA581&gt;=60,"B - worth pursuing",IF($AA581&gt;=40,"C - nurture","D - do not spend time here"))))</f>
        <v/>
      </c>
      <c r="AC581" s="46" t="str">
        <f aca="false">IF($C581="","",IF($S581="Converted","7 Certification / Enterprise opportunity",IF($S581="Application Started","7 Certification / Enterprise opportunity",IF($S581="Meeting Booked","6 Meeting / Application",IF(OR($S581="Interested",$S581="Info Requested"),"5 Interested",IF(OR($S581="Declined",$S581="Not Relevant"),"0 Closed - no",IF($R581="Yes","4 Contacted",IF($N581="Yes","2 Engaged",IF($M581="Yes","1 Awareness",IF($AA581&gt;=60,"3 Qualified","1 Awareness"))))))))))</f>
        <v/>
      </c>
    </row>
    <row r="582" customFormat="false" ht="30" hidden="false" customHeight="true" outlineLevel="0" collapsed="false">
      <c r="A582" s="36"/>
      <c r="B582" s="37"/>
      <c r="C582" s="37"/>
      <c r="D582" s="37"/>
      <c r="E582" s="37"/>
      <c r="F582" s="37"/>
      <c r="G582" s="37"/>
      <c r="H582" s="37"/>
      <c r="I582" s="37"/>
      <c r="J582" s="47"/>
      <c r="K582" s="41" t="str">
        <f aca="false">IF(J582="","",IF(J582&gt;=8,"Yes","Check"))</f>
        <v/>
      </c>
      <c r="L582" s="38"/>
      <c r="M582" s="47"/>
      <c r="N582" s="47"/>
      <c r="O582" s="37"/>
      <c r="P582" s="38"/>
      <c r="Q582" s="42" t="str">
        <f aca="false">IF(P582="","",LEN(P582))</f>
        <v/>
      </c>
      <c r="R582" s="47"/>
      <c r="S582" s="37"/>
      <c r="T582" s="38"/>
      <c r="U582" s="43" t="str">
        <f aca="false">IF(OR(R582&lt;&gt;"Yes",A582=""),"",A582+4)</f>
        <v/>
      </c>
      <c r="V582" s="47"/>
      <c r="W582" s="38"/>
      <c r="X582" s="38"/>
      <c r="Y582" s="44"/>
      <c r="Z582" s="44"/>
      <c r="AA582" s="45" t="str">
        <f aca="false">IF(AND($Y582="",$Z582=""),"",ROUND(IFERROR(VALUE(LEFT($Y582,1)),0)*12+IFERROR(VALUE(LEFT($Z582,1)),0)*8,0))</f>
        <v/>
      </c>
      <c r="AB582" s="45" t="str">
        <f aca="false">IF($AA582="","",IF($AA582&gt;=80,"A - call first",IF($AA582&gt;=60,"B - worth pursuing",IF($AA582&gt;=40,"C - nurture","D - do not spend time here"))))</f>
        <v/>
      </c>
      <c r="AC582" s="46" t="str">
        <f aca="false">IF($C582="","",IF($S582="Converted","7 Certification / Enterprise opportunity",IF($S582="Application Started","7 Certification / Enterprise opportunity",IF($S582="Meeting Booked","6 Meeting / Application",IF(OR($S582="Interested",$S582="Info Requested"),"5 Interested",IF(OR($S582="Declined",$S582="Not Relevant"),"0 Closed - no",IF($R582="Yes","4 Contacted",IF($N582="Yes","2 Engaged",IF($M582="Yes","1 Awareness",IF($AA582&gt;=60,"3 Qualified","1 Awareness"))))))))))</f>
        <v/>
      </c>
    </row>
    <row r="583" customFormat="false" ht="30" hidden="false" customHeight="true" outlineLevel="0" collapsed="false">
      <c r="A583" s="36"/>
      <c r="B583" s="37"/>
      <c r="C583" s="37"/>
      <c r="D583" s="37"/>
      <c r="E583" s="37"/>
      <c r="F583" s="37"/>
      <c r="G583" s="37"/>
      <c r="H583" s="37"/>
      <c r="I583" s="37"/>
      <c r="J583" s="47"/>
      <c r="K583" s="41" t="str">
        <f aca="false">IF(J583="","",IF(J583&gt;=8,"Yes","Check"))</f>
        <v/>
      </c>
      <c r="L583" s="38"/>
      <c r="M583" s="47"/>
      <c r="N583" s="47"/>
      <c r="O583" s="37"/>
      <c r="P583" s="38"/>
      <c r="Q583" s="42" t="str">
        <f aca="false">IF(P583="","",LEN(P583))</f>
        <v/>
      </c>
      <c r="R583" s="47"/>
      <c r="S583" s="37"/>
      <c r="T583" s="38"/>
      <c r="U583" s="43" t="str">
        <f aca="false">IF(OR(R583&lt;&gt;"Yes",A583=""),"",A583+4)</f>
        <v/>
      </c>
      <c r="V583" s="47"/>
      <c r="W583" s="38"/>
      <c r="X583" s="38"/>
      <c r="Y583" s="44"/>
      <c r="Z583" s="44"/>
      <c r="AA583" s="45" t="str">
        <f aca="false">IF(AND($Y583="",$Z583=""),"",ROUND(IFERROR(VALUE(LEFT($Y583,1)),0)*12+IFERROR(VALUE(LEFT($Z583,1)),0)*8,0))</f>
        <v/>
      </c>
      <c r="AB583" s="45" t="str">
        <f aca="false">IF($AA583="","",IF($AA583&gt;=80,"A - call first",IF($AA583&gt;=60,"B - worth pursuing",IF($AA583&gt;=40,"C - nurture","D - do not spend time here"))))</f>
        <v/>
      </c>
      <c r="AC583" s="46" t="str">
        <f aca="false">IF($C583="","",IF($S583="Converted","7 Certification / Enterprise opportunity",IF($S583="Application Started","7 Certification / Enterprise opportunity",IF($S583="Meeting Booked","6 Meeting / Application",IF(OR($S583="Interested",$S583="Info Requested"),"5 Interested",IF(OR($S583="Declined",$S583="Not Relevant"),"0 Closed - no",IF($R583="Yes","4 Contacted",IF($N583="Yes","2 Engaged",IF($M583="Yes","1 Awareness",IF($AA583&gt;=60,"3 Qualified","1 Awareness"))))))))))</f>
        <v/>
      </c>
    </row>
    <row r="584" customFormat="false" ht="30" hidden="false" customHeight="true" outlineLevel="0" collapsed="false">
      <c r="A584" s="36"/>
      <c r="B584" s="37"/>
      <c r="C584" s="37"/>
      <c r="D584" s="37"/>
      <c r="E584" s="37"/>
      <c r="F584" s="37"/>
      <c r="G584" s="37"/>
      <c r="H584" s="37"/>
      <c r="I584" s="37"/>
      <c r="J584" s="47"/>
      <c r="K584" s="41" t="str">
        <f aca="false">IF(J584="","",IF(J584&gt;=8,"Yes","Check"))</f>
        <v/>
      </c>
      <c r="L584" s="38"/>
      <c r="M584" s="47"/>
      <c r="N584" s="47"/>
      <c r="O584" s="37"/>
      <c r="P584" s="38"/>
      <c r="Q584" s="42" t="str">
        <f aca="false">IF(P584="","",LEN(P584))</f>
        <v/>
      </c>
      <c r="R584" s="47"/>
      <c r="S584" s="37"/>
      <c r="T584" s="38"/>
      <c r="U584" s="43" t="str">
        <f aca="false">IF(OR(R584&lt;&gt;"Yes",A584=""),"",A584+4)</f>
        <v/>
      </c>
      <c r="V584" s="47"/>
      <c r="W584" s="38"/>
      <c r="X584" s="38"/>
      <c r="Y584" s="44"/>
      <c r="Z584" s="44"/>
      <c r="AA584" s="45" t="str">
        <f aca="false">IF(AND($Y584="",$Z584=""),"",ROUND(IFERROR(VALUE(LEFT($Y584,1)),0)*12+IFERROR(VALUE(LEFT($Z584,1)),0)*8,0))</f>
        <v/>
      </c>
      <c r="AB584" s="45" t="str">
        <f aca="false">IF($AA584="","",IF($AA584&gt;=80,"A - call first",IF($AA584&gt;=60,"B - worth pursuing",IF($AA584&gt;=40,"C - nurture","D - do not spend time here"))))</f>
        <v/>
      </c>
      <c r="AC584" s="46" t="str">
        <f aca="false">IF($C584="","",IF($S584="Converted","7 Certification / Enterprise opportunity",IF($S584="Application Started","7 Certification / Enterprise opportunity",IF($S584="Meeting Booked","6 Meeting / Application",IF(OR($S584="Interested",$S584="Info Requested"),"5 Interested",IF(OR($S584="Declined",$S584="Not Relevant"),"0 Closed - no",IF($R584="Yes","4 Contacted",IF($N584="Yes","2 Engaged",IF($M584="Yes","1 Awareness",IF($AA584&gt;=60,"3 Qualified","1 Awareness"))))))))))</f>
        <v/>
      </c>
    </row>
    <row r="585" customFormat="false" ht="30" hidden="false" customHeight="true" outlineLevel="0" collapsed="false">
      <c r="A585" s="36"/>
      <c r="B585" s="37"/>
      <c r="C585" s="37"/>
      <c r="D585" s="37"/>
      <c r="E585" s="37"/>
      <c r="F585" s="37"/>
      <c r="G585" s="37"/>
      <c r="H585" s="37"/>
      <c r="I585" s="37"/>
      <c r="J585" s="47"/>
      <c r="K585" s="41" t="str">
        <f aca="false">IF(J585="","",IF(J585&gt;=8,"Yes","Check"))</f>
        <v/>
      </c>
      <c r="L585" s="38"/>
      <c r="M585" s="47"/>
      <c r="N585" s="47"/>
      <c r="O585" s="37"/>
      <c r="P585" s="38"/>
      <c r="Q585" s="42" t="str">
        <f aca="false">IF(P585="","",LEN(P585))</f>
        <v/>
      </c>
      <c r="R585" s="47"/>
      <c r="S585" s="37"/>
      <c r="T585" s="38"/>
      <c r="U585" s="43" t="str">
        <f aca="false">IF(OR(R585&lt;&gt;"Yes",A585=""),"",A585+4)</f>
        <v/>
      </c>
      <c r="V585" s="47"/>
      <c r="W585" s="38"/>
      <c r="X585" s="38"/>
      <c r="Y585" s="44"/>
      <c r="Z585" s="44"/>
      <c r="AA585" s="45" t="str">
        <f aca="false">IF(AND($Y585="",$Z585=""),"",ROUND(IFERROR(VALUE(LEFT($Y585,1)),0)*12+IFERROR(VALUE(LEFT($Z585,1)),0)*8,0))</f>
        <v/>
      </c>
      <c r="AB585" s="45" t="str">
        <f aca="false">IF($AA585="","",IF($AA585&gt;=80,"A - call first",IF($AA585&gt;=60,"B - worth pursuing",IF($AA585&gt;=40,"C - nurture","D - do not spend time here"))))</f>
        <v/>
      </c>
      <c r="AC585" s="46" t="str">
        <f aca="false">IF($C585="","",IF($S585="Converted","7 Certification / Enterprise opportunity",IF($S585="Application Started","7 Certification / Enterprise opportunity",IF($S585="Meeting Booked","6 Meeting / Application",IF(OR($S585="Interested",$S585="Info Requested"),"5 Interested",IF(OR($S585="Declined",$S585="Not Relevant"),"0 Closed - no",IF($R585="Yes","4 Contacted",IF($N585="Yes","2 Engaged",IF($M585="Yes","1 Awareness",IF($AA585&gt;=60,"3 Qualified","1 Awareness"))))))))))</f>
        <v/>
      </c>
    </row>
    <row r="586" customFormat="false" ht="30" hidden="false" customHeight="true" outlineLevel="0" collapsed="false">
      <c r="A586" s="36"/>
      <c r="B586" s="37"/>
      <c r="C586" s="37"/>
      <c r="D586" s="37"/>
      <c r="E586" s="37"/>
      <c r="F586" s="37"/>
      <c r="G586" s="37"/>
      <c r="H586" s="37"/>
      <c r="I586" s="37"/>
      <c r="J586" s="47"/>
      <c r="K586" s="41" t="str">
        <f aca="false">IF(J586="","",IF(J586&gt;=8,"Yes","Check"))</f>
        <v/>
      </c>
      <c r="L586" s="38"/>
      <c r="M586" s="47"/>
      <c r="N586" s="47"/>
      <c r="O586" s="37"/>
      <c r="P586" s="38"/>
      <c r="Q586" s="42" t="str">
        <f aca="false">IF(P586="","",LEN(P586))</f>
        <v/>
      </c>
      <c r="R586" s="47"/>
      <c r="S586" s="37"/>
      <c r="T586" s="38"/>
      <c r="U586" s="43" t="str">
        <f aca="false">IF(OR(R586&lt;&gt;"Yes",A586=""),"",A586+4)</f>
        <v/>
      </c>
      <c r="V586" s="47"/>
      <c r="W586" s="38"/>
      <c r="X586" s="38"/>
      <c r="Y586" s="44"/>
      <c r="Z586" s="44"/>
      <c r="AA586" s="45" t="str">
        <f aca="false">IF(AND($Y586="",$Z586=""),"",ROUND(IFERROR(VALUE(LEFT($Y586,1)),0)*12+IFERROR(VALUE(LEFT($Z586,1)),0)*8,0))</f>
        <v/>
      </c>
      <c r="AB586" s="45" t="str">
        <f aca="false">IF($AA586="","",IF($AA586&gt;=80,"A - call first",IF($AA586&gt;=60,"B - worth pursuing",IF($AA586&gt;=40,"C - nurture","D - do not spend time here"))))</f>
        <v/>
      </c>
      <c r="AC586" s="46" t="str">
        <f aca="false">IF($C586="","",IF($S586="Converted","7 Certification / Enterprise opportunity",IF($S586="Application Started","7 Certification / Enterprise opportunity",IF($S586="Meeting Booked","6 Meeting / Application",IF(OR($S586="Interested",$S586="Info Requested"),"5 Interested",IF(OR($S586="Declined",$S586="Not Relevant"),"0 Closed - no",IF($R586="Yes","4 Contacted",IF($N586="Yes","2 Engaged",IF($M586="Yes","1 Awareness",IF($AA586&gt;=60,"3 Qualified","1 Awareness"))))))))))</f>
        <v/>
      </c>
    </row>
    <row r="587" customFormat="false" ht="30" hidden="false" customHeight="true" outlineLevel="0" collapsed="false">
      <c r="A587" s="36"/>
      <c r="B587" s="37"/>
      <c r="C587" s="37"/>
      <c r="D587" s="37"/>
      <c r="E587" s="37"/>
      <c r="F587" s="37"/>
      <c r="G587" s="37"/>
      <c r="H587" s="37"/>
      <c r="I587" s="37"/>
      <c r="J587" s="47"/>
      <c r="K587" s="41" t="str">
        <f aca="false">IF(J587="","",IF(J587&gt;=8,"Yes","Check"))</f>
        <v/>
      </c>
      <c r="L587" s="38"/>
      <c r="M587" s="47"/>
      <c r="N587" s="47"/>
      <c r="O587" s="37"/>
      <c r="P587" s="38"/>
      <c r="Q587" s="42" t="str">
        <f aca="false">IF(P587="","",LEN(P587))</f>
        <v/>
      </c>
      <c r="R587" s="47"/>
      <c r="S587" s="37"/>
      <c r="T587" s="38"/>
      <c r="U587" s="43" t="str">
        <f aca="false">IF(OR(R587&lt;&gt;"Yes",A587=""),"",A587+4)</f>
        <v/>
      </c>
      <c r="V587" s="47"/>
      <c r="W587" s="38"/>
      <c r="X587" s="38"/>
      <c r="Y587" s="44"/>
      <c r="Z587" s="44"/>
      <c r="AA587" s="45" t="str">
        <f aca="false">IF(AND($Y587="",$Z587=""),"",ROUND(IFERROR(VALUE(LEFT($Y587,1)),0)*12+IFERROR(VALUE(LEFT($Z587,1)),0)*8,0))</f>
        <v/>
      </c>
      <c r="AB587" s="45" t="str">
        <f aca="false">IF($AA587="","",IF($AA587&gt;=80,"A - call first",IF($AA587&gt;=60,"B - worth pursuing",IF($AA587&gt;=40,"C - nurture","D - do not spend time here"))))</f>
        <v/>
      </c>
      <c r="AC587" s="46" t="str">
        <f aca="false">IF($C587="","",IF($S587="Converted","7 Certification / Enterprise opportunity",IF($S587="Application Started","7 Certification / Enterprise opportunity",IF($S587="Meeting Booked","6 Meeting / Application",IF(OR($S587="Interested",$S587="Info Requested"),"5 Interested",IF(OR($S587="Declined",$S587="Not Relevant"),"0 Closed - no",IF($R587="Yes","4 Contacted",IF($N587="Yes","2 Engaged",IF($M587="Yes","1 Awareness",IF($AA587&gt;=60,"3 Qualified","1 Awareness"))))))))))</f>
        <v/>
      </c>
    </row>
    <row r="588" customFormat="false" ht="30" hidden="false" customHeight="true" outlineLevel="0" collapsed="false">
      <c r="A588" s="36"/>
      <c r="B588" s="37"/>
      <c r="C588" s="37"/>
      <c r="D588" s="37"/>
      <c r="E588" s="37"/>
      <c r="F588" s="37"/>
      <c r="G588" s="37"/>
      <c r="H588" s="37"/>
      <c r="I588" s="37"/>
      <c r="J588" s="47"/>
      <c r="K588" s="41" t="str">
        <f aca="false">IF(J588="","",IF(J588&gt;=8,"Yes","Check"))</f>
        <v/>
      </c>
      <c r="L588" s="38"/>
      <c r="M588" s="47"/>
      <c r="N588" s="47"/>
      <c r="O588" s="37"/>
      <c r="P588" s="38"/>
      <c r="Q588" s="42" t="str">
        <f aca="false">IF(P588="","",LEN(P588))</f>
        <v/>
      </c>
      <c r="R588" s="47"/>
      <c r="S588" s="37"/>
      <c r="T588" s="38"/>
      <c r="U588" s="43" t="str">
        <f aca="false">IF(OR(R588&lt;&gt;"Yes",A588=""),"",A588+4)</f>
        <v/>
      </c>
      <c r="V588" s="47"/>
      <c r="W588" s="38"/>
      <c r="X588" s="38"/>
      <c r="Y588" s="44"/>
      <c r="Z588" s="44"/>
      <c r="AA588" s="45" t="str">
        <f aca="false">IF(AND($Y588="",$Z588=""),"",ROUND(IFERROR(VALUE(LEFT($Y588,1)),0)*12+IFERROR(VALUE(LEFT($Z588,1)),0)*8,0))</f>
        <v/>
      </c>
      <c r="AB588" s="45" t="str">
        <f aca="false">IF($AA588="","",IF($AA588&gt;=80,"A - call first",IF($AA588&gt;=60,"B - worth pursuing",IF($AA588&gt;=40,"C - nurture","D - do not spend time here"))))</f>
        <v/>
      </c>
      <c r="AC588" s="46" t="str">
        <f aca="false">IF($C588="","",IF($S588="Converted","7 Certification / Enterprise opportunity",IF($S588="Application Started","7 Certification / Enterprise opportunity",IF($S588="Meeting Booked","6 Meeting / Application",IF(OR($S588="Interested",$S588="Info Requested"),"5 Interested",IF(OR($S588="Declined",$S588="Not Relevant"),"0 Closed - no",IF($R588="Yes","4 Contacted",IF($N588="Yes","2 Engaged",IF($M588="Yes","1 Awareness",IF($AA588&gt;=60,"3 Qualified","1 Awareness"))))))))))</f>
        <v/>
      </c>
    </row>
    <row r="589" customFormat="false" ht="30" hidden="false" customHeight="true" outlineLevel="0" collapsed="false">
      <c r="A589" s="36"/>
      <c r="B589" s="37"/>
      <c r="C589" s="37"/>
      <c r="D589" s="37"/>
      <c r="E589" s="37"/>
      <c r="F589" s="37"/>
      <c r="G589" s="37"/>
      <c r="H589" s="37"/>
      <c r="I589" s="37"/>
      <c r="J589" s="47"/>
      <c r="K589" s="41" t="str">
        <f aca="false">IF(J589="","",IF(J589&gt;=8,"Yes","Check"))</f>
        <v/>
      </c>
      <c r="L589" s="38"/>
      <c r="M589" s="47"/>
      <c r="N589" s="47"/>
      <c r="O589" s="37"/>
      <c r="P589" s="38"/>
      <c r="Q589" s="42" t="str">
        <f aca="false">IF(P589="","",LEN(P589))</f>
        <v/>
      </c>
      <c r="R589" s="47"/>
      <c r="S589" s="37"/>
      <c r="T589" s="38"/>
      <c r="U589" s="43" t="str">
        <f aca="false">IF(OR(R589&lt;&gt;"Yes",A589=""),"",A589+4)</f>
        <v/>
      </c>
      <c r="V589" s="47"/>
      <c r="W589" s="38"/>
      <c r="X589" s="38"/>
      <c r="Y589" s="44"/>
      <c r="Z589" s="44"/>
      <c r="AA589" s="45" t="str">
        <f aca="false">IF(AND($Y589="",$Z589=""),"",ROUND(IFERROR(VALUE(LEFT($Y589,1)),0)*12+IFERROR(VALUE(LEFT($Z589,1)),0)*8,0))</f>
        <v/>
      </c>
      <c r="AB589" s="45" t="str">
        <f aca="false">IF($AA589="","",IF($AA589&gt;=80,"A - call first",IF($AA589&gt;=60,"B - worth pursuing",IF($AA589&gt;=40,"C - nurture","D - do not spend time here"))))</f>
        <v/>
      </c>
      <c r="AC589" s="46" t="str">
        <f aca="false">IF($C589="","",IF($S589="Converted","7 Certification / Enterprise opportunity",IF($S589="Application Started","7 Certification / Enterprise opportunity",IF($S589="Meeting Booked","6 Meeting / Application",IF(OR($S589="Interested",$S589="Info Requested"),"5 Interested",IF(OR($S589="Declined",$S589="Not Relevant"),"0 Closed - no",IF($R589="Yes","4 Contacted",IF($N589="Yes","2 Engaged",IF($M589="Yes","1 Awareness",IF($AA589&gt;=60,"3 Qualified","1 Awareness"))))))))))</f>
        <v/>
      </c>
    </row>
    <row r="590" customFormat="false" ht="30" hidden="false" customHeight="true" outlineLevel="0" collapsed="false">
      <c r="A590" s="36"/>
      <c r="B590" s="37"/>
      <c r="C590" s="37"/>
      <c r="D590" s="37"/>
      <c r="E590" s="37"/>
      <c r="F590" s="37"/>
      <c r="G590" s="37"/>
      <c r="H590" s="37"/>
      <c r="I590" s="37"/>
      <c r="J590" s="47"/>
      <c r="K590" s="41" t="str">
        <f aca="false">IF(J590="","",IF(J590&gt;=8,"Yes","Check"))</f>
        <v/>
      </c>
      <c r="L590" s="38"/>
      <c r="M590" s="47"/>
      <c r="N590" s="47"/>
      <c r="O590" s="37"/>
      <c r="P590" s="38"/>
      <c r="Q590" s="42" t="str">
        <f aca="false">IF(P590="","",LEN(P590))</f>
        <v/>
      </c>
      <c r="R590" s="47"/>
      <c r="S590" s="37"/>
      <c r="T590" s="38"/>
      <c r="U590" s="43" t="str">
        <f aca="false">IF(OR(R590&lt;&gt;"Yes",A590=""),"",A590+4)</f>
        <v/>
      </c>
      <c r="V590" s="47"/>
      <c r="W590" s="38"/>
      <c r="X590" s="38"/>
      <c r="Y590" s="44"/>
      <c r="Z590" s="44"/>
      <c r="AA590" s="45" t="str">
        <f aca="false">IF(AND($Y590="",$Z590=""),"",ROUND(IFERROR(VALUE(LEFT($Y590,1)),0)*12+IFERROR(VALUE(LEFT($Z590,1)),0)*8,0))</f>
        <v/>
      </c>
      <c r="AB590" s="45" t="str">
        <f aca="false">IF($AA590="","",IF($AA590&gt;=80,"A - call first",IF($AA590&gt;=60,"B - worth pursuing",IF($AA590&gt;=40,"C - nurture","D - do not spend time here"))))</f>
        <v/>
      </c>
      <c r="AC590" s="46" t="str">
        <f aca="false">IF($C590="","",IF($S590="Converted","7 Certification / Enterprise opportunity",IF($S590="Application Started","7 Certification / Enterprise opportunity",IF($S590="Meeting Booked","6 Meeting / Application",IF(OR($S590="Interested",$S590="Info Requested"),"5 Interested",IF(OR($S590="Declined",$S590="Not Relevant"),"0 Closed - no",IF($R590="Yes","4 Contacted",IF($N590="Yes","2 Engaged",IF($M590="Yes","1 Awareness",IF($AA590&gt;=60,"3 Qualified","1 Awareness"))))))))))</f>
        <v/>
      </c>
    </row>
    <row r="591" customFormat="false" ht="30" hidden="false" customHeight="true" outlineLevel="0" collapsed="false">
      <c r="A591" s="36"/>
      <c r="B591" s="37"/>
      <c r="C591" s="37"/>
      <c r="D591" s="37"/>
      <c r="E591" s="37"/>
      <c r="F591" s="37"/>
      <c r="G591" s="37"/>
      <c r="H591" s="37"/>
      <c r="I591" s="37"/>
      <c r="J591" s="47"/>
      <c r="K591" s="41" t="str">
        <f aca="false">IF(J591="","",IF(J591&gt;=8,"Yes","Check"))</f>
        <v/>
      </c>
      <c r="L591" s="38"/>
      <c r="M591" s="47"/>
      <c r="N591" s="47"/>
      <c r="O591" s="37"/>
      <c r="P591" s="38"/>
      <c r="Q591" s="42" t="str">
        <f aca="false">IF(P591="","",LEN(P591))</f>
        <v/>
      </c>
      <c r="R591" s="47"/>
      <c r="S591" s="37"/>
      <c r="T591" s="38"/>
      <c r="U591" s="43" t="str">
        <f aca="false">IF(OR(R591&lt;&gt;"Yes",A591=""),"",A591+4)</f>
        <v/>
      </c>
      <c r="V591" s="47"/>
      <c r="W591" s="38"/>
      <c r="X591" s="38"/>
      <c r="Y591" s="44"/>
      <c r="Z591" s="44"/>
      <c r="AA591" s="45" t="str">
        <f aca="false">IF(AND($Y591="",$Z591=""),"",ROUND(IFERROR(VALUE(LEFT($Y591,1)),0)*12+IFERROR(VALUE(LEFT($Z591,1)),0)*8,0))</f>
        <v/>
      </c>
      <c r="AB591" s="45" t="str">
        <f aca="false">IF($AA591="","",IF($AA591&gt;=80,"A - call first",IF($AA591&gt;=60,"B - worth pursuing",IF($AA591&gt;=40,"C - nurture","D - do not spend time here"))))</f>
        <v/>
      </c>
      <c r="AC591" s="46" t="str">
        <f aca="false">IF($C591="","",IF($S591="Converted","7 Certification / Enterprise opportunity",IF($S591="Application Started","7 Certification / Enterprise opportunity",IF($S591="Meeting Booked","6 Meeting / Application",IF(OR($S591="Interested",$S591="Info Requested"),"5 Interested",IF(OR($S591="Declined",$S591="Not Relevant"),"0 Closed - no",IF($R591="Yes","4 Contacted",IF($N591="Yes","2 Engaged",IF($M591="Yes","1 Awareness",IF($AA591&gt;=60,"3 Qualified","1 Awareness"))))))))))</f>
        <v/>
      </c>
    </row>
    <row r="592" customFormat="false" ht="30" hidden="false" customHeight="true" outlineLevel="0" collapsed="false">
      <c r="A592" s="36"/>
      <c r="B592" s="37"/>
      <c r="C592" s="37"/>
      <c r="D592" s="37"/>
      <c r="E592" s="37"/>
      <c r="F592" s="37"/>
      <c r="G592" s="37"/>
      <c r="H592" s="37"/>
      <c r="I592" s="37"/>
      <c r="J592" s="47"/>
      <c r="K592" s="41" t="str">
        <f aca="false">IF(J592="","",IF(J592&gt;=8,"Yes","Check"))</f>
        <v/>
      </c>
      <c r="L592" s="38"/>
      <c r="M592" s="47"/>
      <c r="N592" s="47"/>
      <c r="O592" s="37"/>
      <c r="P592" s="38"/>
      <c r="Q592" s="42" t="str">
        <f aca="false">IF(P592="","",LEN(P592))</f>
        <v/>
      </c>
      <c r="R592" s="47"/>
      <c r="S592" s="37"/>
      <c r="T592" s="38"/>
      <c r="U592" s="43" t="str">
        <f aca="false">IF(OR(R592&lt;&gt;"Yes",A592=""),"",A592+4)</f>
        <v/>
      </c>
      <c r="V592" s="47"/>
      <c r="W592" s="38"/>
      <c r="X592" s="38"/>
      <c r="Y592" s="44"/>
      <c r="Z592" s="44"/>
      <c r="AA592" s="45" t="str">
        <f aca="false">IF(AND($Y592="",$Z592=""),"",ROUND(IFERROR(VALUE(LEFT($Y592,1)),0)*12+IFERROR(VALUE(LEFT($Z592,1)),0)*8,0))</f>
        <v/>
      </c>
      <c r="AB592" s="45" t="str">
        <f aca="false">IF($AA592="","",IF($AA592&gt;=80,"A - call first",IF($AA592&gt;=60,"B - worth pursuing",IF($AA592&gt;=40,"C - nurture","D - do not spend time here"))))</f>
        <v/>
      </c>
      <c r="AC592" s="46" t="str">
        <f aca="false">IF($C592="","",IF($S592="Converted","7 Certification / Enterprise opportunity",IF($S592="Application Started","7 Certification / Enterprise opportunity",IF($S592="Meeting Booked","6 Meeting / Application",IF(OR($S592="Interested",$S592="Info Requested"),"5 Interested",IF(OR($S592="Declined",$S592="Not Relevant"),"0 Closed - no",IF($R592="Yes","4 Contacted",IF($N592="Yes","2 Engaged",IF($M592="Yes","1 Awareness",IF($AA592&gt;=60,"3 Qualified","1 Awareness"))))))))))</f>
        <v/>
      </c>
    </row>
    <row r="593" customFormat="false" ht="30" hidden="false" customHeight="true" outlineLevel="0" collapsed="false">
      <c r="A593" s="36"/>
      <c r="B593" s="37"/>
      <c r="C593" s="37"/>
      <c r="D593" s="37"/>
      <c r="E593" s="37"/>
      <c r="F593" s="37"/>
      <c r="G593" s="37"/>
      <c r="H593" s="37"/>
      <c r="I593" s="37"/>
      <c r="J593" s="47"/>
      <c r="K593" s="41" t="str">
        <f aca="false">IF(J593="","",IF(J593&gt;=8,"Yes","Check"))</f>
        <v/>
      </c>
      <c r="L593" s="38"/>
      <c r="M593" s="47"/>
      <c r="N593" s="47"/>
      <c r="O593" s="37"/>
      <c r="P593" s="38"/>
      <c r="Q593" s="42" t="str">
        <f aca="false">IF(P593="","",LEN(P593))</f>
        <v/>
      </c>
      <c r="R593" s="47"/>
      <c r="S593" s="37"/>
      <c r="T593" s="38"/>
      <c r="U593" s="43" t="str">
        <f aca="false">IF(OR(R593&lt;&gt;"Yes",A593=""),"",A593+4)</f>
        <v/>
      </c>
      <c r="V593" s="47"/>
      <c r="W593" s="38"/>
      <c r="X593" s="38"/>
      <c r="Y593" s="44"/>
      <c r="Z593" s="44"/>
      <c r="AA593" s="45" t="str">
        <f aca="false">IF(AND($Y593="",$Z593=""),"",ROUND(IFERROR(VALUE(LEFT($Y593,1)),0)*12+IFERROR(VALUE(LEFT($Z593,1)),0)*8,0))</f>
        <v/>
      </c>
      <c r="AB593" s="45" t="str">
        <f aca="false">IF($AA593="","",IF($AA593&gt;=80,"A - call first",IF($AA593&gt;=60,"B - worth pursuing",IF($AA593&gt;=40,"C - nurture","D - do not spend time here"))))</f>
        <v/>
      </c>
      <c r="AC593" s="46" t="str">
        <f aca="false">IF($C593="","",IF($S593="Converted","7 Certification / Enterprise opportunity",IF($S593="Application Started","7 Certification / Enterprise opportunity",IF($S593="Meeting Booked","6 Meeting / Application",IF(OR($S593="Interested",$S593="Info Requested"),"5 Interested",IF(OR($S593="Declined",$S593="Not Relevant"),"0 Closed - no",IF($R593="Yes","4 Contacted",IF($N593="Yes","2 Engaged",IF($M593="Yes","1 Awareness",IF($AA593&gt;=60,"3 Qualified","1 Awareness"))))))))))</f>
        <v/>
      </c>
    </row>
    <row r="594" customFormat="false" ht="30" hidden="false" customHeight="true" outlineLevel="0" collapsed="false">
      <c r="A594" s="36"/>
      <c r="B594" s="37"/>
      <c r="C594" s="37"/>
      <c r="D594" s="37"/>
      <c r="E594" s="37"/>
      <c r="F594" s="37"/>
      <c r="G594" s="37"/>
      <c r="H594" s="37"/>
      <c r="I594" s="37"/>
      <c r="J594" s="47"/>
      <c r="K594" s="41" t="str">
        <f aca="false">IF(J594="","",IF(J594&gt;=8,"Yes","Check"))</f>
        <v/>
      </c>
      <c r="L594" s="38"/>
      <c r="M594" s="47"/>
      <c r="N594" s="47"/>
      <c r="O594" s="37"/>
      <c r="P594" s="38"/>
      <c r="Q594" s="42" t="str">
        <f aca="false">IF(P594="","",LEN(P594))</f>
        <v/>
      </c>
      <c r="R594" s="47"/>
      <c r="S594" s="37"/>
      <c r="T594" s="38"/>
      <c r="U594" s="43" t="str">
        <f aca="false">IF(OR(R594&lt;&gt;"Yes",A594=""),"",A594+4)</f>
        <v/>
      </c>
      <c r="V594" s="47"/>
      <c r="W594" s="38"/>
      <c r="X594" s="38"/>
      <c r="Y594" s="44"/>
      <c r="Z594" s="44"/>
      <c r="AA594" s="45" t="str">
        <f aca="false">IF(AND($Y594="",$Z594=""),"",ROUND(IFERROR(VALUE(LEFT($Y594,1)),0)*12+IFERROR(VALUE(LEFT($Z594,1)),0)*8,0))</f>
        <v/>
      </c>
      <c r="AB594" s="45" t="str">
        <f aca="false">IF($AA594="","",IF($AA594&gt;=80,"A - call first",IF($AA594&gt;=60,"B - worth pursuing",IF($AA594&gt;=40,"C - nurture","D - do not spend time here"))))</f>
        <v/>
      </c>
      <c r="AC594" s="46" t="str">
        <f aca="false">IF($C594="","",IF($S594="Converted","7 Certification / Enterprise opportunity",IF($S594="Application Started","7 Certification / Enterprise opportunity",IF($S594="Meeting Booked","6 Meeting / Application",IF(OR($S594="Interested",$S594="Info Requested"),"5 Interested",IF(OR($S594="Declined",$S594="Not Relevant"),"0 Closed - no",IF($R594="Yes","4 Contacted",IF($N594="Yes","2 Engaged",IF($M594="Yes","1 Awareness",IF($AA594&gt;=60,"3 Qualified","1 Awareness"))))))))))</f>
        <v/>
      </c>
    </row>
    <row r="595" customFormat="false" ht="30" hidden="false" customHeight="true" outlineLevel="0" collapsed="false">
      <c r="A595" s="36"/>
      <c r="B595" s="37"/>
      <c r="C595" s="37"/>
      <c r="D595" s="37"/>
      <c r="E595" s="37"/>
      <c r="F595" s="37"/>
      <c r="G595" s="37"/>
      <c r="H595" s="37"/>
      <c r="I595" s="37"/>
      <c r="J595" s="47"/>
      <c r="K595" s="41" t="str">
        <f aca="false">IF(J595="","",IF(J595&gt;=8,"Yes","Check"))</f>
        <v/>
      </c>
      <c r="L595" s="38"/>
      <c r="M595" s="47"/>
      <c r="N595" s="47"/>
      <c r="O595" s="37"/>
      <c r="P595" s="38"/>
      <c r="Q595" s="42" t="str">
        <f aca="false">IF(P595="","",LEN(P595))</f>
        <v/>
      </c>
      <c r="R595" s="47"/>
      <c r="S595" s="37"/>
      <c r="T595" s="38"/>
      <c r="U595" s="43" t="str">
        <f aca="false">IF(OR(R595&lt;&gt;"Yes",A595=""),"",A595+4)</f>
        <v/>
      </c>
      <c r="V595" s="47"/>
      <c r="W595" s="38"/>
      <c r="X595" s="38"/>
      <c r="Y595" s="44"/>
      <c r="Z595" s="44"/>
      <c r="AA595" s="45" t="str">
        <f aca="false">IF(AND($Y595="",$Z595=""),"",ROUND(IFERROR(VALUE(LEFT($Y595,1)),0)*12+IFERROR(VALUE(LEFT($Z595,1)),0)*8,0))</f>
        <v/>
      </c>
      <c r="AB595" s="45" t="str">
        <f aca="false">IF($AA595="","",IF($AA595&gt;=80,"A - call first",IF($AA595&gt;=60,"B - worth pursuing",IF($AA595&gt;=40,"C - nurture","D - do not spend time here"))))</f>
        <v/>
      </c>
      <c r="AC595" s="46" t="str">
        <f aca="false">IF($C595="","",IF($S595="Converted","7 Certification / Enterprise opportunity",IF($S595="Application Started","7 Certification / Enterprise opportunity",IF($S595="Meeting Booked","6 Meeting / Application",IF(OR($S595="Interested",$S595="Info Requested"),"5 Interested",IF(OR($S595="Declined",$S595="Not Relevant"),"0 Closed - no",IF($R595="Yes","4 Contacted",IF($N595="Yes","2 Engaged",IF($M595="Yes","1 Awareness",IF($AA595&gt;=60,"3 Qualified","1 Awareness"))))))))))</f>
        <v/>
      </c>
    </row>
    <row r="596" customFormat="false" ht="30" hidden="false" customHeight="true" outlineLevel="0" collapsed="false">
      <c r="A596" s="36"/>
      <c r="B596" s="37"/>
      <c r="C596" s="37"/>
      <c r="D596" s="37"/>
      <c r="E596" s="37"/>
      <c r="F596" s="37"/>
      <c r="G596" s="37"/>
      <c r="H596" s="37"/>
      <c r="I596" s="37"/>
      <c r="J596" s="47"/>
      <c r="K596" s="41" t="str">
        <f aca="false">IF(J596="","",IF(J596&gt;=8,"Yes","Check"))</f>
        <v/>
      </c>
      <c r="L596" s="38"/>
      <c r="M596" s="47"/>
      <c r="N596" s="47"/>
      <c r="O596" s="37"/>
      <c r="P596" s="38"/>
      <c r="Q596" s="42" t="str">
        <f aca="false">IF(P596="","",LEN(P596))</f>
        <v/>
      </c>
      <c r="R596" s="47"/>
      <c r="S596" s="37"/>
      <c r="T596" s="38"/>
      <c r="U596" s="43" t="str">
        <f aca="false">IF(OR(R596&lt;&gt;"Yes",A596=""),"",A596+4)</f>
        <v/>
      </c>
      <c r="V596" s="47"/>
      <c r="W596" s="38"/>
      <c r="X596" s="38"/>
      <c r="Y596" s="44"/>
      <c r="Z596" s="44"/>
      <c r="AA596" s="45" t="str">
        <f aca="false">IF(AND($Y596="",$Z596=""),"",ROUND(IFERROR(VALUE(LEFT($Y596,1)),0)*12+IFERROR(VALUE(LEFT($Z596,1)),0)*8,0))</f>
        <v/>
      </c>
      <c r="AB596" s="45" t="str">
        <f aca="false">IF($AA596="","",IF($AA596&gt;=80,"A - call first",IF($AA596&gt;=60,"B - worth pursuing",IF($AA596&gt;=40,"C - nurture","D - do not spend time here"))))</f>
        <v/>
      </c>
      <c r="AC596" s="46" t="str">
        <f aca="false">IF($C596="","",IF($S596="Converted","7 Certification / Enterprise opportunity",IF($S596="Application Started","7 Certification / Enterprise opportunity",IF($S596="Meeting Booked","6 Meeting / Application",IF(OR($S596="Interested",$S596="Info Requested"),"5 Interested",IF(OR($S596="Declined",$S596="Not Relevant"),"0 Closed - no",IF($R596="Yes","4 Contacted",IF($N596="Yes","2 Engaged",IF($M596="Yes","1 Awareness",IF($AA596&gt;=60,"3 Qualified","1 Awareness"))))))))))</f>
        <v/>
      </c>
    </row>
    <row r="597" customFormat="false" ht="30" hidden="false" customHeight="true" outlineLevel="0" collapsed="false">
      <c r="A597" s="36"/>
      <c r="B597" s="37"/>
      <c r="C597" s="37"/>
      <c r="D597" s="37"/>
      <c r="E597" s="37"/>
      <c r="F597" s="37"/>
      <c r="G597" s="37"/>
      <c r="H597" s="37"/>
      <c r="I597" s="37"/>
      <c r="J597" s="47"/>
      <c r="K597" s="41" t="str">
        <f aca="false">IF(J597="","",IF(J597&gt;=8,"Yes","Check"))</f>
        <v/>
      </c>
      <c r="L597" s="38"/>
      <c r="M597" s="47"/>
      <c r="N597" s="47"/>
      <c r="O597" s="37"/>
      <c r="P597" s="38"/>
      <c r="Q597" s="42" t="str">
        <f aca="false">IF(P597="","",LEN(P597))</f>
        <v/>
      </c>
      <c r="R597" s="47"/>
      <c r="S597" s="37"/>
      <c r="T597" s="38"/>
      <c r="U597" s="43" t="str">
        <f aca="false">IF(OR(R597&lt;&gt;"Yes",A597=""),"",A597+4)</f>
        <v/>
      </c>
      <c r="V597" s="47"/>
      <c r="W597" s="38"/>
      <c r="X597" s="38"/>
      <c r="Y597" s="44"/>
      <c r="Z597" s="44"/>
      <c r="AA597" s="45" t="str">
        <f aca="false">IF(AND($Y597="",$Z597=""),"",ROUND(IFERROR(VALUE(LEFT($Y597,1)),0)*12+IFERROR(VALUE(LEFT($Z597,1)),0)*8,0))</f>
        <v/>
      </c>
      <c r="AB597" s="45" t="str">
        <f aca="false">IF($AA597="","",IF($AA597&gt;=80,"A - call first",IF($AA597&gt;=60,"B - worth pursuing",IF($AA597&gt;=40,"C - nurture","D - do not spend time here"))))</f>
        <v/>
      </c>
      <c r="AC597" s="46" t="str">
        <f aca="false">IF($C597="","",IF($S597="Converted","7 Certification / Enterprise opportunity",IF($S597="Application Started","7 Certification / Enterprise opportunity",IF($S597="Meeting Booked","6 Meeting / Application",IF(OR($S597="Interested",$S597="Info Requested"),"5 Interested",IF(OR($S597="Declined",$S597="Not Relevant"),"0 Closed - no",IF($R597="Yes","4 Contacted",IF($N597="Yes","2 Engaged",IF($M597="Yes","1 Awareness",IF($AA597&gt;=60,"3 Qualified","1 Awareness"))))))))))</f>
        <v/>
      </c>
    </row>
    <row r="598" customFormat="false" ht="30" hidden="false" customHeight="true" outlineLevel="0" collapsed="false">
      <c r="A598" s="36"/>
      <c r="B598" s="37"/>
      <c r="C598" s="37"/>
      <c r="D598" s="37"/>
      <c r="E598" s="37"/>
      <c r="F598" s="37"/>
      <c r="G598" s="37"/>
      <c r="H598" s="37"/>
      <c r="I598" s="37"/>
      <c r="J598" s="47"/>
      <c r="K598" s="41" t="str">
        <f aca="false">IF(J598="","",IF(J598&gt;=8,"Yes","Check"))</f>
        <v/>
      </c>
      <c r="L598" s="38"/>
      <c r="M598" s="47"/>
      <c r="N598" s="47"/>
      <c r="O598" s="37"/>
      <c r="P598" s="38"/>
      <c r="Q598" s="42" t="str">
        <f aca="false">IF(P598="","",LEN(P598))</f>
        <v/>
      </c>
      <c r="R598" s="47"/>
      <c r="S598" s="37"/>
      <c r="T598" s="38"/>
      <c r="U598" s="43" t="str">
        <f aca="false">IF(OR(R598&lt;&gt;"Yes",A598=""),"",A598+4)</f>
        <v/>
      </c>
      <c r="V598" s="47"/>
      <c r="W598" s="38"/>
      <c r="X598" s="38"/>
      <c r="Y598" s="44"/>
      <c r="Z598" s="44"/>
      <c r="AA598" s="45" t="str">
        <f aca="false">IF(AND($Y598="",$Z598=""),"",ROUND(IFERROR(VALUE(LEFT($Y598,1)),0)*12+IFERROR(VALUE(LEFT($Z598,1)),0)*8,0))</f>
        <v/>
      </c>
      <c r="AB598" s="45" t="str">
        <f aca="false">IF($AA598="","",IF($AA598&gt;=80,"A - call first",IF($AA598&gt;=60,"B - worth pursuing",IF($AA598&gt;=40,"C - nurture","D - do not spend time here"))))</f>
        <v/>
      </c>
      <c r="AC598" s="46" t="str">
        <f aca="false">IF($C598="","",IF($S598="Converted","7 Certification / Enterprise opportunity",IF($S598="Application Started","7 Certification / Enterprise opportunity",IF($S598="Meeting Booked","6 Meeting / Application",IF(OR($S598="Interested",$S598="Info Requested"),"5 Interested",IF(OR($S598="Declined",$S598="Not Relevant"),"0 Closed - no",IF($R598="Yes","4 Contacted",IF($N598="Yes","2 Engaged",IF($M598="Yes","1 Awareness",IF($AA598&gt;=60,"3 Qualified","1 Awareness"))))))))))</f>
        <v/>
      </c>
    </row>
    <row r="599" customFormat="false" ht="30" hidden="false" customHeight="true" outlineLevel="0" collapsed="false">
      <c r="A599" s="36"/>
      <c r="B599" s="37"/>
      <c r="C599" s="37"/>
      <c r="D599" s="37"/>
      <c r="E599" s="37"/>
      <c r="F599" s="37"/>
      <c r="G599" s="37"/>
      <c r="H599" s="37"/>
      <c r="I599" s="37"/>
      <c r="J599" s="47"/>
      <c r="K599" s="41" t="str">
        <f aca="false">IF(J599="","",IF(J599&gt;=8,"Yes","Check"))</f>
        <v/>
      </c>
      <c r="L599" s="38"/>
      <c r="M599" s="47"/>
      <c r="N599" s="47"/>
      <c r="O599" s="37"/>
      <c r="P599" s="38"/>
      <c r="Q599" s="42" t="str">
        <f aca="false">IF(P599="","",LEN(P599))</f>
        <v/>
      </c>
      <c r="R599" s="47"/>
      <c r="S599" s="37"/>
      <c r="T599" s="38"/>
      <c r="U599" s="43" t="str">
        <f aca="false">IF(OR(R599&lt;&gt;"Yes",A599=""),"",A599+4)</f>
        <v/>
      </c>
      <c r="V599" s="47"/>
      <c r="W599" s="38"/>
      <c r="X599" s="38"/>
      <c r="Y599" s="44"/>
      <c r="Z599" s="44"/>
      <c r="AA599" s="45" t="str">
        <f aca="false">IF(AND($Y599="",$Z599=""),"",ROUND(IFERROR(VALUE(LEFT($Y599,1)),0)*12+IFERROR(VALUE(LEFT($Z599,1)),0)*8,0))</f>
        <v/>
      </c>
      <c r="AB599" s="45" t="str">
        <f aca="false">IF($AA599="","",IF($AA599&gt;=80,"A - call first",IF($AA599&gt;=60,"B - worth pursuing",IF($AA599&gt;=40,"C - nurture","D - do not spend time here"))))</f>
        <v/>
      </c>
      <c r="AC599" s="46" t="str">
        <f aca="false">IF($C599="","",IF($S599="Converted","7 Certification / Enterprise opportunity",IF($S599="Application Started","7 Certification / Enterprise opportunity",IF($S599="Meeting Booked","6 Meeting / Application",IF(OR($S599="Interested",$S599="Info Requested"),"5 Interested",IF(OR($S599="Declined",$S599="Not Relevant"),"0 Closed - no",IF($R599="Yes","4 Contacted",IF($N599="Yes","2 Engaged",IF($M599="Yes","1 Awareness",IF($AA599&gt;=60,"3 Qualified","1 Awareness"))))))))))</f>
        <v/>
      </c>
    </row>
    <row r="600" customFormat="false" ht="30" hidden="false" customHeight="true" outlineLevel="0" collapsed="false">
      <c r="A600" s="36"/>
      <c r="B600" s="37"/>
      <c r="C600" s="37"/>
      <c r="D600" s="37"/>
      <c r="E600" s="37"/>
      <c r="F600" s="37"/>
      <c r="G600" s="37"/>
      <c r="H600" s="37"/>
      <c r="I600" s="37"/>
      <c r="J600" s="47"/>
      <c r="K600" s="41" t="str">
        <f aca="false">IF(J600="","",IF(J600&gt;=8,"Yes","Check"))</f>
        <v/>
      </c>
      <c r="L600" s="38"/>
      <c r="M600" s="47"/>
      <c r="N600" s="47"/>
      <c r="O600" s="37"/>
      <c r="P600" s="38"/>
      <c r="Q600" s="42" t="str">
        <f aca="false">IF(P600="","",LEN(P600))</f>
        <v/>
      </c>
      <c r="R600" s="47"/>
      <c r="S600" s="37"/>
      <c r="T600" s="38"/>
      <c r="U600" s="43" t="str">
        <f aca="false">IF(OR(R600&lt;&gt;"Yes",A600=""),"",A600+4)</f>
        <v/>
      </c>
      <c r="V600" s="47"/>
      <c r="W600" s="38"/>
      <c r="X600" s="38"/>
      <c r="Y600" s="44"/>
      <c r="Z600" s="44"/>
      <c r="AA600" s="45" t="str">
        <f aca="false">IF(AND($Y600="",$Z600=""),"",ROUND(IFERROR(VALUE(LEFT($Y600,1)),0)*12+IFERROR(VALUE(LEFT($Z600,1)),0)*8,0))</f>
        <v/>
      </c>
      <c r="AB600" s="45" t="str">
        <f aca="false">IF($AA600="","",IF($AA600&gt;=80,"A - call first",IF($AA600&gt;=60,"B - worth pursuing",IF($AA600&gt;=40,"C - nurture","D - do not spend time here"))))</f>
        <v/>
      </c>
      <c r="AC600" s="46" t="str">
        <f aca="false">IF($C600="","",IF($S600="Converted","7 Certification / Enterprise opportunity",IF($S600="Application Started","7 Certification / Enterprise opportunity",IF($S600="Meeting Booked","6 Meeting / Application",IF(OR($S600="Interested",$S600="Info Requested"),"5 Interested",IF(OR($S600="Declined",$S600="Not Relevant"),"0 Closed - no",IF($R600="Yes","4 Contacted",IF($N600="Yes","2 Engaged",IF($M600="Yes","1 Awareness",IF($AA600&gt;=60,"3 Qualified","1 Awareness"))))))))))</f>
        <v/>
      </c>
    </row>
    <row r="601" customFormat="false" ht="30" hidden="false" customHeight="true" outlineLevel="0" collapsed="false">
      <c r="A601" s="36"/>
      <c r="B601" s="37"/>
      <c r="C601" s="37"/>
      <c r="D601" s="37"/>
      <c r="E601" s="37"/>
      <c r="F601" s="37"/>
      <c r="G601" s="37"/>
      <c r="H601" s="37"/>
      <c r="I601" s="37"/>
      <c r="J601" s="47"/>
      <c r="K601" s="41" t="str">
        <f aca="false">IF(J601="","",IF(J601&gt;=8,"Yes","Check"))</f>
        <v/>
      </c>
      <c r="L601" s="38"/>
      <c r="M601" s="47"/>
      <c r="N601" s="47"/>
      <c r="O601" s="37"/>
      <c r="P601" s="38"/>
      <c r="Q601" s="42" t="str">
        <f aca="false">IF(P601="","",LEN(P601))</f>
        <v/>
      </c>
      <c r="R601" s="47"/>
      <c r="S601" s="37"/>
      <c r="T601" s="38"/>
      <c r="U601" s="43" t="str">
        <f aca="false">IF(OR(R601&lt;&gt;"Yes",A601=""),"",A601+4)</f>
        <v/>
      </c>
      <c r="V601" s="47"/>
      <c r="W601" s="38"/>
      <c r="X601" s="38"/>
      <c r="Y601" s="44"/>
      <c r="Z601" s="44"/>
      <c r="AA601" s="45" t="str">
        <f aca="false">IF(AND($Y601="",$Z601=""),"",ROUND(IFERROR(VALUE(LEFT($Y601,1)),0)*12+IFERROR(VALUE(LEFT($Z601,1)),0)*8,0))</f>
        <v/>
      </c>
      <c r="AB601" s="45" t="str">
        <f aca="false">IF($AA601="","",IF($AA601&gt;=80,"A - call first",IF($AA601&gt;=60,"B - worth pursuing",IF($AA601&gt;=40,"C - nurture","D - do not spend time here"))))</f>
        <v/>
      </c>
      <c r="AC601" s="46" t="str">
        <f aca="false">IF($C601="","",IF($S601="Converted","7 Certification / Enterprise opportunity",IF($S601="Application Started","7 Certification / Enterprise opportunity",IF($S601="Meeting Booked","6 Meeting / Application",IF(OR($S601="Interested",$S601="Info Requested"),"5 Interested",IF(OR($S601="Declined",$S601="Not Relevant"),"0 Closed - no",IF($R601="Yes","4 Contacted",IF($N601="Yes","2 Engaged",IF($M601="Yes","1 Awareness",IF($AA601&gt;=60,"3 Qualified","1 Awareness"))))))))))</f>
        <v/>
      </c>
    </row>
    <row r="602" customFormat="false" ht="30" hidden="false" customHeight="true" outlineLevel="0" collapsed="false">
      <c r="A602" s="36"/>
      <c r="B602" s="37"/>
      <c r="C602" s="37"/>
      <c r="D602" s="37"/>
      <c r="E602" s="37"/>
      <c r="F602" s="37"/>
      <c r="G602" s="37"/>
      <c r="H602" s="37"/>
      <c r="I602" s="37"/>
      <c r="J602" s="47"/>
      <c r="K602" s="41" t="str">
        <f aca="false">IF(J602="","",IF(J602&gt;=8,"Yes","Check"))</f>
        <v/>
      </c>
      <c r="L602" s="38"/>
      <c r="M602" s="47"/>
      <c r="N602" s="47"/>
      <c r="O602" s="37"/>
      <c r="P602" s="38"/>
      <c r="Q602" s="42" t="str">
        <f aca="false">IF(P602="","",LEN(P602))</f>
        <v/>
      </c>
      <c r="R602" s="47"/>
      <c r="S602" s="37"/>
      <c r="T602" s="38"/>
      <c r="U602" s="43" t="str">
        <f aca="false">IF(OR(R602&lt;&gt;"Yes",A602=""),"",A602+4)</f>
        <v/>
      </c>
      <c r="V602" s="47"/>
      <c r="W602" s="38"/>
      <c r="X602" s="38"/>
      <c r="Y602" s="44"/>
      <c r="Z602" s="44"/>
      <c r="AA602" s="45" t="str">
        <f aca="false">IF(AND($Y602="",$Z602=""),"",ROUND(IFERROR(VALUE(LEFT($Y602,1)),0)*12+IFERROR(VALUE(LEFT($Z602,1)),0)*8,0))</f>
        <v/>
      </c>
      <c r="AB602" s="45" t="str">
        <f aca="false">IF($AA602="","",IF($AA602&gt;=80,"A - call first",IF($AA602&gt;=60,"B - worth pursuing",IF($AA602&gt;=40,"C - nurture","D - do not spend time here"))))</f>
        <v/>
      </c>
      <c r="AC602" s="46" t="str">
        <f aca="false">IF($C602="","",IF($S602="Converted","7 Certification / Enterprise opportunity",IF($S602="Application Started","7 Certification / Enterprise opportunity",IF($S602="Meeting Booked","6 Meeting / Application",IF(OR($S602="Interested",$S602="Info Requested"),"5 Interested",IF(OR($S602="Declined",$S602="Not Relevant"),"0 Closed - no",IF($R602="Yes","4 Contacted",IF($N602="Yes","2 Engaged",IF($M602="Yes","1 Awareness",IF($AA602&gt;=60,"3 Qualified","1 Awareness"))))))))))</f>
        <v/>
      </c>
    </row>
    <row r="603" customFormat="false" ht="30" hidden="false" customHeight="true" outlineLevel="0" collapsed="false">
      <c r="A603" s="36"/>
      <c r="B603" s="37"/>
      <c r="C603" s="37"/>
      <c r="D603" s="37"/>
      <c r="E603" s="37"/>
      <c r="F603" s="37"/>
      <c r="G603" s="37"/>
      <c r="H603" s="37"/>
      <c r="I603" s="37"/>
      <c r="J603" s="47"/>
      <c r="K603" s="41" t="str">
        <f aca="false">IF(J603="","",IF(J603&gt;=8,"Yes","Check"))</f>
        <v/>
      </c>
      <c r="L603" s="38"/>
      <c r="M603" s="47"/>
      <c r="N603" s="47"/>
      <c r="O603" s="37"/>
      <c r="P603" s="38"/>
      <c r="Q603" s="42" t="str">
        <f aca="false">IF(P603="","",LEN(P603))</f>
        <v/>
      </c>
      <c r="R603" s="47"/>
      <c r="S603" s="37"/>
      <c r="T603" s="38"/>
      <c r="U603" s="43" t="str">
        <f aca="false">IF(OR(R603&lt;&gt;"Yes",A603=""),"",A603+4)</f>
        <v/>
      </c>
      <c r="V603" s="47"/>
      <c r="W603" s="38"/>
      <c r="X603" s="38"/>
      <c r="Y603" s="44"/>
      <c r="Z603" s="44"/>
      <c r="AA603" s="45" t="str">
        <f aca="false">IF(AND($Y603="",$Z603=""),"",ROUND(IFERROR(VALUE(LEFT($Y603,1)),0)*12+IFERROR(VALUE(LEFT($Z603,1)),0)*8,0))</f>
        <v/>
      </c>
      <c r="AB603" s="45" t="str">
        <f aca="false">IF($AA603="","",IF($AA603&gt;=80,"A - call first",IF($AA603&gt;=60,"B - worth pursuing",IF($AA603&gt;=40,"C - nurture","D - do not spend time here"))))</f>
        <v/>
      </c>
      <c r="AC603" s="46" t="str">
        <f aca="false">IF($C603="","",IF($S603="Converted","7 Certification / Enterprise opportunity",IF($S603="Application Started","7 Certification / Enterprise opportunity",IF($S603="Meeting Booked","6 Meeting / Application",IF(OR($S603="Interested",$S603="Info Requested"),"5 Interested",IF(OR($S603="Declined",$S603="Not Relevant"),"0 Closed - no",IF($R603="Yes","4 Contacted",IF($N603="Yes","2 Engaged",IF($M603="Yes","1 Awareness",IF($AA603&gt;=60,"3 Qualified","1 Awareness"))))))))))</f>
        <v/>
      </c>
    </row>
    <row r="604" customFormat="false" ht="30" hidden="false" customHeight="true" outlineLevel="0" collapsed="false">
      <c r="A604" s="36"/>
      <c r="B604" s="37"/>
      <c r="C604" s="37"/>
      <c r="D604" s="37"/>
      <c r="E604" s="37"/>
      <c r="F604" s="37"/>
      <c r="G604" s="37"/>
      <c r="H604" s="37"/>
      <c r="I604" s="37"/>
      <c r="J604" s="47"/>
      <c r="K604" s="41" t="str">
        <f aca="false">IF(J604="","",IF(J604&gt;=8,"Yes","Check"))</f>
        <v/>
      </c>
      <c r="L604" s="38"/>
      <c r="M604" s="47"/>
      <c r="N604" s="47"/>
      <c r="O604" s="37"/>
      <c r="P604" s="38"/>
      <c r="Q604" s="42" t="str">
        <f aca="false">IF(P604="","",LEN(P604))</f>
        <v/>
      </c>
      <c r="R604" s="47"/>
      <c r="S604" s="37"/>
      <c r="T604" s="38"/>
      <c r="U604" s="43" t="str">
        <f aca="false">IF(OR(R604&lt;&gt;"Yes",A604=""),"",A604+4)</f>
        <v/>
      </c>
      <c r="V604" s="47"/>
      <c r="W604" s="38"/>
      <c r="X604" s="38"/>
      <c r="Y604" s="44"/>
      <c r="Z604" s="44"/>
      <c r="AA604" s="45" t="str">
        <f aca="false">IF(AND($Y604="",$Z604=""),"",ROUND(IFERROR(VALUE(LEFT($Y604,1)),0)*12+IFERROR(VALUE(LEFT($Z604,1)),0)*8,0))</f>
        <v/>
      </c>
      <c r="AB604" s="45" t="str">
        <f aca="false">IF($AA604="","",IF($AA604&gt;=80,"A - call first",IF($AA604&gt;=60,"B - worth pursuing",IF($AA604&gt;=40,"C - nurture","D - do not spend time here"))))</f>
        <v/>
      </c>
      <c r="AC604" s="46" t="str">
        <f aca="false">IF($C604="","",IF($S604="Converted","7 Certification / Enterprise opportunity",IF($S604="Application Started","7 Certification / Enterprise opportunity",IF($S604="Meeting Booked","6 Meeting / Application",IF(OR($S604="Interested",$S604="Info Requested"),"5 Interested",IF(OR($S604="Declined",$S604="Not Relevant"),"0 Closed - no",IF($R604="Yes","4 Contacted",IF($N604="Yes","2 Engaged",IF($M604="Yes","1 Awareness",IF($AA604&gt;=60,"3 Qualified","1 Awareness"))))))))))</f>
        <v/>
      </c>
    </row>
    <row r="605" customFormat="false" ht="30" hidden="false" customHeight="true" outlineLevel="0" collapsed="false">
      <c r="A605" s="36"/>
      <c r="B605" s="37"/>
      <c r="C605" s="37"/>
      <c r="D605" s="37"/>
      <c r="E605" s="37"/>
      <c r="F605" s="37"/>
      <c r="G605" s="37"/>
      <c r="H605" s="37"/>
      <c r="I605" s="37"/>
      <c r="J605" s="47"/>
      <c r="K605" s="41" t="str">
        <f aca="false">IF(J605="","",IF(J605&gt;=8,"Yes","Check"))</f>
        <v/>
      </c>
      <c r="L605" s="38"/>
      <c r="M605" s="47"/>
      <c r="N605" s="47"/>
      <c r="O605" s="37"/>
      <c r="P605" s="38"/>
      <c r="Q605" s="42" t="str">
        <f aca="false">IF(P605="","",LEN(P605))</f>
        <v/>
      </c>
      <c r="R605" s="47"/>
      <c r="S605" s="37"/>
      <c r="T605" s="38"/>
      <c r="U605" s="43" t="str">
        <f aca="false">IF(OR(R605&lt;&gt;"Yes",A605=""),"",A605+4)</f>
        <v/>
      </c>
      <c r="V605" s="47"/>
      <c r="W605" s="38"/>
      <c r="X605" s="38"/>
      <c r="Y605" s="44"/>
      <c r="Z605" s="44"/>
      <c r="AA605" s="45" t="str">
        <f aca="false">IF(AND($Y605="",$Z605=""),"",ROUND(IFERROR(VALUE(LEFT($Y605,1)),0)*12+IFERROR(VALUE(LEFT($Z605,1)),0)*8,0))</f>
        <v/>
      </c>
      <c r="AB605" s="45" t="str">
        <f aca="false">IF($AA605="","",IF($AA605&gt;=80,"A - call first",IF($AA605&gt;=60,"B - worth pursuing",IF($AA605&gt;=40,"C - nurture","D - do not spend time here"))))</f>
        <v/>
      </c>
      <c r="AC605" s="46" t="str">
        <f aca="false">IF($C605="","",IF($S605="Converted","7 Certification / Enterprise opportunity",IF($S605="Application Started","7 Certification / Enterprise opportunity",IF($S605="Meeting Booked","6 Meeting / Application",IF(OR($S605="Interested",$S605="Info Requested"),"5 Interested",IF(OR($S605="Declined",$S605="Not Relevant"),"0 Closed - no",IF($R605="Yes","4 Contacted",IF($N605="Yes","2 Engaged",IF($M605="Yes","1 Awareness",IF($AA605&gt;=60,"3 Qualified","1 Awareness"))))))))))</f>
        <v/>
      </c>
    </row>
    <row r="606" customFormat="false" ht="30" hidden="false" customHeight="true" outlineLevel="0" collapsed="false">
      <c r="A606" s="36"/>
      <c r="B606" s="37"/>
      <c r="C606" s="37"/>
      <c r="D606" s="37"/>
      <c r="E606" s="37"/>
      <c r="F606" s="37"/>
      <c r="G606" s="37"/>
      <c r="H606" s="37"/>
      <c r="I606" s="37"/>
      <c r="J606" s="47"/>
      <c r="K606" s="41" t="str">
        <f aca="false">IF(J606="","",IF(J606&gt;=8,"Yes","Check"))</f>
        <v/>
      </c>
      <c r="L606" s="38"/>
      <c r="M606" s="47"/>
      <c r="N606" s="47"/>
      <c r="O606" s="37"/>
      <c r="P606" s="38"/>
      <c r="Q606" s="42" t="str">
        <f aca="false">IF(P606="","",LEN(P606))</f>
        <v/>
      </c>
      <c r="R606" s="47"/>
      <c r="S606" s="37"/>
      <c r="T606" s="38"/>
      <c r="U606" s="43" t="str">
        <f aca="false">IF(OR(R606&lt;&gt;"Yes",A606=""),"",A606+4)</f>
        <v/>
      </c>
      <c r="V606" s="47"/>
      <c r="W606" s="38"/>
      <c r="X606" s="38"/>
      <c r="Y606" s="44"/>
      <c r="Z606" s="44"/>
      <c r="AA606" s="45" t="str">
        <f aca="false">IF(AND($Y606="",$Z606=""),"",ROUND(IFERROR(VALUE(LEFT($Y606,1)),0)*12+IFERROR(VALUE(LEFT($Z606,1)),0)*8,0))</f>
        <v/>
      </c>
      <c r="AB606" s="45" t="str">
        <f aca="false">IF($AA606="","",IF($AA606&gt;=80,"A - call first",IF($AA606&gt;=60,"B - worth pursuing",IF($AA606&gt;=40,"C - nurture","D - do not spend time here"))))</f>
        <v/>
      </c>
      <c r="AC606" s="46" t="str">
        <f aca="false">IF($C606="","",IF($S606="Converted","7 Certification / Enterprise opportunity",IF($S606="Application Started","7 Certification / Enterprise opportunity",IF($S606="Meeting Booked","6 Meeting / Application",IF(OR($S606="Interested",$S606="Info Requested"),"5 Interested",IF(OR($S606="Declined",$S606="Not Relevant"),"0 Closed - no",IF($R606="Yes","4 Contacted",IF($N606="Yes","2 Engaged",IF($M606="Yes","1 Awareness",IF($AA606&gt;=60,"3 Qualified","1 Awareness"))))))))))</f>
        <v/>
      </c>
    </row>
    <row r="607" customFormat="false" ht="30" hidden="false" customHeight="true" outlineLevel="0" collapsed="false">
      <c r="A607" s="36"/>
      <c r="B607" s="37"/>
      <c r="C607" s="37"/>
      <c r="D607" s="37"/>
      <c r="E607" s="37"/>
      <c r="F607" s="37"/>
      <c r="G607" s="37"/>
      <c r="H607" s="37"/>
      <c r="I607" s="37"/>
      <c r="J607" s="47"/>
      <c r="K607" s="41" t="str">
        <f aca="false">IF(J607="","",IF(J607&gt;=8,"Yes","Check"))</f>
        <v/>
      </c>
      <c r="L607" s="38"/>
      <c r="M607" s="47"/>
      <c r="N607" s="47"/>
      <c r="O607" s="37"/>
      <c r="P607" s="38"/>
      <c r="Q607" s="42" t="str">
        <f aca="false">IF(P607="","",LEN(P607))</f>
        <v/>
      </c>
      <c r="R607" s="47"/>
      <c r="S607" s="37"/>
      <c r="T607" s="38"/>
      <c r="U607" s="43" t="str">
        <f aca="false">IF(OR(R607&lt;&gt;"Yes",A607=""),"",A607+4)</f>
        <v/>
      </c>
      <c r="V607" s="47"/>
      <c r="W607" s="38"/>
      <c r="X607" s="38"/>
      <c r="Y607" s="44"/>
      <c r="Z607" s="44"/>
      <c r="AA607" s="45" t="str">
        <f aca="false">IF(AND($Y607="",$Z607=""),"",ROUND(IFERROR(VALUE(LEFT($Y607,1)),0)*12+IFERROR(VALUE(LEFT($Z607,1)),0)*8,0))</f>
        <v/>
      </c>
      <c r="AB607" s="45" t="str">
        <f aca="false">IF($AA607="","",IF($AA607&gt;=80,"A - call first",IF($AA607&gt;=60,"B - worth pursuing",IF($AA607&gt;=40,"C - nurture","D - do not spend time here"))))</f>
        <v/>
      </c>
      <c r="AC607" s="46" t="str">
        <f aca="false">IF($C607="","",IF($S607="Converted","7 Certification / Enterprise opportunity",IF($S607="Application Started","7 Certification / Enterprise opportunity",IF($S607="Meeting Booked","6 Meeting / Application",IF(OR($S607="Interested",$S607="Info Requested"),"5 Interested",IF(OR($S607="Declined",$S607="Not Relevant"),"0 Closed - no",IF($R607="Yes","4 Contacted",IF($N607="Yes","2 Engaged",IF($M607="Yes","1 Awareness",IF($AA607&gt;=60,"3 Qualified","1 Awareness"))))))))))</f>
        <v/>
      </c>
    </row>
    <row r="608" customFormat="false" ht="30" hidden="false" customHeight="true" outlineLevel="0" collapsed="false">
      <c r="A608" s="36"/>
      <c r="B608" s="37"/>
      <c r="C608" s="37"/>
      <c r="D608" s="37"/>
      <c r="E608" s="37"/>
      <c r="F608" s="37"/>
      <c r="G608" s="37"/>
      <c r="H608" s="37"/>
      <c r="I608" s="37"/>
      <c r="J608" s="47"/>
      <c r="K608" s="41" t="str">
        <f aca="false">IF(J608="","",IF(J608&gt;=8,"Yes","Check"))</f>
        <v/>
      </c>
      <c r="L608" s="38"/>
      <c r="M608" s="47"/>
      <c r="N608" s="47"/>
      <c r="O608" s="37"/>
      <c r="P608" s="38"/>
      <c r="Q608" s="42" t="str">
        <f aca="false">IF(P608="","",LEN(P608))</f>
        <v/>
      </c>
      <c r="R608" s="47"/>
      <c r="S608" s="37"/>
      <c r="T608" s="38"/>
      <c r="U608" s="43" t="str">
        <f aca="false">IF(OR(R608&lt;&gt;"Yes",A608=""),"",A608+4)</f>
        <v/>
      </c>
      <c r="V608" s="47"/>
      <c r="W608" s="38"/>
      <c r="X608" s="38"/>
      <c r="Y608" s="44"/>
      <c r="Z608" s="44"/>
      <c r="AA608" s="45" t="str">
        <f aca="false">IF(AND($Y608="",$Z608=""),"",ROUND(IFERROR(VALUE(LEFT($Y608,1)),0)*12+IFERROR(VALUE(LEFT($Z608,1)),0)*8,0))</f>
        <v/>
      </c>
      <c r="AB608" s="45" t="str">
        <f aca="false">IF($AA608="","",IF($AA608&gt;=80,"A - call first",IF($AA608&gt;=60,"B - worth pursuing",IF($AA608&gt;=40,"C - nurture","D - do not spend time here"))))</f>
        <v/>
      </c>
      <c r="AC608" s="46" t="str">
        <f aca="false">IF($C608="","",IF($S608="Converted","7 Certification / Enterprise opportunity",IF($S608="Application Started","7 Certification / Enterprise opportunity",IF($S608="Meeting Booked","6 Meeting / Application",IF(OR($S608="Interested",$S608="Info Requested"),"5 Interested",IF(OR($S608="Declined",$S608="Not Relevant"),"0 Closed - no",IF($R608="Yes","4 Contacted",IF($N608="Yes","2 Engaged",IF($M608="Yes","1 Awareness",IF($AA608&gt;=60,"3 Qualified","1 Awareness"))))))))))</f>
        <v/>
      </c>
    </row>
    <row r="609" customFormat="false" ht="30" hidden="false" customHeight="true" outlineLevel="0" collapsed="false">
      <c r="A609" s="36"/>
      <c r="B609" s="37"/>
      <c r="C609" s="37"/>
      <c r="D609" s="37"/>
      <c r="E609" s="37"/>
      <c r="F609" s="37"/>
      <c r="G609" s="37"/>
      <c r="H609" s="37"/>
      <c r="I609" s="37"/>
      <c r="J609" s="47"/>
      <c r="K609" s="41" t="str">
        <f aca="false">IF(J609="","",IF(J609&gt;=8,"Yes","Check"))</f>
        <v/>
      </c>
      <c r="L609" s="38"/>
      <c r="M609" s="47"/>
      <c r="N609" s="47"/>
      <c r="O609" s="37"/>
      <c r="P609" s="38"/>
      <c r="Q609" s="42" t="str">
        <f aca="false">IF(P609="","",LEN(P609))</f>
        <v/>
      </c>
      <c r="R609" s="47"/>
      <c r="S609" s="37"/>
      <c r="T609" s="38"/>
      <c r="U609" s="43" t="str">
        <f aca="false">IF(OR(R609&lt;&gt;"Yes",A609=""),"",A609+4)</f>
        <v/>
      </c>
      <c r="V609" s="47"/>
      <c r="W609" s="38"/>
      <c r="X609" s="38"/>
      <c r="Y609" s="44"/>
      <c r="Z609" s="44"/>
      <c r="AA609" s="45" t="str">
        <f aca="false">IF(AND($Y609="",$Z609=""),"",ROUND(IFERROR(VALUE(LEFT($Y609,1)),0)*12+IFERROR(VALUE(LEFT($Z609,1)),0)*8,0))</f>
        <v/>
      </c>
      <c r="AB609" s="45" t="str">
        <f aca="false">IF($AA609="","",IF($AA609&gt;=80,"A - call first",IF($AA609&gt;=60,"B - worth pursuing",IF($AA609&gt;=40,"C - nurture","D - do not spend time here"))))</f>
        <v/>
      </c>
      <c r="AC609" s="46" t="str">
        <f aca="false">IF($C609="","",IF($S609="Converted","7 Certification / Enterprise opportunity",IF($S609="Application Started","7 Certification / Enterprise opportunity",IF($S609="Meeting Booked","6 Meeting / Application",IF(OR($S609="Interested",$S609="Info Requested"),"5 Interested",IF(OR($S609="Declined",$S609="Not Relevant"),"0 Closed - no",IF($R609="Yes","4 Contacted",IF($N609="Yes","2 Engaged",IF($M609="Yes","1 Awareness",IF($AA609&gt;=60,"3 Qualified","1 Awareness"))))))))))</f>
        <v/>
      </c>
    </row>
    <row r="610" customFormat="false" ht="30" hidden="false" customHeight="true" outlineLevel="0" collapsed="false">
      <c r="A610" s="36"/>
      <c r="B610" s="37"/>
      <c r="C610" s="37"/>
      <c r="D610" s="37"/>
      <c r="E610" s="37"/>
      <c r="F610" s="37"/>
      <c r="G610" s="37"/>
      <c r="H610" s="37"/>
      <c r="I610" s="37"/>
      <c r="J610" s="47"/>
      <c r="K610" s="41" t="str">
        <f aca="false">IF(J610="","",IF(J610&gt;=8,"Yes","Check"))</f>
        <v/>
      </c>
      <c r="L610" s="38"/>
      <c r="M610" s="47"/>
      <c r="N610" s="47"/>
      <c r="O610" s="37"/>
      <c r="P610" s="38"/>
      <c r="Q610" s="42" t="str">
        <f aca="false">IF(P610="","",LEN(P610))</f>
        <v/>
      </c>
      <c r="R610" s="47"/>
      <c r="S610" s="37"/>
      <c r="T610" s="38"/>
      <c r="U610" s="43" t="str">
        <f aca="false">IF(OR(R610&lt;&gt;"Yes",A610=""),"",A610+4)</f>
        <v/>
      </c>
      <c r="V610" s="47"/>
      <c r="W610" s="38"/>
      <c r="X610" s="38"/>
      <c r="Y610" s="44"/>
      <c r="Z610" s="44"/>
      <c r="AA610" s="45" t="str">
        <f aca="false">IF(AND($Y610="",$Z610=""),"",ROUND(IFERROR(VALUE(LEFT($Y610,1)),0)*12+IFERROR(VALUE(LEFT($Z610,1)),0)*8,0))</f>
        <v/>
      </c>
      <c r="AB610" s="45" t="str">
        <f aca="false">IF($AA610="","",IF($AA610&gt;=80,"A - call first",IF($AA610&gt;=60,"B - worth pursuing",IF($AA610&gt;=40,"C - nurture","D - do not spend time here"))))</f>
        <v/>
      </c>
      <c r="AC610" s="46" t="str">
        <f aca="false">IF($C610="","",IF($S610="Converted","7 Certification / Enterprise opportunity",IF($S610="Application Started","7 Certification / Enterprise opportunity",IF($S610="Meeting Booked","6 Meeting / Application",IF(OR($S610="Interested",$S610="Info Requested"),"5 Interested",IF(OR($S610="Declined",$S610="Not Relevant"),"0 Closed - no",IF($R610="Yes","4 Contacted",IF($N610="Yes","2 Engaged",IF($M610="Yes","1 Awareness",IF($AA610&gt;=60,"3 Qualified","1 Awareness"))))))))))</f>
        <v/>
      </c>
    </row>
    <row r="611" customFormat="false" ht="30" hidden="false" customHeight="true" outlineLevel="0" collapsed="false">
      <c r="A611" s="36"/>
      <c r="B611" s="37"/>
      <c r="C611" s="37"/>
      <c r="D611" s="37"/>
      <c r="E611" s="37"/>
      <c r="F611" s="37"/>
      <c r="G611" s="37"/>
      <c r="H611" s="37"/>
      <c r="I611" s="37"/>
      <c r="J611" s="47"/>
      <c r="K611" s="41" t="str">
        <f aca="false">IF(J611="","",IF(J611&gt;=8,"Yes","Check"))</f>
        <v/>
      </c>
      <c r="L611" s="38"/>
      <c r="M611" s="47"/>
      <c r="N611" s="47"/>
      <c r="O611" s="37"/>
      <c r="P611" s="38"/>
      <c r="Q611" s="42" t="str">
        <f aca="false">IF(P611="","",LEN(P611))</f>
        <v/>
      </c>
      <c r="R611" s="47"/>
      <c r="S611" s="37"/>
      <c r="T611" s="38"/>
      <c r="U611" s="43" t="str">
        <f aca="false">IF(OR(R611&lt;&gt;"Yes",A611=""),"",A611+4)</f>
        <v/>
      </c>
      <c r="V611" s="47"/>
      <c r="W611" s="38"/>
      <c r="X611" s="38"/>
      <c r="Y611" s="44"/>
      <c r="Z611" s="44"/>
      <c r="AA611" s="45" t="str">
        <f aca="false">IF(AND($Y611="",$Z611=""),"",ROUND(IFERROR(VALUE(LEFT($Y611,1)),0)*12+IFERROR(VALUE(LEFT($Z611,1)),0)*8,0))</f>
        <v/>
      </c>
      <c r="AB611" s="45" t="str">
        <f aca="false">IF($AA611="","",IF($AA611&gt;=80,"A - call first",IF($AA611&gt;=60,"B - worth pursuing",IF($AA611&gt;=40,"C - nurture","D - do not spend time here"))))</f>
        <v/>
      </c>
      <c r="AC611" s="46" t="str">
        <f aca="false">IF($C611="","",IF($S611="Converted","7 Certification / Enterprise opportunity",IF($S611="Application Started","7 Certification / Enterprise opportunity",IF($S611="Meeting Booked","6 Meeting / Application",IF(OR($S611="Interested",$S611="Info Requested"),"5 Interested",IF(OR($S611="Declined",$S611="Not Relevant"),"0 Closed - no",IF($R611="Yes","4 Contacted",IF($N611="Yes","2 Engaged",IF($M611="Yes","1 Awareness",IF($AA611&gt;=60,"3 Qualified","1 Awareness"))))))))))</f>
        <v/>
      </c>
    </row>
    <row r="612" customFormat="false" ht="30" hidden="false" customHeight="true" outlineLevel="0" collapsed="false">
      <c r="A612" s="36"/>
      <c r="B612" s="37"/>
      <c r="C612" s="37"/>
      <c r="D612" s="37"/>
      <c r="E612" s="37"/>
      <c r="F612" s="37"/>
      <c r="G612" s="37"/>
      <c r="H612" s="37"/>
      <c r="I612" s="37"/>
      <c r="J612" s="47"/>
      <c r="K612" s="41" t="str">
        <f aca="false">IF(J612="","",IF(J612&gt;=8,"Yes","Check"))</f>
        <v/>
      </c>
      <c r="L612" s="38"/>
      <c r="M612" s="47"/>
      <c r="N612" s="47"/>
      <c r="O612" s="37"/>
      <c r="P612" s="38"/>
      <c r="Q612" s="42" t="str">
        <f aca="false">IF(P612="","",LEN(P612))</f>
        <v/>
      </c>
      <c r="R612" s="47"/>
      <c r="S612" s="37"/>
      <c r="T612" s="38"/>
      <c r="U612" s="43" t="str">
        <f aca="false">IF(OR(R612&lt;&gt;"Yes",A612=""),"",A612+4)</f>
        <v/>
      </c>
      <c r="V612" s="47"/>
      <c r="W612" s="38"/>
      <c r="X612" s="38"/>
      <c r="Y612" s="44"/>
      <c r="Z612" s="44"/>
      <c r="AA612" s="45" t="str">
        <f aca="false">IF(AND($Y612="",$Z612=""),"",ROUND(IFERROR(VALUE(LEFT($Y612,1)),0)*12+IFERROR(VALUE(LEFT($Z612,1)),0)*8,0))</f>
        <v/>
      </c>
      <c r="AB612" s="45" t="str">
        <f aca="false">IF($AA612="","",IF($AA612&gt;=80,"A - call first",IF($AA612&gt;=60,"B - worth pursuing",IF($AA612&gt;=40,"C - nurture","D - do not spend time here"))))</f>
        <v/>
      </c>
      <c r="AC612" s="46" t="str">
        <f aca="false">IF($C612="","",IF($S612="Converted","7 Certification / Enterprise opportunity",IF($S612="Application Started","7 Certification / Enterprise opportunity",IF($S612="Meeting Booked","6 Meeting / Application",IF(OR($S612="Interested",$S612="Info Requested"),"5 Interested",IF(OR($S612="Declined",$S612="Not Relevant"),"0 Closed - no",IF($R612="Yes","4 Contacted",IF($N612="Yes","2 Engaged",IF($M612="Yes","1 Awareness",IF($AA612&gt;=60,"3 Qualified","1 Awareness"))))))))))</f>
        <v/>
      </c>
    </row>
    <row r="613" customFormat="false" ht="30" hidden="false" customHeight="true" outlineLevel="0" collapsed="false">
      <c r="A613" s="36"/>
      <c r="B613" s="37"/>
      <c r="C613" s="37"/>
      <c r="D613" s="37"/>
      <c r="E613" s="37"/>
      <c r="F613" s="37"/>
      <c r="G613" s="37"/>
      <c r="H613" s="37"/>
      <c r="I613" s="37"/>
      <c r="J613" s="47"/>
      <c r="K613" s="41" t="str">
        <f aca="false">IF(J613="","",IF(J613&gt;=8,"Yes","Check"))</f>
        <v/>
      </c>
      <c r="L613" s="38"/>
      <c r="M613" s="47"/>
      <c r="N613" s="47"/>
      <c r="O613" s="37"/>
      <c r="P613" s="38"/>
      <c r="Q613" s="42" t="str">
        <f aca="false">IF(P613="","",LEN(P613))</f>
        <v/>
      </c>
      <c r="R613" s="47"/>
      <c r="S613" s="37"/>
      <c r="T613" s="38"/>
      <c r="U613" s="43" t="str">
        <f aca="false">IF(OR(R613&lt;&gt;"Yes",A613=""),"",A613+4)</f>
        <v/>
      </c>
      <c r="V613" s="47"/>
      <c r="W613" s="38"/>
      <c r="X613" s="38"/>
      <c r="Y613" s="44"/>
      <c r="Z613" s="44"/>
      <c r="AA613" s="45" t="str">
        <f aca="false">IF(AND($Y613="",$Z613=""),"",ROUND(IFERROR(VALUE(LEFT($Y613,1)),0)*12+IFERROR(VALUE(LEFT($Z613,1)),0)*8,0))</f>
        <v/>
      </c>
      <c r="AB613" s="45" t="str">
        <f aca="false">IF($AA613="","",IF($AA613&gt;=80,"A - call first",IF($AA613&gt;=60,"B - worth pursuing",IF($AA613&gt;=40,"C - nurture","D - do not spend time here"))))</f>
        <v/>
      </c>
      <c r="AC613" s="46" t="str">
        <f aca="false">IF($C613="","",IF($S613="Converted","7 Certification / Enterprise opportunity",IF($S613="Application Started","7 Certification / Enterprise opportunity",IF($S613="Meeting Booked","6 Meeting / Application",IF(OR($S613="Interested",$S613="Info Requested"),"5 Interested",IF(OR($S613="Declined",$S613="Not Relevant"),"0 Closed - no",IF($R613="Yes","4 Contacted",IF($N613="Yes","2 Engaged",IF($M613="Yes","1 Awareness",IF($AA613&gt;=60,"3 Qualified","1 Awareness"))))))))))</f>
        <v/>
      </c>
    </row>
    <row r="614" customFormat="false" ht="30" hidden="false" customHeight="true" outlineLevel="0" collapsed="false">
      <c r="A614" s="36"/>
      <c r="B614" s="37"/>
      <c r="C614" s="37"/>
      <c r="D614" s="37"/>
      <c r="E614" s="37"/>
      <c r="F614" s="37"/>
      <c r="G614" s="37"/>
      <c r="H614" s="37"/>
      <c r="I614" s="37"/>
      <c r="J614" s="47"/>
      <c r="K614" s="41" t="str">
        <f aca="false">IF(J614="","",IF(J614&gt;=8,"Yes","Check"))</f>
        <v/>
      </c>
      <c r="L614" s="38"/>
      <c r="M614" s="47"/>
      <c r="N614" s="47"/>
      <c r="O614" s="37"/>
      <c r="P614" s="38"/>
      <c r="Q614" s="42" t="str">
        <f aca="false">IF(P614="","",LEN(P614))</f>
        <v/>
      </c>
      <c r="R614" s="47"/>
      <c r="S614" s="37"/>
      <c r="T614" s="38"/>
      <c r="U614" s="43" t="str">
        <f aca="false">IF(OR(R614&lt;&gt;"Yes",A614=""),"",A614+4)</f>
        <v/>
      </c>
      <c r="V614" s="47"/>
      <c r="W614" s="38"/>
      <c r="X614" s="38"/>
      <c r="Y614" s="44"/>
      <c r="Z614" s="44"/>
      <c r="AA614" s="45" t="str">
        <f aca="false">IF(AND($Y614="",$Z614=""),"",ROUND(IFERROR(VALUE(LEFT($Y614,1)),0)*12+IFERROR(VALUE(LEFT($Z614,1)),0)*8,0))</f>
        <v/>
      </c>
      <c r="AB614" s="45" t="str">
        <f aca="false">IF($AA614="","",IF($AA614&gt;=80,"A - call first",IF($AA614&gt;=60,"B - worth pursuing",IF($AA614&gt;=40,"C - nurture","D - do not spend time here"))))</f>
        <v/>
      </c>
      <c r="AC614" s="46" t="str">
        <f aca="false">IF($C614="","",IF($S614="Converted","7 Certification / Enterprise opportunity",IF($S614="Application Started","7 Certification / Enterprise opportunity",IF($S614="Meeting Booked","6 Meeting / Application",IF(OR($S614="Interested",$S614="Info Requested"),"5 Interested",IF(OR($S614="Declined",$S614="Not Relevant"),"0 Closed - no",IF($R614="Yes","4 Contacted",IF($N614="Yes","2 Engaged",IF($M614="Yes","1 Awareness",IF($AA614&gt;=60,"3 Qualified","1 Awareness"))))))))))</f>
        <v/>
      </c>
    </row>
    <row r="615" customFormat="false" ht="30" hidden="false" customHeight="true" outlineLevel="0" collapsed="false">
      <c r="A615" s="36"/>
      <c r="B615" s="37"/>
      <c r="C615" s="37"/>
      <c r="D615" s="37"/>
      <c r="E615" s="37"/>
      <c r="F615" s="37"/>
      <c r="G615" s="37"/>
      <c r="H615" s="37"/>
      <c r="I615" s="37"/>
      <c r="J615" s="47"/>
      <c r="K615" s="41" t="str">
        <f aca="false">IF(J615="","",IF(J615&gt;=8,"Yes","Check"))</f>
        <v/>
      </c>
      <c r="L615" s="38"/>
      <c r="M615" s="47"/>
      <c r="N615" s="47"/>
      <c r="O615" s="37"/>
      <c r="P615" s="38"/>
      <c r="Q615" s="42" t="str">
        <f aca="false">IF(P615="","",LEN(P615))</f>
        <v/>
      </c>
      <c r="R615" s="47"/>
      <c r="S615" s="37"/>
      <c r="T615" s="38"/>
      <c r="U615" s="43" t="str">
        <f aca="false">IF(OR(R615&lt;&gt;"Yes",A615=""),"",A615+4)</f>
        <v/>
      </c>
      <c r="V615" s="47"/>
      <c r="W615" s="38"/>
      <c r="X615" s="38"/>
      <c r="Y615" s="44"/>
      <c r="Z615" s="44"/>
      <c r="AA615" s="45" t="str">
        <f aca="false">IF(AND($Y615="",$Z615=""),"",ROUND(IFERROR(VALUE(LEFT($Y615,1)),0)*12+IFERROR(VALUE(LEFT($Z615,1)),0)*8,0))</f>
        <v/>
      </c>
      <c r="AB615" s="45" t="str">
        <f aca="false">IF($AA615="","",IF($AA615&gt;=80,"A - call first",IF($AA615&gt;=60,"B - worth pursuing",IF($AA615&gt;=40,"C - nurture","D - do not spend time here"))))</f>
        <v/>
      </c>
      <c r="AC615" s="46" t="str">
        <f aca="false">IF($C615="","",IF($S615="Converted","7 Certification / Enterprise opportunity",IF($S615="Application Started","7 Certification / Enterprise opportunity",IF($S615="Meeting Booked","6 Meeting / Application",IF(OR($S615="Interested",$S615="Info Requested"),"5 Interested",IF(OR($S615="Declined",$S615="Not Relevant"),"0 Closed - no",IF($R615="Yes","4 Contacted",IF($N615="Yes","2 Engaged",IF($M615="Yes","1 Awareness",IF($AA615&gt;=60,"3 Qualified","1 Awareness"))))))))))</f>
        <v/>
      </c>
    </row>
    <row r="616" customFormat="false" ht="30" hidden="false" customHeight="true" outlineLevel="0" collapsed="false">
      <c r="A616" s="36"/>
      <c r="B616" s="37"/>
      <c r="C616" s="37"/>
      <c r="D616" s="37"/>
      <c r="E616" s="37"/>
      <c r="F616" s="37"/>
      <c r="G616" s="37"/>
      <c r="H616" s="37"/>
      <c r="I616" s="37"/>
      <c r="J616" s="47"/>
      <c r="K616" s="41" t="str">
        <f aca="false">IF(J616="","",IF(J616&gt;=8,"Yes","Check"))</f>
        <v/>
      </c>
      <c r="L616" s="38"/>
      <c r="M616" s="47"/>
      <c r="N616" s="47"/>
      <c r="O616" s="37"/>
      <c r="P616" s="38"/>
      <c r="Q616" s="42" t="str">
        <f aca="false">IF(P616="","",LEN(P616))</f>
        <v/>
      </c>
      <c r="R616" s="47"/>
      <c r="S616" s="37"/>
      <c r="T616" s="38"/>
      <c r="U616" s="43" t="str">
        <f aca="false">IF(OR(R616&lt;&gt;"Yes",A616=""),"",A616+4)</f>
        <v/>
      </c>
      <c r="V616" s="47"/>
      <c r="W616" s="38"/>
      <c r="X616" s="38"/>
      <c r="Y616" s="44"/>
      <c r="Z616" s="44"/>
      <c r="AA616" s="45" t="str">
        <f aca="false">IF(AND($Y616="",$Z616=""),"",ROUND(IFERROR(VALUE(LEFT($Y616,1)),0)*12+IFERROR(VALUE(LEFT($Z616,1)),0)*8,0))</f>
        <v/>
      </c>
      <c r="AB616" s="45" t="str">
        <f aca="false">IF($AA616="","",IF($AA616&gt;=80,"A - call first",IF($AA616&gt;=60,"B - worth pursuing",IF($AA616&gt;=40,"C - nurture","D - do not spend time here"))))</f>
        <v/>
      </c>
      <c r="AC616" s="46" t="str">
        <f aca="false">IF($C616="","",IF($S616="Converted","7 Certification / Enterprise opportunity",IF($S616="Application Started","7 Certification / Enterprise opportunity",IF($S616="Meeting Booked","6 Meeting / Application",IF(OR($S616="Interested",$S616="Info Requested"),"5 Interested",IF(OR($S616="Declined",$S616="Not Relevant"),"0 Closed - no",IF($R616="Yes","4 Contacted",IF($N616="Yes","2 Engaged",IF($M616="Yes","1 Awareness",IF($AA616&gt;=60,"3 Qualified","1 Awareness"))))))))))</f>
        <v/>
      </c>
    </row>
    <row r="617" customFormat="false" ht="30" hidden="false" customHeight="true" outlineLevel="0" collapsed="false">
      <c r="A617" s="36"/>
      <c r="B617" s="37"/>
      <c r="C617" s="37"/>
      <c r="D617" s="37"/>
      <c r="E617" s="37"/>
      <c r="F617" s="37"/>
      <c r="G617" s="37"/>
      <c r="H617" s="37"/>
      <c r="I617" s="37"/>
      <c r="J617" s="47"/>
      <c r="K617" s="41" t="str">
        <f aca="false">IF(J617="","",IF(J617&gt;=8,"Yes","Check"))</f>
        <v/>
      </c>
      <c r="L617" s="38"/>
      <c r="M617" s="47"/>
      <c r="N617" s="47"/>
      <c r="O617" s="37"/>
      <c r="P617" s="38"/>
      <c r="Q617" s="42" t="str">
        <f aca="false">IF(P617="","",LEN(P617))</f>
        <v/>
      </c>
      <c r="R617" s="47"/>
      <c r="S617" s="37"/>
      <c r="T617" s="38"/>
      <c r="U617" s="43" t="str">
        <f aca="false">IF(OR(R617&lt;&gt;"Yes",A617=""),"",A617+4)</f>
        <v/>
      </c>
      <c r="V617" s="47"/>
      <c r="W617" s="38"/>
      <c r="X617" s="38"/>
      <c r="Y617" s="44"/>
      <c r="Z617" s="44"/>
      <c r="AA617" s="45" t="str">
        <f aca="false">IF(AND($Y617="",$Z617=""),"",ROUND(IFERROR(VALUE(LEFT($Y617,1)),0)*12+IFERROR(VALUE(LEFT($Z617,1)),0)*8,0))</f>
        <v/>
      </c>
      <c r="AB617" s="45" t="str">
        <f aca="false">IF($AA617="","",IF($AA617&gt;=80,"A - call first",IF($AA617&gt;=60,"B - worth pursuing",IF($AA617&gt;=40,"C - nurture","D - do not spend time here"))))</f>
        <v/>
      </c>
      <c r="AC617" s="46" t="str">
        <f aca="false">IF($C617="","",IF($S617="Converted","7 Certification / Enterprise opportunity",IF($S617="Application Started","7 Certification / Enterprise opportunity",IF($S617="Meeting Booked","6 Meeting / Application",IF(OR($S617="Interested",$S617="Info Requested"),"5 Interested",IF(OR($S617="Declined",$S617="Not Relevant"),"0 Closed - no",IF($R617="Yes","4 Contacted",IF($N617="Yes","2 Engaged",IF($M617="Yes","1 Awareness",IF($AA617&gt;=60,"3 Qualified","1 Awareness"))))))))))</f>
        <v/>
      </c>
    </row>
    <row r="618" customFormat="false" ht="30" hidden="false" customHeight="true" outlineLevel="0" collapsed="false">
      <c r="A618" s="36"/>
      <c r="B618" s="37"/>
      <c r="C618" s="37"/>
      <c r="D618" s="37"/>
      <c r="E618" s="37"/>
      <c r="F618" s="37"/>
      <c r="G618" s="37"/>
      <c r="H618" s="37"/>
      <c r="I618" s="37"/>
      <c r="J618" s="47"/>
      <c r="K618" s="41" t="str">
        <f aca="false">IF(J618="","",IF(J618&gt;=8,"Yes","Check"))</f>
        <v/>
      </c>
      <c r="L618" s="38"/>
      <c r="M618" s="47"/>
      <c r="N618" s="47"/>
      <c r="O618" s="37"/>
      <c r="P618" s="38"/>
      <c r="Q618" s="42" t="str">
        <f aca="false">IF(P618="","",LEN(P618))</f>
        <v/>
      </c>
      <c r="R618" s="47"/>
      <c r="S618" s="37"/>
      <c r="T618" s="38"/>
      <c r="U618" s="43" t="str">
        <f aca="false">IF(OR(R618&lt;&gt;"Yes",A618=""),"",A618+4)</f>
        <v/>
      </c>
      <c r="V618" s="47"/>
      <c r="W618" s="38"/>
      <c r="X618" s="38"/>
      <c r="Y618" s="44"/>
      <c r="Z618" s="44"/>
      <c r="AA618" s="45" t="str">
        <f aca="false">IF(AND($Y618="",$Z618=""),"",ROUND(IFERROR(VALUE(LEFT($Y618,1)),0)*12+IFERROR(VALUE(LEFT($Z618,1)),0)*8,0))</f>
        <v/>
      </c>
      <c r="AB618" s="45" t="str">
        <f aca="false">IF($AA618="","",IF($AA618&gt;=80,"A - call first",IF($AA618&gt;=60,"B - worth pursuing",IF($AA618&gt;=40,"C - nurture","D - do not spend time here"))))</f>
        <v/>
      </c>
      <c r="AC618" s="46" t="str">
        <f aca="false">IF($C618="","",IF($S618="Converted","7 Certification / Enterprise opportunity",IF($S618="Application Started","7 Certification / Enterprise opportunity",IF($S618="Meeting Booked","6 Meeting / Application",IF(OR($S618="Interested",$S618="Info Requested"),"5 Interested",IF(OR($S618="Declined",$S618="Not Relevant"),"0 Closed - no",IF($R618="Yes","4 Contacted",IF($N618="Yes","2 Engaged",IF($M618="Yes","1 Awareness",IF($AA618&gt;=60,"3 Qualified","1 Awareness"))))))))))</f>
        <v/>
      </c>
    </row>
    <row r="619" customFormat="false" ht="30" hidden="false" customHeight="true" outlineLevel="0" collapsed="false">
      <c r="A619" s="36"/>
      <c r="B619" s="37"/>
      <c r="C619" s="37"/>
      <c r="D619" s="37"/>
      <c r="E619" s="37"/>
      <c r="F619" s="37"/>
      <c r="G619" s="37"/>
      <c r="H619" s="37"/>
      <c r="I619" s="37"/>
      <c r="J619" s="47"/>
      <c r="K619" s="41" t="str">
        <f aca="false">IF(J619="","",IF(J619&gt;=8,"Yes","Check"))</f>
        <v/>
      </c>
      <c r="L619" s="38"/>
      <c r="M619" s="47"/>
      <c r="N619" s="47"/>
      <c r="O619" s="37"/>
      <c r="P619" s="38"/>
      <c r="Q619" s="42" t="str">
        <f aca="false">IF(P619="","",LEN(P619))</f>
        <v/>
      </c>
      <c r="R619" s="47"/>
      <c r="S619" s="37"/>
      <c r="T619" s="38"/>
      <c r="U619" s="43" t="str">
        <f aca="false">IF(OR(R619&lt;&gt;"Yes",A619=""),"",A619+4)</f>
        <v/>
      </c>
      <c r="V619" s="47"/>
      <c r="W619" s="38"/>
      <c r="X619" s="38"/>
      <c r="Y619" s="44"/>
      <c r="Z619" s="44"/>
      <c r="AA619" s="45" t="str">
        <f aca="false">IF(AND($Y619="",$Z619=""),"",ROUND(IFERROR(VALUE(LEFT($Y619,1)),0)*12+IFERROR(VALUE(LEFT($Z619,1)),0)*8,0))</f>
        <v/>
      </c>
      <c r="AB619" s="45" t="str">
        <f aca="false">IF($AA619="","",IF($AA619&gt;=80,"A - call first",IF($AA619&gt;=60,"B - worth pursuing",IF($AA619&gt;=40,"C - nurture","D - do not spend time here"))))</f>
        <v/>
      </c>
      <c r="AC619" s="46" t="str">
        <f aca="false">IF($C619="","",IF($S619="Converted","7 Certification / Enterprise opportunity",IF($S619="Application Started","7 Certification / Enterprise opportunity",IF($S619="Meeting Booked","6 Meeting / Application",IF(OR($S619="Interested",$S619="Info Requested"),"5 Interested",IF(OR($S619="Declined",$S619="Not Relevant"),"0 Closed - no",IF($R619="Yes","4 Contacted",IF($N619="Yes","2 Engaged",IF($M619="Yes","1 Awareness",IF($AA619&gt;=60,"3 Qualified","1 Awareness"))))))))))</f>
        <v/>
      </c>
    </row>
    <row r="620" customFormat="false" ht="30" hidden="false" customHeight="true" outlineLevel="0" collapsed="false">
      <c r="A620" s="36"/>
      <c r="B620" s="37"/>
      <c r="C620" s="37"/>
      <c r="D620" s="37"/>
      <c r="E620" s="37"/>
      <c r="F620" s="37"/>
      <c r="G620" s="37"/>
      <c r="H620" s="37"/>
      <c r="I620" s="37"/>
      <c r="J620" s="47"/>
      <c r="K620" s="41" t="str">
        <f aca="false">IF(J620="","",IF(J620&gt;=8,"Yes","Check"))</f>
        <v/>
      </c>
      <c r="L620" s="38"/>
      <c r="M620" s="47"/>
      <c r="N620" s="47"/>
      <c r="O620" s="37"/>
      <c r="P620" s="38"/>
      <c r="Q620" s="42" t="str">
        <f aca="false">IF(P620="","",LEN(P620))</f>
        <v/>
      </c>
      <c r="R620" s="47"/>
      <c r="S620" s="37"/>
      <c r="T620" s="38"/>
      <c r="U620" s="43" t="str">
        <f aca="false">IF(OR(R620&lt;&gt;"Yes",A620=""),"",A620+4)</f>
        <v/>
      </c>
      <c r="V620" s="47"/>
      <c r="W620" s="38"/>
      <c r="X620" s="38"/>
      <c r="Y620" s="44"/>
      <c r="Z620" s="44"/>
      <c r="AA620" s="45" t="str">
        <f aca="false">IF(AND($Y620="",$Z620=""),"",ROUND(IFERROR(VALUE(LEFT($Y620,1)),0)*12+IFERROR(VALUE(LEFT($Z620,1)),0)*8,0))</f>
        <v/>
      </c>
      <c r="AB620" s="45" t="str">
        <f aca="false">IF($AA620="","",IF($AA620&gt;=80,"A - call first",IF($AA620&gt;=60,"B - worth pursuing",IF($AA620&gt;=40,"C - nurture","D - do not spend time here"))))</f>
        <v/>
      </c>
      <c r="AC620" s="46" t="str">
        <f aca="false">IF($C620="","",IF($S620="Converted","7 Certification / Enterprise opportunity",IF($S620="Application Started","7 Certification / Enterprise opportunity",IF($S620="Meeting Booked","6 Meeting / Application",IF(OR($S620="Interested",$S620="Info Requested"),"5 Interested",IF(OR($S620="Declined",$S620="Not Relevant"),"0 Closed - no",IF($R620="Yes","4 Contacted",IF($N620="Yes","2 Engaged",IF($M620="Yes","1 Awareness",IF($AA620&gt;=60,"3 Qualified","1 Awareness"))))))))))</f>
        <v/>
      </c>
    </row>
    <row r="621" customFormat="false" ht="30" hidden="false" customHeight="true" outlineLevel="0" collapsed="false">
      <c r="A621" s="36"/>
      <c r="B621" s="37"/>
      <c r="C621" s="37"/>
      <c r="D621" s="37"/>
      <c r="E621" s="37"/>
      <c r="F621" s="37"/>
      <c r="G621" s="37"/>
      <c r="H621" s="37"/>
      <c r="I621" s="37"/>
      <c r="J621" s="47"/>
      <c r="K621" s="41" t="str">
        <f aca="false">IF(J621="","",IF(J621&gt;=8,"Yes","Check"))</f>
        <v/>
      </c>
      <c r="L621" s="38"/>
      <c r="M621" s="47"/>
      <c r="N621" s="47"/>
      <c r="O621" s="37"/>
      <c r="P621" s="38"/>
      <c r="Q621" s="42" t="str">
        <f aca="false">IF(P621="","",LEN(P621))</f>
        <v/>
      </c>
      <c r="R621" s="47"/>
      <c r="S621" s="37"/>
      <c r="T621" s="38"/>
      <c r="U621" s="43" t="str">
        <f aca="false">IF(OR(R621&lt;&gt;"Yes",A621=""),"",A621+4)</f>
        <v/>
      </c>
      <c r="V621" s="47"/>
      <c r="W621" s="38"/>
      <c r="X621" s="38"/>
      <c r="Y621" s="44"/>
      <c r="Z621" s="44"/>
      <c r="AA621" s="45" t="str">
        <f aca="false">IF(AND($Y621="",$Z621=""),"",ROUND(IFERROR(VALUE(LEFT($Y621,1)),0)*12+IFERROR(VALUE(LEFT($Z621,1)),0)*8,0))</f>
        <v/>
      </c>
      <c r="AB621" s="45" t="str">
        <f aca="false">IF($AA621="","",IF($AA621&gt;=80,"A - call first",IF($AA621&gt;=60,"B - worth pursuing",IF($AA621&gt;=40,"C - nurture","D - do not spend time here"))))</f>
        <v/>
      </c>
      <c r="AC621" s="46" t="str">
        <f aca="false">IF($C621="","",IF($S621="Converted","7 Certification / Enterprise opportunity",IF($S621="Application Started","7 Certification / Enterprise opportunity",IF($S621="Meeting Booked","6 Meeting / Application",IF(OR($S621="Interested",$S621="Info Requested"),"5 Interested",IF(OR($S621="Declined",$S621="Not Relevant"),"0 Closed - no",IF($R621="Yes","4 Contacted",IF($N621="Yes","2 Engaged",IF($M621="Yes","1 Awareness",IF($AA621&gt;=60,"3 Qualified","1 Awareness"))))))))))</f>
        <v/>
      </c>
    </row>
    <row r="622" customFormat="false" ht="30" hidden="false" customHeight="true" outlineLevel="0" collapsed="false">
      <c r="A622" s="36"/>
      <c r="B622" s="37"/>
      <c r="C622" s="37"/>
      <c r="D622" s="37"/>
      <c r="E622" s="37"/>
      <c r="F622" s="37"/>
      <c r="G622" s="37"/>
      <c r="H622" s="37"/>
      <c r="I622" s="37"/>
      <c r="J622" s="47"/>
      <c r="K622" s="41" t="str">
        <f aca="false">IF(J622="","",IF(J622&gt;=8,"Yes","Check"))</f>
        <v/>
      </c>
      <c r="L622" s="38"/>
      <c r="M622" s="47"/>
      <c r="N622" s="47"/>
      <c r="O622" s="37"/>
      <c r="P622" s="38"/>
      <c r="Q622" s="42" t="str">
        <f aca="false">IF(P622="","",LEN(P622))</f>
        <v/>
      </c>
      <c r="R622" s="47"/>
      <c r="S622" s="37"/>
      <c r="T622" s="38"/>
      <c r="U622" s="43" t="str">
        <f aca="false">IF(OR(R622&lt;&gt;"Yes",A622=""),"",A622+4)</f>
        <v/>
      </c>
      <c r="V622" s="47"/>
      <c r="W622" s="38"/>
      <c r="X622" s="38"/>
      <c r="Y622" s="44"/>
      <c r="Z622" s="44"/>
      <c r="AA622" s="45" t="str">
        <f aca="false">IF(AND($Y622="",$Z622=""),"",ROUND(IFERROR(VALUE(LEFT($Y622,1)),0)*12+IFERROR(VALUE(LEFT($Z622,1)),0)*8,0))</f>
        <v/>
      </c>
      <c r="AB622" s="45" t="str">
        <f aca="false">IF($AA622="","",IF($AA622&gt;=80,"A - call first",IF($AA622&gt;=60,"B - worth pursuing",IF($AA622&gt;=40,"C - nurture","D - do not spend time here"))))</f>
        <v/>
      </c>
      <c r="AC622" s="46" t="str">
        <f aca="false">IF($C622="","",IF($S622="Converted","7 Certification / Enterprise opportunity",IF($S622="Application Started","7 Certification / Enterprise opportunity",IF($S622="Meeting Booked","6 Meeting / Application",IF(OR($S622="Interested",$S622="Info Requested"),"5 Interested",IF(OR($S622="Declined",$S622="Not Relevant"),"0 Closed - no",IF($R622="Yes","4 Contacted",IF($N622="Yes","2 Engaged",IF($M622="Yes","1 Awareness",IF($AA622&gt;=60,"3 Qualified","1 Awareness"))))))))))</f>
        <v/>
      </c>
    </row>
    <row r="623" customFormat="false" ht="30" hidden="false" customHeight="true" outlineLevel="0" collapsed="false">
      <c r="A623" s="36"/>
      <c r="B623" s="37"/>
      <c r="C623" s="37"/>
      <c r="D623" s="37"/>
      <c r="E623" s="37"/>
      <c r="F623" s="37"/>
      <c r="G623" s="37"/>
      <c r="H623" s="37"/>
      <c r="I623" s="37"/>
      <c r="J623" s="47"/>
      <c r="K623" s="41" t="str">
        <f aca="false">IF(J623="","",IF(J623&gt;=8,"Yes","Check"))</f>
        <v/>
      </c>
      <c r="L623" s="38"/>
      <c r="M623" s="47"/>
      <c r="N623" s="47"/>
      <c r="O623" s="37"/>
      <c r="P623" s="38"/>
      <c r="Q623" s="42" t="str">
        <f aca="false">IF(P623="","",LEN(P623))</f>
        <v/>
      </c>
      <c r="R623" s="47"/>
      <c r="S623" s="37"/>
      <c r="T623" s="38"/>
      <c r="U623" s="43" t="str">
        <f aca="false">IF(OR(R623&lt;&gt;"Yes",A623=""),"",A623+4)</f>
        <v/>
      </c>
      <c r="V623" s="47"/>
      <c r="W623" s="38"/>
      <c r="X623" s="38"/>
      <c r="Y623" s="44"/>
      <c r="Z623" s="44"/>
      <c r="AA623" s="45" t="str">
        <f aca="false">IF(AND($Y623="",$Z623=""),"",ROUND(IFERROR(VALUE(LEFT($Y623,1)),0)*12+IFERROR(VALUE(LEFT($Z623,1)),0)*8,0))</f>
        <v/>
      </c>
      <c r="AB623" s="45" t="str">
        <f aca="false">IF($AA623="","",IF($AA623&gt;=80,"A - call first",IF($AA623&gt;=60,"B - worth pursuing",IF($AA623&gt;=40,"C - nurture","D - do not spend time here"))))</f>
        <v/>
      </c>
      <c r="AC623" s="46" t="str">
        <f aca="false">IF($C623="","",IF($S623="Converted","7 Certification / Enterprise opportunity",IF($S623="Application Started","7 Certification / Enterprise opportunity",IF($S623="Meeting Booked","6 Meeting / Application",IF(OR($S623="Interested",$S623="Info Requested"),"5 Interested",IF(OR($S623="Declined",$S623="Not Relevant"),"0 Closed - no",IF($R623="Yes","4 Contacted",IF($N623="Yes","2 Engaged",IF($M623="Yes","1 Awareness",IF($AA623&gt;=60,"3 Qualified","1 Awareness"))))))))))</f>
        <v/>
      </c>
    </row>
    <row r="624" customFormat="false" ht="30" hidden="false" customHeight="true" outlineLevel="0" collapsed="false">
      <c r="A624" s="36"/>
      <c r="B624" s="37"/>
      <c r="C624" s="37"/>
      <c r="D624" s="37"/>
      <c r="E624" s="37"/>
      <c r="F624" s="37"/>
      <c r="G624" s="37"/>
      <c r="H624" s="37"/>
      <c r="I624" s="37"/>
      <c r="J624" s="47"/>
      <c r="K624" s="41" t="str">
        <f aca="false">IF(J624="","",IF(J624&gt;=8,"Yes","Check"))</f>
        <v/>
      </c>
      <c r="L624" s="38"/>
      <c r="M624" s="47"/>
      <c r="N624" s="47"/>
      <c r="O624" s="37"/>
      <c r="P624" s="38"/>
      <c r="Q624" s="42" t="str">
        <f aca="false">IF(P624="","",LEN(P624))</f>
        <v/>
      </c>
      <c r="R624" s="47"/>
      <c r="S624" s="37"/>
      <c r="T624" s="38"/>
      <c r="U624" s="43" t="str">
        <f aca="false">IF(OR(R624&lt;&gt;"Yes",A624=""),"",A624+4)</f>
        <v/>
      </c>
      <c r="V624" s="47"/>
      <c r="W624" s="38"/>
      <c r="X624" s="38"/>
      <c r="Y624" s="44"/>
      <c r="Z624" s="44"/>
      <c r="AA624" s="45" t="str">
        <f aca="false">IF(AND($Y624="",$Z624=""),"",ROUND(IFERROR(VALUE(LEFT($Y624,1)),0)*12+IFERROR(VALUE(LEFT($Z624,1)),0)*8,0))</f>
        <v/>
      </c>
      <c r="AB624" s="45" t="str">
        <f aca="false">IF($AA624="","",IF($AA624&gt;=80,"A - call first",IF($AA624&gt;=60,"B - worth pursuing",IF($AA624&gt;=40,"C - nurture","D - do not spend time here"))))</f>
        <v/>
      </c>
      <c r="AC624" s="46" t="str">
        <f aca="false">IF($C624="","",IF($S624="Converted","7 Certification / Enterprise opportunity",IF($S624="Application Started","7 Certification / Enterprise opportunity",IF($S624="Meeting Booked","6 Meeting / Application",IF(OR($S624="Interested",$S624="Info Requested"),"5 Interested",IF(OR($S624="Declined",$S624="Not Relevant"),"0 Closed - no",IF($R624="Yes","4 Contacted",IF($N624="Yes","2 Engaged",IF($M624="Yes","1 Awareness",IF($AA624&gt;=60,"3 Qualified","1 Awareness"))))))))))</f>
        <v/>
      </c>
    </row>
    <row r="625" customFormat="false" ht="30" hidden="false" customHeight="true" outlineLevel="0" collapsed="false">
      <c r="A625" s="36"/>
      <c r="B625" s="37"/>
      <c r="C625" s="37"/>
      <c r="D625" s="37"/>
      <c r="E625" s="37"/>
      <c r="F625" s="37"/>
      <c r="G625" s="37"/>
      <c r="H625" s="37"/>
      <c r="I625" s="37"/>
      <c r="J625" s="47"/>
      <c r="K625" s="41" t="str">
        <f aca="false">IF(J625="","",IF(J625&gt;=8,"Yes","Check"))</f>
        <v/>
      </c>
      <c r="L625" s="38"/>
      <c r="M625" s="47"/>
      <c r="N625" s="47"/>
      <c r="O625" s="37"/>
      <c r="P625" s="38"/>
      <c r="Q625" s="42" t="str">
        <f aca="false">IF(P625="","",LEN(P625))</f>
        <v/>
      </c>
      <c r="R625" s="47"/>
      <c r="S625" s="37"/>
      <c r="T625" s="38"/>
      <c r="U625" s="43" t="str">
        <f aca="false">IF(OR(R625&lt;&gt;"Yes",A625=""),"",A625+4)</f>
        <v/>
      </c>
      <c r="V625" s="47"/>
      <c r="W625" s="38"/>
      <c r="X625" s="38"/>
      <c r="Y625" s="44"/>
      <c r="Z625" s="44"/>
      <c r="AA625" s="45" t="str">
        <f aca="false">IF(AND($Y625="",$Z625=""),"",ROUND(IFERROR(VALUE(LEFT($Y625,1)),0)*12+IFERROR(VALUE(LEFT($Z625,1)),0)*8,0))</f>
        <v/>
      </c>
      <c r="AB625" s="45" t="str">
        <f aca="false">IF($AA625="","",IF($AA625&gt;=80,"A - call first",IF($AA625&gt;=60,"B - worth pursuing",IF($AA625&gt;=40,"C - nurture","D - do not spend time here"))))</f>
        <v/>
      </c>
      <c r="AC625" s="46" t="str">
        <f aca="false">IF($C625="","",IF($S625="Converted","7 Certification / Enterprise opportunity",IF($S625="Application Started","7 Certification / Enterprise opportunity",IF($S625="Meeting Booked","6 Meeting / Application",IF(OR($S625="Interested",$S625="Info Requested"),"5 Interested",IF(OR($S625="Declined",$S625="Not Relevant"),"0 Closed - no",IF($R625="Yes","4 Contacted",IF($N625="Yes","2 Engaged",IF($M625="Yes","1 Awareness",IF($AA625&gt;=60,"3 Qualified","1 Awareness"))))))))))</f>
        <v/>
      </c>
    </row>
    <row r="626" customFormat="false" ht="30" hidden="false" customHeight="true" outlineLevel="0" collapsed="false">
      <c r="A626" s="36"/>
      <c r="B626" s="37"/>
      <c r="C626" s="37"/>
      <c r="D626" s="37"/>
      <c r="E626" s="37"/>
      <c r="F626" s="37"/>
      <c r="G626" s="37"/>
      <c r="H626" s="37"/>
      <c r="I626" s="37"/>
      <c r="J626" s="47"/>
      <c r="K626" s="41" t="str">
        <f aca="false">IF(J626="","",IF(J626&gt;=8,"Yes","Check"))</f>
        <v/>
      </c>
      <c r="L626" s="38"/>
      <c r="M626" s="47"/>
      <c r="N626" s="47"/>
      <c r="O626" s="37"/>
      <c r="P626" s="38"/>
      <c r="Q626" s="42" t="str">
        <f aca="false">IF(P626="","",LEN(P626))</f>
        <v/>
      </c>
      <c r="R626" s="47"/>
      <c r="S626" s="37"/>
      <c r="T626" s="38"/>
      <c r="U626" s="43" t="str">
        <f aca="false">IF(OR(R626&lt;&gt;"Yes",A626=""),"",A626+4)</f>
        <v/>
      </c>
      <c r="V626" s="47"/>
      <c r="W626" s="38"/>
      <c r="X626" s="38"/>
      <c r="Y626" s="44"/>
      <c r="Z626" s="44"/>
      <c r="AA626" s="45" t="str">
        <f aca="false">IF(AND($Y626="",$Z626=""),"",ROUND(IFERROR(VALUE(LEFT($Y626,1)),0)*12+IFERROR(VALUE(LEFT($Z626,1)),0)*8,0))</f>
        <v/>
      </c>
      <c r="AB626" s="45" t="str">
        <f aca="false">IF($AA626="","",IF($AA626&gt;=80,"A - call first",IF($AA626&gt;=60,"B - worth pursuing",IF($AA626&gt;=40,"C - nurture","D - do not spend time here"))))</f>
        <v/>
      </c>
      <c r="AC626" s="46" t="str">
        <f aca="false">IF($C626="","",IF($S626="Converted","7 Certification / Enterprise opportunity",IF($S626="Application Started","7 Certification / Enterprise opportunity",IF($S626="Meeting Booked","6 Meeting / Application",IF(OR($S626="Interested",$S626="Info Requested"),"5 Interested",IF(OR($S626="Declined",$S626="Not Relevant"),"0 Closed - no",IF($R626="Yes","4 Contacted",IF($N626="Yes","2 Engaged",IF($M626="Yes","1 Awareness",IF($AA626&gt;=60,"3 Qualified","1 Awareness"))))))))))</f>
        <v/>
      </c>
    </row>
    <row r="627" customFormat="false" ht="30" hidden="false" customHeight="true" outlineLevel="0" collapsed="false">
      <c r="A627" s="36"/>
      <c r="B627" s="37"/>
      <c r="C627" s="37"/>
      <c r="D627" s="37"/>
      <c r="E627" s="37"/>
      <c r="F627" s="37"/>
      <c r="G627" s="37"/>
      <c r="H627" s="37"/>
      <c r="I627" s="37"/>
      <c r="J627" s="47"/>
      <c r="K627" s="41" t="str">
        <f aca="false">IF(J627="","",IF(J627&gt;=8,"Yes","Check"))</f>
        <v/>
      </c>
      <c r="L627" s="38"/>
      <c r="M627" s="47"/>
      <c r="N627" s="47"/>
      <c r="O627" s="37"/>
      <c r="P627" s="38"/>
      <c r="Q627" s="42" t="str">
        <f aca="false">IF(P627="","",LEN(P627))</f>
        <v/>
      </c>
      <c r="R627" s="47"/>
      <c r="S627" s="37"/>
      <c r="T627" s="38"/>
      <c r="U627" s="43" t="str">
        <f aca="false">IF(OR(R627&lt;&gt;"Yes",A627=""),"",A627+4)</f>
        <v/>
      </c>
      <c r="V627" s="47"/>
      <c r="W627" s="38"/>
      <c r="X627" s="38"/>
      <c r="Y627" s="44"/>
      <c r="Z627" s="44"/>
      <c r="AA627" s="45" t="str">
        <f aca="false">IF(AND($Y627="",$Z627=""),"",ROUND(IFERROR(VALUE(LEFT($Y627,1)),0)*12+IFERROR(VALUE(LEFT($Z627,1)),0)*8,0))</f>
        <v/>
      </c>
      <c r="AB627" s="45" t="str">
        <f aca="false">IF($AA627="","",IF($AA627&gt;=80,"A - call first",IF($AA627&gt;=60,"B - worth pursuing",IF($AA627&gt;=40,"C - nurture","D - do not spend time here"))))</f>
        <v/>
      </c>
      <c r="AC627" s="46" t="str">
        <f aca="false">IF($C627="","",IF($S627="Converted","7 Certification / Enterprise opportunity",IF($S627="Application Started","7 Certification / Enterprise opportunity",IF($S627="Meeting Booked","6 Meeting / Application",IF(OR($S627="Interested",$S627="Info Requested"),"5 Interested",IF(OR($S627="Declined",$S627="Not Relevant"),"0 Closed - no",IF($R627="Yes","4 Contacted",IF($N627="Yes","2 Engaged",IF($M627="Yes","1 Awareness",IF($AA627&gt;=60,"3 Qualified","1 Awareness"))))))))))</f>
        <v/>
      </c>
    </row>
    <row r="628" customFormat="false" ht="30" hidden="false" customHeight="true" outlineLevel="0" collapsed="false">
      <c r="A628" s="36"/>
      <c r="B628" s="37"/>
      <c r="C628" s="37"/>
      <c r="D628" s="37"/>
      <c r="E628" s="37"/>
      <c r="F628" s="37"/>
      <c r="G628" s="37"/>
      <c r="H628" s="37"/>
      <c r="I628" s="37"/>
      <c r="J628" s="47"/>
      <c r="K628" s="41" t="str">
        <f aca="false">IF(J628="","",IF(J628&gt;=8,"Yes","Check"))</f>
        <v/>
      </c>
      <c r="L628" s="38"/>
      <c r="M628" s="47"/>
      <c r="N628" s="47"/>
      <c r="O628" s="37"/>
      <c r="P628" s="38"/>
      <c r="Q628" s="42" t="str">
        <f aca="false">IF(P628="","",LEN(P628))</f>
        <v/>
      </c>
      <c r="R628" s="47"/>
      <c r="S628" s="37"/>
      <c r="T628" s="38"/>
      <c r="U628" s="43" t="str">
        <f aca="false">IF(OR(R628&lt;&gt;"Yes",A628=""),"",A628+4)</f>
        <v/>
      </c>
      <c r="V628" s="47"/>
      <c r="W628" s="38"/>
      <c r="X628" s="38"/>
      <c r="Y628" s="44"/>
      <c r="Z628" s="44"/>
      <c r="AA628" s="45" t="str">
        <f aca="false">IF(AND($Y628="",$Z628=""),"",ROUND(IFERROR(VALUE(LEFT($Y628,1)),0)*12+IFERROR(VALUE(LEFT($Z628,1)),0)*8,0))</f>
        <v/>
      </c>
      <c r="AB628" s="45" t="str">
        <f aca="false">IF($AA628="","",IF($AA628&gt;=80,"A - call first",IF($AA628&gt;=60,"B - worth pursuing",IF($AA628&gt;=40,"C - nurture","D - do not spend time here"))))</f>
        <v/>
      </c>
      <c r="AC628" s="46" t="str">
        <f aca="false">IF($C628="","",IF($S628="Converted","7 Certification / Enterprise opportunity",IF($S628="Application Started","7 Certification / Enterprise opportunity",IF($S628="Meeting Booked","6 Meeting / Application",IF(OR($S628="Interested",$S628="Info Requested"),"5 Interested",IF(OR($S628="Declined",$S628="Not Relevant"),"0 Closed - no",IF($R628="Yes","4 Contacted",IF($N628="Yes","2 Engaged",IF($M628="Yes","1 Awareness",IF($AA628&gt;=60,"3 Qualified","1 Awareness"))))))))))</f>
        <v/>
      </c>
    </row>
    <row r="629" customFormat="false" ht="30" hidden="false" customHeight="true" outlineLevel="0" collapsed="false">
      <c r="A629" s="36"/>
      <c r="B629" s="37"/>
      <c r="C629" s="37"/>
      <c r="D629" s="37"/>
      <c r="E629" s="37"/>
      <c r="F629" s="37"/>
      <c r="G629" s="37"/>
      <c r="H629" s="37"/>
      <c r="I629" s="37"/>
      <c r="J629" s="47"/>
      <c r="K629" s="41" t="str">
        <f aca="false">IF(J629="","",IF(J629&gt;=8,"Yes","Check"))</f>
        <v/>
      </c>
      <c r="L629" s="38"/>
      <c r="M629" s="47"/>
      <c r="N629" s="47"/>
      <c r="O629" s="37"/>
      <c r="P629" s="38"/>
      <c r="Q629" s="42" t="str">
        <f aca="false">IF(P629="","",LEN(P629))</f>
        <v/>
      </c>
      <c r="R629" s="47"/>
      <c r="S629" s="37"/>
      <c r="T629" s="38"/>
      <c r="U629" s="43" t="str">
        <f aca="false">IF(OR(R629&lt;&gt;"Yes",A629=""),"",A629+4)</f>
        <v/>
      </c>
      <c r="V629" s="47"/>
      <c r="W629" s="38"/>
      <c r="X629" s="38"/>
      <c r="Y629" s="44"/>
      <c r="Z629" s="44"/>
      <c r="AA629" s="45" t="str">
        <f aca="false">IF(AND($Y629="",$Z629=""),"",ROUND(IFERROR(VALUE(LEFT($Y629,1)),0)*12+IFERROR(VALUE(LEFT($Z629,1)),0)*8,0))</f>
        <v/>
      </c>
      <c r="AB629" s="45" t="str">
        <f aca="false">IF($AA629="","",IF($AA629&gt;=80,"A - call first",IF($AA629&gt;=60,"B - worth pursuing",IF($AA629&gt;=40,"C - nurture","D - do not spend time here"))))</f>
        <v/>
      </c>
      <c r="AC629" s="46" t="str">
        <f aca="false">IF($C629="","",IF($S629="Converted","7 Certification / Enterprise opportunity",IF($S629="Application Started","7 Certification / Enterprise opportunity",IF($S629="Meeting Booked","6 Meeting / Application",IF(OR($S629="Interested",$S629="Info Requested"),"5 Interested",IF(OR($S629="Declined",$S629="Not Relevant"),"0 Closed - no",IF($R629="Yes","4 Contacted",IF($N629="Yes","2 Engaged",IF($M629="Yes","1 Awareness",IF($AA629&gt;=60,"3 Qualified","1 Awareness"))))))))))</f>
        <v/>
      </c>
    </row>
    <row r="630" customFormat="false" ht="30" hidden="false" customHeight="true" outlineLevel="0" collapsed="false">
      <c r="A630" s="36"/>
      <c r="B630" s="37"/>
      <c r="C630" s="37"/>
      <c r="D630" s="37"/>
      <c r="E630" s="37"/>
      <c r="F630" s="37"/>
      <c r="G630" s="37"/>
      <c r="H630" s="37"/>
      <c r="I630" s="37"/>
      <c r="J630" s="47"/>
      <c r="K630" s="41" t="str">
        <f aca="false">IF(J630="","",IF(J630&gt;=8,"Yes","Check"))</f>
        <v/>
      </c>
      <c r="L630" s="38"/>
      <c r="M630" s="47"/>
      <c r="N630" s="47"/>
      <c r="O630" s="37"/>
      <c r="P630" s="38"/>
      <c r="Q630" s="42" t="str">
        <f aca="false">IF(P630="","",LEN(P630))</f>
        <v/>
      </c>
      <c r="R630" s="47"/>
      <c r="S630" s="37"/>
      <c r="T630" s="38"/>
      <c r="U630" s="43" t="str">
        <f aca="false">IF(OR(R630&lt;&gt;"Yes",A630=""),"",A630+4)</f>
        <v/>
      </c>
      <c r="V630" s="47"/>
      <c r="W630" s="38"/>
      <c r="X630" s="38"/>
      <c r="Y630" s="44"/>
      <c r="Z630" s="44"/>
      <c r="AA630" s="45" t="str">
        <f aca="false">IF(AND($Y630="",$Z630=""),"",ROUND(IFERROR(VALUE(LEFT($Y630,1)),0)*12+IFERROR(VALUE(LEFT($Z630,1)),0)*8,0))</f>
        <v/>
      </c>
      <c r="AB630" s="45" t="str">
        <f aca="false">IF($AA630="","",IF($AA630&gt;=80,"A - call first",IF($AA630&gt;=60,"B - worth pursuing",IF($AA630&gt;=40,"C - nurture","D - do not spend time here"))))</f>
        <v/>
      </c>
      <c r="AC630" s="46" t="str">
        <f aca="false">IF($C630="","",IF($S630="Converted","7 Certification / Enterprise opportunity",IF($S630="Application Started","7 Certification / Enterprise opportunity",IF($S630="Meeting Booked","6 Meeting / Application",IF(OR($S630="Interested",$S630="Info Requested"),"5 Interested",IF(OR($S630="Declined",$S630="Not Relevant"),"0 Closed - no",IF($R630="Yes","4 Contacted",IF($N630="Yes","2 Engaged",IF($M630="Yes","1 Awareness",IF($AA630&gt;=60,"3 Qualified","1 Awareness"))))))))))</f>
        <v/>
      </c>
    </row>
    <row r="631" customFormat="false" ht="30" hidden="false" customHeight="true" outlineLevel="0" collapsed="false">
      <c r="A631" s="36"/>
      <c r="B631" s="37"/>
      <c r="C631" s="37"/>
      <c r="D631" s="37"/>
      <c r="E631" s="37"/>
      <c r="F631" s="37"/>
      <c r="G631" s="37"/>
      <c r="H631" s="37"/>
      <c r="I631" s="37"/>
      <c r="J631" s="47"/>
      <c r="K631" s="41" t="str">
        <f aca="false">IF(J631="","",IF(J631&gt;=8,"Yes","Check"))</f>
        <v/>
      </c>
      <c r="L631" s="38"/>
      <c r="M631" s="47"/>
      <c r="N631" s="47"/>
      <c r="O631" s="37"/>
      <c r="P631" s="38"/>
      <c r="Q631" s="42" t="str">
        <f aca="false">IF(P631="","",LEN(P631))</f>
        <v/>
      </c>
      <c r="R631" s="47"/>
      <c r="S631" s="37"/>
      <c r="T631" s="38"/>
      <c r="U631" s="43" t="str">
        <f aca="false">IF(OR(R631&lt;&gt;"Yes",A631=""),"",A631+4)</f>
        <v/>
      </c>
      <c r="V631" s="47"/>
      <c r="W631" s="38"/>
      <c r="X631" s="38"/>
      <c r="Y631" s="44"/>
      <c r="Z631" s="44"/>
      <c r="AA631" s="45" t="str">
        <f aca="false">IF(AND($Y631="",$Z631=""),"",ROUND(IFERROR(VALUE(LEFT($Y631,1)),0)*12+IFERROR(VALUE(LEFT($Z631,1)),0)*8,0))</f>
        <v/>
      </c>
      <c r="AB631" s="45" t="str">
        <f aca="false">IF($AA631="","",IF($AA631&gt;=80,"A - call first",IF($AA631&gt;=60,"B - worth pursuing",IF($AA631&gt;=40,"C - nurture","D - do not spend time here"))))</f>
        <v/>
      </c>
      <c r="AC631" s="46" t="str">
        <f aca="false">IF($C631="","",IF($S631="Converted","7 Certification / Enterprise opportunity",IF($S631="Application Started","7 Certification / Enterprise opportunity",IF($S631="Meeting Booked","6 Meeting / Application",IF(OR($S631="Interested",$S631="Info Requested"),"5 Interested",IF(OR($S631="Declined",$S631="Not Relevant"),"0 Closed - no",IF($R631="Yes","4 Contacted",IF($N631="Yes","2 Engaged",IF($M631="Yes","1 Awareness",IF($AA631&gt;=60,"3 Qualified","1 Awareness"))))))))))</f>
        <v/>
      </c>
    </row>
    <row r="632" customFormat="false" ht="30" hidden="false" customHeight="true" outlineLevel="0" collapsed="false">
      <c r="A632" s="36"/>
      <c r="B632" s="37"/>
      <c r="C632" s="37"/>
      <c r="D632" s="37"/>
      <c r="E632" s="37"/>
      <c r="F632" s="37"/>
      <c r="G632" s="37"/>
      <c r="H632" s="37"/>
      <c r="I632" s="37"/>
      <c r="J632" s="47"/>
      <c r="K632" s="41" t="str">
        <f aca="false">IF(J632="","",IF(J632&gt;=8,"Yes","Check"))</f>
        <v/>
      </c>
      <c r="L632" s="38"/>
      <c r="M632" s="47"/>
      <c r="N632" s="47"/>
      <c r="O632" s="37"/>
      <c r="P632" s="38"/>
      <c r="Q632" s="42" t="str">
        <f aca="false">IF(P632="","",LEN(P632))</f>
        <v/>
      </c>
      <c r="R632" s="47"/>
      <c r="S632" s="37"/>
      <c r="T632" s="38"/>
      <c r="U632" s="43" t="str">
        <f aca="false">IF(OR(R632&lt;&gt;"Yes",A632=""),"",A632+4)</f>
        <v/>
      </c>
      <c r="V632" s="47"/>
      <c r="W632" s="38"/>
      <c r="X632" s="38"/>
      <c r="Y632" s="44"/>
      <c r="Z632" s="44"/>
      <c r="AA632" s="45" t="str">
        <f aca="false">IF(AND($Y632="",$Z632=""),"",ROUND(IFERROR(VALUE(LEFT($Y632,1)),0)*12+IFERROR(VALUE(LEFT($Z632,1)),0)*8,0))</f>
        <v/>
      </c>
      <c r="AB632" s="45" t="str">
        <f aca="false">IF($AA632="","",IF($AA632&gt;=80,"A - call first",IF($AA632&gt;=60,"B - worth pursuing",IF($AA632&gt;=40,"C - nurture","D - do not spend time here"))))</f>
        <v/>
      </c>
      <c r="AC632" s="46" t="str">
        <f aca="false">IF($C632="","",IF($S632="Converted","7 Certification / Enterprise opportunity",IF($S632="Application Started","7 Certification / Enterprise opportunity",IF($S632="Meeting Booked","6 Meeting / Application",IF(OR($S632="Interested",$S632="Info Requested"),"5 Interested",IF(OR($S632="Declined",$S632="Not Relevant"),"0 Closed - no",IF($R632="Yes","4 Contacted",IF($N632="Yes","2 Engaged",IF($M632="Yes","1 Awareness",IF($AA632&gt;=60,"3 Qualified","1 Awareness"))))))))))</f>
        <v/>
      </c>
    </row>
    <row r="633" customFormat="false" ht="30" hidden="false" customHeight="true" outlineLevel="0" collapsed="false">
      <c r="A633" s="36"/>
      <c r="B633" s="37"/>
      <c r="C633" s="37"/>
      <c r="D633" s="37"/>
      <c r="E633" s="37"/>
      <c r="F633" s="37"/>
      <c r="G633" s="37"/>
      <c r="H633" s="37"/>
      <c r="I633" s="37"/>
      <c r="J633" s="47"/>
      <c r="K633" s="41" t="str">
        <f aca="false">IF(J633="","",IF(J633&gt;=8,"Yes","Check"))</f>
        <v/>
      </c>
      <c r="L633" s="38"/>
      <c r="M633" s="47"/>
      <c r="N633" s="47"/>
      <c r="O633" s="37"/>
      <c r="P633" s="38"/>
      <c r="Q633" s="42" t="str">
        <f aca="false">IF(P633="","",LEN(P633))</f>
        <v/>
      </c>
      <c r="R633" s="47"/>
      <c r="S633" s="37"/>
      <c r="T633" s="38"/>
      <c r="U633" s="43" t="str">
        <f aca="false">IF(OR(R633&lt;&gt;"Yes",A633=""),"",A633+4)</f>
        <v/>
      </c>
      <c r="V633" s="47"/>
      <c r="W633" s="38"/>
      <c r="X633" s="38"/>
      <c r="Y633" s="44"/>
      <c r="Z633" s="44"/>
      <c r="AA633" s="45" t="str">
        <f aca="false">IF(AND($Y633="",$Z633=""),"",ROUND(IFERROR(VALUE(LEFT($Y633,1)),0)*12+IFERROR(VALUE(LEFT($Z633,1)),0)*8,0))</f>
        <v/>
      </c>
      <c r="AB633" s="45" t="str">
        <f aca="false">IF($AA633="","",IF($AA633&gt;=80,"A - call first",IF($AA633&gt;=60,"B - worth pursuing",IF($AA633&gt;=40,"C - nurture","D - do not spend time here"))))</f>
        <v/>
      </c>
      <c r="AC633" s="46" t="str">
        <f aca="false">IF($C633="","",IF($S633="Converted","7 Certification / Enterprise opportunity",IF($S633="Application Started","7 Certification / Enterprise opportunity",IF($S633="Meeting Booked","6 Meeting / Application",IF(OR($S633="Interested",$S633="Info Requested"),"5 Interested",IF(OR($S633="Declined",$S633="Not Relevant"),"0 Closed - no",IF($R633="Yes","4 Contacted",IF($N633="Yes","2 Engaged",IF($M633="Yes","1 Awareness",IF($AA633&gt;=60,"3 Qualified","1 Awareness"))))))))))</f>
        <v/>
      </c>
    </row>
    <row r="634" customFormat="false" ht="30" hidden="false" customHeight="true" outlineLevel="0" collapsed="false">
      <c r="A634" s="36"/>
      <c r="B634" s="37"/>
      <c r="C634" s="37"/>
      <c r="D634" s="37"/>
      <c r="E634" s="37"/>
      <c r="F634" s="37"/>
      <c r="G634" s="37"/>
      <c r="H634" s="37"/>
      <c r="I634" s="37"/>
      <c r="J634" s="47"/>
      <c r="K634" s="41" t="str">
        <f aca="false">IF(J634="","",IF(J634&gt;=8,"Yes","Check"))</f>
        <v/>
      </c>
      <c r="L634" s="38"/>
      <c r="M634" s="47"/>
      <c r="N634" s="47"/>
      <c r="O634" s="37"/>
      <c r="P634" s="38"/>
      <c r="Q634" s="42" t="str">
        <f aca="false">IF(P634="","",LEN(P634))</f>
        <v/>
      </c>
      <c r="R634" s="47"/>
      <c r="S634" s="37"/>
      <c r="T634" s="38"/>
      <c r="U634" s="43" t="str">
        <f aca="false">IF(OR(R634&lt;&gt;"Yes",A634=""),"",A634+4)</f>
        <v/>
      </c>
      <c r="V634" s="47"/>
      <c r="W634" s="38"/>
      <c r="X634" s="38"/>
      <c r="Y634" s="44"/>
      <c r="Z634" s="44"/>
      <c r="AA634" s="45" t="str">
        <f aca="false">IF(AND($Y634="",$Z634=""),"",ROUND(IFERROR(VALUE(LEFT($Y634,1)),0)*12+IFERROR(VALUE(LEFT($Z634,1)),0)*8,0))</f>
        <v/>
      </c>
      <c r="AB634" s="45" t="str">
        <f aca="false">IF($AA634="","",IF($AA634&gt;=80,"A - call first",IF($AA634&gt;=60,"B - worth pursuing",IF($AA634&gt;=40,"C - nurture","D - do not spend time here"))))</f>
        <v/>
      </c>
      <c r="AC634" s="46" t="str">
        <f aca="false">IF($C634="","",IF($S634="Converted","7 Certification / Enterprise opportunity",IF($S634="Application Started","7 Certification / Enterprise opportunity",IF($S634="Meeting Booked","6 Meeting / Application",IF(OR($S634="Interested",$S634="Info Requested"),"5 Interested",IF(OR($S634="Declined",$S634="Not Relevant"),"0 Closed - no",IF($R634="Yes","4 Contacted",IF($N634="Yes","2 Engaged",IF($M634="Yes","1 Awareness",IF($AA634&gt;=60,"3 Qualified","1 Awareness"))))))))))</f>
        <v/>
      </c>
    </row>
    <row r="635" customFormat="false" ht="30" hidden="false" customHeight="true" outlineLevel="0" collapsed="false">
      <c r="A635" s="36"/>
      <c r="B635" s="37"/>
      <c r="C635" s="37"/>
      <c r="D635" s="37"/>
      <c r="E635" s="37"/>
      <c r="F635" s="37"/>
      <c r="G635" s="37"/>
      <c r="H635" s="37"/>
      <c r="I635" s="37"/>
      <c r="J635" s="47"/>
      <c r="K635" s="41" t="str">
        <f aca="false">IF(J635="","",IF(J635&gt;=8,"Yes","Check"))</f>
        <v/>
      </c>
      <c r="L635" s="38"/>
      <c r="M635" s="47"/>
      <c r="N635" s="47"/>
      <c r="O635" s="37"/>
      <c r="P635" s="38"/>
      <c r="Q635" s="42" t="str">
        <f aca="false">IF(P635="","",LEN(P635))</f>
        <v/>
      </c>
      <c r="R635" s="47"/>
      <c r="S635" s="37"/>
      <c r="T635" s="38"/>
      <c r="U635" s="43" t="str">
        <f aca="false">IF(OR(R635&lt;&gt;"Yes",A635=""),"",A635+4)</f>
        <v/>
      </c>
      <c r="V635" s="47"/>
      <c r="W635" s="38"/>
      <c r="X635" s="38"/>
      <c r="Y635" s="44"/>
      <c r="Z635" s="44"/>
      <c r="AA635" s="45" t="str">
        <f aca="false">IF(AND($Y635="",$Z635=""),"",ROUND(IFERROR(VALUE(LEFT($Y635,1)),0)*12+IFERROR(VALUE(LEFT($Z635,1)),0)*8,0))</f>
        <v/>
      </c>
      <c r="AB635" s="45" t="str">
        <f aca="false">IF($AA635="","",IF($AA635&gt;=80,"A - call first",IF($AA635&gt;=60,"B - worth pursuing",IF($AA635&gt;=40,"C - nurture","D - do not spend time here"))))</f>
        <v/>
      </c>
      <c r="AC635" s="46" t="str">
        <f aca="false">IF($C635="","",IF($S635="Converted","7 Certification / Enterprise opportunity",IF($S635="Application Started","7 Certification / Enterprise opportunity",IF($S635="Meeting Booked","6 Meeting / Application",IF(OR($S635="Interested",$S635="Info Requested"),"5 Interested",IF(OR($S635="Declined",$S635="Not Relevant"),"0 Closed - no",IF($R635="Yes","4 Contacted",IF($N635="Yes","2 Engaged",IF($M635="Yes","1 Awareness",IF($AA635&gt;=60,"3 Qualified","1 Awareness"))))))))))</f>
        <v/>
      </c>
    </row>
    <row r="636" customFormat="false" ht="30" hidden="false" customHeight="true" outlineLevel="0" collapsed="false">
      <c r="A636" s="36"/>
      <c r="B636" s="37"/>
      <c r="C636" s="37"/>
      <c r="D636" s="37"/>
      <c r="E636" s="37"/>
      <c r="F636" s="37"/>
      <c r="G636" s="37"/>
      <c r="H636" s="37"/>
      <c r="I636" s="37"/>
      <c r="J636" s="47"/>
      <c r="K636" s="41" t="str">
        <f aca="false">IF(J636="","",IF(J636&gt;=8,"Yes","Check"))</f>
        <v/>
      </c>
      <c r="L636" s="38"/>
      <c r="M636" s="47"/>
      <c r="N636" s="47"/>
      <c r="O636" s="37"/>
      <c r="P636" s="38"/>
      <c r="Q636" s="42" t="str">
        <f aca="false">IF(P636="","",LEN(P636))</f>
        <v/>
      </c>
      <c r="R636" s="47"/>
      <c r="S636" s="37"/>
      <c r="T636" s="38"/>
      <c r="U636" s="43" t="str">
        <f aca="false">IF(OR(R636&lt;&gt;"Yes",A636=""),"",A636+4)</f>
        <v/>
      </c>
      <c r="V636" s="47"/>
      <c r="W636" s="38"/>
      <c r="X636" s="38"/>
      <c r="Y636" s="44"/>
      <c r="Z636" s="44"/>
      <c r="AA636" s="45" t="str">
        <f aca="false">IF(AND($Y636="",$Z636=""),"",ROUND(IFERROR(VALUE(LEFT($Y636,1)),0)*12+IFERROR(VALUE(LEFT($Z636,1)),0)*8,0))</f>
        <v/>
      </c>
      <c r="AB636" s="45" t="str">
        <f aca="false">IF($AA636="","",IF($AA636&gt;=80,"A - call first",IF($AA636&gt;=60,"B - worth pursuing",IF($AA636&gt;=40,"C - nurture","D - do not spend time here"))))</f>
        <v/>
      </c>
      <c r="AC636" s="46" t="str">
        <f aca="false">IF($C636="","",IF($S636="Converted","7 Certification / Enterprise opportunity",IF($S636="Application Started","7 Certification / Enterprise opportunity",IF($S636="Meeting Booked","6 Meeting / Application",IF(OR($S636="Interested",$S636="Info Requested"),"5 Interested",IF(OR($S636="Declined",$S636="Not Relevant"),"0 Closed - no",IF($R636="Yes","4 Contacted",IF($N636="Yes","2 Engaged",IF($M636="Yes","1 Awareness",IF($AA636&gt;=60,"3 Qualified","1 Awareness"))))))))))</f>
        <v/>
      </c>
    </row>
    <row r="637" customFormat="false" ht="30" hidden="false" customHeight="true" outlineLevel="0" collapsed="false">
      <c r="A637" s="36"/>
      <c r="B637" s="37"/>
      <c r="C637" s="37"/>
      <c r="D637" s="37"/>
      <c r="E637" s="37"/>
      <c r="F637" s="37"/>
      <c r="G637" s="37"/>
      <c r="H637" s="37"/>
      <c r="I637" s="37"/>
      <c r="J637" s="47"/>
      <c r="K637" s="41" t="str">
        <f aca="false">IF(J637="","",IF(J637&gt;=8,"Yes","Check"))</f>
        <v/>
      </c>
      <c r="L637" s="38"/>
      <c r="M637" s="47"/>
      <c r="N637" s="47"/>
      <c r="O637" s="37"/>
      <c r="P637" s="38"/>
      <c r="Q637" s="42" t="str">
        <f aca="false">IF(P637="","",LEN(P637))</f>
        <v/>
      </c>
      <c r="R637" s="47"/>
      <c r="S637" s="37"/>
      <c r="T637" s="38"/>
      <c r="U637" s="43" t="str">
        <f aca="false">IF(OR(R637&lt;&gt;"Yes",A637=""),"",A637+4)</f>
        <v/>
      </c>
      <c r="V637" s="47"/>
      <c r="W637" s="38"/>
      <c r="X637" s="38"/>
      <c r="Y637" s="44"/>
      <c r="Z637" s="44"/>
      <c r="AA637" s="45" t="str">
        <f aca="false">IF(AND($Y637="",$Z637=""),"",ROUND(IFERROR(VALUE(LEFT($Y637,1)),0)*12+IFERROR(VALUE(LEFT($Z637,1)),0)*8,0))</f>
        <v/>
      </c>
      <c r="AB637" s="45" t="str">
        <f aca="false">IF($AA637="","",IF($AA637&gt;=80,"A - call first",IF($AA637&gt;=60,"B - worth pursuing",IF($AA637&gt;=40,"C - nurture","D - do not spend time here"))))</f>
        <v/>
      </c>
      <c r="AC637" s="46" t="str">
        <f aca="false">IF($C637="","",IF($S637="Converted","7 Certification / Enterprise opportunity",IF($S637="Application Started","7 Certification / Enterprise opportunity",IF($S637="Meeting Booked","6 Meeting / Application",IF(OR($S637="Interested",$S637="Info Requested"),"5 Interested",IF(OR($S637="Declined",$S637="Not Relevant"),"0 Closed - no",IF($R637="Yes","4 Contacted",IF($N637="Yes","2 Engaged",IF($M637="Yes","1 Awareness",IF($AA637&gt;=60,"3 Qualified","1 Awareness"))))))))))</f>
        <v/>
      </c>
    </row>
    <row r="638" customFormat="false" ht="30" hidden="false" customHeight="true" outlineLevel="0" collapsed="false">
      <c r="A638" s="36"/>
      <c r="B638" s="37"/>
      <c r="C638" s="37"/>
      <c r="D638" s="37"/>
      <c r="E638" s="37"/>
      <c r="F638" s="37"/>
      <c r="G638" s="37"/>
      <c r="H638" s="37"/>
      <c r="I638" s="37"/>
      <c r="J638" s="47"/>
      <c r="K638" s="41" t="str">
        <f aca="false">IF(J638="","",IF(J638&gt;=8,"Yes","Check"))</f>
        <v/>
      </c>
      <c r="L638" s="38"/>
      <c r="M638" s="47"/>
      <c r="N638" s="47"/>
      <c r="O638" s="37"/>
      <c r="P638" s="38"/>
      <c r="Q638" s="42" t="str">
        <f aca="false">IF(P638="","",LEN(P638))</f>
        <v/>
      </c>
      <c r="R638" s="47"/>
      <c r="S638" s="37"/>
      <c r="T638" s="38"/>
      <c r="U638" s="43" t="str">
        <f aca="false">IF(OR(R638&lt;&gt;"Yes",A638=""),"",A638+4)</f>
        <v/>
      </c>
      <c r="V638" s="47"/>
      <c r="W638" s="38"/>
      <c r="X638" s="38"/>
      <c r="Y638" s="44"/>
      <c r="Z638" s="44"/>
      <c r="AA638" s="45" t="str">
        <f aca="false">IF(AND($Y638="",$Z638=""),"",ROUND(IFERROR(VALUE(LEFT($Y638,1)),0)*12+IFERROR(VALUE(LEFT($Z638,1)),0)*8,0))</f>
        <v/>
      </c>
      <c r="AB638" s="45" t="str">
        <f aca="false">IF($AA638="","",IF($AA638&gt;=80,"A - call first",IF($AA638&gt;=60,"B - worth pursuing",IF($AA638&gt;=40,"C - nurture","D - do not spend time here"))))</f>
        <v/>
      </c>
      <c r="AC638" s="46" t="str">
        <f aca="false">IF($C638="","",IF($S638="Converted","7 Certification / Enterprise opportunity",IF($S638="Application Started","7 Certification / Enterprise opportunity",IF($S638="Meeting Booked","6 Meeting / Application",IF(OR($S638="Interested",$S638="Info Requested"),"5 Interested",IF(OR($S638="Declined",$S638="Not Relevant"),"0 Closed - no",IF($R638="Yes","4 Contacted",IF($N638="Yes","2 Engaged",IF($M638="Yes","1 Awareness",IF($AA638&gt;=60,"3 Qualified","1 Awareness"))))))))))</f>
        <v/>
      </c>
    </row>
    <row r="639" customFormat="false" ht="30" hidden="false" customHeight="true" outlineLevel="0" collapsed="false">
      <c r="A639" s="36"/>
      <c r="B639" s="37"/>
      <c r="C639" s="37"/>
      <c r="D639" s="37"/>
      <c r="E639" s="37"/>
      <c r="F639" s="37"/>
      <c r="G639" s="37"/>
      <c r="H639" s="37"/>
      <c r="I639" s="37"/>
      <c r="J639" s="47"/>
      <c r="K639" s="41" t="str">
        <f aca="false">IF(J639="","",IF(J639&gt;=8,"Yes","Check"))</f>
        <v/>
      </c>
      <c r="L639" s="38"/>
      <c r="M639" s="47"/>
      <c r="N639" s="47"/>
      <c r="O639" s="37"/>
      <c r="P639" s="38"/>
      <c r="Q639" s="42" t="str">
        <f aca="false">IF(P639="","",LEN(P639))</f>
        <v/>
      </c>
      <c r="R639" s="47"/>
      <c r="S639" s="37"/>
      <c r="T639" s="38"/>
      <c r="U639" s="43" t="str">
        <f aca="false">IF(OR(R639&lt;&gt;"Yes",A639=""),"",A639+4)</f>
        <v/>
      </c>
      <c r="V639" s="47"/>
      <c r="W639" s="38"/>
      <c r="X639" s="38"/>
      <c r="Y639" s="44"/>
      <c r="Z639" s="44"/>
      <c r="AA639" s="45" t="str">
        <f aca="false">IF(AND($Y639="",$Z639=""),"",ROUND(IFERROR(VALUE(LEFT($Y639,1)),0)*12+IFERROR(VALUE(LEFT($Z639,1)),0)*8,0))</f>
        <v/>
      </c>
      <c r="AB639" s="45" t="str">
        <f aca="false">IF($AA639="","",IF($AA639&gt;=80,"A - call first",IF($AA639&gt;=60,"B - worth pursuing",IF($AA639&gt;=40,"C - nurture","D - do not spend time here"))))</f>
        <v/>
      </c>
      <c r="AC639" s="46" t="str">
        <f aca="false">IF($C639="","",IF($S639="Converted","7 Certification / Enterprise opportunity",IF($S639="Application Started","7 Certification / Enterprise opportunity",IF($S639="Meeting Booked","6 Meeting / Application",IF(OR($S639="Interested",$S639="Info Requested"),"5 Interested",IF(OR($S639="Declined",$S639="Not Relevant"),"0 Closed - no",IF($R639="Yes","4 Contacted",IF($N639="Yes","2 Engaged",IF($M639="Yes","1 Awareness",IF($AA639&gt;=60,"3 Qualified","1 Awareness"))))))))))</f>
        <v/>
      </c>
    </row>
    <row r="640" customFormat="false" ht="30" hidden="false" customHeight="true" outlineLevel="0" collapsed="false">
      <c r="A640" s="36"/>
      <c r="B640" s="37"/>
      <c r="C640" s="37"/>
      <c r="D640" s="37"/>
      <c r="E640" s="37"/>
      <c r="F640" s="37"/>
      <c r="G640" s="37"/>
      <c r="H640" s="37"/>
      <c r="I640" s="37"/>
      <c r="J640" s="47"/>
      <c r="K640" s="41" t="str">
        <f aca="false">IF(J640="","",IF(J640&gt;=8,"Yes","Check"))</f>
        <v/>
      </c>
      <c r="L640" s="38"/>
      <c r="M640" s="47"/>
      <c r="N640" s="47"/>
      <c r="O640" s="37"/>
      <c r="P640" s="38"/>
      <c r="Q640" s="42" t="str">
        <f aca="false">IF(P640="","",LEN(P640))</f>
        <v/>
      </c>
      <c r="R640" s="47"/>
      <c r="S640" s="37"/>
      <c r="T640" s="38"/>
      <c r="U640" s="43" t="str">
        <f aca="false">IF(OR(R640&lt;&gt;"Yes",A640=""),"",A640+4)</f>
        <v/>
      </c>
      <c r="V640" s="47"/>
      <c r="W640" s="38"/>
      <c r="X640" s="38"/>
      <c r="Y640" s="44"/>
      <c r="Z640" s="44"/>
      <c r="AA640" s="45" t="str">
        <f aca="false">IF(AND($Y640="",$Z640=""),"",ROUND(IFERROR(VALUE(LEFT($Y640,1)),0)*12+IFERROR(VALUE(LEFT($Z640,1)),0)*8,0))</f>
        <v/>
      </c>
      <c r="AB640" s="45" t="str">
        <f aca="false">IF($AA640="","",IF($AA640&gt;=80,"A - call first",IF($AA640&gt;=60,"B - worth pursuing",IF($AA640&gt;=40,"C - nurture","D - do not spend time here"))))</f>
        <v/>
      </c>
      <c r="AC640" s="46" t="str">
        <f aca="false">IF($C640="","",IF($S640="Converted","7 Certification / Enterprise opportunity",IF($S640="Application Started","7 Certification / Enterprise opportunity",IF($S640="Meeting Booked","6 Meeting / Application",IF(OR($S640="Interested",$S640="Info Requested"),"5 Interested",IF(OR($S640="Declined",$S640="Not Relevant"),"0 Closed - no",IF($R640="Yes","4 Contacted",IF($N640="Yes","2 Engaged",IF($M640="Yes","1 Awareness",IF($AA640&gt;=60,"3 Qualified","1 Awareness"))))))))))</f>
        <v/>
      </c>
    </row>
    <row r="641" customFormat="false" ht="30" hidden="false" customHeight="true" outlineLevel="0" collapsed="false">
      <c r="A641" s="36"/>
      <c r="B641" s="37"/>
      <c r="C641" s="37"/>
      <c r="D641" s="37"/>
      <c r="E641" s="37"/>
      <c r="F641" s="37"/>
      <c r="G641" s="37"/>
      <c r="H641" s="37"/>
      <c r="I641" s="37"/>
      <c r="J641" s="47"/>
      <c r="K641" s="41" t="str">
        <f aca="false">IF(J641="","",IF(J641&gt;=8,"Yes","Check"))</f>
        <v/>
      </c>
      <c r="L641" s="38"/>
      <c r="M641" s="47"/>
      <c r="N641" s="47"/>
      <c r="O641" s="37"/>
      <c r="P641" s="38"/>
      <c r="Q641" s="42" t="str">
        <f aca="false">IF(P641="","",LEN(P641))</f>
        <v/>
      </c>
      <c r="R641" s="47"/>
      <c r="S641" s="37"/>
      <c r="T641" s="38"/>
      <c r="U641" s="43" t="str">
        <f aca="false">IF(OR(R641&lt;&gt;"Yes",A641=""),"",A641+4)</f>
        <v/>
      </c>
      <c r="V641" s="47"/>
      <c r="W641" s="38"/>
      <c r="X641" s="38"/>
      <c r="Y641" s="44"/>
      <c r="Z641" s="44"/>
      <c r="AA641" s="45" t="str">
        <f aca="false">IF(AND($Y641="",$Z641=""),"",ROUND(IFERROR(VALUE(LEFT($Y641,1)),0)*12+IFERROR(VALUE(LEFT($Z641,1)),0)*8,0))</f>
        <v/>
      </c>
      <c r="AB641" s="45" t="str">
        <f aca="false">IF($AA641="","",IF($AA641&gt;=80,"A - call first",IF($AA641&gt;=60,"B - worth pursuing",IF($AA641&gt;=40,"C - nurture","D - do not spend time here"))))</f>
        <v/>
      </c>
      <c r="AC641" s="46" t="str">
        <f aca="false">IF($C641="","",IF($S641="Converted","7 Certification / Enterprise opportunity",IF($S641="Application Started","7 Certification / Enterprise opportunity",IF($S641="Meeting Booked","6 Meeting / Application",IF(OR($S641="Interested",$S641="Info Requested"),"5 Interested",IF(OR($S641="Declined",$S641="Not Relevant"),"0 Closed - no",IF($R641="Yes","4 Contacted",IF($N641="Yes","2 Engaged",IF($M641="Yes","1 Awareness",IF($AA641&gt;=60,"3 Qualified","1 Awareness"))))))))))</f>
        <v/>
      </c>
    </row>
    <row r="642" customFormat="false" ht="30" hidden="false" customHeight="true" outlineLevel="0" collapsed="false">
      <c r="A642" s="36"/>
      <c r="B642" s="37"/>
      <c r="C642" s="37"/>
      <c r="D642" s="37"/>
      <c r="E642" s="37"/>
      <c r="F642" s="37"/>
      <c r="G642" s="37"/>
      <c r="H642" s="37"/>
      <c r="I642" s="37"/>
      <c r="J642" s="47"/>
      <c r="K642" s="41" t="str">
        <f aca="false">IF(J642="","",IF(J642&gt;=8,"Yes","Check"))</f>
        <v/>
      </c>
      <c r="L642" s="38"/>
      <c r="M642" s="47"/>
      <c r="N642" s="47"/>
      <c r="O642" s="37"/>
      <c r="P642" s="38"/>
      <c r="Q642" s="42" t="str">
        <f aca="false">IF(P642="","",LEN(P642))</f>
        <v/>
      </c>
      <c r="R642" s="47"/>
      <c r="S642" s="37"/>
      <c r="T642" s="38"/>
      <c r="U642" s="43" t="str">
        <f aca="false">IF(OR(R642&lt;&gt;"Yes",A642=""),"",A642+4)</f>
        <v/>
      </c>
      <c r="V642" s="47"/>
      <c r="W642" s="38"/>
      <c r="X642" s="38"/>
      <c r="Y642" s="44"/>
      <c r="Z642" s="44"/>
      <c r="AA642" s="45" t="str">
        <f aca="false">IF(AND($Y642="",$Z642=""),"",ROUND(IFERROR(VALUE(LEFT($Y642,1)),0)*12+IFERROR(VALUE(LEFT($Z642,1)),0)*8,0))</f>
        <v/>
      </c>
      <c r="AB642" s="45" t="str">
        <f aca="false">IF($AA642="","",IF($AA642&gt;=80,"A - call first",IF($AA642&gt;=60,"B - worth pursuing",IF($AA642&gt;=40,"C - nurture","D - do not spend time here"))))</f>
        <v/>
      </c>
      <c r="AC642" s="46" t="str">
        <f aca="false">IF($C642="","",IF($S642="Converted","7 Certification / Enterprise opportunity",IF($S642="Application Started","7 Certification / Enterprise opportunity",IF($S642="Meeting Booked","6 Meeting / Application",IF(OR($S642="Interested",$S642="Info Requested"),"5 Interested",IF(OR($S642="Declined",$S642="Not Relevant"),"0 Closed - no",IF($R642="Yes","4 Contacted",IF($N642="Yes","2 Engaged",IF($M642="Yes","1 Awareness",IF($AA642&gt;=60,"3 Qualified","1 Awareness"))))))))))</f>
        <v/>
      </c>
    </row>
    <row r="643" customFormat="false" ht="30" hidden="false" customHeight="true" outlineLevel="0" collapsed="false">
      <c r="A643" s="36"/>
      <c r="B643" s="37"/>
      <c r="C643" s="37"/>
      <c r="D643" s="37"/>
      <c r="E643" s="37"/>
      <c r="F643" s="37"/>
      <c r="G643" s="37"/>
      <c r="H643" s="37"/>
      <c r="I643" s="37"/>
      <c r="J643" s="47"/>
      <c r="K643" s="41" t="str">
        <f aca="false">IF(J643="","",IF(J643&gt;=8,"Yes","Check"))</f>
        <v/>
      </c>
      <c r="L643" s="38"/>
      <c r="M643" s="47"/>
      <c r="N643" s="47"/>
      <c r="O643" s="37"/>
      <c r="P643" s="38"/>
      <c r="Q643" s="42" t="str">
        <f aca="false">IF(P643="","",LEN(P643))</f>
        <v/>
      </c>
      <c r="R643" s="47"/>
      <c r="S643" s="37"/>
      <c r="T643" s="38"/>
      <c r="U643" s="43" t="str">
        <f aca="false">IF(OR(R643&lt;&gt;"Yes",A643=""),"",A643+4)</f>
        <v/>
      </c>
      <c r="V643" s="47"/>
      <c r="W643" s="38"/>
      <c r="X643" s="38"/>
      <c r="Y643" s="44"/>
      <c r="Z643" s="44"/>
      <c r="AA643" s="45" t="str">
        <f aca="false">IF(AND($Y643="",$Z643=""),"",ROUND(IFERROR(VALUE(LEFT($Y643,1)),0)*12+IFERROR(VALUE(LEFT($Z643,1)),0)*8,0))</f>
        <v/>
      </c>
      <c r="AB643" s="45" t="str">
        <f aca="false">IF($AA643="","",IF($AA643&gt;=80,"A - call first",IF($AA643&gt;=60,"B - worth pursuing",IF($AA643&gt;=40,"C - nurture","D - do not spend time here"))))</f>
        <v/>
      </c>
      <c r="AC643" s="46" t="str">
        <f aca="false">IF($C643="","",IF($S643="Converted","7 Certification / Enterprise opportunity",IF($S643="Application Started","7 Certification / Enterprise opportunity",IF($S643="Meeting Booked","6 Meeting / Application",IF(OR($S643="Interested",$S643="Info Requested"),"5 Interested",IF(OR($S643="Declined",$S643="Not Relevant"),"0 Closed - no",IF($R643="Yes","4 Contacted",IF($N643="Yes","2 Engaged",IF($M643="Yes","1 Awareness",IF($AA643&gt;=60,"3 Qualified","1 Awareness"))))))))))</f>
        <v/>
      </c>
    </row>
    <row r="644" customFormat="false" ht="30" hidden="false" customHeight="true" outlineLevel="0" collapsed="false">
      <c r="A644" s="36"/>
      <c r="B644" s="37"/>
      <c r="C644" s="37"/>
      <c r="D644" s="37"/>
      <c r="E644" s="37"/>
      <c r="F644" s="37"/>
      <c r="G644" s="37"/>
      <c r="H644" s="37"/>
      <c r="I644" s="37"/>
      <c r="J644" s="47"/>
      <c r="K644" s="41" t="str">
        <f aca="false">IF(J644="","",IF(J644&gt;=8,"Yes","Check"))</f>
        <v/>
      </c>
      <c r="L644" s="38"/>
      <c r="M644" s="47"/>
      <c r="N644" s="47"/>
      <c r="O644" s="37"/>
      <c r="P644" s="38"/>
      <c r="Q644" s="42" t="str">
        <f aca="false">IF(P644="","",LEN(P644))</f>
        <v/>
      </c>
      <c r="R644" s="47"/>
      <c r="S644" s="37"/>
      <c r="T644" s="38"/>
      <c r="U644" s="43" t="str">
        <f aca="false">IF(OR(R644&lt;&gt;"Yes",A644=""),"",A644+4)</f>
        <v/>
      </c>
      <c r="V644" s="47"/>
      <c r="W644" s="38"/>
      <c r="X644" s="38"/>
      <c r="Y644" s="44"/>
      <c r="Z644" s="44"/>
      <c r="AA644" s="45" t="str">
        <f aca="false">IF(AND($Y644="",$Z644=""),"",ROUND(IFERROR(VALUE(LEFT($Y644,1)),0)*12+IFERROR(VALUE(LEFT($Z644,1)),0)*8,0))</f>
        <v/>
      </c>
      <c r="AB644" s="45" t="str">
        <f aca="false">IF($AA644="","",IF($AA644&gt;=80,"A - call first",IF($AA644&gt;=60,"B - worth pursuing",IF($AA644&gt;=40,"C - nurture","D - do not spend time here"))))</f>
        <v/>
      </c>
      <c r="AC644" s="46" t="str">
        <f aca="false">IF($C644="","",IF($S644="Converted","7 Certification / Enterprise opportunity",IF($S644="Application Started","7 Certification / Enterprise opportunity",IF($S644="Meeting Booked","6 Meeting / Application",IF(OR($S644="Interested",$S644="Info Requested"),"5 Interested",IF(OR($S644="Declined",$S644="Not Relevant"),"0 Closed - no",IF($R644="Yes","4 Contacted",IF($N644="Yes","2 Engaged",IF($M644="Yes","1 Awareness",IF($AA644&gt;=60,"3 Qualified","1 Awareness"))))))))))</f>
        <v/>
      </c>
    </row>
    <row r="645" customFormat="false" ht="30" hidden="false" customHeight="true" outlineLevel="0" collapsed="false">
      <c r="A645" s="36"/>
      <c r="B645" s="37"/>
      <c r="C645" s="37"/>
      <c r="D645" s="37"/>
      <c r="E645" s="37"/>
      <c r="F645" s="37"/>
      <c r="G645" s="37"/>
      <c r="H645" s="37"/>
      <c r="I645" s="37"/>
      <c r="J645" s="47"/>
      <c r="K645" s="41" t="str">
        <f aca="false">IF(J645="","",IF(J645&gt;=8,"Yes","Check"))</f>
        <v/>
      </c>
      <c r="L645" s="38"/>
      <c r="M645" s="47"/>
      <c r="N645" s="47"/>
      <c r="O645" s="37"/>
      <c r="P645" s="38"/>
      <c r="Q645" s="42" t="str">
        <f aca="false">IF(P645="","",LEN(P645))</f>
        <v/>
      </c>
      <c r="R645" s="47"/>
      <c r="S645" s="37"/>
      <c r="T645" s="38"/>
      <c r="U645" s="43" t="str">
        <f aca="false">IF(OR(R645&lt;&gt;"Yes",A645=""),"",A645+4)</f>
        <v/>
      </c>
      <c r="V645" s="47"/>
      <c r="W645" s="38"/>
      <c r="X645" s="38"/>
      <c r="Y645" s="44"/>
      <c r="Z645" s="44"/>
      <c r="AA645" s="45" t="str">
        <f aca="false">IF(AND($Y645="",$Z645=""),"",ROUND(IFERROR(VALUE(LEFT($Y645,1)),0)*12+IFERROR(VALUE(LEFT($Z645,1)),0)*8,0))</f>
        <v/>
      </c>
      <c r="AB645" s="45" t="str">
        <f aca="false">IF($AA645="","",IF($AA645&gt;=80,"A - call first",IF($AA645&gt;=60,"B - worth pursuing",IF($AA645&gt;=40,"C - nurture","D - do not spend time here"))))</f>
        <v/>
      </c>
      <c r="AC645" s="46" t="str">
        <f aca="false">IF($C645="","",IF($S645="Converted","7 Certification / Enterprise opportunity",IF($S645="Application Started","7 Certification / Enterprise opportunity",IF($S645="Meeting Booked","6 Meeting / Application",IF(OR($S645="Interested",$S645="Info Requested"),"5 Interested",IF(OR($S645="Declined",$S645="Not Relevant"),"0 Closed - no",IF($R645="Yes","4 Contacted",IF($N645="Yes","2 Engaged",IF($M645="Yes","1 Awareness",IF($AA645&gt;=60,"3 Qualified","1 Awareness"))))))))))</f>
        <v/>
      </c>
    </row>
    <row r="646" customFormat="false" ht="30" hidden="false" customHeight="true" outlineLevel="0" collapsed="false">
      <c r="A646" s="36"/>
      <c r="B646" s="37"/>
      <c r="C646" s="37"/>
      <c r="D646" s="37"/>
      <c r="E646" s="37"/>
      <c r="F646" s="37"/>
      <c r="G646" s="37"/>
      <c r="H646" s="37"/>
      <c r="I646" s="37"/>
      <c r="J646" s="47"/>
      <c r="K646" s="41" t="str">
        <f aca="false">IF(J646="","",IF(J646&gt;=8,"Yes","Check"))</f>
        <v/>
      </c>
      <c r="L646" s="38"/>
      <c r="M646" s="47"/>
      <c r="N646" s="47"/>
      <c r="O646" s="37"/>
      <c r="P646" s="38"/>
      <c r="Q646" s="42" t="str">
        <f aca="false">IF(P646="","",LEN(P646))</f>
        <v/>
      </c>
      <c r="R646" s="47"/>
      <c r="S646" s="37"/>
      <c r="T646" s="38"/>
      <c r="U646" s="43" t="str">
        <f aca="false">IF(OR(R646&lt;&gt;"Yes",A646=""),"",A646+4)</f>
        <v/>
      </c>
      <c r="V646" s="47"/>
      <c r="W646" s="38"/>
      <c r="X646" s="38"/>
      <c r="Y646" s="44"/>
      <c r="Z646" s="44"/>
      <c r="AA646" s="45" t="str">
        <f aca="false">IF(AND($Y646="",$Z646=""),"",ROUND(IFERROR(VALUE(LEFT($Y646,1)),0)*12+IFERROR(VALUE(LEFT($Z646,1)),0)*8,0))</f>
        <v/>
      </c>
      <c r="AB646" s="45" t="str">
        <f aca="false">IF($AA646="","",IF($AA646&gt;=80,"A - call first",IF($AA646&gt;=60,"B - worth pursuing",IF($AA646&gt;=40,"C - nurture","D - do not spend time here"))))</f>
        <v/>
      </c>
      <c r="AC646" s="46" t="str">
        <f aca="false">IF($C646="","",IF($S646="Converted","7 Certification / Enterprise opportunity",IF($S646="Application Started","7 Certification / Enterprise opportunity",IF($S646="Meeting Booked","6 Meeting / Application",IF(OR($S646="Interested",$S646="Info Requested"),"5 Interested",IF(OR($S646="Declined",$S646="Not Relevant"),"0 Closed - no",IF($R646="Yes","4 Contacted",IF($N646="Yes","2 Engaged",IF($M646="Yes","1 Awareness",IF($AA646&gt;=60,"3 Qualified","1 Awareness"))))))))))</f>
        <v/>
      </c>
    </row>
    <row r="647" customFormat="false" ht="30" hidden="false" customHeight="true" outlineLevel="0" collapsed="false">
      <c r="A647" s="36"/>
      <c r="B647" s="37"/>
      <c r="C647" s="37"/>
      <c r="D647" s="37"/>
      <c r="E647" s="37"/>
      <c r="F647" s="37"/>
      <c r="G647" s="37"/>
      <c r="H647" s="37"/>
      <c r="I647" s="37"/>
      <c r="J647" s="47"/>
      <c r="K647" s="41" t="str">
        <f aca="false">IF(J647="","",IF(J647&gt;=8,"Yes","Check"))</f>
        <v/>
      </c>
      <c r="L647" s="38"/>
      <c r="M647" s="47"/>
      <c r="N647" s="47"/>
      <c r="O647" s="37"/>
      <c r="P647" s="38"/>
      <c r="Q647" s="42" t="str">
        <f aca="false">IF(P647="","",LEN(P647))</f>
        <v/>
      </c>
      <c r="R647" s="47"/>
      <c r="S647" s="37"/>
      <c r="T647" s="38"/>
      <c r="U647" s="43" t="str">
        <f aca="false">IF(OR(R647&lt;&gt;"Yes",A647=""),"",A647+4)</f>
        <v/>
      </c>
      <c r="V647" s="47"/>
      <c r="W647" s="38"/>
      <c r="X647" s="38"/>
      <c r="Y647" s="44"/>
      <c r="Z647" s="44"/>
      <c r="AA647" s="45" t="str">
        <f aca="false">IF(AND($Y647="",$Z647=""),"",ROUND(IFERROR(VALUE(LEFT($Y647,1)),0)*12+IFERROR(VALUE(LEFT($Z647,1)),0)*8,0))</f>
        <v/>
      </c>
      <c r="AB647" s="45" t="str">
        <f aca="false">IF($AA647="","",IF($AA647&gt;=80,"A - call first",IF($AA647&gt;=60,"B - worth pursuing",IF($AA647&gt;=40,"C - nurture","D - do not spend time here"))))</f>
        <v/>
      </c>
      <c r="AC647" s="46" t="str">
        <f aca="false">IF($C647="","",IF($S647="Converted","7 Certification / Enterprise opportunity",IF($S647="Application Started","7 Certification / Enterprise opportunity",IF($S647="Meeting Booked","6 Meeting / Application",IF(OR($S647="Interested",$S647="Info Requested"),"5 Interested",IF(OR($S647="Declined",$S647="Not Relevant"),"0 Closed - no",IF($R647="Yes","4 Contacted",IF($N647="Yes","2 Engaged",IF($M647="Yes","1 Awareness",IF($AA647&gt;=60,"3 Qualified","1 Awareness"))))))))))</f>
        <v/>
      </c>
    </row>
    <row r="648" customFormat="false" ht="30" hidden="false" customHeight="true" outlineLevel="0" collapsed="false">
      <c r="A648" s="36"/>
      <c r="B648" s="37"/>
      <c r="C648" s="37"/>
      <c r="D648" s="37"/>
      <c r="E648" s="37"/>
      <c r="F648" s="37"/>
      <c r="G648" s="37"/>
      <c r="H648" s="37"/>
      <c r="I648" s="37"/>
      <c r="J648" s="47"/>
      <c r="K648" s="41" t="str">
        <f aca="false">IF(J648="","",IF(J648&gt;=8,"Yes","Check"))</f>
        <v/>
      </c>
      <c r="L648" s="38"/>
      <c r="M648" s="47"/>
      <c r="N648" s="47"/>
      <c r="O648" s="37"/>
      <c r="P648" s="38"/>
      <c r="Q648" s="42" t="str">
        <f aca="false">IF(P648="","",LEN(P648))</f>
        <v/>
      </c>
      <c r="R648" s="47"/>
      <c r="S648" s="37"/>
      <c r="T648" s="38"/>
      <c r="U648" s="43" t="str">
        <f aca="false">IF(OR(R648&lt;&gt;"Yes",A648=""),"",A648+4)</f>
        <v/>
      </c>
      <c r="V648" s="47"/>
      <c r="W648" s="38"/>
      <c r="X648" s="38"/>
      <c r="Y648" s="44"/>
      <c r="Z648" s="44"/>
      <c r="AA648" s="45" t="str">
        <f aca="false">IF(AND($Y648="",$Z648=""),"",ROUND(IFERROR(VALUE(LEFT($Y648,1)),0)*12+IFERROR(VALUE(LEFT($Z648,1)),0)*8,0))</f>
        <v/>
      </c>
      <c r="AB648" s="45" t="str">
        <f aca="false">IF($AA648="","",IF($AA648&gt;=80,"A - call first",IF($AA648&gt;=60,"B - worth pursuing",IF($AA648&gt;=40,"C - nurture","D - do not spend time here"))))</f>
        <v/>
      </c>
      <c r="AC648" s="46" t="str">
        <f aca="false">IF($C648="","",IF($S648="Converted","7 Certification / Enterprise opportunity",IF($S648="Application Started","7 Certification / Enterprise opportunity",IF($S648="Meeting Booked","6 Meeting / Application",IF(OR($S648="Interested",$S648="Info Requested"),"5 Interested",IF(OR($S648="Declined",$S648="Not Relevant"),"0 Closed - no",IF($R648="Yes","4 Contacted",IF($N648="Yes","2 Engaged",IF($M648="Yes","1 Awareness",IF($AA648&gt;=60,"3 Qualified","1 Awareness"))))))))))</f>
        <v/>
      </c>
    </row>
    <row r="649" customFormat="false" ht="30" hidden="false" customHeight="true" outlineLevel="0" collapsed="false">
      <c r="A649" s="36"/>
      <c r="B649" s="37"/>
      <c r="C649" s="37"/>
      <c r="D649" s="37"/>
      <c r="E649" s="37"/>
      <c r="F649" s="37"/>
      <c r="G649" s="37"/>
      <c r="H649" s="37"/>
      <c r="I649" s="37"/>
      <c r="J649" s="47"/>
      <c r="K649" s="41" t="str">
        <f aca="false">IF(J649="","",IF(J649&gt;=8,"Yes","Check"))</f>
        <v/>
      </c>
      <c r="L649" s="38"/>
      <c r="M649" s="47"/>
      <c r="N649" s="47"/>
      <c r="O649" s="37"/>
      <c r="P649" s="38"/>
      <c r="Q649" s="42" t="str">
        <f aca="false">IF(P649="","",LEN(P649))</f>
        <v/>
      </c>
      <c r="R649" s="47"/>
      <c r="S649" s="37"/>
      <c r="T649" s="38"/>
      <c r="U649" s="43" t="str">
        <f aca="false">IF(OR(R649&lt;&gt;"Yes",A649=""),"",A649+4)</f>
        <v/>
      </c>
      <c r="V649" s="47"/>
      <c r="W649" s="38"/>
      <c r="X649" s="38"/>
      <c r="Y649" s="44"/>
      <c r="Z649" s="44"/>
      <c r="AA649" s="45" t="str">
        <f aca="false">IF(AND($Y649="",$Z649=""),"",ROUND(IFERROR(VALUE(LEFT($Y649,1)),0)*12+IFERROR(VALUE(LEFT($Z649,1)),0)*8,0))</f>
        <v/>
      </c>
      <c r="AB649" s="45" t="str">
        <f aca="false">IF($AA649="","",IF($AA649&gt;=80,"A - call first",IF($AA649&gt;=60,"B - worth pursuing",IF($AA649&gt;=40,"C - nurture","D - do not spend time here"))))</f>
        <v/>
      </c>
      <c r="AC649" s="46" t="str">
        <f aca="false">IF($C649="","",IF($S649="Converted","7 Certification / Enterprise opportunity",IF($S649="Application Started","7 Certification / Enterprise opportunity",IF($S649="Meeting Booked","6 Meeting / Application",IF(OR($S649="Interested",$S649="Info Requested"),"5 Interested",IF(OR($S649="Declined",$S649="Not Relevant"),"0 Closed - no",IF($R649="Yes","4 Contacted",IF($N649="Yes","2 Engaged",IF($M649="Yes","1 Awareness",IF($AA649&gt;=60,"3 Qualified","1 Awareness"))))))))))</f>
        <v/>
      </c>
    </row>
    <row r="650" customFormat="false" ht="30" hidden="false" customHeight="true" outlineLevel="0" collapsed="false">
      <c r="A650" s="36"/>
      <c r="B650" s="37"/>
      <c r="C650" s="37"/>
      <c r="D650" s="37"/>
      <c r="E650" s="37"/>
      <c r="F650" s="37"/>
      <c r="G650" s="37"/>
      <c r="H650" s="37"/>
      <c r="I650" s="37"/>
      <c r="J650" s="47"/>
      <c r="K650" s="41" t="str">
        <f aca="false">IF(J650="","",IF(J650&gt;=8,"Yes","Check"))</f>
        <v/>
      </c>
      <c r="L650" s="38"/>
      <c r="M650" s="47"/>
      <c r="N650" s="47"/>
      <c r="O650" s="37"/>
      <c r="P650" s="38"/>
      <c r="Q650" s="42" t="str">
        <f aca="false">IF(P650="","",LEN(P650))</f>
        <v/>
      </c>
      <c r="R650" s="47"/>
      <c r="S650" s="37"/>
      <c r="T650" s="38"/>
      <c r="U650" s="43" t="str">
        <f aca="false">IF(OR(R650&lt;&gt;"Yes",A650=""),"",A650+4)</f>
        <v/>
      </c>
      <c r="V650" s="47"/>
      <c r="W650" s="38"/>
      <c r="X650" s="38"/>
      <c r="Y650" s="44"/>
      <c r="Z650" s="44"/>
      <c r="AA650" s="45" t="str">
        <f aca="false">IF(AND($Y650="",$Z650=""),"",ROUND(IFERROR(VALUE(LEFT($Y650,1)),0)*12+IFERROR(VALUE(LEFT($Z650,1)),0)*8,0))</f>
        <v/>
      </c>
      <c r="AB650" s="45" t="str">
        <f aca="false">IF($AA650="","",IF($AA650&gt;=80,"A - call first",IF($AA650&gt;=60,"B - worth pursuing",IF($AA650&gt;=40,"C - nurture","D - do not spend time here"))))</f>
        <v/>
      </c>
      <c r="AC650" s="46" t="str">
        <f aca="false">IF($C650="","",IF($S650="Converted","7 Certification / Enterprise opportunity",IF($S650="Application Started","7 Certification / Enterprise opportunity",IF($S650="Meeting Booked","6 Meeting / Application",IF(OR($S650="Interested",$S650="Info Requested"),"5 Interested",IF(OR($S650="Declined",$S650="Not Relevant"),"0 Closed - no",IF($R650="Yes","4 Contacted",IF($N650="Yes","2 Engaged",IF($M650="Yes","1 Awareness",IF($AA650&gt;=60,"3 Qualified","1 Awareness"))))))))))</f>
        <v/>
      </c>
    </row>
    <row r="651" customFormat="false" ht="30" hidden="false" customHeight="true" outlineLevel="0" collapsed="false">
      <c r="A651" s="36"/>
      <c r="B651" s="37"/>
      <c r="C651" s="37"/>
      <c r="D651" s="37"/>
      <c r="E651" s="37"/>
      <c r="F651" s="37"/>
      <c r="G651" s="37"/>
      <c r="H651" s="37"/>
      <c r="I651" s="37"/>
      <c r="J651" s="47"/>
      <c r="K651" s="41" t="str">
        <f aca="false">IF(J651="","",IF(J651&gt;=8,"Yes","Check"))</f>
        <v/>
      </c>
      <c r="L651" s="38"/>
      <c r="M651" s="47"/>
      <c r="N651" s="47"/>
      <c r="O651" s="37"/>
      <c r="P651" s="38"/>
      <c r="Q651" s="42" t="str">
        <f aca="false">IF(P651="","",LEN(P651))</f>
        <v/>
      </c>
      <c r="R651" s="47"/>
      <c r="S651" s="37"/>
      <c r="T651" s="38"/>
      <c r="U651" s="43" t="str">
        <f aca="false">IF(OR(R651&lt;&gt;"Yes",A651=""),"",A651+4)</f>
        <v/>
      </c>
      <c r="V651" s="47"/>
      <c r="W651" s="38"/>
      <c r="X651" s="38"/>
      <c r="Y651" s="44"/>
      <c r="Z651" s="44"/>
      <c r="AA651" s="45" t="str">
        <f aca="false">IF(AND($Y651="",$Z651=""),"",ROUND(IFERROR(VALUE(LEFT($Y651,1)),0)*12+IFERROR(VALUE(LEFT($Z651,1)),0)*8,0))</f>
        <v/>
      </c>
      <c r="AB651" s="45" t="str">
        <f aca="false">IF($AA651="","",IF($AA651&gt;=80,"A - call first",IF($AA651&gt;=60,"B - worth pursuing",IF($AA651&gt;=40,"C - nurture","D - do not spend time here"))))</f>
        <v/>
      </c>
      <c r="AC651" s="46" t="str">
        <f aca="false">IF($C651="","",IF($S651="Converted","7 Certification / Enterprise opportunity",IF($S651="Application Started","7 Certification / Enterprise opportunity",IF($S651="Meeting Booked","6 Meeting / Application",IF(OR($S651="Interested",$S651="Info Requested"),"5 Interested",IF(OR($S651="Declined",$S651="Not Relevant"),"0 Closed - no",IF($R651="Yes","4 Contacted",IF($N651="Yes","2 Engaged",IF($M651="Yes","1 Awareness",IF($AA651&gt;=60,"3 Qualified","1 Awareness"))))))))))</f>
        <v/>
      </c>
    </row>
    <row r="652" customFormat="false" ht="30" hidden="false" customHeight="true" outlineLevel="0" collapsed="false">
      <c r="A652" s="36"/>
      <c r="B652" s="37"/>
      <c r="C652" s="37"/>
      <c r="D652" s="37"/>
      <c r="E652" s="37"/>
      <c r="F652" s="37"/>
      <c r="G652" s="37"/>
      <c r="H652" s="37"/>
      <c r="I652" s="37"/>
      <c r="J652" s="47"/>
      <c r="K652" s="41" t="str">
        <f aca="false">IF(J652="","",IF(J652&gt;=8,"Yes","Check"))</f>
        <v/>
      </c>
      <c r="L652" s="38"/>
      <c r="M652" s="47"/>
      <c r="N652" s="47"/>
      <c r="O652" s="37"/>
      <c r="P652" s="38"/>
      <c r="Q652" s="42" t="str">
        <f aca="false">IF(P652="","",LEN(P652))</f>
        <v/>
      </c>
      <c r="R652" s="47"/>
      <c r="S652" s="37"/>
      <c r="T652" s="38"/>
      <c r="U652" s="43" t="str">
        <f aca="false">IF(OR(R652&lt;&gt;"Yes",A652=""),"",A652+4)</f>
        <v/>
      </c>
      <c r="V652" s="47"/>
      <c r="W652" s="38"/>
      <c r="X652" s="38"/>
      <c r="Y652" s="44"/>
      <c r="Z652" s="44"/>
      <c r="AA652" s="45" t="str">
        <f aca="false">IF(AND($Y652="",$Z652=""),"",ROUND(IFERROR(VALUE(LEFT($Y652,1)),0)*12+IFERROR(VALUE(LEFT($Z652,1)),0)*8,0))</f>
        <v/>
      </c>
      <c r="AB652" s="45" t="str">
        <f aca="false">IF($AA652="","",IF($AA652&gt;=80,"A - call first",IF($AA652&gt;=60,"B - worth pursuing",IF($AA652&gt;=40,"C - nurture","D - do not spend time here"))))</f>
        <v/>
      </c>
      <c r="AC652" s="46" t="str">
        <f aca="false">IF($C652="","",IF($S652="Converted","7 Certification / Enterprise opportunity",IF($S652="Application Started","7 Certification / Enterprise opportunity",IF($S652="Meeting Booked","6 Meeting / Application",IF(OR($S652="Interested",$S652="Info Requested"),"5 Interested",IF(OR($S652="Declined",$S652="Not Relevant"),"0 Closed - no",IF($R652="Yes","4 Contacted",IF($N652="Yes","2 Engaged",IF($M652="Yes","1 Awareness",IF($AA652&gt;=60,"3 Qualified","1 Awareness"))))))))))</f>
        <v/>
      </c>
    </row>
    <row r="653" customFormat="false" ht="30" hidden="false" customHeight="true" outlineLevel="0" collapsed="false">
      <c r="A653" s="36"/>
      <c r="B653" s="37"/>
      <c r="C653" s="37"/>
      <c r="D653" s="37"/>
      <c r="E653" s="37"/>
      <c r="F653" s="37"/>
      <c r="G653" s="37"/>
      <c r="H653" s="37"/>
      <c r="I653" s="37"/>
      <c r="J653" s="47"/>
      <c r="K653" s="41" t="str">
        <f aca="false">IF(J653="","",IF(J653&gt;=8,"Yes","Check"))</f>
        <v/>
      </c>
      <c r="L653" s="38"/>
      <c r="M653" s="47"/>
      <c r="N653" s="47"/>
      <c r="O653" s="37"/>
      <c r="P653" s="38"/>
      <c r="Q653" s="42" t="str">
        <f aca="false">IF(P653="","",LEN(P653))</f>
        <v/>
      </c>
      <c r="R653" s="47"/>
      <c r="S653" s="37"/>
      <c r="T653" s="38"/>
      <c r="U653" s="43" t="str">
        <f aca="false">IF(OR(R653&lt;&gt;"Yes",A653=""),"",A653+4)</f>
        <v/>
      </c>
      <c r="V653" s="47"/>
      <c r="W653" s="38"/>
      <c r="X653" s="38"/>
      <c r="Y653" s="44"/>
      <c r="Z653" s="44"/>
      <c r="AA653" s="45" t="str">
        <f aca="false">IF(AND($Y653="",$Z653=""),"",ROUND(IFERROR(VALUE(LEFT($Y653,1)),0)*12+IFERROR(VALUE(LEFT($Z653,1)),0)*8,0))</f>
        <v/>
      </c>
      <c r="AB653" s="45" t="str">
        <f aca="false">IF($AA653="","",IF($AA653&gt;=80,"A - call first",IF($AA653&gt;=60,"B - worth pursuing",IF($AA653&gt;=40,"C - nurture","D - do not spend time here"))))</f>
        <v/>
      </c>
      <c r="AC653" s="46" t="str">
        <f aca="false">IF($C653="","",IF($S653="Converted","7 Certification / Enterprise opportunity",IF($S653="Application Started","7 Certification / Enterprise opportunity",IF($S653="Meeting Booked","6 Meeting / Application",IF(OR($S653="Interested",$S653="Info Requested"),"5 Interested",IF(OR($S653="Declined",$S653="Not Relevant"),"0 Closed - no",IF($R653="Yes","4 Contacted",IF($N653="Yes","2 Engaged",IF($M653="Yes","1 Awareness",IF($AA653&gt;=60,"3 Qualified","1 Awareness"))))))))))</f>
        <v/>
      </c>
    </row>
    <row r="654" customFormat="false" ht="30" hidden="false" customHeight="true" outlineLevel="0" collapsed="false">
      <c r="A654" s="36"/>
      <c r="B654" s="37"/>
      <c r="C654" s="37"/>
      <c r="D654" s="37"/>
      <c r="E654" s="37"/>
      <c r="F654" s="37"/>
      <c r="G654" s="37"/>
      <c r="H654" s="37"/>
      <c r="I654" s="37"/>
      <c r="J654" s="47"/>
      <c r="K654" s="41" t="str">
        <f aca="false">IF(J654="","",IF(J654&gt;=8,"Yes","Check"))</f>
        <v/>
      </c>
      <c r="L654" s="38"/>
      <c r="M654" s="47"/>
      <c r="N654" s="47"/>
      <c r="O654" s="37"/>
      <c r="P654" s="38"/>
      <c r="Q654" s="42" t="str">
        <f aca="false">IF(P654="","",LEN(P654))</f>
        <v/>
      </c>
      <c r="R654" s="47"/>
      <c r="S654" s="37"/>
      <c r="T654" s="38"/>
      <c r="U654" s="43" t="str">
        <f aca="false">IF(OR(R654&lt;&gt;"Yes",A654=""),"",A654+4)</f>
        <v/>
      </c>
      <c r="V654" s="47"/>
      <c r="W654" s="38"/>
      <c r="X654" s="38"/>
      <c r="Y654" s="44"/>
      <c r="Z654" s="44"/>
      <c r="AA654" s="45" t="str">
        <f aca="false">IF(AND($Y654="",$Z654=""),"",ROUND(IFERROR(VALUE(LEFT($Y654,1)),0)*12+IFERROR(VALUE(LEFT($Z654,1)),0)*8,0))</f>
        <v/>
      </c>
      <c r="AB654" s="45" t="str">
        <f aca="false">IF($AA654="","",IF($AA654&gt;=80,"A - call first",IF($AA654&gt;=60,"B - worth pursuing",IF($AA654&gt;=40,"C - nurture","D - do not spend time here"))))</f>
        <v/>
      </c>
      <c r="AC654" s="46" t="str">
        <f aca="false">IF($C654="","",IF($S654="Converted","7 Certification / Enterprise opportunity",IF($S654="Application Started","7 Certification / Enterprise opportunity",IF($S654="Meeting Booked","6 Meeting / Application",IF(OR($S654="Interested",$S654="Info Requested"),"5 Interested",IF(OR($S654="Declined",$S654="Not Relevant"),"0 Closed - no",IF($R654="Yes","4 Contacted",IF($N654="Yes","2 Engaged",IF($M654="Yes","1 Awareness",IF($AA654&gt;=60,"3 Qualified","1 Awareness"))))))))))</f>
        <v/>
      </c>
    </row>
    <row r="655" customFormat="false" ht="30" hidden="false" customHeight="true" outlineLevel="0" collapsed="false">
      <c r="A655" s="36"/>
      <c r="B655" s="37"/>
      <c r="C655" s="37"/>
      <c r="D655" s="37"/>
      <c r="E655" s="37"/>
      <c r="F655" s="37"/>
      <c r="G655" s="37"/>
      <c r="H655" s="37"/>
      <c r="I655" s="37"/>
      <c r="J655" s="47"/>
      <c r="K655" s="41" t="str">
        <f aca="false">IF(J655="","",IF(J655&gt;=8,"Yes","Check"))</f>
        <v/>
      </c>
      <c r="L655" s="38"/>
      <c r="M655" s="47"/>
      <c r="N655" s="47"/>
      <c r="O655" s="37"/>
      <c r="P655" s="38"/>
      <c r="Q655" s="42" t="str">
        <f aca="false">IF(P655="","",LEN(P655))</f>
        <v/>
      </c>
      <c r="R655" s="47"/>
      <c r="S655" s="37"/>
      <c r="T655" s="38"/>
      <c r="U655" s="43" t="str">
        <f aca="false">IF(OR(R655&lt;&gt;"Yes",A655=""),"",A655+4)</f>
        <v/>
      </c>
      <c r="V655" s="47"/>
      <c r="W655" s="38"/>
      <c r="X655" s="38"/>
      <c r="Y655" s="44"/>
      <c r="Z655" s="44"/>
      <c r="AA655" s="45" t="str">
        <f aca="false">IF(AND($Y655="",$Z655=""),"",ROUND(IFERROR(VALUE(LEFT($Y655,1)),0)*12+IFERROR(VALUE(LEFT($Z655,1)),0)*8,0))</f>
        <v/>
      </c>
      <c r="AB655" s="45" t="str">
        <f aca="false">IF($AA655="","",IF($AA655&gt;=80,"A - call first",IF($AA655&gt;=60,"B - worth pursuing",IF($AA655&gt;=40,"C - nurture","D - do not spend time here"))))</f>
        <v/>
      </c>
      <c r="AC655" s="46" t="str">
        <f aca="false">IF($C655="","",IF($S655="Converted","7 Certification / Enterprise opportunity",IF($S655="Application Started","7 Certification / Enterprise opportunity",IF($S655="Meeting Booked","6 Meeting / Application",IF(OR($S655="Interested",$S655="Info Requested"),"5 Interested",IF(OR($S655="Declined",$S655="Not Relevant"),"0 Closed - no",IF($R655="Yes","4 Contacted",IF($N655="Yes","2 Engaged",IF($M655="Yes","1 Awareness",IF($AA655&gt;=60,"3 Qualified","1 Awareness"))))))))))</f>
        <v/>
      </c>
    </row>
    <row r="656" customFormat="false" ht="30" hidden="false" customHeight="true" outlineLevel="0" collapsed="false">
      <c r="A656" s="36"/>
      <c r="B656" s="37"/>
      <c r="C656" s="37"/>
      <c r="D656" s="37"/>
      <c r="E656" s="37"/>
      <c r="F656" s="37"/>
      <c r="G656" s="37"/>
      <c r="H656" s="37"/>
      <c r="I656" s="37"/>
      <c r="J656" s="47"/>
      <c r="K656" s="41" t="str">
        <f aca="false">IF(J656="","",IF(J656&gt;=8,"Yes","Check"))</f>
        <v/>
      </c>
      <c r="L656" s="38"/>
      <c r="M656" s="47"/>
      <c r="N656" s="47"/>
      <c r="O656" s="37"/>
      <c r="P656" s="38"/>
      <c r="Q656" s="42" t="str">
        <f aca="false">IF(P656="","",LEN(P656))</f>
        <v/>
      </c>
      <c r="R656" s="47"/>
      <c r="S656" s="37"/>
      <c r="T656" s="38"/>
      <c r="U656" s="43" t="str">
        <f aca="false">IF(OR(R656&lt;&gt;"Yes",A656=""),"",A656+4)</f>
        <v/>
      </c>
      <c r="V656" s="47"/>
      <c r="W656" s="38"/>
      <c r="X656" s="38"/>
      <c r="Y656" s="44"/>
      <c r="Z656" s="44"/>
      <c r="AA656" s="45" t="str">
        <f aca="false">IF(AND($Y656="",$Z656=""),"",ROUND(IFERROR(VALUE(LEFT($Y656,1)),0)*12+IFERROR(VALUE(LEFT($Z656,1)),0)*8,0))</f>
        <v/>
      </c>
      <c r="AB656" s="45" t="str">
        <f aca="false">IF($AA656="","",IF($AA656&gt;=80,"A - call first",IF($AA656&gt;=60,"B - worth pursuing",IF($AA656&gt;=40,"C - nurture","D - do not spend time here"))))</f>
        <v/>
      </c>
      <c r="AC656" s="46" t="str">
        <f aca="false">IF($C656="","",IF($S656="Converted","7 Certification / Enterprise opportunity",IF($S656="Application Started","7 Certification / Enterprise opportunity",IF($S656="Meeting Booked","6 Meeting / Application",IF(OR($S656="Interested",$S656="Info Requested"),"5 Interested",IF(OR($S656="Declined",$S656="Not Relevant"),"0 Closed - no",IF($R656="Yes","4 Contacted",IF($N656="Yes","2 Engaged",IF($M656="Yes","1 Awareness",IF($AA656&gt;=60,"3 Qualified","1 Awareness"))))))))))</f>
        <v/>
      </c>
    </row>
    <row r="657" customFormat="false" ht="30" hidden="false" customHeight="true" outlineLevel="0" collapsed="false">
      <c r="A657" s="36"/>
      <c r="B657" s="37"/>
      <c r="C657" s="37"/>
      <c r="D657" s="37"/>
      <c r="E657" s="37"/>
      <c r="F657" s="37"/>
      <c r="G657" s="37"/>
      <c r="H657" s="37"/>
      <c r="I657" s="37"/>
      <c r="J657" s="47"/>
      <c r="K657" s="41" t="str">
        <f aca="false">IF(J657="","",IF(J657&gt;=8,"Yes","Check"))</f>
        <v/>
      </c>
      <c r="L657" s="38"/>
      <c r="M657" s="47"/>
      <c r="N657" s="47"/>
      <c r="O657" s="37"/>
      <c r="P657" s="38"/>
      <c r="Q657" s="42" t="str">
        <f aca="false">IF(P657="","",LEN(P657))</f>
        <v/>
      </c>
      <c r="R657" s="47"/>
      <c r="S657" s="37"/>
      <c r="T657" s="38"/>
      <c r="U657" s="43" t="str">
        <f aca="false">IF(OR(R657&lt;&gt;"Yes",A657=""),"",A657+4)</f>
        <v/>
      </c>
      <c r="V657" s="47"/>
      <c r="W657" s="38"/>
      <c r="X657" s="38"/>
      <c r="Y657" s="44"/>
      <c r="Z657" s="44"/>
      <c r="AA657" s="45" t="str">
        <f aca="false">IF(AND($Y657="",$Z657=""),"",ROUND(IFERROR(VALUE(LEFT($Y657,1)),0)*12+IFERROR(VALUE(LEFT($Z657,1)),0)*8,0))</f>
        <v/>
      </c>
      <c r="AB657" s="45" t="str">
        <f aca="false">IF($AA657="","",IF($AA657&gt;=80,"A - call first",IF($AA657&gt;=60,"B - worth pursuing",IF($AA657&gt;=40,"C - nurture","D - do not spend time here"))))</f>
        <v/>
      </c>
      <c r="AC657" s="46" t="str">
        <f aca="false">IF($C657="","",IF($S657="Converted","7 Certification / Enterprise opportunity",IF($S657="Application Started","7 Certification / Enterprise opportunity",IF($S657="Meeting Booked","6 Meeting / Application",IF(OR($S657="Interested",$S657="Info Requested"),"5 Interested",IF(OR($S657="Declined",$S657="Not Relevant"),"0 Closed - no",IF($R657="Yes","4 Contacted",IF($N657="Yes","2 Engaged",IF($M657="Yes","1 Awareness",IF($AA657&gt;=60,"3 Qualified","1 Awareness"))))))))))</f>
        <v/>
      </c>
    </row>
    <row r="658" customFormat="false" ht="30" hidden="false" customHeight="true" outlineLevel="0" collapsed="false">
      <c r="A658" s="36"/>
      <c r="B658" s="37"/>
      <c r="C658" s="37"/>
      <c r="D658" s="37"/>
      <c r="E658" s="37"/>
      <c r="F658" s="37"/>
      <c r="G658" s="37"/>
      <c r="H658" s="37"/>
      <c r="I658" s="37"/>
      <c r="J658" s="47"/>
      <c r="K658" s="41" t="str">
        <f aca="false">IF(J658="","",IF(J658&gt;=8,"Yes","Check"))</f>
        <v/>
      </c>
      <c r="L658" s="38"/>
      <c r="M658" s="47"/>
      <c r="N658" s="47"/>
      <c r="O658" s="37"/>
      <c r="P658" s="38"/>
      <c r="Q658" s="42" t="str">
        <f aca="false">IF(P658="","",LEN(P658))</f>
        <v/>
      </c>
      <c r="R658" s="47"/>
      <c r="S658" s="37"/>
      <c r="T658" s="38"/>
      <c r="U658" s="43" t="str">
        <f aca="false">IF(OR(R658&lt;&gt;"Yes",A658=""),"",A658+4)</f>
        <v/>
      </c>
      <c r="V658" s="47"/>
      <c r="W658" s="38"/>
      <c r="X658" s="38"/>
      <c r="Y658" s="44"/>
      <c r="Z658" s="44"/>
      <c r="AA658" s="45" t="str">
        <f aca="false">IF(AND($Y658="",$Z658=""),"",ROUND(IFERROR(VALUE(LEFT($Y658,1)),0)*12+IFERROR(VALUE(LEFT($Z658,1)),0)*8,0))</f>
        <v/>
      </c>
      <c r="AB658" s="45" t="str">
        <f aca="false">IF($AA658="","",IF($AA658&gt;=80,"A - call first",IF($AA658&gt;=60,"B - worth pursuing",IF($AA658&gt;=40,"C - nurture","D - do not spend time here"))))</f>
        <v/>
      </c>
      <c r="AC658" s="46" t="str">
        <f aca="false">IF($C658="","",IF($S658="Converted","7 Certification / Enterprise opportunity",IF($S658="Application Started","7 Certification / Enterprise opportunity",IF($S658="Meeting Booked","6 Meeting / Application",IF(OR($S658="Interested",$S658="Info Requested"),"5 Interested",IF(OR($S658="Declined",$S658="Not Relevant"),"0 Closed - no",IF($R658="Yes","4 Contacted",IF($N658="Yes","2 Engaged",IF($M658="Yes","1 Awareness",IF($AA658&gt;=60,"3 Qualified","1 Awareness"))))))))))</f>
        <v/>
      </c>
    </row>
    <row r="659" customFormat="false" ht="30" hidden="false" customHeight="true" outlineLevel="0" collapsed="false">
      <c r="A659" s="36"/>
      <c r="B659" s="37"/>
      <c r="C659" s="37"/>
      <c r="D659" s="37"/>
      <c r="E659" s="37"/>
      <c r="F659" s="37"/>
      <c r="G659" s="37"/>
      <c r="H659" s="37"/>
      <c r="I659" s="37"/>
      <c r="J659" s="47"/>
      <c r="K659" s="41" t="str">
        <f aca="false">IF(J659="","",IF(J659&gt;=8,"Yes","Check"))</f>
        <v/>
      </c>
      <c r="L659" s="38"/>
      <c r="M659" s="47"/>
      <c r="N659" s="47"/>
      <c r="O659" s="37"/>
      <c r="P659" s="38"/>
      <c r="Q659" s="42" t="str">
        <f aca="false">IF(P659="","",LEN(P659))</f>
        <v/>
      </c>
      <c r="R659" s="47"/>
      <c r="S659" s="37"/>
      <c r="T659" s="38"/>
      <c r="U659" s="43" t="str">
        <f aca="false">IF(OR(R659&lt;&gt;"Yes",A659=""),"",A659+4)</f>
        <v/>
      </c>
      <c r="V659" s="47"/>
      <c r="W659" s="38"/>
      <c r="X659" s="38"/>
      <c r="Y659" s="44"/>
      <c r="Z659" s="44"/>
      <c r="AA659" s="45" t="str">
        <f aca="false">IF(AND($Y659="",$Z659=""),"",ROUND(IFERROR(VALUE(LEFT($Y659,1)),0)*12+IFERROR(VALUE(LEFT($Z659,1)),0)*8,0))</f>
        <v/>
      </c>
      <c r="AB659" s="45" t="str">
        <f aca="false">IF($AA659="","",IF($AA659&gt;=80,"A - call first",IF($AA659&gt;=60,"B - worth pursuing",IF($AA659&gt;=40,"C - nurture","D - do not spend time here"))))</f>
        <v/>
      </c>
      <c r="AC659" s="46" t="str">
        <f aca="false">IF($C659="","",IF($S659="Converted","7 Certification / Enterprise opportunity",IF($S659="Application Started","7 Certification / Enterprise opportunity",IF($S659="Meeting Booked","6 Meeting / Application",IF(OR($S659="Interested",$S659="Info Requested"),"5 Interested",IF(OR($S659="Declined",$S659="Not Relevant"),"0 Closed - no",IF($R659="Yes","4 Contacted",IF($N659="Yes","2 Engaged",IF($M659="Yes","1 Awareness",IF($AA659&gt;=60,"3 Qualified","1 Awareness"))))))))))</f>
        <v/>
      </c>
    </row>
    <row r="660" customFormat="false" ht="30" hidden="false" customHeight="true" outlineLevel="0" collapsed="false">
      <c r="A660" s="36"/>
      <c r="B660" s="37"/>
      <c r="C660" s="37"/>
      <c r="D660" s="37"/>
      <c r="E660" s="37"/>
      <c r="F660" s="37"/>
      <c r="G660" s="37"/>
      <c r="H660" s="37"/>
      <c r="I660" s="37"/>
      <c r="J660" s="47"/>
      <c r="K660" s="41" t="str">
        <f aca="false">IF(J660="","",IF(J660&gt;=8,"Yes","Check"))</f>
        <v/>
      </c>
      <c r="L660" s="38"/>
      <c r="M660" s="47"/>
      <c r="N660" s="47"/>
      <c r="O660" s="37"/>
      <c r="P660" s="38"/>
      <c r="Q660" s="42" t="str">
        <f aca="false">IF(P660="","",LEN(P660))</f>
        <v/>
      </c>
      <c r="R660" s="47"/>
      <c r="S660" s="37"/>
      <c r="T660" s="38"/>
      <c r="U660" s="43" t="str">
        <f aca="false">IF(OR(R660&lt;&gt;"Yes",A660=""),"",A660+4)</f>
        <v/>
      </c>
      <c r="V660" s="47"/>
      <c r="W660" s="38"/>
      <c r="X660" s="38"/>
      <c r="Y660" s="44"/>
      <c r="Z660" s="44"/>
      <c r="AA660" s="45" t="str">
        <f aca="false">IF(AND($Y660="",$Z660=""),"",ROUND(IFERROR(VALUE(LEFT($Y660,1)),0)*12+IFERROR(VALUE(LEFT($Z660,1)),0)*8,0))</f>
        <v/>
      </c>
      <c r="AB660" s="45" t="str">
        <f aca="false">IF($AA660="","",IF($AA660&gt;=80,"A - call first",IF($AA660&gt;=60,"B - worth pursuing",IF($AA660&gt;=40,"C - nurture","D - do not spend time here"))))</f>
        <v/>
      </c>
      <c r="AC660" s="46" t="str">
        <f aca="false">IF($C660="","",IF($S660="Converted","7 Certification / Enterprise opportunity",IF($S660="Application Started","7 Certification / Enterprise opportunity",IF($S660="Meeting Booked","6 Meeting / Application",IF(OR($S660="Interested",$S660="Info Requested"),"5 Interested",IF(OR($S660="Declined",$S660="Not Relevant"),"0 Closed - no",IF($R660="Yes","4 Contacted",IF($N660="Yes","2 Engaged",IF($M660="Yes","1 Awareness",IF($AA660&gt;=60,"3 Qualified","1 Awareness"))))))))))</f>
        <v/>
      </c>
    </row>
    <row r="661" customFormat="false" ht="30" hidden="false" customHeight="true" outlineLevel="0" collapsed="false">
      <c r="A661" s="36"/>
      <c r="B661" s="37"/>
      <c r="C661" s="37"/>
      <c r="D661" s="37"/>
      <c r="E661" s="37"/>
      <c r="F661" s="37"/>
      <c r="G661" s="37"/>
      <c r="H661" s="37"/>
      <c r="I661" s="37"/>
      <c r="J661" s="47"/>
      <c r="K661" s="41" t="str">
        <f aca="false">IF(J661="","",IF(J661&gt;=8,"Yes","Check"))</f>
        <v/>
      </c>
      <c r="L661" s="38"/>
      <c r="M661" s="47"/>
      <c r="N661" s="47"/>
      <c r="O661" s="37"/>
      <c r="P661" s="38"/>
      <c r="Q661" s="42" t="str">
        <f aca="false">IF(P661="","",LEN(P661))</f>
        <v/>
      </c>
      <c r="R661" s="47"/>
      <c r="S661" s="37"/>
      <c r="T661" s="38"/>
      <c r="U661" s="43" t="str">
        <f aca="false">IF(OR(R661&lt;&gt;"Yes",A661=""),"",A661+4)</f>
        <v/>
      </c>
      <c r="V661" s="47"/>
      <c r="W661" s="38"/>
      <c r="X661" s="38"/>
      <c r="Y661" s="44"/>
      <c r="Z661" s="44"/>
      <c r="AA661" s="45" t="str">
        <f aca="false">IF(AND($Y661="",$Z661=""),"",ROUND(IFERROR(VALUE(LEFT($Y661,1)),0)*12+IFERROR(VALUE(LEFT($Z661,1)),0)*8,0))</f>
        <v/>
      </c>
      <c r="AB661" s="45" t="str">
        <f aca="false">IF($AA661="","",IF($AA661&gt;=80,"A - call first",IF($AA661&gt;=60,"B - worth pursuing",IF($AA661&gt;=40,"C - nurture","D - do not spend time here"))))</f>
        <v/>
      </c>
      <c r="AC661" s="46" t="str">
        <f aca="false">IF($C661="","",IF($S661="Converted","7 Certification / Enterprise opportunity",IF($S661="Application Started","7 Certification / Enterprise opportunity",IF($S661="Meeting Booked","6 Meeting / Application",IF(OR($S661="Interested",$S661="Info Requested"),"5 Interested",IF(OR($S661="Declined",$S661="Not Relevant"),"0 Closed - no",IF($R661="Yes","4 Contacted",IF($N661="Yes","2 Engaged",IF($M661="Yes","1 Awareness",IF($AA661&gt;=60,"3 Qualified","1 Awareness"))))))))))</f>
        <v/>
      </c>
    </row>
    <row r="662" customFormat="false" ht="30" hidden="false" customHeight="true" outlineLevel="0" collapsed="false">
      <c r="A662" s="36"/>
      <c r="B662" s="37"/>
      <c r="C662" s="37"/>
      <c r="D662" s="37"/>
      <c r="E662" s="37"/>
      <c r="F662" s="37"/>
      <c r="G662" s="37"/>
      <c r="H662" s="37"/>
      <c r="I662" s="37"/>
      <c r="J662" s="47"/>
      <c r="K662" s="41" t="str">
        <f aca="false">IF(J662="","",IF(J662&gt;=8,"Yes","Check"))</f>
        <v/>
      </c>
      <c r="L662" s="38"/>
      <c r="M662" s="47"/>
      <c r="N662" s="47"/>
      <c r="O662" s="37"/>
      <c r="P662" s="38"/>
      <c r="Q662" s="42" t="str">
        <f aca="false">IF(P662="","",LEN(P662))</f>
        <v/>
      </c>
      <c r="R662" s="47"/>
      <c r="S662" s="37"/>
      <c r="T662" s="38"/>
      <c r="U662" s="43" t="str">
        <f aca="false">IF(OR(R662&lt;&gt;"Yes",A662=""),"",A662+4)</f>
        <v/>
      </c>
      <c r="V662" s="47"/>
      <c r="W662" s="38"/>
      <c r="X662" s="38"/>
      <c r="Y662" s="44"/>
      <c r="Z662" s="44"/>
      <c r="AA662" s="45" t="str">
        <f aca="false">IF(AND($Y662="",$Z662=""),"",ROUND(IFERROR(VALUE(LEFT($Y662,1)),0)*12+IFERROR(VALUE(LEFT($Z662,1)),0)*8,0))</f>
        <v/>
      </c>
      <c r="AB662" s="45" t="str">
        <f aca="false">IF($AA662="","",IF($AA662&gt;=80,"A - call first",IF($AA662&gt;=60,"B - worth pursuing",IF($AA662&gt;=40,"C - nurture","D - do not spend time here"))))</f>
        <v/>
      </c>
      <c r="AC662" s="46" t="str">
        <f aca="false">IF($C662="","",IF($S662="Converted","7 Certification / Enterprise opportunity",IF($S662="Application Started","7 Certification / Enterprise opportunity",IF($S662="Meeting Booked","6 Meeting / Application",IF(OR($S662="Interested",$S662="Info Requested"),"5 Interested",IF(OR($S662="Declined",$S662="Not Relevant"),"0 Closed - no",IF($R662="Yes","4 Contacted",IF($N662="Yes","2 Engaged",IF($M662="Yes","1 Awareness",IF($AA662&gt;=60,"3 Qualified","1 Awareness"))))))))))</f>
        <v/>
      </c>
    </row>
    <row r="663" customFormat="false" ht="30" hidden="false" customHeight="true" outlineLevel="0" collapsed="false">
      <c r="A663" s="36"/>
      <c r="B663" s="37"/>
      <c r="C663" s="37"/>
      <c r="D663" s="37"/>
      <c r="E663" s="37"/>
      <c r="F663" s="37"/>
      <c r="G663" s="37"/>
      <c r="H663" s="37"/>
      <c r="I663" s="37"/>
      <c r="J663" s="47"/>
      <c r="K663" s="41" t="str">
        <f aca="false">IF(J663="","",IF(J663&gt;=8,"Yes","Check"))</f>
        <v/>
      </c>
      <c r="L663" s="38"/>
      <c r="M663" s="47"/>
      <c r="N663" s="47"/>
      <c r="O663" s="37"/>
      <c r="P663" s="38"/>
      <c r="Q663" s="42" t="str">
        <f aca="false">IF(P663="","",LEN(P663))</f>
        <v/>
      </c>
      <c r="R663" s="47"/>
      <c r="S663" s="37"/>
      <c r="T663" s="38"/>
      <c r="U663" s="43" t="str">
        <f aca="false">IF(OR(R663&lt;&gt;"Yes",A663=""),"",A663+4)</f>
        <v/>
      </c>
      <c r="V663" s="47"/>
      <c r="W663" s="38"/>
      <c r="X663" s="38"/>
      <c r="Y663" s="44"/>
      <c r="Z663" s="44"/>
      <c r="AA663" s="45" t="str">
        <f aca="false">IF(AND($Y663="",$Z663=""),"",ROUND(IFERROR(VALUE(LEFT($Y663,1)),0)*12+IFERROR(VALUE(LEFT($Z663,1)),0)*8,0))</f>
        <v/>
      </c>
      <c r="AB663" s="45" t="str">
        <f aca="false">IF($AA663="","",IF($AA663&gt;=80,"A - call first",IF($AA663&gt;=60,"B - worth pursuing",IF($AA663&gt;=40,"C - nurture","D - do not spend time here"))))</f>
        <v/>
      </c>
      <c r="AC663" s="46" t="str">
        <f aca="false">IF($C663="","",IF($S663="Converted","7 Certification / Enterprise opportunity",IF($S663="Application Started","7 Certification / Enterprise opportunity",IF($S663="Meeting Booked","6 Meeting / Application",IF(OR($S663="Interested",$S663="Info Requested"),"5 Interested",IF(OR($S663="Declined",$S663="Not Relevant"),"0 Closed - no",IF($R663="Yes","4 Contacted",IF($N663="Yes","2 Engaged",IF($M663="Yes","1 Awareness",IF($AA663&gt;=60,"3 Qualified","1 Awareness"))))))))))</f>
        <v/>
      </c>
    </row>
    <row r="664" customFormat="false" ht="30" hidden="false" customHeight="true" outlineLevel="0" collapsed="false">
      <c r="A664" s="36"/>
      <c r="B664" s="37"/>
      <c r="C664" s="37"/>
      <c r="D664" s="37"/>
      <c r="E664" s="37"/>
      <c r="F664" s="37"/>
      <c r="G664" s="37"/>
      <c r="H664" s="37"/>
      <c r="I664" s="37"/>
      <c r="J664" s="47"/>
      <c r="K664" s="41" t="str">
        <f aca="false">IF(J664="","",IF(J664&gt;=8,"Yes","Check"))</f>
        <v/>
      </c>
      <c r="L664" s="38"/>
      <c r="M664" s="47"/>
      <c r="N664" s="47"/>
      <c r="O664" s="37"/>
      <c r="P664" s="38"/>
      <c r="Q664" s="42" t="str">
        <f aca="false">IF(P664="","",LEN(P664))</f>
        <v/>
      </c>
      <c r="R664" s="47"/>
      <c r="S664" s="37"/>
      <c r="T664" s="38"/>
      <c r="U664" s="43" t="str">
        <f aca="false">IF(OR(R664&lt;&gt;"Yes",A664=""),"",A664+4)</f>
        <v/>
      </c>
      <c r="V664" s="47"/>
      <c r="W664" s="38"/>
      <c r="X664" s="38"/>
      <c r="Y664" s="44"/>
      <c r="Z664" s="44"/>
      <c r="AA664" s="45" t="str">
        <f aca="false">IF(AND($Y664="",$Z664=""),"",ROUND(IFERROR(VALUE(LEFT($Y664,1)),0)*12+IFERROR(VALUE(LEFT($Z664,1)),0)*8,0))</f>
        <v/>
      </c>
      <c r="AB664" s="45" t="str">
        <f aca="false">IF($AA664="","",IF($AA664&gt;=80,"A - call first",IF($AA664&gt;=60,"B - worth pursuing",IF($AA664&gt;=40,"C - nurture","D - do not spend time here"))))</f>
        <v/>
      </c>
      <c r="AC664" s="46" t="str">
        <f aca="false">IF($C664="","",IF($S664="Converted","7 Certification / Enterprise opportunity",IF($S664="Application Started","7 Certification / Enterprise opportunity",IF($S664="Meeting Booked","6 Meeting / Application",IF(OR($S664="Interested",$S664="Info Requested"),"5 Interested",IF(OR($S664="Declined",$S664="Not Relevant"),"0 Closed - no",IF($R664="Yes","4 Contacted",IF($N664="Yes","2 Engaged",IF($M664="Yes","1 Awareness",IF($AA664&gt;=60,"3 Qualified","1 Awareness"))))))))))</f>
        <v/>
      </c>
    </row>
    <row r="665" customFormat="false" ht="30" hidden="false" customHeight="true" outlineLevel="0" collapsed="false">
      <c r="A665" s="36"/>
      <c r="B665" s="37"/>
      <c r="C665" s="37"/>
      <c r="D665" s="37"/>
      <c r="E665" s="37"/>
      <c r="F665" s="37"/>
      <c r="G665" s="37"/>
      <c r="H665" s="37"/>
      <c r="I665" s="37"/>
      <c r="J665" s="47"/>
      <c r="K665" s="41" t="str">
        <f aca="false">IF(J665="","",IF(J665&gt;=8,"Yes","Check"))</f>
        <v/>
      </c>
      <c r="L665" s="38"/>
      <c r="M665" s="47"/>
      <c r="N665" s="47"/>
      <c r="O665" s="37"/>
      <c r="P665" s="38"/>
      <c r="Q665" s="42" t="str">
        <f aca="false">IF(P665="","",LEN(P665))</f>
        <v/>
      </c>
      <c r="R665" s="47"/>
      <c r="S665" s="37"/>
      <c r="T665" s="38"/>
      <c r="U665" s="43" t="str">
        <f aca="false">IF(OR(R665&lt;&gt;"Yes",A665=""),"",A665+4)</f>
        <v/>
      </c>
      <c r="V665" s="47"/>
      <c r="W665" s="38"/>
      <c r="X665" s="38"/>
      <c r="Y665" s="44"/>
      <c r="Z665" s="44"/>
      <c r="AA665" s="45" t="str">
        <f aca="false">IF(AND($Y665="",$Z665=""),"",ROUND(IFERROR(VALUE(LEFT($Y665,1)),0)*12+IFERROR(VALUE(LEFT($Z665,1)),0)*8,0))</f>
        <v/>
      </c>
      <c r="AB665" s="45" t="str">
        <f aca="false">IF($AA665="","",IF($AA665&gt;=80,"A - call first",IF($AA665&gt;=60,"B - worth pursuing",IF($AA665&gt;=40,"C - nurture","D - do not spend time here"))))</f>
        <v/>
      </c>
      <c r="AC665" s="46" t="str">
        <f aca="false">IF($C665="","",IF($S665="Converted","7 Certification / Enterprise opportunity",IF($S665="Application Started","7 Certification / Enterprise opportunity",IF($S665="Meeting Booked","6 Meeting / Application",IF(OR($S665="Interested",$S665="Info Requested"),"5 Interested",IF(OR($S665="Declined",$S665="Not Relevant"),"0 Closed - no",IF($R665="Yes","4 Contacted",IF($N665="Yes","2 Engaged",IF($M665="Yes","1 Awareness",IF($AA665&gt;=60,"3 Qualified","1 Awareness"))))))))))</f>
        <v/>
      </c>
    </row>
    <row r="666" customFormat="false" ht="30" hidden="false" customHeight="true" outlineLevel="0" collapsed="false">
      <c r="A666" s="36"/>
      <c r="B666" s="37"/>
      <c r="C666" s="37"/>
      <c r="D666" s="37"/>
      <c r="E666" s="37"/>
      <c r="F666" s="37"/>
      <c r="G666" s="37"/>
      <c r="H666" s="37"/>
      <c r="I666" s="37"/>
      <c r="J666" s="47"/>
      <c r="K666" s="41" t="str">
        <f aca="false">IF(J666="","",IF(J666&gt;=8,"Yes","Check"))</f>
        <v/>
      </c>
      <c r="L666" s="38"/>
      <c r="M666" s="47"/>
      <c r="N666" s="47"/>
      <c r="O666" s="37"/>
      <c r="P666" s="38"/>
      <c r="Q666" s="42" t="str">
        <f aca="false">IF(P666="","",LEN(P666))</f>
        <v/>
      </c>
      <c r="R666" s="47"/>
      <c r="S666" s="37"/>
      <c r="T666" s="38"/>
      <c r="U666" s="43" t="str">
        <f aca="false">IF(OR(R666&lt;&gt;"Yes",A666=""),"",A666+4)</f>
        <v/>
      </c>
      <c r="V666" s="47"/>
      <c r="W666" s="38"/>
      <c r="X666" s="38"/>
      <c r="Y666" s="44"/>
      <c r="Z666" s="44"/>
      <c r="AA666" s="45" t="str">
        <f aca="false">IF(AND($Y666="",$Z666=""),"",ROUND(IFERROR(VALUE(LEFT($Y666,1)),0)*12+IFERROR(VALUE(LEFT($Z666,1)),0)*8,0))</f>
        <v/>
      </c>
      <c r="AB666" s="45" t="str">
        <f aca="false">IF($AA666="","",IF($AA666&gt;=80,"A - call first",IF($AA666&gt;=60,"B - worth pursuing",IF($AA666&gt;=40,"C - nurture","D - do not spend time here"))))</f>
        <v/>
      </c>
      <c r="AC666" s="46" t="str">
        <f aca="false">IF($C666="","",IF($S666="Converted","7 Certification / Enterprise opportunity",IF($S666="Application Started","7 Certification / Enterprise opportunity",IF($S666="Meeting Booked","6 Meeting / Application",IF(OR($S666="Interested",$S666="Info Requested"),"5 Interested",IF(OR($S666="Declined",$S666="Not Relevant"),"0 Closed - no",IF($R666="Yes","4 Contacted",IF($N666="Yes","2 Engaged",IF($M666="Yes","1 Awareness",IF($AA666&gt;=60,"3 Qualified","1 Awareness"))))))))))</f>
        <v/>
      </c>
    </row>
    <row r="667" customFormat="false" ht="30" hidden="false" customHeight="true" outlineLevel="0" collapsed="false">
      <c r="A667" s="36"/>
      <c r="B667" s="37"/>
      <c r="C667" s="37"/>
      <c r="D667" s="37"/>
      <c r="E667" s="37"/>
      <c r="F667" s="37"/>
      <c r="G667" s="37"/>
      <c r="H667" s="37"/>
      <c r="I667" s="37"/>
      <c r="J667" s="47"/>
      <c r="K667" s="41" t="str">
        <f aca="false">IF(J667="","",IF(J667&gt;=8,"Yes","Check"))</f>
        <v/>
      </c>
      <c r="L667" s="38"/>
      <c r="M667" s="47"/>
      <c r="N667" s="47"/>
      <c r="O667" s="37"/>
      <c r="P667" s="38"/>
      <c r="Q667" s="42" t="str">
        <f aca="false">IF(P667="","",LEN(P667))</f>
        <v/>
      </c>
      <c r="R667" s="47"/>
      <c r="S667" s="37"/>
      <c r="T667" s="38"/>
      <c r="U667" s="43" t="str">
        <f aca="false">IF(OR(R667&lt;&gt;"Yes",A667=""),"",A667+4)</f>
        <v/>
      </c>
      <c r="V667" s="47"/>
      <c r="W667" s="38"/>
      <c r="X667" s="38"/>
      <c r="Y667" s="44"/>
      <c r="Z667" s="44"/>
      <c r="AA667" s="45" t="str">
        <f aca="false">IF(AND($Y667="",$Z667=""),"",ROUND(IFERROR(VALUE(LEFT($Y667,1)),0)*12+IFERROR(VALUE(LEFT($Z667,1)),0)*8,0))</f>
        <v/>
      </c>
      <c r="AB667" s="45" t="str">
        <f aca="false">IF($AA667="","",IF($AA667&gt;=80,"A - call first",IF($AA667&gt;=60,"B - worth pursuing",IF($AA667&gt;=40,"C - nurture","D - do not spend time here"))))</f>
        <v/>
      </c>
      <c r="AC667" s="46" t="str">
        <f aca="false">IF($C667="","",IF($S667="Converted","7 Certification / Enterprise opportunity",IF($S667="Application Started","7 Certification / Enterprise opportunity",IF($S667="Meeting Booked","6 Meeting / Application",IF(OR($S667="Interested",$S667="Info Requested"),"5 Interested",IF(OR($S667="Declined",$S667="Not Relevant"),"0 Closed - no",IF($R667="Yes","4 Contacted",IF($N667="Yes","2 Engaged",IF($M667="Yes","1 Awareness",IF($AA667&gt;=60,"3 Qualified","1 Awareness"))))))))))</f>
        <v/>
      </c>
    </row>
    <row r="668" customFormat="false" ht="30" hidden="false" customHeight="true" outlineLevel="0" collapsed="false">
      <c r="A668" s="36"/>
      <c r="B668" s="37"/>
      <c r="C668" s="37"/>
      <c r="D668" s="37"/>
      <c r="E668" s="37"/>
      <c r="F668" s="37"/>
      <c r="G668" s="37"/>
      <c r="H668" s="37"/>
      <c r="I668" s="37"/>
      <c r="J668" s="47"/>
      <c r="K668" s="41" t="str">
        <f aca="false">IF(J668="","",IF(J668&gt;=8,"Yes","Check"))</f>
        <v/>
      </c>
      <c r="L668" s="38"/>
      <c r="M668" s="47"/>
      <c r="N668" s="47"/>
      <c r="O668" s="37"/>
      <c r="P668" s="38"/>
      <c r="Q668" s="42" t="str">
        <f aca="false">IF(P668="","",LEN(P668))</f>
        <v/>
      </c>
      <c r="R668" s="47"/>
      <c r="S668" s="37"/>
      <c r="T668" s="38"/>
      <c r="U668" s="43" t="str">
        <f aca="false">IF(OR(R668&lt;&gt;"Yes",A668=""),"",A668+4)</f>
        <v/>
      </c>
      <c r="V668" s="47"/>
      <c r="W668" s="38"/>
      <c r="X668" s="38"/>
      <c r="Y668" s="44"/>
      <c r="Z668" s="44"/>
      <c r="AA668" s="45" t="str">
        <f aca="false">IF(AND($Y668="",$Z668=""),"",ROUND(IFERROR(VALUE(LEFT($Y668,1)),0)*12+IFERROR(VALUE(LEFT($Z668,1)),0)*8,0))</f>
        <v/>
      </c>
      <c r="AB668" s="45" t="str">
        <f aca="false">IF($AA668="","",IF($AA668&gt;=80,"A - call first",IF($AA668&gt;=60,"B - worth pursuing",IF($AA668&gt;=40,"C - nurture","D - do not spend time here"))))</f>
        <v/>
      </c>
      <c r="AC668" s="46" t="str">
        <f aca="false">IF($C668="","",IF($S668="Converted","7 Certification / Enterprise opportunity",IF($S668="Application Started","7 Certification / Enterprise opportunity",IF($S668="Meeting Booked","6 Meeting / Application",IF(OR($S668="Interested",$S668="Info Requested"),"5 Interested",IF(OR($S668="Declined",$S668="Not Relevant"),"0 Closed - no",IF($R668="Yes","4 Contacted",IF($N668="Yes","2 Engaged",IF($M668="Yes","1 Awareness",IF($AA668&gt;=60,"3 Qualified","1 Awareness"))))))))))</f>
        <v/>
      </c>
    </row>
    <row r="669" customFormat="false" ht="30" hidden="false" customHeight="true" outlineLevel="0" collapsed="false">
      <c r="A669" s="36"/>
      <c r="B669" s="37"/>
      <c r="C669" s="37"/>
      <c r="D669" s="37"/>
      <c r="E669" s="37"/>
      <c r="F669" s="37"/>
      <c r="G669" s="37"/>
      <c r="H669" s="37"/>
      <c r="I669" s="37"/>
      <c r="J669" s="47"/>
      <c r="K669" s="41" t="str">
        <f aca="false">IF(J669="","",IF(J669&gt;=8,"Yes","Check"))</f>
        <v/>
      </c>
      <c r="L669" s="38"/>
      <c r="M669" s="47"/>
      <c r="N669" s="47"/>
      <c r="O669" s="37"/>
      <c r="P669" s="38"/>
      <c r="Q669" s="42" t="str">
        <f aca="false">IF(P669="","",LEN(P669))</f>
        <v/>
      </c>
      <c r="R669" s="47"/>
      <c r="S669" s="37"/>
      <c r="T669" s="38"/>
      <c r="U669" s="43" t="str">
        <f aca="false">IF(OR(R669&lt;&gt;"Yes",A669=""),"",A669+4)</f>
        <v/>
      </c>
      <c r="V669" s="47"/>
      <c r="W669" s="38"/>
      <c r="X669" s="38"/>
      <c r="Y669" s="44"/>
      <c r="Z669" s="44"/>
      <c r="AA669" s="45" t="str">
        <f aca="false">IF(AND($Y669="",$Z669=""),"",ROUND(IFERROR(VALUE(LEFT($Y669,1)),0)*12+IFERROR(VALUE(LEFT($Z669,1)),0)*8,0))</f>
        <v/>
      </c>
      <c r="AB669" s="45" t="str">
        <f aca="false">IF($AA669="","",IF($AA669&gt;=80,"A - call first",IF($AA669&gt;=60,"B - worth pursuing",IF($AA669&gt;=40,"C - nurture","D - do not spend time here"))))</f>
        <v/>
      </c>
      <c r="AC669" s="46" t="str">
        <f aca="false">IF($C669="","",IF($S669="Converted","7 Certification / Enterprise opportunity",IF($S669="Application Started","7 Certification / Enterprise opportunity",IF($S669="Meeting Booked","6 Meeting / Application",IF(OR($S669="Interested",$S669="Info Requested"),"5 Interested",IF(OR($S669="Declined",$S669="Not Relevant"),"0 Closed - no",IF($R669="Yes","4 Contacted",IF($N669="Yes","2 Engaged",IF($M669="Yes","1 Awareness",IF($AA669&gt;=60,"3 Qualified","1 Awareness"))))))))))</f>
        <v/>
      </c>
    </row>
    <row r="670" customFormat="false" ht="30" hidden="false" customHeight="true" outlineLevel="0" collapsed="false">
      <c r="A670" s="36"/>
      <c r="B670" s="37"/>
      <c r="C670" s="37"/>
      <c r="D670" s="37"/>
      <c r="E670" s="37"/>
      <c r="F670" s="37"/>
      <c r="G670" s="37"/>
      <c r="H670" s="37"/>
      <c r="I670" s="37"/>
      <c r="J670" s="47"/>
      <c r="K670" s="41" t="str">
        <f aca="false">IF(J670="","",IF(J670&gt;=8,"Yes","Check"))</f>
        <v/>
      </c>
      <c r="L670" s="38"/>
      <c r="M670" s="47"/>
      <c r="N670" s="47"/>
      <c r="O670" s="37"/>
      <c r="P670" s="38"/>
      <c r="Q670" s="42" t="str">
        <f aca="false">IF(P670="","",LEN(P670))</f>
        <v/>
      </c>
      <c r="R670" s="47"/>
      <c r="S670" s="37"/>
      <c r="T670" s="38"/>
      <c r="U670" s="43" t="str">
        <f aca="false">IF(OR(R670&lt;&gt;"Yes",A670=""),"",A670+4)</f>
        <v/>
      </c>
      <c r="V670" s="47"/>
      <c r="W670" s="38"/>
      <c r="X670" s="38"/>
      <c r="Y670" s="44"/>
      <c r="Z670" s="44"/>
      <c r="AA670" s="45" t="str">
        <f aca="false">IF(AND($Y670="",$Z670=""),"",ROUND(IFERROR(VALUE(LEFT($Y670,1)),0)*12+IFERROR(VALUE(LEFT($Z670,1)),0)*8,0))</f>
        <v/>
      </c>
      <c r="AB670" s="45" t="str">
        <f aca="false">IF($AA670="","",IF($AA670&gt;=80,"A - call first",IF($AA670&gt;=60,"B - worth pursuing",IF($AA670&gt;=40,"C - nurture","D - do not spend time here"))))</f>
        <v/>
      </c>
      <c r="AC670" s="46" t="str">
        <f aca="false">IF($C670="","",IF($S670="Converted","7 Certification / Enterprise opportunity",IF($S670="Application Started","7 Certification / Enterprise opportunity",IF($S670="Meeting Booked","6 Meeting / Application",IF(OR($S670="Interested",$S670="Info Requested"),"5 Interested",IF(OR($S670="Declined",$S670="Not Relevant"),"0 Closed - no",IF($R670="Yes","4 Contacted",IF($N670="Yes","2 Engaged",IF($M670="Yes","1 Awareness",IF($AA670&gt;=60,"3 Qualified","1 Awareness"))))))))))</f>
        <v/>
      </c>
    </row>
    <row r="671" customFormat="false" ht="30" hidden="false" customHeight="true" outlineLevel="0" collapsed="false">
      <c r="A671" s="36"/>
      <c r="B671" s="37"/>
      <c r="C671" s="37"/>
      <c r="D671" s="37"/>
      <c r="E671" s="37"/>
      <c r="F671" s="37"/>
      <c r="G671" s="37"/>
      <c r="H671" s="37"/>
      <c r="I671" s="37"/>
      <c r="J671" s="47"/>
      <c r="K671" s="41" t="str">
        <f aca="false">IF(J671="","",IF(J671&gt;=8,"Yes","Check"))</f>
        <v/>
      </c>
      <c r="L671" s="38"/>
      <c r="M671" s="47"/>
      <c r="N671" s="47"/>
      <c r="O671" s="37"/>
      <c r="P671" s="38"/>
      <c r="Q671" s="42" t="str">
        <f aca="false">IF(P671="","",LEN(P671))</f>
        <v/>
      </c>
      <c r="R671" s="47"/>
      <c r="S671" s="37"/>
      <c r="T671" s="38"/>
      <c r="U671" s="43" t="str">
        <f aca="false">IF(OR(R671&lt;&gt;"Yes",A671=""),"",A671+4)</f>
        <v/>
      </c>
      <c r="V671" s="47"/>
      <c r="W671" s="38"/>
      <c r="X671" s="38"/>
      <c r="Y671" s="44"/>
      <c r="Z671" s="44"/>
      <c r="AA671" s="45" t="str">
        <f aca="false">IF(AND($Y671="",$Z671=""),"",ROUND(IFERROR(VALUE(LEFT($Y671,1)),0)*12+IFERROR(VALUE(LEFT($Z671,1)),0)*8,0))</f>
        <v/>
      </c>
      <c r="AB671" s="45" t="str">
        <f aca="false">IF($AA671="","",IF($AA671&gt;=80,"A - call first",IF($AA671&gt;=60,"B - worth pursuing",IF($AA671&gt;=40,"C - nurture","D - do not spend time here"))))</f>
        <v/>
      </c>
      <c r="AC671" s="46" t="str">
        <f aca="false">IF($C671="","",IF($S671="Converted","7 Certification / Enterprise opportunity",IF($S671="Application Started","7 Certification / Enterprise opportunity",IF($S671="Meeting Booked","6 Meeting / Application",IF(OR($S671="Interested",$S671="Info Requested"),"5 Interested",IF(OR($S671="Declined",$S671="Not Relevant"),"0 Closed - no",IF($R671="Yes","4 Contacted",IF($N671="Yes","2 Engaged",IF($M671="Yes","1 Awareness",IF($AA671&gt;=60,"3 Qualified","1 Awareness"))))))))))</f>
        <v/>
      </c>
    </row>
    <row r="672" customFormat="false" ht="30" hidden="false" customHeight="true" outlineLevel="0" collapsed="false">
      <c r="A672" s="36"/>
      <c r="B672" s="37"/>
      <c r="C672" s="37"/>
      <c r="D672" s="37"/>
      <c r="E672" s="37"/>
      <c r="F672" s="37"/>
      <c r="G672" s="37"/>
      <c r="H672" s="37"/>
      <c r="I672" s="37"/>
      <c r="J672" s="47"/>
      <c r="K672" s="41" t="str">
        <f aca="false">IF(J672="","",IF(J672&gt;=8,"Yes","Check"))</f>
        <v/>
      </c>
      <c r="L672" s="38"/>
      <c r="M672" s="47"/>
      <c r="N672" s="47"/>
      <c r="O672" s="37"/>
      <c r="P672" s="38"/>
      <c r="Q672" s="42" t="str">
        <f aca="false">IF(P672="","",LEN(P672))</f>
        <v/>
      </c>
      <c r="R672" s="47"/>
      <c r="S672" s="37"/>
      <c r="T672" s="38"/>
      <c r="U672" s="43" t="str">
        <f aca="false">IF(OR(R672&lt;&gt;"Yes",A672=""),"",A672+4)</f>
        <v/>
      </c>
      <c r="V672" s="47"/>
      <c r="W672" s="38"/>
      <c r="X672" s="38"/>
      <c r="Y672" s="44"/>
      <c r="Z672" s="44"/>
      <c r="AA672" s="45" t="str">
        <f aca="false">IF(AND($Y672="",$Z672=""),"",ROUND(IFERROR(VALUE(LEFT($Y672,1)),0)*12+IFERROR(VALUE(LEFT($Z672,1)),0)*8,0))</f>
        <v/>
      </c>
      <c r="AB672" s="45" t="str">
        <f aca="false">IF($AA672="","",IF($AA672&gt;=80,"A - call first",IF($AA672&gt;=60,"B - worth pursuing",IF($AA672&gt;=40,"C - nurture","D - do not spend time here"))))</f>
        <v/>
      </c>
      <c r="AC672" s="46" t="str">
        <f aca="false">IF($C672="","",IF($S672="Converted","7 Certification / Enterprise opportunity",IF($S672="Application Started","7 Certification / Enterprise opportunity",IF($S672="Meeting Booked","6 Meeting / Application",IF(OR($S672="Interested",$S672="Info Requested"),"5 Interested",IF(OR($S672="Declined",$S672="Not Relevant"),"0 Closed - no",IF($R672="Yes","4 Contacted",IF($N672="Yes","2 Engaged",IF($M672="Yes","1 Awareness",IF($AA672&gt;=60,"3 Qualified","1 Awareness"))))))))))</f>
        <v/>
      </c>
    </row>
    <row r="673" customFormat="false" ht="30" hidden="false" customHeight="true" outlineLevel="0" collapsed="false">
      <c r="A673" s="36"/>
      <c r="B673" s="37"/>
      <c r="C673" s="37"/>
      <c r="D673" s="37"/>
      <c r="E673" s="37"/>
      <c r="F673" s="37"/>
      <c r="G673" s="37"/>
      <c r="H673" s="37"/>
      <c r="I673" s="37"/>
      <c r="J673" s="47"/>
      <c r="K673" s="41" t="str">
        <f aca="false">IF(J673="","",IF(J673&gt;=8,"Yes","Check"))</f>
        <v/>
      </c>
      <c r="L673" s="38"/>
      <c r="M673" s="47"/>
      <c r="N673" s="47"/>
      <c r="O673" s="37"/>
      <c r="P673" s="38"/>
      <c r="Q673" s="42" t="str">
        <f aca="false">IF(P673="","",LEN(P673))</f>
        <v/>
      </c>
      <c r="R673" s="47"/>
      <c r="S673" s="37"/>
      <c r="T673" s="38"/>
      <c r="U673" s="43" t="str">
        <f aca="false">IF(OR(R673&lt;&gt;"Yes",A673=""),"",A673+4)</f>
        <v/>
      </c>
      <c r="V673" s="47"/>
      <c r="W673" s="38"/>
      <c r="X673" s="38"/>
      <c r="Y673" s="44"/>
      <c r="Z673" s="44"/>
      <c r="AA673" s="45" t="str">
        <f aca="false">IF(AND($Y673="",$Z673=""),"",ROUND(IFERROR(VALUE(LEFT($Y673,1)),0)*12+IFERROR(VALUE(LEFT($Z673,1)),0)*8,0))</f>
        <v/>
      </c>
      <c r="AB673" s="45" t="str">
        <f aca="false">IF($AA673="","",IF($AA673&gt;=80,"A - call first",IF($AA673&gt;=60,"B - worth pursuing",IF($AA673&gt;=40,"C - nurture","D - do not spend time here"))))</f>
        <v/>
      </c>
      <c r="AC673" s="46" t="str">
        <f aca="false">IF($C673="","",IF($S673="Converted","7 Certification / Enterprise opportunity",IF($S673="Application Started","7 Certification / Enterprise opportunity",IF($S673="Meeting Booked","6 Meeting / Application",IF(OR($S673="Interested",$S673="Info Requested"),"5 Interested",IF(OR($S673="Declined",$S673="Not Relevant"),"0 Closed - no",IF($R673="Yes","4 Contacted",IF($N673="Yes","2 Engaged",IF($M673="Yes","1 Awareness",IF($AA673&gt;=60,"3 Qualified","1 Awareness"))))))))))</f>
        <v/>
      </c>
    </row>
    <row r="674" customFormat="false" ht="30" hidden="false" customHeight="true" outlineLevel="0" collapsed="false">
      <c r="A674" s="36"/>
      <c r="B674" s="37"/>
      <c r="C674" s="37"/>
      <c r="D674" s="37"/>
      <c r="E674" s="37"/>
      <c r="F674" s="37"/>
      <c r="G674" s="37"/>
      <c r="H674" s="37"/>
      <c r="I674" s="37"/>
      <c r="J674" s="47"/>
      <c r="K674" s="41" t="str">
        <f aca="false">IF(J674="","",IF(J674&gt;=8,"Yes","Check"))</f>
        <v/>
      </c>
      <c r="L674" s="38"/>
      <c r="M674" s="47"/>
      <c r="N674" s="47"/>
      <c r="O674" s="37"/>
      <c r="P674" s="38"/>
      <c r="Q674" s="42" t="str">
        <f aca="false">IF(P674="","",LEN(P674))</f>
        <v/>
      </c>
      <c r="R674" s="47"/>
      <c r="S674" s="37"/>
      <c r="T674" s="38"/>
      <c r="U674" s="43" t="str">
        <f aca="false">IF(OR(R674&lt;&gt;"Yes",A674=""),"",A674+4)</f>
        <v/>
      </c>
      <c r="V674" s="47"/>
      <c r="W674" s="38"/>
      <c r="X674" s="38"/>
      <c r="Y674" s="44"/>
      <c r="Z674" s="44"/>
      <c r="AA674" s="45" t="str">
        <f aca="false">IF(AND($Y674="",$Z674=""),"",ROUND(IFERROR(VALUE(LEFT($Y674,1)),0)*12+IFERROR(VALUE(LEFT($Z674,1)),0)*8,0))</f>
        <v/>
      </c>
      <c r="AB674" s="45" t="str">
        <f aca="false">IF($AA674="","",IF($AA674&gt;=80,"A - call first",IF($AA674&gt;=60,"B - worth pursuing",IF($AA674&gt;=40,"C - nurture","D - do not spend time here"))))</f>
        <v/>
      </c>
      <c r="AC674" s="46" t="str">
        <f aca="false">IF($C674="","",IF($S674="Converted","7 Certification / Enterprise opportunity",IF($S674="Application Started","7 Certification / Enterprise opportunity",IF($S674="Meeting Booked","6 Meeting / Application",IF(OR($S674="Interested",$S674="Info Requested"),"5 Interested",IF(OR($S674="Declined",$S674="Not Relevant"),"0 Closed - no",IF($R674="Yes","4 Contacted",IF($N674="Yes","2 Engaged",IF($M674="Yes","1 Awareness",IF($AA674&gt;=60,"3 Qualified","1 Awareness"))))))))))</f>
        <v/>
      </c>
    </row>
    <row r="675" customFormat="false" ht="30" hidden="false" customHeight="true" outlineLevel="0" collapsed="false">
      <c r="A675" s="36"/>
      <c r="B675" s="37"/>
      <c r="C675" s="37"/>
      <c r="D675" s="37"/>
      <c r="E675" s="37"/>
      <c r="F675" s="37"/>
      <c r="G675" s="37"/>
      <c r="H675" s="37"/>
      <c r="I675" s="37"/>
      <c r="J675" s="47"/>
      <c r="K675" s="41" t="str">
        <f aca="false">IF(J675="","",IF(J675&gt;=8,"Yes","Check"))</f>
        <v/>
      </c>
      <c r="L675" s="38"/>
      <c r="M675" s="47"/>
      <c r="N675" s="47"/>
      <c r="O675" s="37"/>
      <c r="P675" s="38"/>
      <c r="Q675" s="42" t="str">
        <f aca="false">IF(P675="","",LEN(P675))</f>
        <v/>
      </c>
      <c r="R675" s="47"/>
      <c r="S675" s="37"/>
      <c r="T675" s="38"/>
      <c r="U675" s="43" t="str">
        <f aca="false">IF(OR(R675&lt;&gt;"Yes",A675=""),"",A675+4)</f>
        <v/>
      </c>
      <c r="V675" s="47"/>
      <c r="W675" s="38"/>
      <c r="X675" s="38"/>
      <c r="Y675" s="44"/>
      <c r="Z675" s="44"/>
      <c r="AA675" s="45" t="str">
        <f aca="false">IF(AND($Y675="",$Z675=""),"",ROUND(IFERROR(VALUE(LEFT($Y675,1)),0)*12+IFERROR(VALUE(LEFT($Z675,1)),0)*8,0))</f>
        <v/>
      </c>
      <c r="AB675" s="45" t="str">
        <f aca="false">IF($AA675="","",IF($AA675&gt;=80,"A - call first",IF($AA675&gt;=60,"B - worth pursuing",IF($AA675&gt;=40,"C - nurture","D - do not spend time here"))))</f>
        <v/>
      </c>
      <c r="AC675" s="46" t="str">
        <f aca="false">IF($C675="","",IF($S675="Converted","7 Certification / Enterprise opportunity",IF($S675="Application Started","7 Certification / Enterprise opportunity",IF($S675="Meeting Booked","6 Meeting / Application",IF(OR($S675="Interested",$S675="Info Requested"),"5 Interested",IF(OR($S675="Declined",$S675="Not Relevant"),"0 Closed - no",IF($R675="Yes","4 Contacted",IF($N675="Yes","2 Engaged",IF($M675="Yes","1 Awareness",IF($AA675&gt;=60,"3 Qualified","1 Awareness"))))))))))</f>
        <v/>
      </c>
    </row>
    <row r="676" customFormat="false" ht="30" hidden="false" customHeight="true" outlineLevel="0" collapsed="false">
      <c r="A676" s="36"/>
      <c r="B676" s="37"/>
      <c r="C676" s="37"/>
      <c r="D676" s="37"/>
      <c r="E676" s="37"/>
      <c r="F676" s="37"/>
      <c r="G676" s="37"/>
      <c r="H676" s="37"/>
      <c r="I676" s="37"/>
      <c r="J676" s="47"/>
      <c r="K676" s="41" t="str">
        <f aca="false">IF(J676="","",IF(J676&gt;=8,"Yes","Check"))</f>
        <v/>
      </c>
      <c r="L676" s="38"/>
      <c r="M676" s="47"/>
      <c r="N676" s="47"/>
      <c r="O676" s="37"/>
      <c r="P676" s="38"/>
      <c r="Q676" s="42" t="str">
        <f aca="false">IF(P676="","",LEN(P676))</f>
        <v/>
      </c>
      <c r="R676" s="47"/>
      <c r="S676" s="37"/>
      <c r="T676" s="38"/>
      <c r="U676" s="43" t="str">
        <f aca="false">IF(OR(R676&lt;&gt;"Yes",A676=""),"",A676+4)</f>
        <v/>
      </c>
      <c r="V676" s="47"/>
      <c r="W676" s="38"/>
      <c r="X676" s="38"/>
      <c r="Y676" s="44"/>
      <c r="Z676" s="44"/>
      <c r="AA676" s="45" t="str">
        <f aca="false">IF(AND($Y676="",$Z676=""),"",ROUND(IFERROR(VALUE(LEFT($Y676,1)),0)*12+IFERROR(VALUE(LEFT($Z676,1)),0)*8,0))</f>
        <v/>
      </c>
      <c r="AB676" s="45" t="str">
        <f aca="false">IF($AA676="","",IF($AA676&gt;=80,"A - call first",IF($AA676&gt;=60,"B - worth pursuing",IF($AA676&gt;=40,"C - nurture","D - do not spend time here"))))</f>
        <v/>
      </c>
      <c r="AC676" s="46" t="str">
        <f aca="false">IF($C676="","",IF($S676="Converted","7 Certification / Enterprise opportunity",IF($S676="Application Started","7 Certification / Enterprise opportunity",IF($S676="Meeting Booked","6 Meeting / Application",IF(OR($S676="Interested",$S676="Info Requested"),"5 Interested",IF(OR($S676="Declined",$S676="Not Relevant"),"0 Closed - no",IF($R676="Yes","4 Contacted",IF($N676="Yes","2 Engaged",IF($M676="Yes","1 Awareness",IF($AA676&gt;=60,"3 Qualified","1 Awareness"))))))))))</f>
        <v/>
      </c>
    </row>
    <row r="677" customFormat="false" ht="30" hidden="false" customHeight="true" outlineLevel="0" collapsed="false">
      <c r="A677" s="36"/>
      <c r="B677" s="37"/>
      <c r="C677" s="37"/>
      <c r="D677" s="37"/>
      <c r="E677" s="37"/>
      <c r="F677" s="37"/>
      <c r="G677" s="37"/>
      <c r="H677" s="37"/>
      <c r="I677" s="37"/>
      <c r="J677" s="47"/>
      <c r="K677" s="41" t="str">
        <f aca="false">IF(J677="","",IF(J677&gt;=8,"Yes","Check"))</f>
        <v/>
      </c>
      <c r="L677" s="38"/>
      <c r="M677" s="47"/>
      <c r="N677" s="47"/>
      <c r="O677" s="37"/>
      <c r="P677" s="38"/>
      <c r="Q677" s="42" t="str">
        <f aca="false">IF(P677="","",LEN(P677))</f>
        <v/>
      </c>
      <c r="R677" s="47"/>
      <c r="S677" s="37"/>
      <c r="T677" s="38"/>
      <c r="U677" s="43" t="str">
        <f aca="false">IF(OR(R677&lt;&gt;"Yes",A677=""),"",A677+4)</f>
        <v/>
      </c>
      <c r="V677" s="47"/>
      <c r="W677" s="38"/>
      <c r="X677" s="38"/>
      <c r="Y677" s="44"/>
      <c r="Z677" s="44"/>
      <c r="AA677" s="45" t="str">
        <f aca="false">IF(AND($Y677="",$Z677=""),"",ROUND(IFERROR(VALUE(LEFT($Y677,1)),0)*12+IFERROR(VALUE(LEFT($Z677,1)),0)*8,0))</f>
        <v/>
      </c>
      <c r="AB677" s="45" t="str">
        <f aca="false">IF($AA677="","",IF($AA677&gt;=80,"A - call first",IF($AA677&gt;=60,"B - worth pursuing",IF($AA677&gt;=40,"C - nurture","D - do not spend time here"))))</f>
        <v/>
      </c>
      <c r="AC677" s="46" t="str">
        <f aca="false">IF($C677="","",IF($S677="Converted","7 Certification / Enterprise opportunity",IF($S677="Application Started","7 Certification / Enterprise opportunity",IF($S677="Meeting Booked","6 Meeting / Application",IF(OR($S677="Interested",$S677="Info Requested"),"5 Interested",IF(OR($S677="Declined",$S677="Not Relevant"),"0 Closed - no",IF($R677="Yes","4 Contacted",IF($N677="Yes","2 Engaged",IF($M677="Yes","1 Awareness",IF($AA677&gt;=60,"3 Qualified","1 Awareness"))))))))))</f>
        <v/>
      </c>
    </row>
    <row r="678" customFormat="false" ht="30" hidden="false" customHeight="true" outlineLevel="0" collapsed="false">
      <c r="A678" s="36"/>
      <c r="B678" s="37"/>
      <c r="C678" s="37"/>
      <c r="D678" s="37"/>
      <c r="E678" s="37"/>
      <c r="F678" s="37"/>
      <c r="G678" s="37"/>
      <c r="H678" s="37"/>
      <c r="I678" s="37"/>
      <c r="J678" s="47"/>
      <c r="K678" s="41" t="str">
        <f aca="false">IF(J678="","",IF(J678&gt;=8,"Yes","Check"))</f>
        <v/>
      </c>
      <c r="L678" s="38"/>
      <c r="M678" s="47"/>
      <c r="N678" s="47"/>
      <c r="O678" s="37"/>
      <c r="P678" s="38"/>
      <c r="Q678" s="42" t="str">
        <f aca="false">IF(P678="","",LEN(P678))</f>
        <v/>
      </c>
      <c r="R678" s="47"/>
      <c r="S678" s="37"/>
      <c r="T678" s="38"/>
      <c r="U678" s="43" t="str">
        <f aca="false">IF(OR(R678&lt;&gt;"Yes",A678=""),"",A678+4)</f>
        <v/>
      </c>
      <c r="V678" s="47"/>
      <c r="W678" s="38"/>
      <c r="X678" s="38"/>
      <c r="Y678" s="44"/>
      <c r="Z678" s="44"/>
      <c r="AA678" s="45" t="str">
        <f aca="false">IF(AND($Y678="",$Z678=""),"",ROUND(IFERROR(VALUE(LEFT($Y678,1)),0)*12+IFERROR(VALUE(LEFT($Z678,1)),0)*8,0))</f>
        <v/>
      </c>
      <c r="AB678" s="45" t="str">
        <f aca="false">IF($AA678="","",IF($AA678&gt;=80,"A - call first",IF($AA678&gt;=60,"B - worth pursuing",IF($AA678&gt;=40,"C - nurture","D - do not spend time here"))))</f>
        <v/>
      </c>
      <c r="AC678" s="46" t="str">
        <f aca="false">IF($C678="","",IF($S678="Converted","7 Certification / Enterprise opportunity",IF($S678="Application Started","7 Certification / Enterprise opportunity",IF($S678="Meeting Booked","6 Meeting / Application",IF(OR($S678="Interested",$S678="Info Requested"),"5 Interested",IF(OR($S678="Declined",$S678="Not Relevant"),"0 Closed - no",IF($R678="Yes","4 Contacted",IF($N678="Yes","2 Engaged",IF($M678="Yes","1 Awareness",IF($AA678&gt;=60,"3 Qualified","1 Awareness"))))))))))</f>
        <v/>
      </c>
    </row>
    <row r="679" customFormat="false" ht="30" hidden="false" customHeight="true" outlineLevel="0" collapsed="false">
      <c r="A679" s="36"/>
      <c r="B679" s="37"/>
      <c r="C679" s="37"/>
      <c r="D679" s="37"/>
      <c r="E679" s="37"/>
      <c r="F679" s="37"/>
      <c r="G679" s="37"/>
      <c r="H679" s="37"/>
      <c r="I679" s="37"/>
      <c r="J679" s="47"/>
      <c r="K679" s="41" t="str">
        <f aca="false">IF(J679="","",IF(J679&gt;=8,"Yes","Check"))</f>
        <v/>
      </c>
      <c r="L679" s="38"/>
      <c r="M679" s="47"/>
      <c r="N679" s="47"/>
      <c r="O679" s="37"/>
      <c r="P679" s="38"/>
      <c r="Q679" s="42" t="str">
        <f aca="false">IF(P679="","",LEN(P679))</f>
        <v/>
      </c>
      <c r="R679" s="47"/>
      <c r="S679" s="37"/>
      <c r="T679" s="38"/>
      <c r="U679" s="43" t="str">
        <f aca="false">IF(OR(R679&lt;&gt;"Yes",A679=""),"",A679+4)</f>
        <v/>
      </c>
      <c r="V679" s="47"/>
      <c r="W679" s="38"/>
      <c r="X679" s="38"/>
      <c r="Y679" s="44"/>
      <c r="Z679" s="44"/>
      <c r="AA679" s="45" t="str">
        <f aca="false">IF(AND($Y679="",$Z679=""),"",ROUND(IFERROR(VALUE(LEFT($Y679,1)),0)*12+IFERROR(VALUE(LEFT($Z679,1)),0)*8,0))</f>
        <v/>
      </c>
      <c r="AB679" s="45" t="str">
        <f aca="false">IF($AA679="","",IF($AA679&gt;=80,"A - call first",IF($AA679&gt;=60,"B - worth pursuing",IF($AA679&gt;=40,"C - nurture","D - do not spend time here"))))</f>
        <v/>
      </c>
      <c r="AC679" s="46" t="str">
        <f aca="false">IF($C679="","",IF($S679="Converted","7 Certification / Enterprise opportunity",IF($S679="Application Started","7 Certification / Enterprise opportunity",IF($S679="Meeting Booked","6 Meeting / Application",IF(OR($S679="Interested",$S679="Info Requested"),"5 Interested",IF(OR($S679="Declined",$S679="Not Relevant"),"0 Closed - no",IF($R679="Yes","4 Contacted",IF($N679="Yes","2 Engaged",IF($M679="Yes","1 Awareness",IF($AA679&gt;=60,"3 Qualified","1 Awareness"))))))))))</f>
        <v/>
      </c>
    </row>
    <row r="680" customFormat="false" ht="30" hidden="false" customHeight="true" outlineLevel="0" collapsed="false">
      <c r="A680" s="36"/>
      <c r="B680" s="37"/>
      <c r="C680" s="37"/>
      <c r="D680" s="37"/>
      <c r="E680" s="37"/>
      <c r="F680" s="37"/>
      <c r="G680" s="37"/>
      <c r="H680" s="37"/>
      <c r="I680" s="37"/>
      <c r="J680" s="47"/>
      <c r="K680" s="41" t="str">
        <f aca="false">IF(J680="","",IF(J680&gt;=8,"Yes","Check"))</f>
        <v/>
      </c>
      <c r="L680" s="38"/>
      <c r="M680" s="47"/>
      <c r="N680" s="47"/>
      <c r="O680" s="37"/>
      <c r="P680" s="38"/>
      <c r="Q680" s="42" t="str">
        <f aca="false">IF(P680="","",LEN(P680))</f>
        <v/>
      </c>
      <c r="R680" s="47"/>
      <c r="S680" s="37"/>
      <c r="T680" s="38"/>
      <c r="U680" s="43" t="str">
        <f aca="false">IF(OR(R680&lt;&gt;"Yes",A680=""),"",A680+4)</f>
        <v/>
      </c>
      <c r="V680" s="47"/>
      <c r="W680" s="38"/>
      <c r="X680" s="38"/>
      <c r="Y680" s="44"/>
      <c r="Z680" s="44"/>
      <c r="AA680" s="45" t="str">
        <f aca="false">IF(AND($Y680="",$Z680=""),"",ROUND(IFERROR(VALUE(LEFT($Y680,1)),0)*12+IFERROR(VALUE(LEFT($Z680,1)),0)*8,0))</f>
        <v/>
      </c>
      <c r="AB680" s="45" t="str">
        <f aca="false">IF($AA680="","",IF($AA680&gt;=80,"A - call first",IF($AA680&gt;=60,"B - worth pursuing",IF($AA680&gt;=40,"C - nurture","D - do not spend time here"))))</f>
        <v/>
      </c>
      <c r="AC680" s="46" t="str">
        <f aca="false">IF($C680="","",IF($S680="Converted","7 Certification / Enterprise opportunity",IF($S680="Application Started","7 Certification / Enterprise opportunity",IF($S680="Meeting Booked","6 Meeting / Application",IF(OR($S680="Interested",$S680="Info Requested"),"5 Interested",IF(OR($S680="Declined",$S680="Not Relevant"),"0 Closed - no",IF($R680="Yes","4 Contacted",IF($N680="Yes","2 Engaged",IF($M680="Yes","1 Awareness",IF($AA680&gt;=60,"3 Qualified","1 Awareness"))))))))))</f>
        <v/>
      </c>
    </row>
    <row r="681" customFormat="false" ht="30" hidden="false" customHeight="true" outlineLevel="0" collapsed="false">
      <c r="A681" s="36"/>
      <c r="B681" s="37"/>
      <c r="C681" s="37"/>
      <c r="D681" s="37"/>
      <c r="E681" s="37"/>
      <c r="F681" s="37"/>
      <c r="G681" s="37"/>
      <c r="H681" s="37"/>
      <c r="I681" s="37"/>
      <c r="J681" s="47"/>
      <c r="K681" s="41" t="str">
        <f aca="false">IF(J681="","",IF(J681&gt;=8,"Yes","Check"))</f>
        <v/>
      </c>
      <c r="L681" s="38"/>
      <c r="M681" s="47"/>
      <c r="N681" s="47"/>
      <c r="O681" s="37"/>
      <c r="P681" s="38"/>
      <c r="Q681" s="42" t="str">
        <f aca="false">IF(P681="","",LEN(P681))</f>
        <v/>
      </c>
      <c r="R681" s="47"/>
      <c r="S681" s="37"/>
      <c r="T681" s="38"/>
      <c r="U681" s="43" t="str">
        <f aca="false">IF(OR(R681&lt;&gt;"Yes",A681=""),"",A681+4)</f>
        <v/>
      </c>
      <c r="V681" s="47"/>
      <c r="W681" s="38"/>
      <c r="X681" s="38"/>
      <c r="Y681" s="44"/>
      <c r="Z681" s="44"/>
      <c r="AA681" s="45" t="str">
        <f aca="false">IF(AND($Y681="",$Z681=""),"",ROUND(IFERROR(VALUE(LEFT($Y681,1)),0)*12+IFERROR(VALUE(LEFT($Z681,1)),0)*8,0))</f>
        <v/>
      </c>
      <c r="AB681" s="45" t="str">
        <f aca="false">IF($AA681="","",IF($AA681&gt;=80,"A - call first",IF($AA681&gt;=60,"B - worth pursuing",IF($AA681&gt;=40,"C - nurture","D - do not spend time here"))))</f>
        <v/>
      </c>
      <c r="AC681" s="46" t="str">
        <f aca="false">IF($C681="","",IF($S681="Converted","7 Certification / Enterprise opportunity",IF($S681="Application Started","7 Certification / Enterprise opportunity",IF($S681="Meeting Booked","6 Meeting / Application",IF(OR($S681="Interested",$S681="Info Requested"),"5 Interested",IF(OR($S681="Declined",$S681="Not Relevant"),"0 Closed - no",IF($R681="Yes","4 Contacted",IF($N681="Yes","2 Engaged",IF($M681="Yes","1 Awareness",IF($AA681&gt;=60,"3 Qualified","1 Awareness"))))))))))</f>
        <v/>
      </c>
    </row>
    <row r="682" customFormat="false" ht="30" hidden="false" customHeight="true" outlineLevel="0" collapsed="false">
      <c r="A682" s="36"/>
      <c r="B682" s="37"/>
      <c r="C682" s="37"/>
      <c r="D682" s="37"/>
      <c r="E682" s="37"/>
      <c r="F682" s="37"/>
      <c r="G682" s="37"/>
      <c r="H682" s="37"/>
      <c r="I682" s="37"/>
      <c r="J682" s="47"/>
      <c r="K682" s="41" t="str">
        <f aca="false">IF(J682="","",IF(J682&gt;=8,"Yes","Check"))</f>
        <v/>
      </c>
      <c r="L682" s="38"/>
      <c r="M682" s="47"/>
      <c r="N682" s="47"/>
      <c r="O682" s="37"/>
      <c r="P682" s="38"/>
      <c r="Q682" s="42" t="str">
        <f aca="false">IF(P682="","",LEN(P682))</f>
        <v/>
      </c>
      <c r="R682" s="47"/>
      <c r="S682" s="37"/>
      <c r="T682" s="38"/>
      <c r="U682" s="43" t="str">
        <f aca="false">IF(OR(R682&lt;&gt;"Yes",A682=""),"",A682+4)</f>
        <v/>
      </c>
      <c r="V682" s="47"/>
      <c r="W682" s="38"/>
      <c r="X682" s="38"/>
      <c r="Y682" s="44"/>
      <c r="Z682" s="44"/>
      <c r="AA682" s="45" t="str">
        <f aca="false">IF(AND($Y682="",$Z682=""),"",ROUND(IFERROR(VALUE(LEFT($Y682,1)),0)*12+IFERROR(VALUE(LEFT($Z682,1)),0)*8,0))</f>
        <v/>
      </c>
      <c r="AB682" s="45" t="str">
        <f aca="false">IF($AA682="","",IF($AA682&gt;=80,"A - call first",IF($AA682&gt;=60,"B - worth pursuing",IF($AA682&gt;=40,"C - nurture","D - do not spend time here"))))</f>
        <v/>
      </c>
      <c r="AC682" s="46" t="str">
        <f aca="false">IF($C682="","",IF($S682="Converted","7 Certification / Enterprise opportunity",IF($S682="Application Started","7 Certification / Enterprise opportunity",IF($S682="Meeting Booked","6 Meeting / Application",IF(OR($S682="Interested",$S682="Info Requested"),"5 Interested",IF(OR($S682="Declined",$S682="Not Relevant"),"0 Closed - no",IF($R682="Yes","4 Contacted",IF($N682="Yes","2 Engaged",IF($M682="Yes","1 Awareness",IF($AA682&gt;=60,"3 Qualified","1 Awareness"))))))))))</f>
        <v/>
      </c>
    </row>
    <row r="683" customFormat="false" ht="30" hidden="false" customHeight="true" outlineLevel="0" collapsed="false">
      <c r="A683" s="36"/>
      <c r="B683" s="37"/>
      <c r="C683" s="37"/>
      <c r="D683" s="37"/>
      <c r="E683" s="37"/>
      <c r="F683" s="37"/>
      <c r="G683" s="37"/>
      <c r="H683" s="37"/>
      <c r="I683" s="37"/>
      <c r="J683" s="47"/>
      <c r="K683" s="41" t="str">
        <f aca="false">IF(J683="","",IF(J683&gt;=8,"Yes","Check"))</f>
        <v/>
      </c>
      <c r="L683" s="38"/>
      <c r="M683" s="47"/>
      <c r="N683" s="47"/>
      <c r="O683" s="37"/>
      <c r="P683" s="38"/>
      <c r="Q683" s="42" t="str">
        <f aca="false">IF(P683="","",LEN(P683))</f>
        <v/>
      </c>
      <c r="R683" s="47"/>
      <c r="S683" s="37"/>
      <c r="T683" s="38"/>
      <c r="U683" s="43" t="str">
        <f aca="false">IF(OR(R683&lt;&gt;"Yes",A683=""),"",A683+4)</f>
        <v/>
      </c>
      <c r="V683" s="47"/>
      <c r="W683" s="38"/>
      <c r="X683" s="38"/>
      <c r="Y683" s="44"/>
      <c r="Z683" s="44"/>
      <c r="AA683" s="45" t="str">
        <f aca="false">IF(AND($Y683="",$Z683=""),"",ROUND(IFERROR(VALUE(LEFT($Y683,1)),0)*12+IFERROR(VALUE(LEFT($Z683,1)),0)*8,0))</f>
        <v/>
      </c>
      <c r="AB683" s="45" t="str">
        <f aca="false">IF($AA683="","",IF($AA683&gt;=80,"A - call first",IF($AA683&gt;=60,"B - worth pursuing",IF($AA683&gt;=40,"C - nurture","D - do not spend time here"))))</f>
        <v/>
      </c>
      <c r="AC683" s="46" t="str">
        <f aca="false">IF($C683="","",IF($S683="Converted","7 Certification / Enterprise opportunity",IF($S683="Application Started","7 Certification / Enterprise opportunity",IF($S683="Meeting Booked","6 Meeting / Application",IF(OR($S683="Interested",$S683="Info Requested"),"5 Interested",IF(OR($S683="Declined",$S683="Not Relevant"),"0 Closed - no",IF($R683="Yes","4 Contacted",IF($N683="Yes","2 Engaged",IF($M683="Yes","1 Awareness",IF($AA683&gt;=60,"3 Qualified","1 Awareness"))))))))))</f>
        <v/>
      </c>
    </row>
    <row r="684" customFormat="false" ht="30" hidden="false" customHeight="true" outlineLevel="0" collapsed="false">
      <c r="A684" s="36"/>
      <c r="B684" s="37"/>
      <c r="C684" s="37"/>
      <c r="D684" s="37"/>
      <c r="E684" s="37"/>
      <c r="F684" s="37"/>
      <c r="G684" s="37"/>
      <c r="H684" s="37"/>
      <c r="I684" s="37"/>
      <c r="J684" s="47"/>
      <c r="K684" s="41" t="str">
        <f aca="false">IF(J684="","",IF(J684&gt;=8,"Yes","Check"))</f>
        <v/>
      </c>
      <c r="L684" s="38"/>
      <c r="M684" s="47"/>
      <c r="N684" s="47"/>
      <c r="O684" s="37"/>
      <c r="P684" s="38"/>
      <c r="Q684" s="42" t="str">
        <f aca="false">IF(P684="","",LEN(P684))</f>
        <v/>
      </c>
      <c r="R684" s="47"/>
      <c r="S684" s="37"/>
      <c r="T684" s="38"/>
      <c r="U684" s="43" t="str">
        <f aca="false">IF(OR(R684&lt;&gt;"Yes",A684=""),"",A684+4)</f>
        <v/>
      </c>
      <c r="V684" s="47"/>
      <c r="W684" s="38"/>
      <c r="X684" s="38"/>
      <c r="Y684" s="44"/>
      <c r="Z684" s="44"/>
      <c r="AA684" s="45" t="str">
        <f aca="false">IF(AND($Y684="",$Z684=""),"",ROUND(IFERROR(VALUE(LEFT($Y684,1)),0)*12+IFERROR(VALUE(LEFT($Z684,1)),0)*8,0))</f>
        <v/>
      </c>
      <c r="AB684" s="45" t="str">
        <f aca="false">IF($AA684="","",IF($AA684&gt;=80,"A - call first",IF($AA684&gt;=60,"B - worth pursuing",IF($AA684&gt;=40,"C - nurture","D - do not spend time here"))))</f>
        <v/>
      </c>
      <c r="AC684" s="46" t="str">
        <f aca="false">IF($C684="","",IF($S684="Converted","7 Certification / Enterprise opportunity",IF($S684="Application Started","7 Certification / Enterprise opportunity",IF($S684="Meeting Booked","6 Meeting / Application",IF(OR($S684="Interested",$S684="Info Requested"),"5 Interested",IF(OR($S684="Declined",$S684="Not Relevant"),"0 Closed - no",IF($R684="Yes","4 Contacted",IF($N684="Yes","2 Engaged",IF($M684="Yes","1 Awareness",IF($AA684&gt;=60,"3 Qualified","1 Awareness"))))))))))</f>
        <v/>
      </c>
    </row>
    <row r="685" customFormat="false" ht="30" hidden="false" customHeight="true" outlineLevel="0" collapsed="false">
      <c r="A685" s="36"/>
      <c r="B685" s="37"/>
      <c r="C685" s="37"/>
      <c r="D685" s="37"/>
      <c r="E685" s="37"/>
      <c r="F685" s="37"/>
      <c r="G685" s="37"/>
      <c r="H685" s="37"/>
      <c r="I685" s="37"/>
      <c r="J685" s="47"/>
      <c r="K685" s="41" t="str">
        <f aca="false">IF(J685="","",IF(J685&gt;=8,"Yes","Check"))</f>
        <v/>
      </c>
      <c r="L685" s="38"/>
      <c r="M685" s="47"/>
      <c r="N685" s="47"/>
      <c r="O685" s="37"/>
      <c r="P685" s="38"/>
      <c r="Q685" s="42" t="str">
        <f aca="false">IF(P685="","",LEN(P685))</f>
        <v/>
      </c>
      <c r="R685" s="47"/>
      <c r="S685" s="37"/>
      <c r="T685" s="38"/>
      <c r="U685" s="43" t="str">
        <f aca="false">IF(OR(R685&lt;&gt;"Yes",A685=""),"",A685+4)</f>
        <v/>
      </c>
      <c r="V685" s="47"/>
      <c r="W685" s="38"/>
      <c r="X685" s="38"/>
      <c r="Y685" s="44"/>
      <c r="Z685" s="44"/>
      <c r="AA685" s="45" t="str">
        <f aca="false">IF(AND($Y685="",$Z685=""),"",ROUND(IFERROR(VALUE(LEFT($Y685,1)),0)*12+IFERROR(VALUE(LEFT($Z685,1)),0)*8,0))</f>
        <v/>
      </c>
      <c r="AB685" s="45" t="str">
        <f aca="false">IF($AA685="","",IF($AA685&gt;=80,"A - call first",IF($AA685&gt;=60,"B - worth pursuing",IF($AA685&gt;=40,"C - nurture","D - do not spend time here"))))</f>
        <v/>
      </c>
      <c r="AC685" s="46" t="str">
        <f aca="false">IF($C685="","",IF($S685="Converted","7 Certification / Enterprise opportunity",IF($S685="Application Started","7 Certification / Enterprise opportunity",IF($S685="Meeting Booked","6 Meeting / Application",IF(OR($S685="Interested",$S685="Info Requested"),"5 Interested",IF(OR($S685="Declined",$S685="Not Relevant"),"0 Closed - no",IF($R685="Yes","4 Contacted",IF($N685="Yes","2 Engaged",IF($M685="Yes","1 Awareness",IF($AA685&gt;=60,"3 Qualified","1 Awareness"))))))))))</f>
        <v/>
      </c>
    </row>
    <row r="686" customFormat="false" ht="30" hidden="false" customHeight="true" outlineLevel="0" collapsed="false">
      <c r="A686" s="36"/>
      <c r="B686" s="37"/>
      <c r="C686" s="37"/>
      <c r="D686" s="37"/>
      <c r="E686" s="37"/>
      <c r="F686" s="37"/>
      <c r="G686" s="37"/>
      <c r="H686" s="37"/>
      <c r="I686" s="37"/>
      <c r="J686" s="47"/>
      <c r="K686" s="41" t="str">
        <f aca="false">IF(J686="","",IF(J686&gt;=8,"Yes","Check"))</f>
        <v/>
      </c>
      <c r="L686" s="38"/>
      <c r="M686" s="47"/>
      <c r="N686" s="47"/>
      <c r="O686" s="37"/>
      <c r="P686" s="38"/>
      <c r="Q686" s="42" t="str">
        <f aca="false">IF(P686="","",LEN(P686))</f>
        <v/>
      </c>
      <c r="R686" s="47"/>
      <c r="S686" s="37"/>
      <c r="T686" s="38"/>
      <c r="U686" s="43" t="str">
        <f aca="false">IF(OR(R686&lt;&gt;"Yes",A686=""),"",A686+4)</f>
        <v/>
      </c>
      <c r="V686" s="47"/>
      <c r="W686" s="38"/>
      <c r="X686" s="38"/>
      <c r="Y686" s="44"/>
      <c r="Z686" s="44"/>
      <c r="AA686" s="45" t="str">
        <f aca="false">IF(AND($Y686="",$Z686=""),"",ROUND(IFERROR(VALUE(LEFT($Y686,1)),0)*12+IFERROR(VALUE(LEFT($Z686,1)),0)*8,0))</f>
        <v/>
      </c>
      <c r="AB686" s="45" t="str">
        <f aca="false">IF($AA686="","",IF($AA686&gt;=80,"A - call first",IF($AA686&gt;=60,"B - worth pursuing",IF($AA686&gt;=40,"C - nurture","D - do not spend time here"))))</f>
        <v/>
      </c>
      <c r="AC686" s="46" t="str">
        <f aca="false">IF($C686="","",IF($S686="Converted","7 Certification / Enterprise opportunity",IF($S686="Application Started","7 Certification / Enterprise opportunity",IF($S686="Meeting Booked","6 Meeting / Application",IF(OR($S686="Interested",$S686="Info Requested"),"5 Interested",IF(OR($S686="Declined",$S686="Not Relevant"),"0 Closed - no",IF($R686="Yes","4 Contacted",IF($N686="Yes","2 Engaged",IF($M686="Yes","1 Awareness",IF($AA686&gt;=60,"3 Qualified","1 Awareness"))))))))))</f>
        <v/>
      </c>
    </row>
    <row r="687" customFormat="false" ht="30" hidden="false" customHeight="true" outlineLevel="0" collapsed="false">
      <c r="A687" s="36"/>
      <c r="B687" s="37"/>
      <c r="C687" s="37"/>
      <c r="D687" s="37"/>
      <c r="E687" s="37"/>
      <c r="F687" s="37"/>
      <c r="G687" s="37"/>
      <c r="H687" s="37"/>
      <c r="I687" s="37"/>
      <c r="J687" s="47"/>
      <c r="K687" s="41" t="str">
        <f aca="false">IF(J687="","",IF(J687&gt;=8,"Yes","Check"))</f>
        <v/>
      </c>
      <c r="L687" s="38"/>
      <c r="M687" s="47"/>
      <c r="N687" s="47"/>
      <c r="O687" s="37"/>
      <c r="P687" s="38"/>
      <c r="Q687" s="42" t="str">
        <f aca="false">IF(P687="","",LEN(P687))</f>
        <v/>
      </c>
      <c r="R687" s="47"/>
      <c r="S687" s="37"/>
      <c r="T687" s="38"/>
      <c r="U687" s="43" t="str">
        <f aca="false">IF(OR(R687&lt;&gt;"Yes",A687=""),"",A687+4)</f>
        <v/>
      </c>
      <c r="V687" s="47"/>
      <c r="W687" s="38"/>
      <c r="X687" s="38"/>
      <c r="Y687" s="44"/>
      <c r="Z687" s="44"/>
      <c r="AA687" s="45" t="str">
        <f aca="false">IF(AND($Y687="",$Z687=""),"",ROUND(IFERROR(VALUE(LEFT($Y687,1)),0)*12+IFERROR(VALUE(LEFT($Z687,1)),0)*8,0))</f>
        <v/>
      </c>
      <c r="AB687" s="45" t="str">
        <f aca="false">IF($AA687="","",IF($AA687&gt;=80,"A - call first",IF($AA687&gt;=60,"B - worth pursuing",IF($AA687&gt;=40,"C - nurture","D - do not spend time here"))))</f>
        <v/>
      </c>
      <c r="AC687" s="46" t="str">
        <f aca="false">IF($C687="","",IF($S687="Converted","7 Certification / Enterprise opportunity",IF($S687="Application Started","7 Certification / Enterprise opportunity",IF($S687="Meeting Booked","6 Meeting / Application",IF(OR($S687="Interested",$S687="Info Requested"),"5 Interested",IF(OR($S687="Declined",$S687="Not Relevant"),"0 Closed - no",IF($R687="Yes","4 Contacted",IF($N687="Yes","2 Engaged",IF($M687="Yes","1 Awareness",IF($AA687&gt;=60,"3 Qualified","1 Awareness"))))))))))</f>
        <v/>
      </c>
    </row>
    <row r="688" customFormat="false" ht="30" hidden="false" customHeight="true" outlineLevel="0" collapsed="false">
      <c r="A688" s="36"/>
      <c r="B688" s="37"/>
      <c r="C688" s="37"/>
      <c r="D688" s="37"/>
      <c r="E688" s="37"/>
      <c r="F688" s="37"/>
      <c r="G688" s="37"/>
      <c r="H688" s="37"/>
      <c r="I688" s="37"/>
      <c r="J688" s="47"/>
      <c r="K688" s="41" t="str">
        <f aca="false">IF(J688="","",IF(J688&gt;=8,"Yes","Check"))</f>
        <v/>
      </c>
      <c r="L688" s="38"/>
      <c r="M688" s="47"/>
      <c r="N688" s="47"/>
      <c r="O688" s="37"/>
      <c r="P688" s="38"/>
      <c r="Q688" s="42" t="str">
        <f aca="false">IF(P688="","",LEN(P688))</f>
        <v/>
      </c>
      <c r="R688" s="47"/>
      <c r="S688" s="37"/>
      <c r="T688" s="38"/>
      <c r="U688" s="43" t="str">
        <f aca="false">IF(OR(R688&lt;&gt;"Yes",A688=""),"",A688+4)</f>
        <v/>
      </c>
      <c r="V688" s="47"/>
      <c r="W688" s="38"/>
      <c r="X688" s="38"/>
      <c r="Y688" s="44"/>
      <c r="Z688" s="44"/>
      <c r="AA688" s="45" t="str">
        <f aca="false">IF(AND($Y688="",$Z688=""),"",ROUND(IFERROR(VALUE(LEFT($Y688,1)),0)*12+IFERROR(VALUE(LEFT($Z688,1)),0)*8,0))</f>
        <v/>
      </c>
      <c r="AB688" s="45" t="str">
        <f aca="false">IF($AA688="","",IF($AA688&gt;=80,"A - call first",IF($AA688&gt;=60,"B - worth pursuing",IF($AA688&gt;=40,"C - nurture","D - do not spend time here"))))</f>
        <v/>
      </c>
      <c r="AC688" s="46" t="str">
        <f aca="false">IF($C688="","",IF($S688="Converted","7 Certification / Enterprise opportunity",IF($S688="Application Started","7 Certification / Enterprise opportunity",IF($S688="Meeting Booked","6 Meeting / Application",IF(OR($S688="Interested",$S688="Info Requested"),"5 Interested",IF(OR($S688="Declined",$S688="Not Relevant"),"0 Closed - no",IF($R688="Yes","4 Contacted",IF($N688="Yes","2 Engaged",IF($M688="Yes","1 Awareness",IF($AA688&gt;=60,"3 Qualified","1 Awareness"))))))))))</f>
        <v/>
      </c>
    </row>
    <row r="689" customFormat="false" ht="30" hidden="false" customHeight="true" outlineLevel="0" collapsed="false">
      <c r="A689" s="36"/>
      <c r="B689" s="37"/>
      <c r="C689" s="37"/>
      <c r="D689" s="37"/>
      <c r="E689" s="37"/>
      <c r="F689" s="37"/>
      <c r="G689" s="37"/>
      <c r="H689" s="37"/>
      <c r="I689" s="37"/>
      <c r="J689" s="47"/>
      <c r="K689" s="41" t="str">
        <f aca="false">IF(J689="","",IF(J689&gt;=8,"Yes","Check"))</f>
        <v/>
      </c>
      <c r="L689" s="38"/>
      <c r="M689" s="47"/>
      <c r="N689" s="47"/>
      <c r="O689" s="37"/>
      <c r="P689" s="38"/>
      <c r="Q689" s="42" t="str">
        <f aca="false">IF(P689="","",LEN(P689))</f>
        <v/>
      </c>
      <c r="R689" s="47"/>
      <c r="S689" s="37"/>
      <c r="T689" s="38"/>
      <c r="U689" s="43" t="str">
        <f aca="false">IF(OR(R689&lt;&gt;"Yes",A689=""),"",A689+4)</f>
        <v/>
      </c>
      <c r="V689" s="47"/>
      <c r="W689" s="38"/>
      <c r="X689" s="38"/>
      <c r="Y689" s="44"/>
      <c r="Z689" s="44"/>
      <c r="AA689" s="45" t="str">
        <f aca="false">IF(AND($Y689="",$Z689=""),"",ROUND(IFERROR(VALUE(LEFT($Y689,1)),0)*12+IFERROR(VALUE(LEFT($Z689,1)),0)*8,0))</f>
        <v/>
      </c>
      <c r="AB689" s="45" t="str">
        <f aca="false">IF($AA689="","",IF($AA689&gt;=80,"A - call first",IF($AA689&gt;=60,"B - worth pursuing",IF($AA689&gt;=40,"C - nurture","D - do not spend time here"))))</f>
        <v/>
      </c>
      <c r="AC689" s="46" t="str">
        <f aca="false">IF($C689="","",IF($S689="Converted","7 Certification / Enterprise opportunity",IF($S689="Application Started","7 Certification / Enterprise opportunity",IF($S689="Meeting Booked","6 Meeting / Application",IF(OR($S689="Interested",$S689="Info Requested"),"5 Interested",IF(OR($S689="Declined",$S689="Not Relevant"),"0 Closed - no",IF($R689="Yes","4 Contacted",IF($N689="Yes","2 Engaged",IF($M689="Yes","1 Awareness",IF($AA689&gt;=60,"3 Qualified","1 Awareness"))))))))))</f>
        <v/>
      </c>
    </row>
    <row r="690" customFormat="false" ht="30" hidden="false" customHeight="true" outlineLevel="0" collapsed="false">
      <c r="A690" s="36"/>
      <c r="B690" s="37"/>
      <c r="C690" s="37"/>
      <c r="D690" s="37"/>
      <c r="E690" s="37"/>
      <c r="F690" s="37"/>
      <c r="G690" s="37"/>
      <c r="H690" s="37"/>
      <c r="I690" s="37"/>
      <c r="J690" s="47"/>
      <c r="K690" s="41" t="str">
        <f aca="false">IF(J690="","",IF(J690&gt;=8,"Yes","Check"))</f>
        <v/>
      </c>
      <c r="L690" s="38"/>
      <c r="M690" s="47"/>
      <c r="N690" s="47"/>
      <c r="O690" s="37"/>
      <c r="P690" s="38"/>
      <c r="Q690" s="42" t="str">
        <f aca="false">IF(P690="","",LEN(P690))</f>
        <v/>
      </c>
      <c r="R690" s="47"/>
      <c r="S690" s="37"/>
      <c r="T690" s="38"/>
      <c r="U690" s="43" t="str">
        <f aca="false">IF(OR(R690&lt;&gt;"Yes",A690=""),"",A690+4)</f>
        <v/>
      </c>
      <c r="V690" s="47"/>
      <c r="W690" s="38"/>
      <c r="X690" s="38"/>
      <c r="Y690" s="44"/>
      <c r="Z690" s="44"/>
      <c r="AA690" s="45" t="str">
        <f aca="false">IF(AND($Y690="",$Z690=""),"",ROUND(IFERROR(VALUE(LEFT($Y690,1)),0)*12+IFERROR(VALUE(LEFT($Z690,1)),0)*8,0))</f>
        <v/>
      </c>
      <c r="AB690" s="45" t="str">
        <f aca="false">IF($AA690="","",IF($AA690&gt;=80,"A - call first",IF($AA690&gt;=60,"B - worth pursuing",IF($AA690&gt;=40,"C - nurture","D - do not spend time here"))))</f>
        <v/>
      </c>
      <c r="AC690" s="46" t="str">
        <f aca="false">IF($C690="","",IF($S690="Converted","7 Certification / Enterprise opportunity",IF($S690="Application Started","7 Certification / Enterprise opportunity",IF($S690="Meeting Booked","6 Meeting / Application",IF(OR($S690="Interested",$S690="Info Requested"),"5 Interested",IF(OR($S690="Declined",$S690="Not Relevant"),"0 Closed - no",IF($R690="Yes","4 Contacted",IF($N690="Yes","2 Engaged",IF($M690="Yes","1 Awareness",IF($AA690&gt;=60,"3 Qualified","1 Awareness"))))))))))</f>
        <v/>
      </c>
    </row>
    <row r="691" customFormat="false" ht="30" hidden="false" customHeight="true" outlineLevel="0" collapsed="false">
      <c r="A691" s="36"/>
      <c r="B691" s="37"/>
      <c r="C691" s="37"/>
      <c r="D691" s="37"/>
      <c r="E691" s="37"/>
      <c r="F691" s="37"/>
      <c r="G691" s="37"/>
      <c r="H691" s="37"/>
      <c r="I691" s="37"/>
      <c r="J691" s="47"/>
      <c r="K691" s="41" t="str">
        <f aca="false">IF(J691="","",IF(J691&gt;=8,"Yes","Check"))</f>
        <v/>
      </c>
      <c r="L691" s="38"/>
      <c r="M691" s="47"/>
      <c r="N691" s="47"/>
      <c r="O691" s="37"/>
      <c r="P691" s="38"/>
      <c r="Q691" s="42" t="str">
        <f aca="false">IF(P691="","",LEN(P691))</f>
        <v/>
      </c>
      <c r="R691" s="47"/>
      <c r="S691" s="37"/>
      <c r="T691" s="38"/>
      <c r="U691" s="43" t="str">
        <f aca="false">IF(OR(R691&lt;&gt;"Yes",A691=""),"",A691+4)</f>
        <v/>
      </c>
      <c r="V691" s="47"/>
      <c r="W691" s="38"/>
      <c r="X691" s="38"/>
      <c r="Y691" s="44"/>
      <c r="Z691" s="44"/>
      <c r="AA691" s="45" t="str">
        <f aca="false">IF(AND($Y691="",$Z691=""),"",ROUND(IFERROR(VALUE(LEFT($Y691,1)),0)*12+IFERROR(VALUE(LEFT($Z691,1)),0)*8,0))</f>
        <v/>
      </c>
      <c r="AB691" s="45" t="str">
        <f aca="false">IF($AA691="","",IF($AA691&gt;=80,"A - call first",IF($AA691&gt;=60,"B - worth pursuing",IF($AA691&gt;=40,"C - nurture","D - do not spend time here"))))</f>
        <v/>
      </c>
      <c r="AC691" s="46" t="str">
        <f aca="false">IF($C691="","",IF($S691="Converted","7 Certification / Enterprise opportunity",IF($S691="Application Started","7 Certification / Enterprise opportunity",IF($S691="Meeting Booked","6 Meeting / Application",IF(OR($S691="Interested",$S691="Info Requested"),"5 Interested",IF(OR($S691="Declined",$S691="Not Relevant"),"0 Closed - no",IF($R691="Yes","4 Contacted",IF($N691="Yes","2 Engaged",IF($M691="Yes","1 Awareness",IF($AA691&gt;=60,"3 Qualified","1 Awareness"))))))))))</f>
        <v/>
      </c>
    </row>
    <row r="692" customFormat="false" ht="30" hidden="false" customHeight="true" outlineLevel="0" collapsed="false">
      <c r="A692" s="36"/>
      <c r="B692" s="37"/>
      <c r="C692" s="37"/>
      <c r="D692" s="37"/>
      <c r="E692" s="37"/>
      <c r="F692" s="37"/>
      <c r="G692" s="37"/>
      <c r="H692" s="37"/>
      <c r="I692" s="37"/>
      <c r="J692" s="47"/>
      <c r="K692" s="41" t="str">
        <f aca="false">IF(J692="","",IF(J692&gt;=8,"Yes","Check"))</f>
        <v/>
      </c>
      <c r="L692" s="38"/>
      <c r="M692" s="47"/>
      <c r="N692" s="47"/>
      <c r="O692" s="37"/>
      <c r="P692" s="38"/>
      <c r="Q692" s="42" t="str">
        <f aca="false">IF(P692="","",LEN(P692))</f>
        <v/>
      </c>
      <c r="R692" s="47"/>
      <c r="S692" s="37"/>
      <c r="T692" s="38"/>
      <c r="U692" s="43" t="str">
        <f aca="false">IF(OR(R692&lt;&gt;"Yes",A692=""),"",A692+4)</f>
        <v/>
      </c>
      <c r="V692" s="47"/>
      <c r="W692" s="38"/>
      <c r="X692" s="38"/>
      <c r="Y692" s="44"/>
      <c r="Z692" s="44"/>
      <c r="AA692" s="45" t="str">
        <f aca="false">IF(AND($Y692="",$Z692=""),"",ROUND(IFERROR(VALUE(LEFT($Y692,1)),0)*12+IFERROR(VALUE(LEFT($Z692,1)),0)*8,0))</f>
        <v/>
      </c>
      <c r="AB692" s="45" t="str">
        <f aca="false">IF($AA692="","",IF($AA692&gt;=80,"A - call first",IF($AA692&gt;=60,"B - worth pursuing",IF($AA692&gt;=40,"C - nurture","D - do not spend time here"))))</f>
        <v/>
      </c>
      <c r="AC692" s="46" t="str">
        <f aca="false">IF($C692="","",IF($S692="Converted","7 Certification / Enterprise opportunity",IF($S692="Application Started","7 Certification / Enterprise opportunity",IF($S692="Meeting Booked","6 Meeting / Application",IF(OR($S692="Interested",$S692="Info Requested"),"5 Interested",IF(OR($S692="Declined",$S692="Not Relevant"),"0 Closed - no",IF($R692="Yes","4 Contacted",IF($N692="Yes","2 Engaged",IF($M692="Yes","1 Awareness",IF($AA692&gt;=60,"3 Qualified","1 Awareness"))))))))))</f>
        <v/>
      </c>
    </row>
    <row r="693" customFormat="false" ht="30" hidden="false" customHeight="true" outlineLevel="0" collapsed="false">
      <c r="A693" s="36"/>
      <c r="B693" s="37"/>
      <c r="C693" s="37"/>
      <c r="D693" s="37"/>
      <c r="E693" s="37"/>
      <c r="F693" s="37"/>
      <c r="G693" s="37"/>
      <c r="H693" s="37"/>
      <c r="I693" s="37"/>
      <c r="J693" s="47"/>
      <c r="K693" s="41" t="str">
        <f aca="false">IF(J693="","",IF(J693&gt;=8,"Yes","Check"))</f>
        <v/>
      </c>
      <c r="L693" s="38"/>
      <c r="M693" s="47"/>
      <c r="N693" s="47"/>
      <c r="O693" s="37"/>
      <c r="P693" s="38"/>
      <c r="Q693" s="42" t="str">
        <f aca="false">IF(P693="","",LEN(P693))</f>
        <v/>
      </c>
      <c r="R693" s="47"/>
      <c r="S693" s="37"/>
      <c r="T693" s="38"/>
      <c r="U693" s="43" t="str">
        <f aca="false">IF(OR(R693&lt;&gt;"Yes",A693=""),"",A693+4)</f>
        <v/>
      </c>
      <c r="V693" s="47"/>
      <c r="W693" s="38"/>
      <c r="X693" s="38"/>
      <c r="Y693" s="44"/>
      <c r="Z693" s="44"/>
      <c r="AA693" s="45" t="str">
        <f aca="false">IF(AND($Y693="",$Z693=""),"",ROUND(IFERROR(VALUE(LEFT($Y693,1)),0)*12+IFERROR(VALUE(LEFT($Z693,1)),0)*8,0))</f>
        <v/>
      </c>
      <c r="AB693" s="45" t="str">
        <f aca="false">IF($AA693="","",IF($AA693&gt;=80,"A - call first",IF($AA693&gt;=60,"B - worth pursuing",IF($AA693&gt;=40,"C - nurture","D - do not spend time here"))))</f>
        <v/>
      </c>
      <c r="AC693" s="46" t="str">
        <f aca="false">IF($C693="","",IF($S693="Converted","7 Certification / Enterprise opportunity",IF($S693="Application Started","7 Certification / Enterprise opportunity",IF($S693="Meeting Booked","6 Meeting / Application",IF(OR($S693="Interested",$S693="Info Requested"),"5 Interested",IF(OR($S693="Declined",$S693="Not Relevant"),"0 Closed - no",IF($R693="Yes","4 Contacted",IF($N693="Yes","2 Engaged",IF($M693="Yes","1 Awareness",IF($AA693&gt;=60,"3 Qualified","1 Awareness"))))))))))</f>
        <v/>
      </c>
    </row>
    <row r="694" customFormat="false" ht="30" hidden="false" customHeight="true" outlineLevel="0" collapsed="false">
      <c r="A694" s="36"/>
      <c r="B694" s="37"/>
      <c r="C694" s="37"/>
      <c r="D694" s="37"/>
      <c r="E694" s="37"/>
      <c r="F694" s="37"/>
      <c r="G694" s="37"/>
      <c r="H694" s="37"/>
      <c r="I694" s="37"/>
      <c r="J694" s="47"/>
      <c r="K694" s="41" t="str">
        <f aca="false">IF(J694="","",IF(J694&gt;=8,"Yes","Check"))</f>
        <v/>
      </c>
      <c r="L694" s="38"/>
      <c r="M694" s="47"/>
      <c r="N694" s="47"/>
      <c r="O694" s="37"/>
      <c r="P694" s="38"/>
      <c r="Q694" s="42" t="str">
        <f aca="false">IF(P694="","",LEN(P694))</f>
        <v/>
      </c>
      <c r="R694" s="47"/>
      <c r="S694" s="37"/>
      <c r="T694" s="38"/>
      <c r="U694" s="43" t="str">
        <f aca="false">IF(OR(R694&lt;&gt;"Yes",A694=""),"",A694+4)</f>
        <v/>
      </c>
      <c r="V694" s="47"/>
      <c r="W694" s="38"/>
      <c r="X694" s="38"/>
      <c r="Y694" s="44"/>
      <c r="Z694" s="44"/>
      <c r="AA694" s="45" t="str">
        <f aca="false">IF(AND($Y694="",$Z694=""),"",ROUND(IFERROR(VALUE(LEFT($Y694,1)),0)*12+IFERROR(VALUE(LEFT($Z694,1)),0)*8,0))</f>
        <v/>
      </c>
      <c r="AB694" s="45" t="str">
        <f aca="false">IF($AA694="","",IF($AA694&gt;=80,"A - call first",IF($AA694&gt;=60,"B - worth pursuing",IF($AA694&gt;=40,"C - nurture","D - do not spend time here"))))</f>
        <v/>
      </c>
      <c r="AC694" s="46" t="str">
        <f aca="false">IF($C694="","",IF($S694="Converted","7 Certification / Enterprise opportunity",IF($S694="Application Started","7 Certification / Enterprise opportunity",IF($S694="Meeting Booked","6 Meeting / Application",IF(OR($S694="Interested",$S694="Info Requested"),"5 Interested",IF(OR($S694="Declined",$S694="Not Relevant"),"0 Closed - no",IF($R694="Yes","4 Contacted",IF($N694="Yes","2 Engaged",IF($M694="Yes","1 Awareness",IF($AA694&gt;=60,"3 Qualified","1 Awareness"))))))))))</f>
        <v/>
      </c>
    </row>
    <row r="695" customFormat="false" ht="30" hidden="false" customHeight="true" outlineLevel="0" collapsed="false">
      <c r="A695" s="36"/>
      <c r="B695" s="37"/>
      <c r="C695" s="37"/>
      <c r="D695" s="37"/>
      <c r="E695" s="37"/>
      <c r="F695" s="37"/>
      <c r="G695" s="37"/>
      <c r="H695" s="37"/>
      <c r="I695" s="37"/>
      <c r="J695" s="47"/>
      <c r="K695" s="41" t="str">
        <f aca="false">IF(J695="","",IF(J695&gt;=8,"Yes","Check"))</f>
        <v/>
      </c>
      <c r="L695" s="38"/>
      <c r="M695" s="47"/>
      <c r="N695" s="47"/>
      <c r="O695" s="37"/>
      <c r="P695" s="38"/>
      <c r="Q695" s="42" t="str">
        <f aca="false">IF(P695="","",LEN(P695))</f>
        <v/>
      </c>
      <c r="R695" s="47"/>
      <c r="S695" s="37"/>
      <c r="T695" s="38"/>
      <c r="U695" s="43" t="str">
        <f aca="false">IF(OR(R695&lt;&gt;"Yes",A695=""),"",A695+4)</f>
        <v/>
      </c>
      <c r="V695" s="47"/>
      <c r="W695" s="38"/>
      <c r="X695" s="38"/>
      <c r="Y695" s="44"/>
      <c r="Z695" s="44"/>
      <c r="AA695" s="45" t="str">
        <f aca="false">IF(AND($Y695="",$Z695=""),"",ROUND(IFERROR(VALUE(LEFT($Y695,1)),0)*12+IFERROR(VALUE(LEFT($Z695,1)),0)*8,0))</f>
        <v/>
      </c>
      <c r="AB695" s="45" t="str">
        <f aca="false">IF($AA695="","",IF($AA695&gt;=80,"A - call first",IF($AA695&gt;=60,"B - worth pursuing",IF($AA695&gt;=40,"C - nurture","D - do not spend time here"))))</f>
        <v/>
      </c>
      <c r="AC695" s="46" t="str">
        <f aca="false">IF($C695="","",IF($S695="Converted","7 Certification / Enterprise opportunity",IF($S695="Application Started","7 Certification / Enterprise opportunity",IF($S695="Meeting Booked","6 Meeting / Application",IF(OR($S695="Interested",$S695="Info Requested"),"5 Interested",IF(OR($S695="Declined",$S695="Not Relevant"),"0 Closed - no",IF($R695="Yes","4 Contacted",IF($N695="Yes","2 Engaged",IF($M695="Yes","1 Awareness",IF($AA695&gt;=60,"3 Qualified","1 Awareness"))))))))))</f>
        <v/>
      </c>
    </row>
    <row r="696" customFormat="false" ht="30" hidden="false" customHeight="true" outlineLevel="0" collapsed="false">
      <c r="A696" s="36"/>
      <c r="B696" s="37"/>
      <c r="C696" s="37"/>
      <c r="D696" s="37"/>
      <c r="E696" s="37"/>
      <c r="F696" s="37"/>
      <c r="G696" s="37"/>
      <c r="H696" s="37"/>
      <c r="I696" s="37"/>
      <c r="J696" s="47"/>
      <c r="K696" s="41" t="str">
        <f aca="false">IF(J696="","",IF(J696&gt;=8,"Yes","Check"))</f>
        <v/>
      </c>
      <c r="L696" s="38"/>
      <c r="M696" s="47"/>
      <c r="N696" s="47"/>
      <c r="O696" s="37"/>
      <c r="P696" s="38"/>
      <c r="Q696" s="42" t="str">
        <f aca="false">IF(P696="","",LEN(P696))</f>
        <v/>
      </c>
      <c r="R696" s="47"/>
      <c r="S696" s="37"/>
      <c r="T696" s="38"/>
      <c r="U696" s="43" t="str">
        <f aca="false">IF(OR(R696&lt;&gt;"Yes",A696=""),"",A696+4)</f>
        <v/>
      </c>
      <c r="V696" s="47"/>
      <c r="W696" s="38"/>
      <c r="X696" s="38"/>
      <c r="Y696" s="44"/>
      <c r="Z696" s="44"/>
      <c r="AA696" s="45" t="str">
        <f aca="false">IF(AND($Y696="",$Z696=""),"",ROUND(IFERROR(VALUE(LEFT($Y696,1)),0)*12+IFERROR(VALUE(LEFT($Z696,1)),0)*8,0))</f>
        <v/>
      </c>
      <c r="AB696" s="45" t="str">
        <f aca="false">IF($AA696="","",IF($AA696&gt;=80,"A - call first",IF($AA696&gt;=60,"B - worth pursuing",IF($AA696&gt;=40,"C - nurture","D - do not spend time here"))))</f>
        <v/>
      </c>
      <c r="AC696" s="46" t="str">
        <f aca="false">IF($C696="","",IF($S696="Converted","7 Certification / Enterprise opportunity",IF($S696="Application Started","7 Certification / Enterprise opportunity",IF($S696="Meeting Booked","6 Meeting / Application",IF(OR($S696="Interested",$S696="Info Requested"),"5 Interested",IF(OR($S696="Declined",$S696="Not Relevant"),"0 Closed - no",IF($R696="Yes","4 Contacted",IF($N696="Yes","2 Engaged",IF($M696="Yes","1 Awareness",IF($AA696&gt;=60,"3 Qualified","1 Awareness"))))))))))</f>
        <v/>
      </c>
    </row>
    <row r="697" customFormat="false" ht="30" hidden="false" customHeight="true" outlineLevel="0" collapsed="false">
      <c r="A697" s="36"/>
      <c r="B697" s="37"/>
      <c r="C697" s="37"/>
      <c r="D697" s="37"/>
      <c r="E697" s="37"/>
      <c r="F697" s="37"/>
      <c r="G697" s="37"/>
      <c r="H697" s="37"/>
      <c r="I697" s="37"/>
      <c r="J697" s="47"/>
      <c r="K697" s="41" t="str">
        <f aca="false">IF(J697="","",IF(J697&gt;=8,"Yes","Check"))</f>
        <v/>
      </c>
      <c r="L697" s="38"/>
      <c r="M697" s="47"/>
      <c r="N697" s="47"/>
      <c r="O697" s="37"/>
      <c r="P697" s="38"/>
      <c r="Q697" s="42" t="str">
        <f aca="false">IF(P697="","",LEN(P697))</f>
        <v/>
      </c>
      <c r="R697" s="47"/>
      <c r="S697" s="37"/>
      <c r="T697" s="38"/>
      <c r="U697" s="43" t="str">
        <f aca="false">IF(OR(R697&lt;&gt;"Yes",A697=""),"",A697+4)</f>
        <v/>
      </c>
      <c r="V697" s="47"/>
      <c r="W697" s="38"/>
      <c r="X697" s="38"/>
      <c r="Y697" s="44"/>
      <c r="Z697" s="44"/>
      <c r="AA697" s="45" t="str">
        <f aca="false">IF(AND($Y697="",$Z697=""),"",ROUND(IFERROR(VALUE(LEFT($Y697,1)),0)*12+IFERROR(VALUE(LEFT($Z697,1)),0)*8,0))</f>
        <v/>
      </c>
      <c r="AB697" s="45" t="str">
        <f aca="false">IF($AA697="","",IF($AA697&gt;=80,"A - call first",IF($AA697&gt;=60,"B - worth pursuing",IF($AA697&gt;=40,"C - nurture","D - do not spend time here"))))</f>
        <v/>
      </c>
      <c r="AC697" s="46" t="str">
        <f aca="false">IF($C697="","",IF($S697="Converted","7 Certification / Enterprise opportunity",IF($S697="Application Started","7 Certification / Enterprise opportunity",IF($S697="Meeting Booked","6 Meeting / Application",IF(OR($S697="Interested",$S697="Info Requested"),"5 Interested",IF(OR($S697="Declined",$S697="Not Relevant"),"0 Closed - no",IF($R697="Yes","4 Contacted",IF($N697="Yes","2 Engaged",IF($M697="Yes","1 Awareness",IF($AA697&gt;=60,"3 Qualified","1 Awareness"))))))))))</f>
        <v/>
      </c>
    </row>
    <row r="698" customFormat="false" ht="30" hidden="false" customHeight="true" outlineLevel="0" collapsed="false">
      <c r="A698" s="36"/>
      <c r="B698" s="37"/>
      <c r="C698" s="37"/>
      <c r="D698" s="37"/>
      <c r="E698" s="37"/>
      <c r="F698" s="37"/>
      <c r="G698" s="37"/>
      <c r="H698" s="37"/>
      <c r="I698" s="37"/>
      <c r="J698" s="47"/>
      <c r="K698" s="41" t="str">
        <f aca="false">IF(J698="","",IF(J698&gt;=8,"Yes","Check"))</f>
        <v/>
      </c>
      <c r="L698" s="38"/>
      <c r="M698" s="47"/>
      <c r="N698" s="47"/>
      <c r="O698" s="37"/>
      <c r="P698" s="38"/>
      <c r="Q698" s="42" t="str">
        <f aca="false">IF(P698="","",LEN(P698))</f>
        <v/>
      </c>
      <c r="R698" s="47"/>
      <c r="S698" s="37"/>
      <c r="T698" s="38"/>
      <c r="U698" s="43" t="str">
        <f aca="false">IF(OR(R698&lt;&gt;"Yes",A698=""),"",A698+4)</f>
        <v/>
      </c>
      <c r="V698" s="47"/>
      <c r="W698" s="38"/>
      <c r="X698" s="38"/>
      <c r="Y698" s="44"/>
      <c r="Z698" s="44"/>
      <c r="AA698" s="45" t="str">
        <f aca="false">IF(AND($Y698="",$Z698=""),"",ROUND(IFERROR(VALUE(LEFT($Y698,1)),0)*12+IFERROR(VALUE(LEFT($Z698,1)),0)*8,0))</f>
        <v/>
      </c>
      <c r="AB698" s="45" t="str">
        <f aca="false">IF($AA698="","",IF($AA698&gt;=80,"A - call first",IF($AA698&gt;=60,"B - worth pursuing",IF($AA698&gt;=40,"C - nurture","D - do not spend time here"))))</f>
        <v/>
      </c>
      <c r="AC698" s="46" t="str">
        <f aca="false">IF($C698="","",IF($S698="Converted","7 Certification / Enterprise opportunity",IF($S698="Application Started","7 Certification / Enterprise opportunity",IF($S698="Meeting Booked","6 Meeting / Application",IF(OR($S698="Interested",$S698="Info Requested"),"5 Interested",IF(OR($S698="Declined",$S698="Not Relevant"),"0 Closed - no",IF($R698="Yes","4 Contacted",IF($N698="Yes","2 Engaged",IF($M698="Yes","1 Awareness",IF($AA698&gt;=60,"3 Qualified","1 Awareness"))))))))))</f>
        <v/>
      </c>
    </row>
    <row r="699" customFormat="false" ht="30" hidden="false" customHeight="true" outlineLevel="0" collapsed="false">
      <c r="A699" s="36"/>
      <c r="B699" s="37"/>
      <c r="C699" s="37"/>
      <c r="D699" s="37"/>
      <c r="E699" s="37"/>
      <c r="F699" s="37"/>
      <c r="G699" s="37"/>
      <c r="H699" s="37"/>
      <c r="I699" s="37"/>
      <c r="J699" s="47"/>
      <c r="K699" s="41" t="str">
        <f aca="false">IF(J699="","",IF(J699&gt;=8,"Yes","Check"))</f>
        <v/>
      </c>
      <c r="L699" s="38"/>
      <c r="M699" s="47"/>
      <c r="N699" s="47"/>
      <c r="O699" s="37"/>
      <c r="P699" s="38"/>
      <c r="Q699" s="42" t="str">
        <f aca="false">IF(P699="","",LEN(P699))</f>
        <v/>
      </c>
      <c r="R699" s="47"/>
      <c r="S699" s="37"/>
      <c r="T699" s="38"/>
      <c r="U699" s="43" t="str">
        <f aca="false">IF(OR(R699&lt;&gt;"Yes",A699=""),"",A699+4)</f>
        <v/>
      </c>
      <c r="V699" s="47"/>
      <c r="W699" s="38"/>
      <c r="X699" s="38"/>
      <c r="Y699" s="44"/>
      <c r="Z699" s="44"/>
      <c r="AA699" s="45" t="str">
        <f aca="false">IF(AND($Y699="",$Z699=""),"",ROUND(IFERROR(VALUE(LEFT($Y699,1)),0)*12+IFERROR(VALUE(LEFT($Z699,1)),0)*8,0))</f>
        <v/>
      </c>
      <c r="AB699" s="45" t="str">
        <f aca="false">IF($AA699="","",IF($AA699&gt;=80,"A - call first",IF($AA699&gt;=60,"B - worth pursuing",IF($AA699&gt;=40,"C - nurture","D - do not spend time here"))))</f>
        <v/>
      </c>
      <c r="AC699" s="46" t="str">
        <f aca="false">IF($C699="","",IF($S699="Converted","7 Certification / Enterprise opportunity",IF($S699="Application Started","7 Certification / Enterprise opportunity",IF($S699="Meeting Booked","6 Meeting / Application",IF(OR($S699="Interested",$S699="Info Requested"),"5 Interested",IF(OR($S699="Declined",$S699="Not Relevant"),"0 Closed - no",IF($R699="Yes","4 Contacted",IF($N699="Yes","2 Engaged",IF($M699="Yes","1 Awareness",IF($AA699&gt;=60,"3 Qualified","1 Awareness"))))))))))</f>
        <v/>
      </c>
    </row>
    <row r="700" customFormat="false" ht="30" hidden="false" customHeight="true" outlineLevel="0" collapsed="false">
      <c r="A700" s="36"/>
      <c r="B700" s="37"/>
      <c r="C700" s="37"/>
      <c r="D700" s="37"/>
      <c r="E700" s="37"/>
      <c r="F700" s="37"/>
      <c r="G700" s="37"/>
      <c r="H700" s="37"/>
      <c r="I700" s="37"/>
      <c r="J700" s="47"/>
      <c r="K700" s="41" t="str">
        <f aca="false">IF(J700="","",IF(J700&gt;=8,"Yes","Check"))</f>
        <v/>
      </c>
      <c r="L700" s="38"/>
      <c r="M700" s="47"/>
      <c r="N700" s="47"/>
      <c r="O700" s="37"/>
      <c r="P700" s="38"/>
      <c r="Q700" s="42" t="str">
        <f aca="false">IF(P700="","",LEN(P700))</f>
        <v/>
      </c>
      <c r="R700" s="47"/>
      <c r="S700" s="37"/>
      <c r="T700" s="38"/>
      <c r="U700" s="43" t="str">
        <f aca="false">IF(OR(R700&lt;&gt;"Yes",A700=""),"",A700+4)</f>
        <v/>
      </c>
      <c r="V700" s="47"/>
      <c r="W700" s="38"/>
      <c r="X700" s="38"/>
      <c r="Y700" s="44"/>
      <c r="Z700" s="44"/>
      <c r="AA700" s="45" t="str">
        <f aca="false">IF(AND($Y700="",$Z700=""),"",ROUND(IFERROR(VALUE(LEFT($Y700,1)),0)*12+IFERROR(VALUE(LEFT($Z700,1)),0)*8,0))</f>
        <v/>
      </c>
      <c r="AB700" s="45" t="str">
        <f aca="false">IF($AA700="","",IF($AA700&gt;=80,"A - call first",IF($AA700&gt;=60,"B - worth pursuing",IF($AA700&gt;=40,"C - nurture","D - do not spend time here"))))</f>
        <v/>
      </c>
      <c r="AC700" s="46" t="str">
        <f aca="false">IF($C700="","",IF($S700="Converted","7 Certification / Enterprise opportunity",IF($S700="Application Started","7 Certification / Enterprise opportunity",IF($S700="Meeting Booked","6 Meeting / Application",IF(OR($S700="Interested",$S700="Info Requested"),"5 Interested",IF(OR($S700="Declined",$S700="Not Relevant"),"0 Closed - no",IF($R700="Yes","4 Contacted",IF($N700="Yes","2 Engaged",IF($M700="Yes","1 Awareness",IF($AA700&gt;=60,"3 Qualified","1 Awareness"))))))))))</f>
        <v/>
      </c>
    </row>
    <row r="701" customFormat="false" ht="30" hidden="false" customHeight="true" outlineLevel="0" collapsed="false">
      <c r="A701" s="36"/>
      <c r="B701" s="37"/>
      <c r="C701" s="37"/>
      <c r="D701" s="37"/>
      <c r="E701" s="37"/>
      <c r="F701" s="37"/>
      <c r="G701" s="37"/>
      <c r="H701" s="37"/>
      <c r="I701" s="37"/>
      <c r="J701" s="47"/>
      <c r="K701" s="41" t="str">
        <f aca="false">IF(J701="","",IF(J701&gt;=8,"Yes","Check"))</f>
        <v/>
      </c>
      <c r="L701" s="38"/>
      <c r="M701" s="47"/>
      <c r="N701" s="47"/>
      <c r="O701" s="37"/>
      <c r="P701" s="38"/>
      <c r="Q701" s="42" t="str">
        <f aca="false">IF(P701="","",LEN(P701))</f>
        <v/>
      </c>
      <c r="R701" s="47"/>
      <c r="S701" s="37"/>
      <c r="T701" s="38"/>
      <c r="U701" s="43" t="str">
        <f aca="false">IF(OR(R701&lt;&gt;"Yes",A701=""),"",A701+4)</f>
        <v/>
      </c>
      <c r="V701" s="47"/>
      <c r="W701" s="38"/>
      <c r="X701" s="38"/>
      <c r="Y701" s="44"/>
      <c r="Z701" s="44"/>
      <c r="AA701" s="45" t="str">
        <f aca="false">IF(AND($Y701="",$Z701=""),"",ROUND(IFERROR(VALUE(LEFT($Y701,1)),0)*12+IFERROR(VALUE(LEFT($Z701,1)),0)*8,0))</f>
        <v/>
      </c>
      <c r="AB701" s="45" t="str">
        <f aca="false">IF($AA701="","",IF($AA701&gt;=80,"A - call first",IF($AA701&gt;=60,"B - worth pursuing",IF($AA701&gt;=40,"C - nurture","D - do not spend time here"))))</f>
        <v/>
      </c>
      <c r="AC701" s="46" t="str">
        <f aca="false">IF($C701="","",IF($S701="Converted","7 Certification / Enterprise opportunity",IF($S701="Application Started","7 Certification / Enterprise opportunity",IF($S701="Meeting Booked","6 Meeting / Application",IF(OR($S701="Interested",$S701="Info Requested"),"5 Interested",IF(OR($S701="Declined",$S701="Not Relevant"),"0 Closed - no",IF($R701="Yes","4 Contacted",IF($N701="Yes","2 Engaged",IF($M701="Yes","1 Awareness",IF($AA701&gt;=60,"3 Qualified","1 Awareness"))))))))))</f>
        <v/>
      </c>
    </row>
    <row r="702" customFormat="false" ht="30" hidden="false" customHeight="true" outlineLevel="0" collapsed="false">
      <c r="A702" s="36"/>
      <c r="B702" s="37"/>
      <c r="C702" s="37"/>
      <c r="D702" s="37"/>
      <c r="E702" s="37"/>
      <c r="F702" s="37"/>
      <c r="G702" s="37"/>
      <c r="H702" s="37"/>
      <c r="I702" s="37"/>
      <c r="J702" s="47"/>
      <c r="K702" s="41" t="str">
        <f aca="false">IF(J702="","",IF(J702&gt;=8,"Yes","Check"))</f>
        <v/>
      </c>
      <c r="L702" s="38"/>
      <c r="M702" s="47"/>
      <c r="N702" s="47"/>
      <c r="O702" s="37"/>
      <c r="P702" s="38"/>
      <c r="Q702" s="42" t="str">
        <f aca="false">IF(P702="","",LEN(P702))</f>
        <v/>
      </c>
      <c r="R702" s="47"/>
      <c r="S702" s="37"/>
      <c r="T702" s="38"/>
      <c r="U702" s="43" t="str">
        <f aca="false">IF(OR(R702&lt;&gt;"Yes",A702=""),"",A702+4)</f>
        <v/>
      </c>
      <c r="V702" s="47"/>
      <c r="W702" s="38"/>
      <c r="X702" s="38"/>
      <c r="Y702" s="44"/>
      <c r="Z702" s="44"/>
      <c r="AA702" s="45" t="str">
        <f aca="false">IF(AND($Y702="",$Z702=""),"",ROUND(IFERROR(VALUE(LEFT($Y702,1)),0)*12+IFERROR(VALUE(LEFT($Z702,1)),0)*8,0))</f>
        <v/>
      </c>
      <c r="AB702" s="45" t="str">
        <f aca="false">IF($AA702="","",IF($AA702&gt;=80,"A - call first",IF($AA702&gt;=60,"B - worth pursuing",IF($AA702&gt;=40,"C - nurture","D - do not spend time here"))))</f>
        <v/>
      </c>
      <c r="AC702" s="46" t="str">
        <f aca="false">IF($C702="","",IF($S702="Converted","7 Certification / Enterprise opportunity",IF($S702="Application Started","7 Certification / Enterprise opportunity",IF($S702="Meeting Booked","6 Meeting / Application",IF(OR($S702="Interested",$S702="Info Requested"),"5 Interested",IF(OR($S702="Declined",$S702="Not Relevant"),"0 Closed - no",IF($R702="Yes","4 Contacted",IF($N702="Yes","2 Engaged",IF($M702="Yes","1 Awareness",IF($AA702&gt;=60,"3 Qualified","1 Awareness"))))))))))</f>
        <v/>
      </c>
    </row>
    <row r="703" customFormat="false" ht="30" hidden="false" customHeight="true" outlineLevel="0" collapsed="false">
      <c r="A703" s="36"/>
      <c r="B703" s="37"/>
      <c r="C703" s="37"/>
      <c r="D703" s="37"/>
      <c r="E703" s="37"/>
      <c r="F703" s="37"/>
      <c r="G703" s="37"/>
      <c r="H703" s="37"/>
      <c r="I703" s="37"/>
      <c r="J703" s="47"/>
      <c r="K703" s="41" t="str">
        <f aca="false">IF(J703="","",IF(J703&gt;=8,"Yes","Check"))</f>
        <v/>
      </c>
      <c r="L703" s="38"/>
      <c r="M703" s="47"/>
      <c r="N703" s="47"/>
      <c r="O703" s="37"/>
      <c r="P703" s="38"/>
      <c r="Q703" s="42" t="str">
        <f aca="false">IF(P703="","",LEN(P703))</f>
        <v/>
      </c>
      <c r="R703" s="47"/>
      <c r="S703" s="37"/>
      <c r="T703" s="38"/>
      <c r="U703" s="43" t="str">
        <f aca="false">IF(OR(R703&lt;&gt;"Yes",A703=""),"",A703+4)</f>
        <v/>
      </c>
      <c r="V703" s="47"/>
      <c r="W703" s="38"/>
      <c r="X703" s="38"/>
      <c r="Y703" s="44"/>
      <c r="Z703" s="44"/>
      <c r="AA703" s="45" t="str">
        <f aca="false">IF(AND($Y703="",$Z703=""),"",ROUND(IFERROR(VALUE(LEFT($Y703,1)),0)*12+IFERROR(VALUE(LEFT($Z703,1)),0)*8,0))</f>
        <v/>
      </c>
      <c r="AB703" s="45" t="str">
        <f aca="false">IF($AA703="","",IF($AA703&gt;=80,"A - call first",IF($AA703&gt;=60,"B - worth pursuing",IF($AA703&gt;=40,"C - nurture","D - do not spend time here"))))</f>
        <v/>
      </c>
      <c r="AC703" s="46" t="str">
        <f aca="false">IF($C703="","",IF($S703="Converted","7 Certification / Enterprise opportunity",IF($S703="Application Started","7 Certification / Enterprise opportunity",IF($S703="Meeting Booked","6 Meeting / Application",IF(OR($S703="Interested",$S703="Info Requested"),"5 Interested",IF(OR($S703="Declined",$S703="Not Relevant"),"0 Closed - no",IF($R703="Yes","4 Contacted",IF($N703="Yes","2 Engaged",IF($M703="Yes","1 Awareness",IF($AA703&gt;=60,"3 Qualified","1 Awareness"))))))))))</f>
        <v/>
      </c>
    </row>
    <row r="704" customFormat="false" ht="30" hidden="false" customHeight="true" outlineLevel="0" collapsed="false">
      <c r="A704" s="36"/>
      <c r="B704" s="37"/>
      <c r="C704" s="37"/>
      <c r="D704" s="37"/>
      <c r="E704" s="37"/>
      <c r="F704" s="37"/>
      <c r="G704" s="37"/>
      <c r="H704" s="37"/>
      <c r="I704" s="37"/>
      <c r="J704" s="47"/>
      <c r="K704" s="41" t="str">
        <f aca="false">IF(J704="","",IF(J704&gt;=8,"Yes","Check"))</f>
        <v/>
      </c>
      <c r="L704" s="38"/>
      <c r="M704" s="47"/>
      <c r="N704" s="47"/>
      <c r="O704" s="37"/>
      <c r="P704" s="38"/>
      <c r="Q704" s="42" t="str">
        <f aca="false">IF(P704="","",LEN(P704))</f>
        <v/>
      </c>
      <c r="R704" s="47"/>
      <c r="S704" s="37"/>
      <c r="T704" s="38"/>
      <c r="U704" s="43" t="str">
        <f aca="false">IF(OR(R704&lt;&gt;"Yes",A704=""),"",A704+4)</f>
        <v/>
      </c>
      <c r="V704" s="47"/>
      <c r="W704" s="38"/>
      <c r="X704" s="38"/>
      <c r="Y704" s="44"/>
      <c r="Z704" s="44"/>
      <c r="AA704" s="45" t="str">
        <f aca="false">IF(AND($Y704="",$Z704=""),"",ROUND(IFERROR(VALUE(LEFT($Y704,1)),0)*12+IFERROR(VALUE(LEFT($Z704,1)),0)*8,0))</f>
        <v/>
      </c>
      <c r="AB704" s="45" t="str">
        <f aca="false">IF($AA704="","",IF($AA704&gt;=80,"A - call first",IF($AA704&gt;=60,"B - worth pursuing",IF($AA704&gt;=40,"C - nurture","D - do not spend time here"))))</f>
        <v/>
      </c>
      <c r="AC704" s="46" t="str">
        <f aca="false">IF($C704="","",IF($S704="Converted","7 Certification / Enterprise opportunity",IF($S704="Application Started","7 Certification / Enterprise opportunity",IF($S704="Meeting Booked","6 Meeting / Application",IF(OR($S704="Interested",$S704="Info Requested"),"5 Interested",IF(OR($S704="Declined",$S704="Not Relevant"),"0 Closed - no",IF($R704="Yes","4 Contacted",IF($N704="Yes","2 Engaged",IF($M704="Yes","1 Awareness",IF($AA704&gt;=60,"3 Qualified","1 Awareness"))))))))))</f>
        <v/>
      </c>
    </row>
    <row r="705" customFormat="false" ht="30" hidden="false" customHeight="true" outlineLevel="0" collapsed="false">
      <c r="A705" s="36"/>
      <c r="B705" s="37"/>
      <c r="C705" s="37"/>
      <c r="D705" s="37"/>
      <c r="E705" s="37"/>
      <c r="F705" s="37"/>
      <c r="G705" s="37"/>
      <c r="H705" s="37"/>
      <c r="I705" s="37"/>
      <c r="J705" s="47"/>
      <c r="K705" s="41" t="str">
        <f aca="false">IF(J705="","",IF(J705&gt;=8,"Yes","Check"))</f>
        <v/>
      </c>
      <c r="L705" s="38"/>
      <c r="M705" s="47"/>
      <c r="N705" s="47"/>
      <c r="O705" s="37"/>
      <c r="P705" s="38"/>
      <c r="Q705" s="42" t="str">
        <f aca="false">IF(P705="","",LEN(P705))</f>
        <v/>
      </c>
      <c r="R705" s="47"/>
      <c r="S705" s="37"/>
      <c r="T705" s="38"/>
      <c r="U705" s="43" t="str">
        <f aca="false">IF(OR(R705&lt;&gt;"Yes",A705=""),"",A705+4)</f>
        <v/>
      </c>
      <c r="V705" s="47"/>
      <c r="W705" s="38"/>
      <c r="X705" s="38"/>
      <c r="Y705" s="44"/>
      <c r="Z705" s="44"/>
      <c r="AA705" s="45" t="str">
        <f aca="false">IF(AND($Y705="",$Z705=""),"",ROUND(IFERROR(VALUE(LEFT($Y705,1)),0)*12+IFERROR(VALUE(LEFT($Z705,1)),0)*8,0))</f>
        <v/>
      </c>
      <c r="AB705" s="45" t="str">
        <f aca="false">IF($AA705="","",IF($AA705&gt;=80,"A - call first",IF($AA705&gt;=60,"B - worth pursuing",IF($AA705&gt;=40,"C - nurture","D - do not spend time here"))))</f>
        <v/>
      </c>
      <c r="AC705" s="46" t="str">
        <f aca="false">IF($C705="","",IF($S705="Converted","7 Certification / Enterprise opportunity",IF($S705="Application Started","7 Certification / Enterprise opportunity",IF($S705="Meeting Booked","6 Meeting / Application",IF(OR($S705="Interested",$S705="Info Requested"),"5 Interested",IF(OR($S705="Declined",$S705="Not Relevant"),"0 Closed - no",IF($R705="Yes","4 Contacted",IF($N705="Yes","2 Engaged",IF($M705="Yes","1 Awareness",IF($AA705&gt;=60,"3 Qualified","1 Awareness"))))))))))</f>
        <v/>
      </c>
    </row>
    <row r="706" customFormat="false" ht="30" hidden="false" customHeight="true" outlineLevel="0" collapsed="false">
      <c r="A706" s="36"/>
      <c r="B706" s="37"/>
      <c r="C706" s="37"/>
      <c r="D706" s="37"/>
      <c r="E706" s="37"/>
      <c r="F706" s="37"/>
      <c r="G706" s="37"/>
      <c r="H706" s="37"/>
      <c r="I706" s="37"/>
      <c r="J706" s="47"/>
      <c r="K706" s="41" t="str">
        <f aca="false">IF(J706="","",IF(J706&gt;=8,"Yes","Check"))</f>
        <v/>
      </c>
      <c r="L706" s="38"/>
      <c r="M706" s="47"/>
      <c r="N706" s="47"/>
      <c r="O706" s="37"/>
      <c r="P706" s="38"/>
      <c r="Q706" s="42" t="str">
        <f aca="false">IF(P706="","",LEN(P706))</f>
        <v/>
      </c>
      <c r="R706" s="47"/>
      <c r="S706" s="37"/>
      <c r="T706" s="38"/>
      <c r="U706" s="43" t="str">
        <f aca="false">IF(OR(R706&lt;&gt;"Yes",A706=""),"",A706+4)</f>
        <v/>
      </c>
      <c r="V706" s="47"/>
      <c r="W706" s="38"/>
      <c r="X706" s="38"/>
      <c r="Y706" s="44"/>
      <c r="Z706" s="44"/>
      <c r="AA706" s="45" t="str">
        <f aca="false">IF(AND($Y706="",$Z706=""),"",ROUND(IFERROR(VALUE(LEFT($Y706,1)),0)*12+IFERROR(VALUE(LEFT($Z706,1)),0)*8,0))</f>
        <v/>
      </c>
      <c r="AB706" s="45" t="str">
        <f aca="false">IF($AA706="","",IF($AA706&gt;=80,"A - call first",IF($AA706&gt;=60,"B - worth pursuing",IF($AA706&gt;=40,"C - nurture","D - do not spend time here"))))</f>
        <v/>
      </c>
      <c r="AC706" s="46" t="str">
        <f aca="false">IF($C706="","",IF($S706="Converted","7 Certification / Enterprise opportunity",IF($S706="Application Started","7 Certification / Enterprise opportunity",IF($S706="Meeting Booked","6 Meeting / Application",IF(OR($S706="Interested",$S706="Info Requested"),"5 Interested",IF(OR($S706="Declined",$S706="Not Relevant"),"0 Closed - no",IF($R706="Yes","4 Contacted",IF($N706="Yes","2 Engaged",IF($M706="Yes","1 Awareness",IF($AA706&gt;=60,"3 Qualified","1 Awareness"))))))))))</f>
        <v/>
      </c>
    </row>
    <row r="707" customFormat="false" ht="30" hidden="false" customHeight="true" outlineLevel="0" collapsed="false">
      <c r="A707" s="36"/>
      <c r="B707" s="37"/>
      <c r="C707" s="37"/>
      <c r="D707" s="37"/>
      <c r="E707" s="37"/>
      <c r="F707" s="37"/>
      <c r="G707" s="37"/>
      <c r="H707" s="37"/>
      <c r="I707" s="37"/>
      <c r="J707" s="47"/>
      <c r="K707" s="41" t="str">
        <f aca="false">IF(J707="","",IF(J707&gt;=8,"Yes","Check"))</f>
        <v/>
      </c>
      <c r="L707" s="38"/>
      <c r="M707" s="47"/>
      <c r="N707" s="47"/>
      <c r="O707" s="37"/>
      <c r="P707" s="38"/>
      <c r="Q707" s="42" t="str">
        <f aca="false">IF(P707="","",LEN(P707))</f>
        <v/>
      </c>
      <c r="R707" s="47"/>
      <c r="S707" s="37"/>
      <c r="T707" s="38"/>
      <c r="U707" s="43" t="str">
        <f aca="false">IF(OR(R707&lt;&gt;"Yes",A707=""),"",A707+4)</f>
        <v/>
      </c>
      <c r="V707" s="47"/>
      <c r="W707" s="38"/>
      <c r="X707" s="38"/>
      <c r="Y707" s="44"/>
      <c r="Z707" s="44"/>
      <c r="AA707" s="45" t="str">
        <f aca="false">IF(AND($Y707="",$Z707=""),"",ROUND(IFERROR(VALUE(LEFT($Y707,1)),0)*12+IFERROR(VALUE(LEFT($Z707,1)),0)*8,0))</f>
        <v/>
      </c>
      <c r="AB707" s="45" t="str">
        <f aca="false">IF($AA707="","",IF($AA707&gt;=80,"A - call first",IF($AA707&gt;=60,"B - worth pursuing",IF($AA707&gt;=40,"C - nurture","D - do not spend time here"))))</f>
        <v/>
      </c>
      <c r="AC707" s="46" t="str">
        <f aca="false">IF($C707="","",IF($S707="Converted","7 Certification / Enterprise opportunity",IF($S707="Application Started","7 Certification / Enterprise opportunity",IF($S707="Meeting Booked","6 Meeting / Application",IF(OR($S707="Interested",$S707="Info Requested"),"5 Interested",IF(OR($S707="Declined",$S707="Not Relevant"),"0 Closed - no",IF($R707="Yes","4 Contacted",IF($N707="Yes","2 Engaged",IF($M707="Yes","1 Awareness",IF($AA707&gt;=60,"3 Qualified","1 Awareness"))))))))))</f>
        <v/>
      </c>
    </row>
    <row r="708" customFormat="false" ht="30" hidden="false" customHeight="true" outlineLevel="0" collapsed="false">
      <c r="A708" s="36"/>
      <c r="B708" s="37"/>
      <c r="C708" s="37"/>
      <c r="D708" s="37"/>
      <c r="E708" s="37"/>
      <c r="F708" s="37"/>
      <c r="G708" s="37"/>
      <c r="H708" s="37"/>
      <c r="I708" s="37"/>
      <c r="J708" s="47"/>
      <c r="K708" s="41" t="str">
        <f aca="false">IF(J708="","",IF(J708&gt;=8,"Yes","Check"))</f>
        <v/>
      </c>
      <c r="L708" s="38"/>
      <c r="M708" s="47"/>
      <c r="N708" s="47"/>
      <c r="O708" s="37"/>
      <c r="P708" s="38"/>
      <c r="Q708" s="42" t="str">
        <f aca="false">IF(P708="","",LEN(P708))</f>
        <v/>
      </c>
      <c r="R708" s="47"/>
      <c r="S708" s="37"/>
      <c r="T708" s="38"/>
      <c r="U708" s="43" t="str">
        <f aca="false">IF(OR(R708&lt;&gt;"Yes",A708=""),"",A708+4)</f>
        <v/>
      </c>
      <c r="V708" s="47"/>
      <c r="W708" s="38"/>
      <c r="X708" s="38"/>
      <c r="Y708" s="44"/>
      <c r="Z708" s="44"/>
      <c r="AA708" s="45" t="str">
        <f aca="false">IF(AND($Y708="",$Z708=""),"",ROUND(IFERROR(VALUE(LEFT($Y708,1)),0)*12+IFERROR(VALUE(LEFT($Z708,1)),0)*8,0))</f>
        <v/>
      </c>
      <c r="AB708" s="45" t="str">
        <f aca="false">IF($AA708="","",IF($AA708&gt;=80,"A - call first",IF($AA708&gt;=60,"B - worth pursuing",IF($AA708&gt;=40,"C - nurture","D - do not spend time here"))))</f>
        <v/>
      </c>
      <c r="AC708" s="46" t="str">
        <f aca="false">IF($C708="","",IF($S708="Converted","7 Certification / Enterprise opportunity",IF($S708="Application Started","7 Certification / Enterprise opportunity",IF($S708="Meeting Booked","6 Meeting / Application",IF(OR($S708="Interested",$S708="Info Requested"),"5 Interested",IF(OR($S708="Declined",$S708="Not Relevant"),"0 Closed - no",IF($R708="Yes","4 Contacted",IF($N708="Yes","2 Engaged",IF($M708="Yes","1 Awareness",IF($AA708&gt;=60,"3 Qualified","1 Awareness"))))))))))</f>
        <v/>
      </c>
    </row>
    <row r="709" customFormat="false" ht="30" hidden="false" customHeight="true" outlineLevel="0" collapsed="false">
      <c r="A709" s="36"/>
      <c r="B709" s="37"/>
      <c r="C709" s="37"/>
      <c r="D709" s="37"/>
      <c r="E709" s="37"/>
      <c r="F709" s="37"/>
      <c r="G709" s="37"/>
      <c r="H709" s="37"/>
      <c r="I709" s="37"/>
      <c r="J709" s="47"/>
      <c r="K709" s="41" t="str">
        <f aca="false">IF(J709="","",IF(J709&gt;=8,"Yes","Check"))</f>
        <v/>
      </c>
      <c r="L709" s="38"/>
      <c r="M709" s="47"/>
      <c r="N709" s="47"/>
      <c r="O709" s="37"/>
      <c r="P709" s="38"/>
      <c r="Q709" s="42" t="str">
        <f aca="false">IF(P709="","",LEN(P709))</f>
        <v/>
      </c>
      <c r="R709" s="47"/>
      <c r="S709" s="37"/>
      <c r="T709" s="38"/>
      <c r="U709" s="43" t="str">
        <f aca="false">IF(OR(R709&lt;&gt;"Yes",A709=""),"",A709+4)</f>
        <v/>
      </c>
      <c r="V709" s="47"/>
      <c r="W709" s="38"/>
      <c r="X709" s="38"/>
      <c r="Y709" s="44"/>
      <c r="Z709" s="44"/>
      <c r="AA709" s="45" t="str">
        <f aca="false">IF(AND($Y709="",$Z709=""),"",ROUND(IFERROR(VALUE(LEFT($Y709,1)),0)*12+IFERROR(VALUE(LEFT($Z709,1)),0)*8,0))</f>
        <v/>
      </c>
      <c r="AB709" s="45" t="str">
        <f aca="false">IF($AA709="","",IF($AA709&gt;=80,"A - call first",IF($AA709&gt;=60,"B - worth pursuing",IF($AA709&gt;=40,"C - nurture","D - do not spend time here"))))</f>
        <v/>
      </c>
      <c r="AC709" s="46" t="str">
        <f aca="false">IF($C709="","",IF($S709="Converted","7 Certification / Enterprise opportunity",IF($S709="Application Started","7 Certification / Enterprise opportunity",IF($S709="Meeting Booked","6 Meeting / Application",IF(OR($S709="Interested",$S709="Info Requested"),"5 Interested",IF(OR($S709="Declined",$S709="Not Relevant"),"0 Closed - no",IF($R709="Yes","4 Contacted",IF($N709="Yes","2 Engaged",IF($M709="Yes","1 Awareness",IF($AA709&gt;=60,"3 Qualified","1 Awareness"))))))))))</f>
        <v/>
      </c>
    </row>
    <row r="710" customFormat="false" ht="30" hidden="false" customHeight="true" outlineLevel="0" collapsed="false">
      <c r="A710" s="36"/>
      <c r="B710" s="37"/>
      <c r="C710" s="37"/>
      <c r="D710" s="37"/>
      <c r="E710" s="37"/>
      <c r="F710" s="37"/>
      <c r="G710" s="37"/>
      <c r="H710" s="37"/>
      <c r="I710" s="37"/>
      <c r="J710" s="47"/>
      <c r="K710" s="41" t="str">
        <f aca="false">IF(J710="","",IF(J710&gt;=8,"Yes","Check"))</f>
        <v/>
      </c>
      <c r="L710" s="38"/>
      <c r="M710" s="47"/>
      <c r="N710" s="47"/>
      <c r="O710" s="37"/>
      <c r="P710" s="38"/>
      <c r="Q710" s="42" t="str">
        <f aca="false">IF(P710="","",LEN(P710))</f>
        <v/>
      </c>
      <c r="R710" s="47"/>
      <c r="S710" s="37"/>
      <c r="T710" s="38"/>
      <c r="U710" s="43" t="str">
        <f aca="false">IF(OR(R710&lt;&gt;"Yes",A710=""),"",A710+4)</f>
        <v/>
      </c>
      <c r="V710" s="47"/>
      <c r="W710" s="38"/>
      <c r="X710" s="38"/>
      <c r="Y710" s="44"/>
      <c r="Z710" s="44"/>
      <c r="AA710" s="45" t="str">
        <f aca="false">IF(AND($Y710="",$Z710=""),"",ROUND(IFERROR(VALUE(LEFT($Y710,1)),0)*12+IFERROR(VALUE(LEFT($Z710,1)),0)*8,0))</f>
        <v/>
      </c>
      <c r="AB710" s="45" t="str">
        <f aca="false">IF($AA710="","",IF($AA710&gt;=80,"A - call first",IF($AA710&gt;=60,"B - worth pursuing",IF($AA710&gt;=40,"C - nurture","D - do not spend time here"))))</f>
        <v/>
      </c>
      <c r="AC710" s="46" t="str">
        <f aca="false">IF($C710="","",IF($S710="Converted","7 Certification / Enterprise opportunity",IF($S710="Application Started","7 Certification / Enterprise opportunity",IF($S710="Meeting Booked","6 Meeting / Application",IF(OR($S710="Interested",$S710="Info Requested"),"5 Interested",IF(OR($S710="Declined",$S710="Not Relevant"),"0 Closed - no",IF($R710="Yes","4 Contacted",IF($N710="Yes","2 Engaged",IF($M710="Yes","1 Awareness",IF($AA710&gt;=60,"3 Qualified","1 Awareness"))))))))))</f>
        <v/>
      </c>
    </row>
    <row r="711" customFormat="false" ht="30" hidden="false" customHeight="true" outlineLevel="0" collapsed="false">
      <c r="A711" s="36"/>
      <c r="B711" s="37"/>
      <c r="C711" s="37"/>
      <c r="D711" s="37"/>
      <c r="E711" s="37"/>
      <c r="F711" s="37"/>
      <c r="G711" s="37"/>
      <c r="H711" s="37"/>
      <c r="I711" s="37"/>
      <c r="J711" s="47"/>
      <c r="K711" s="41" t="str">
        <f aca="false">IF(J711="","",IF(J711&gt;=8,"Yes","Check"))</f>
        <v/>
      </c>
      <c r="L711" s="38"/>
      <c r="M711" s="47"/>
      <c r="N711" s="47"/>
      <c r="O711" s="37"/>
      <c r="P711" s="38"/>
      <c r="Q711" s="42" t="str">
        <f aca="false">IF(P711="","",LEN(P711))</f>
        <v/>
      </c>
      <c r="R711" s="47"/>
      <c r="S711" s="37"/>
      <c r="T711" s="38"/>
      <c r="U711" s="43" t="str">
        <f aca="false">IF(OR(R711&lt;&gt;"Yes",A711=""),"",A711+4)</f>
        <v/>
      </c>
      <c r="V711" s="47"/>
      <c r="W711" s="38"/>
      <c r="X711" s="38"/>
      <c r="Y711" s="44"/>
      <c r="Z711" s="44"/>
      <c r="AA711" s="45" t="str">
        <f aca="false">IF(AND($Y711="",$Z711=""),"",ROUND(IFERROR(VALUE(LEFT($Y711,1)),0)*12+IFERROR(VALUE(LEFT($Z711,1)),0)*8,0))</f>
        <v/>
      </c>
      <c r="AB711" s="45" t="str">
        <f aca="false">IF($AA711="","",IF($AA711&gt;=80,"A - call first",IF($AA711&gt;=60,"B - worth pursuing",IF($AA711&gt;=40,"C - nurture","D - do not spend time here"))))</f>
        <v/>
      </c>
      <c r="AC711" s="46" t="str">
        <f aca="false">IF($C711="","",IF($S711="Converted","7 Certification / Enterprise opportunity",IF($S711="Application Started","7 Certification / Enterprise opportunity",IF($S711="Meeting Booked","6 Meeting / Application",IF(OR($S711="Interested",$S711="Info Requested"),"5 Interested",IF(OR($S711="Declined",$S711="Not Relevant"),"0 Closed - no",IF($R711="Yes","4 Contacted",IF($N711="Yes","2 Engaged",IF($M711="Yes","1 Awareness",IF($AA711&gt;=60,"3 Qualified","1 Awareness"))))))))))</f>
        <v/>
      </c>
    </row>
    <row r="712" customFormat="false" ht="30" hidden="false" customHeight="true" outlineLevel="0" collapsed="false">
      <c r="A712" s="36"/>
      <c r="B712" s="37"/>
      <c r="C712" s="37"/>
      <c r="D712" s="37"/>
      <c r="E712" s="37"/>
      <c r="F712" s="37"/>
      <c r="G712" s="37"/>
      <c r="H712" s="37"/>
      <c r="I712" s="37"/>
      <c r="J712" s="47"/>
      <c r="K712" s="41" t="str">
        <f aca="false">IF(J712="","",IF(J712&gt;=8,"Yes","Check"))</f>
        <v/>
      </c>
      <c r="L712" s="38"/>
      <c r="M712" s="47"/>
      <c r="N712" s="47"/>
      <c r="O712" s="37"/>
      <c r="P712" s="38"/>
      <c r="Q712" s="42" t="str">
        <f aca="false">IF(P712="","",LEN(P712))</f>
        <v/>
      </c>
      <c r="R712" s="47"/>
      <c r="S712" s="37"/>
      <c r="T712" s="38"/>
      <c r="U712" s="43" t="str">
        <f aca="false">IF(OR(R712&lt;&gt;"Yes",A712=""),"",A712+4)</f>
        <v/>
      </c>
      <c r="V712" s="47"/>
      <c r="W712" s="38"/>
      <c r="X712" s="38"/>
      <c r="Y712" s="44"/>
      <c r="Z712" s="44"/>
      <c r="AA712" s="45" t="str">
        <f aca="false">IF(AND($Y712="",$Z712=""),"",ROUND(IFERROR(VALUE(LEFT($Y712,1)),0)*12+IFERROR(VALUE(LEFT($Z712,1)),0)*8,0))</f>
        <v/>
      </c>
      <c r="AB712" s="45" t="str">
        <f aca="false">IF($AA712="","",IF($AA712&gt;=80,"A - call first",IF($AA712&gt;=60,"B - worth pursuing",IF($AA712&gt;=40,"C - nurture","D - do not spend time here"))))</f>
        <v/>
      </c>
      <c r="AC712" s="46" t="str">
        <f aca="false">IF($C712="","",IF($S712="Converted","7 Certification / Enterprise opportunity",IF($S712="Application Started","7 Certification / Enterprise opportunity",IF($S712="Meeting Booked","6 Meeting / Application",IF(OR($S712="Interested",$S712="Info Requested"),"5 Interested",IF(OR($S712="Declined",$S712="Not Relevant"),"0 Closed - no",IF($R712="Yes","4 Contacted",IF($N712="Yes","2 Engaged",IF($M712="Yes","1 Awareness",IF($AA712&gt;=60,"3 Qualified","1 Awareness"))))))))))</f>
        <v/>
      </c>
    </row>
    <row r="713" customFormat="false" ht="30" hidden="false" customHeight="true" outlineLevel="0" collapsed="false">
      <c r="A713" s="36"/>
      <c r="B713" s="37"/>
      <c r="C713" s="37"/>
      <c r="D713" s="37"/>
      <c r="E713" s="37"/>
      <c r="F713" s="37"/>
      <c r="G713" s="37"/>
      <c r="H713" s="37"/>
      <c r="I713" s="37"/>
      <c r="J713" s="47"/>
      <c r="K713" s="41" t="str">
        <f aca="false">IF(J713="","",IF(J713&gt;=8,"Yes","Check"))</f>
        <v/>
      </c>
      <c r="L713" s="38"/>
      <c r="M713" s="47"/>
      <c r="N713" s="47"/>
      <c r="O713" s="37"/>
      <c r="P713" s="38"/>
      <c r="Q713" s="42" t="str">
        <f aca="false">IF(P713="","",LEN(P713))</f>
        <v/>
      </c>
      <c r="R713" s="47"/>
      <c r="S713" s="37"/>
      <c r="T713" s="38"/>
      <c r="U713" s="43" t="str">
        <f aca="false">IF(OR(R713&lt;&gt;"Yes",A713=""),"",A713+4)</f>
        <v/>
      </c>
      <c r="V713" s="47"/>
      <c r="W713" s="38"/>
      <c r="X713" s="38"/>
      <c r="Y713" s="44"/>
      <c r="Z713" s="44"/>
      <c r="AA713" s="45" t="str">
        <f aca="false">IF(AND($Y713="",$Z713=""),"",ROUND(IFERROR(VALUE(LEFT($Y713,1)),0)*12+IFERROR(VALUE(LEFT($Z713,1)),0)*8,0))</f>
        <v/>
      </c>
      <c r="AB713" s="45" t="str">
        <f aca="false">IF($AA713="","",IF($AA713&gt;=80,"A - call first",IF($AA713&gt;=60,"B - worth pursuing",IF($AA713&gt;=40,"C - nurture","D - do not spend time here"))))</f>
        <v/>
      </c>
      <c r="AC713" s="46" t="str">
        <f aca="false">IF($C713="","",IF($S713="Converted","7 Certification / Enterprise opportunity",IF($S713="Application Started","7 Certification / Enterprise opportunity",IF($S713="Meeting Booked","6 Meeting / Application",IF(OR($S713="Interested",$S713="Info Requested"),"5 Interested",IF(OR($S713="Declined",$S713="Not Relevant"),"0 Closed - no",IF($R713="Yes","4 Contacted",IF($N713="Yes","2 Engaged",IF($M713="Yes","1 Awareness",IF($AA713&gt;=60,"3 Qualified","1 Awareness"))))))))))</f>
        <v/>
      </c>
    </row>
    <row r="714" customFormat="false" ht="30" hidden="false" customHeight="true" outlineLevel="0" collapsed="false">
      <c r="A714" s="36"/>
      <c r="B714" s="37"/>
      <c r="C714" s="37"/>
      <c r="D714" s="37"/>
      <c r="E714" s="37"/>
      <c r="F714" s="37"/>
      <c r="G714" s="37"/>
      <c r="H714" s="37"/>
      <c r="I714" s="37"/>
      <c r="J714" s="47"/>
      <c r="K714" s="41" t="str">
        <f aca="false">IF(J714="","",IF(J714&gt;=8,"Yes","Check"))</f>
        <v/>
      </c>
      <c r="L714" s="38"/>
      <c r="M714" s="47"/>
      <c r="N714" s="47"/>
      <c r="O714" s="37"/>
      <c r="P714" s="38"/>
      <c r="Q714" s="42" t="str">
        <f aca="false">IF(P714="","",LEN(P714))</f>
        <v/>
      </c>
      <c r="R714" s="47"/>
      <c r="S714" s="37"/>
      <c r="T714" s="38"/>
      <c r="U714" s="43" t="str">
        <f aca="false">IF(OR(R714&lt;&gt;"Yes",A714=""),"",A714+4)</f>
        <v/>
      </c>
      <c r="V714" s="47"/>
      <c r="W714" s="38"/>
      <c r="X714" s="38"/>
      <c r="Y714" s="44"/>
      <c r="Z714" s="44"/>
      <c r="AA714" s="45" t="str">
        <f aca="false">IF(AND($Y714="",$Z714=""),"",ROUND(IFERROR(VALUE(LEFT($Y714,1)),0)*12+IFERROR(VALUE(LEFT($Z714,1)),0)*8,0))</f>
        <v/>
      </c>
      <c r="AB714" s="45" t="str">
        <f aca="false">IF($AA714="","",IF($AA714&gt;=80,"A - call first",IF($AA714&gt;=60,"B - worth pursuing",IF($AA714&gt;=40,"C - nurture","D - do not spend time here"))))</f>
        <v/>
      </c>
      <c r="AC714" s="46" t="str">
        <f aca="false">IF($C714="","",IF($S714="Converted","7 Certification / Enterprise opportunity",IF($S714="Application Started","7 Certification / Enterprise opportunity",IF($S714="Meeting Booked","6 Meeting / Application",IF(OR($S714="Interested",$S714="Info Requested"),"5 Interested",IF(OR($S714="Declined",$S714="Not Relevant"),"0 Closed - no",IF($R714="Yes","4 Contacted",IF($N714="Yes","2 Engaged",IF($M714="Yes","1 Awareness",IF($AA714&gt;=60,"3 Qualified","1 Awareness"))))))))))</f>
        <v/>
      </c>
    </row>
    <row r="715" customFormat="false" ht="30" hidden="false" customHeight="true" outlineLevel="0" collapsed="false">
      <c r="A715" s="36"/>
      <c r="B715" s="37"/>
      <c r="C715" s="37"/>
      <c r="D715" s="37"/>
      <c r="E715" s="37"/>
      <c r="F715" s="37"/>
      <c r="G715" s="37"/>
      <c r="H715" s="37"/>
      <c r="I715" s="37"/>
      <c r="J715" s="47"/>
      <c r="K715" s="41" t="str">
        <f aca="false">IF(J715="","",IF(J715&gt;=8,"Yes","Check"))</f>
        <v/>
      </c>
      <c r="L715" s="38"/>
      <c r="M715" s="47"/>
      <c r="N715" s="47"/>
      <c r="O715" s="37"/>
      <c r="P715" s="38"/>
      <c r="Q715" s="42" t="str">
        <f aca="false">IF(P715="","",LEN(P715))</f>
        <v/>
      </c>
      <c r="R715" s="47"/>
      <c r="S715" s="37"/>
      <c r="T715" s="38"/>
      <c r="U715" s="43" t="str">
        <f aca="false">IF(OR(R715&lt;&gt;"Yes",A715=""),"",A715+4)</f>
        <v/>
      </c>
      <c r="V715" s="47"/>
      <c r="W715" s="38"/>
      <c r="X715" s="38"/>
      <c r="Y715" s="44"/>
      <c r="Z715" s="44"/>
      <c r="AA715" s="45" t="str">
        <f aca="false">IF(AND($Y715="",$Z715=""),"",ROUND(IFERROR(VALUE(LEFT($Y715,1)),0)*12+IFERROR(VALUE(LEFT($Z715,1)),0)*8,0))</f>
        <v/>
      </c>
      <c r="AB715" s="45" t="str">
        <f aca="false">IF($AA715="","",IF($AA715&gt;=80,"A - call first",IF($AA715&gt;=60,"B - worth pursuing",IF($AA715&gt;=40,"C - nurture","D - do not spend time here"))))</f>
        <v/>
      </c>
      <c r="AC715" s="46" t="str">
        <f aca="false">IF($C715="","",IF($S715="Converted","7 Certification / Enterprise opportunity",IF($S715="Application Started","7 Certification / Enterprise opportunity",IF($S715="Meeting Booked","6 Meeting / Application",IF(OR($S715="Interested",$S715="Info Requested"),"5 Interested",IF(OR($S715="Declined",$S715="Not Relevant"),"0 Closed - no",IF($R715="Yes","4 Contacted",IF($N715="Yes","2 Engaged",IF($M715="Yes","1 Awareness",IF($AA715&gt;=60,"3 Qualified","1 Awareness"))))))))))</f>
        <v/>
      </c>
    </row>
    <row r="716" customFormat="false" ht="30" hidden="false" customHeight="true" outlineLevel="0" collapsed="false">
      <c r="A716" s="36"/>
      <c r="B716" s="37"/>
      <c r="C716" s="37"/>
      <c r="D716" s="37"/>
      <c r="E716" s="37"/>
      <c r="F716" s="37"/>
      <c r="G716" s="37"/>
      <c r="H716" s="37"/>
      <c r="I716" s="37"/>
      <c r="J716" s="47"/>
      <c r="K716" s="41" t="str">
        <f aca="false">IF(J716="","",IF(J716&gt;=8,"Yes","Check"))</f>
        <v/>
      </c>
      <c r="L716" s="38"/>
      <c r="M716" s="47"/>
      <c r="N716" s="47"/>
      <c r="O716" s="37"/>
      <c r="P716" s="38"/>
      <c r="Q716" s="42" t="str">
        <f aca="false">IF(P716="","",LEN(P716))</f>
        <v/>
      </c>
      <c r="R716" s="47"/>
      <c r="S716" s="37"/>
      <c r="T716" s="38"/>
      <c r="U716" s="43" t="str">
        <f aca="false">IF(OR(R716&lt;&gt;"Yes",A716=""),"",A716+4)</f>
        <v/>
      </c>
      <c r="V716" s="47"/>
      <c r="W716" s="38"/>
      <c r="X716" s="38"/>
      <c r="Y716" s="44"/>
      <c r="Z716" s="44"/>
      <c r="AA716" s="45" t="str">
        <f aca="false">IF(AND($Y716="",$Z716=""),"",ROUND(IFERROR(VALUE(LEFT($Y716,1)),0)*12+IFERROR(VALUE(LEFT($Z716,1)),0)*8,0))</f>
        <v/>
      </c>
      <c r="AB716" s="45" t="str">
        <f aca="false">IF($AA716="","",IF($AA716&gt;=80,"A - call first",IF($AA716&gt;=60,"B - worth pursuing",IF($AA716&gt;=40,"C - nurture","D - do not spend time here"))))</f>
        <v/>
      </c>
      <c r="AC716" s="46" t="str">
        <f aca="false">IF($C716="","",IF($S716="Converted","7 Certification / Enterprise opportunity",IF($S716="Application Started","7 Certification / Enterprise opportunity",IF($S716="Meeting Booked","6 Meeting / Application",IF(OR($S716="Interested",$S716="Info Requested"),"5 Interested",IF(OR($S716="Declined",$S716="Not Relevant"),"0 Closed - no",IF($R716="Yes","4 Contacted",IF($N716="Yes","2 Engaged",IF($M716="Yes","1 Awareness",IF($AA716&gt;=60,"3 Qualified","1 Awareness"))))))))))</f>
        <v/>
      </c>
    </row>
    <row r="717" customFormat="false" ht="30" hidden="false" customHeight="true" outlineLevel="0" collapsed="false">
      <c r="A717" s="36"/>
      <c r="B717" s="37"/>
      <c r="C717" s="37"/>
      <c r="D717" s="37"/>
      <c r="E717" s="37"/>
      <c r="F717" s="37"/>
      <c r="G717" s="37"/>
      <c r="H717" s="37"/>
      <c r="I717" s="37"/>
      <c r="J717" s="47"/>
      <c r="K717" s="41" t="str">
        <f aca="false">IF(J717="","",IF(J717&gt;=8,"Yes","Check"))</f>
        <v/>
      </c>
      <c r="L717" s="38"/>
      <c r="M717" s="47"/>
      <c r="N717" s="47"/>
      <c r="O717" s="37"/>
      <c r="P717" s="38"/>
      <c r="Q717" s="42" t="str">
        <f aca="false">IF(P717="","",LEN(P717))</f>
        <v/>
      </c>
      <c r="R717" s="47"/>
      <c r="S717" s="37"/>
      <c r="T717" s="38"/>
      <c r="U717" s="43" t="str">
        <f aca="false">IF(OR(R717&lt;&gt;"Yes",A717=""),"",A717+4)</f>
        <v/>
      </c>
      <c r="V717" s="47"/>
      <c r="W717" s="38"/>
      <c r="X717" s="38"/>
      <c r="Y717" s="44"/>
      <c r="Z717" s="44"/>
      <c r="AA717" s="45" t="str">
        <f aca="false">IF(AND($Y717="",$Z717=""),"",ROUND(IFERROR(VALUE(LEFT($Y717,1)),0)*12+IFERROR(VALUE(LEFT($Z717,1)),0)*8,0))</f>
        <v/>
      </c>
      <c r="AB717" s="45" t="str">
        <f aca="false">IF($AA717="","",IF($AA717&gt;=80,"A - call first",IF($AA717&gt;=60,"B - worth pursuing",IF($AA717&gt;=40,"C - nurture","D - do not spend time here"))))</f>
        <v/>
      </c>
      <c r="AC717" s="46" t="str">
        <f aca="false">IF($C717="","",IF($S717="Converted","7 Certification / Enterprise opportunity",IF($S717="Application Started","7 Certification / Enterprise opportunity",IF($S717="Meeting Booked","6 Meeting / Application",IF(OR($S717="Interested",$S717="Info Requested"),"5 Interested",IF(OR($S717="Declined",$S717="Not Relevant"),"0 Closed - no",IF($R717="Yes","4 Contacted",IF($N717="Yes","2 Engaged",IF($M717="Yes","1 Awareness",IF($AA717&gt;=60,"3 Qualified","1 Awareness"))))))))))</f>
        <v/>
      </c>
    </row>
    <row r="718" customFormat="false" ht="30" hidden="false" customHeight="true" outlineLevel="0" collapsed="false">
      <c r="A718" s="36"/>
      <c r="B718" s="37"/>
      <c r="C718" s="37"/>
      <c r="D718" s="37"/>
      <c r="E718" s="37"/>
      <c r="F718" s="37"/>
      <c r="G718" s="37"/>
      <c r="H718" s="37"/>
      <c r="I718" s="37"/>
      <c r="J718" s="47"/>
      <c r="K718" s="41" t="str">
        <f aca="false">IF(J718="","",IF(J718&gt;=8,"Yes","Check"))</f>
        <v/>
      </c>
      <c r="L718" s="38"/>
      <c r="M718" s="47"/>
      <c r="N718" s="47"/>
      <c r="O718" s="37"/>
      <c r="P718" s="38"/>
      <c r="Q718" s="42" t="str">
        <f aca="false">IF(P718="","",LEN(P718))</f>
        <v/>
      </c>
      <c r="R718" s="47"/>
      <c r="S718" s="37"/>
      <c r="T718" s="38"/>
      <c r="U718" s="43" t="str">
        <f aca="false">IF(OR(R718&lt;&gt;"Yes",A718=""),"",A718+4)</f>
        <v/>
      </c>
      <c r="V718" s="47"/>
      <c r="W718" s="38"/>
      <c r="X718" s="38"/>
      <c r="Y718" s="44"/>
      <c r="Z718" s="44"/>
      <c r="AA718" s="45" t="str">
        <f aca="false">IF(AND($Y718="",$Z718=""),"",ROUND(IFERROR(VALUE(LEFT($Y718,1)),0)*12+IFERROR(VALUE(LEFT($Z718,1)),0)*8,0))</f>
        <v/>
      </c>
      <c r="AB718" s="45" t="str">
        <f aca="false">IF($AA718="","",IF($AA718&gt;=80,"A - call first",IF($AA718&gt;=60,"B - worth pursuing",IF($AA718&gt;=40,"C - nurture","D - do not spend time here"))))</f>
        <v/>
      </c>
      <c r="AC718" s="46" t="str">
        <f aca="false">IF($C718="","",IF($S718="Converted","7 Certification / Enterprise opportunity",IF($S718="Application Started","7 Certification / Enterprise opportunity",IF($S718="Meeting Booked","6 Meeting / Application",IF(OR($S718="Interested",$S718="Info Requested"),"5 Interested",IF(OR($S718="Declined",$S718="Not Relevant"),"0 Closed - no",IF($R718="Yes","4 Contacted",IF($N718="Yes","2 Engaged",IF($M718="Yes","1 Awareness",IF($AA718&gt;=60,"3 Qualified","1 Awareness"))))))))))</f>
        <v/>
      </c>
    </row>
    <row r="719" customFormat="false" ht="30" hidden="false" customHeight="true" outlineLevel="0" collapsed="false">
      <c r="A719" s="36"/>
      <c r="B719" s="37"/>
      <c r="C719" s="37"/>
      <c r="D719" s="37"/>
      <c r="E719" s="37"/>
      <c r="F719" s="37"/>
      <c r="G719" s="37"/>
      <c r="H719" s="37"/>
      <c r="I719" s="37"/>
      <c r="J719" s="47"/>
      <c r="K719" s="41" t="str">
        <f aca="false">IF(J719="","",IF(J719&gt;=8,"Yes","Check"))</f>
        <v/>
      </c>
      <c r="L719" s="38"/>
      <c r="M719" s="47"/>
      <c r="N719" s="47"/>
      <c r="O719" s="37"/>
      <c r="P719" s="38"/>
      <c r="Q719" s="42" t="str">
        <f aca="false">IF(P719="","",LEN(P719))</f>
        <v/>
      </c>
      <c r="R719" s="47"/>
      <c r="S719" s="37"/>
      <c r="T719" s="38"/>
      <c r="U719" s="43" t="str">
        <f aca="false">IF(OR(R719&lt;&gt;"Yes",A719=""),"",A719+4)</f>
        <v/>
      </c>
      <c r="V719" s="47"/>
      <c r="W719" s="38"/>
      <c r="X719" s="38"/>
      <c r="Y719" s="44"/>
      <c r="Z719" s="44"/>
      <c r="AA719" s="45" t="str">
        <f aca="false">IF(AND($Y719="",$Z719=""),"",ROUND(IFERROR(VALUE(LEFT($Y719,1)),0)*12+IFERROR(VALUE(LEFT($Z719,1)),0)*8,0))</f>
        <v/>
      </c>
      <c r="AB719" s="45" t="str">
        <f aca="false">IF($AA719="","",IF($AA719&gt;=80,"A - call first",IF($AA719&gt;=60,"B - worth pursuing",IF($AA719&gt;=40,"C - nurture","D - do not spend time here"))))</f>
        <v/>
      </c>
      <c r="AC719" s="46" t="str">
        <f aca="false">IF($C719="","",IF($S719="Converted","7 Certification / Enterprise opportunity",IF($S719="Application Started","7 Certification / Enterprise opportunity",IF($S719="Meeting Booked","6 Meeting / Application",IF(OR($S719="Interested",$S719="Info Requested"),"5 Interested",IF(OR($S719="Declined",$S719="Not Relevant"),"0 Closed - no",IF($R719="Yes","4 Contacted",IF($N719="Yes","2 Engaged",IF($M719="Yes","1 Awareness",IF($AA719&gt;=60,"3 Qualified","1 Awareness"))))))))))</f>
        <v/>
      </c>
    </row>
    <row r="720" customFormat="false" ht="30" hidden="false" customHeight="true" outlineLevel="0" collapsed="false">
      <c r="A720" s="36"/>
      <c r="B720" s="37"/>
      <c r="C720" s="37"/>
      <c r="D720" s="37"/>
      <c r="E720" s="37"/>
      <c r="F720" s="37"/>
      <c r="G720" s="37"/>
      <c r="H720" s="37"/>
      <c r="I720" s="37"/>
      <c r="J720" s="47"/>
      <c r="K720" s="41" t="str">
        <f aca="false">IF(J720="","",IF(J720&gt;=8,"Yes","Check"))</f>
        <v/>
      </c>
      <c r="L720" s="38"/>
      <c r="M720" s="47"/>
      <c r="N720" s="47"/>
      <c r="O720" s="37"/>
      <c r="P720" s="38"/>
      <c r="Q720" s="42" t="str">
        <f aca="false">IF(P720="","",LEN(P720))</f>
        <v/>
      </c>
      <c r="R720" s="47"/>
      <c r="S720" s="37"/>
      <c r="T720" s="38"/>
      <c r="U720" s="43" t="str">
        <f aca="false">IF(OR(R720&lt;&gt;"Yes",A720=""),"",A720+4)</f>
        <v/>
      </c>
      <c r="V720" s="47"/>
      <c r="W720" s="38"/>
      <c r="X720" s="38"/>
      <c r="Y720" s="44"/>
      <c r="Z720" s="44"/>
      <c r="AA720" s="45" t="str">
        <f aca="false">IF(AND($Y720="",$Z720=""),"",ROUND(IFERROR(VALUE(LEFT($Y720,1)),0)*12+IFERROR(VALUE(LEFT($Z720,1)),0)*8,0))</f>
        <v/>
      </c>
      <c r="AB720" s="45" t="str">
        <f aca="false">IF($AA720="","",IF($AA720&gt;=80,"A - call first",IF($AA720&gt;=60,"B - worth pursuing",IF($AA720&gt;=40,"C - nurture","D - do not spend time here"))))</f>
        <v/>
      </c>
      <c r="AC720" s="46" t="str">
        <f aca="false">IF($C720="","",IF($S720="Converted","7 Certification / Enterprise opportunity",IF($S720="Application Started","7 Certification / Enterprise opportunity",IF($S720="Meeting Booked","6 Meeting / Application",IF(OR($S720="Interested",$S720="Info Requested"),"5 Interested",IF(OR($S720="Declined",$S720="Not Relevant"),"0 Closed - no",IF($R720="Yes","4 Contacted",IF($N720="Yes","2 Engaged",IF($M720="Yes","1 Awareness",IF($AA720&gt;=60,"3 Qualified","1 Awareness"))))))))))</f>
        <v/>
      </c>
    </row>
    <row r="721" customFormat="false" ht="30" hidden="false" customHeight="true" outlineLevel="0" collapsed="false">
      <c r="A721" s="36"/>
      <c r="B721" s="37"/>
      <c r="C721" s="37"/>
      <c r="D721" s="37"/>
      <c r="E721" s="37"/>
      <c r="F721" s="37"/>
      <c r="G721" s="37"/>
      <c r="H721" s="37"/>
      <c r="I721" s="37"/>
      <c r="J721" s="47"/>
      <c r="K721" s="41" t="str">
        <f aca="false">IF(J721="","",IF(J721&gt;=8,"Yes","Check"))</f>
        <v/>
      </c>
      <c r="L721" s="38"/>
      <c r="M721" s="47"/>
      <c r="N721" s="47"/>
      <c r="O721" s="37"/>
      <c r="P721" s="38"/>
      <c r="Q721" s="42" t="str">
        <f aca="false">IF(P721="","",LEN(P721))</f>
        <v/>
      </c>
      <c r="R721" s="47"/>
      <c r="S721" s="37"/>
      <c r="T721" s="38"/>
      <c r="U721" s="43" t="str">
        <f aca="false">IF(OR(R721&lt;&gt;"Yes",A721=""),"",A721+4)</f>
        <v/>
      </c>
      <c r="V721" s="47"/>
      <c r="W721" s="38"/>
      <c r="X721" s="38"/>
      <c r="Y721" s="44"/>
      <c r="Z721" s="44"/>
      <c r="AA721" s="45" t="str">
        <f aca="false">IF(AND($Y721="",$Z721=""),"",ROUND(IFERROR(VALUE(LEFT($Y721,1)),0)*12+IFERROR(VALUE(LEFT($Z721,1)),0)*8,0))</f>
        <v/>
      </c>
      <c r="AB721" s="45" t="str">
        <f aca="false">IF($AA721="","",IF($AA721&gt;=80,"A - call first",IF($AA721&gt;=60,"B - worth pursuing",IF($AA721&gt;=40,"C - nurture","D - do not spend time here"))))</f>
        <v/>
      </c>
      <c r="AC721" s="46" t="str">
        <f aca="false">IF($C721="","",IF($S721="Converted","7 Certification / Enterprise opportunity",IF($S721="Application Started","7 Certification / Enterprise opportunity",IF($S721="Meeting Booked","6 Meeting / Application",IF(OR($S721="Interested",$S721="Info Requested"),"5 Interested",IF(OR($S721="Declined",$S721="Not Relevant"),"0 Closed - no",IF($R721="Yes","4 Contacted",IF($N721="Yes","2 Engaged",IF($M721="Yes","1 Awareness",IF($AA721&gt;=60,"3 Qualified","1 Awareness"))))))))))</f>
        <v/>
      </c>
    </row>
    <row r="722" customFormat="false" ht="30" hidden="false" customHeight="true" outlineLevel="0" collapsed="false">
      <c r="A722" s="36"/>
      <c r="B722" s="37"/>
      <c r="C722" s="37"/>
      <c r="D722" s="37"/>
      <c r="E722" s="37"/>
      <c r="F722" s="37"/>
      <c r="G722" s="37"/>
      <c r="H722" s="37"/>
      <c r="I722" s="37"/>
      <c r="J722" s="47"/>
      <c r="K722" s="41" t="str">
        <f aca="false">IF(J722="","",IF(J722&gt;=8,"Yes","Check"))</f>
        <v/>
      </c>
      <c r="L722" s="38"/>
      <c r="M722" s="47"/>
      <c r="N722" s="47"/>
      <c r="O722" s="37"/>
      <c r="P722" s="38"/>
      <c r="Q722" s="42" t="str">
        <f aca="false">IF(P722="","",LEN(P722))</f>
        <v/>
      </c>
      <c r="R722" s="47"/>
      <c r="S722" s="37"/>
      <c r="T722" s="38"/>
      <c r="U722" s="43" t="str">
        <f aca="false">IF(OR(R722&lt;&gt;"Yes",A722=""),"",A722+4)</f>
        <v/>
      </c>
      <c r="V722" s="47"/>
      <c r="W722" s="38"/>
      <c r="X722" s="38"/>
      <c r="Y722" s="44"/>
      <c r="Z722" s="44"/>
      <c r="AA722" s="45" t="str">
        <f aca="false">IF(AND($Y722="",$Z722=""),"",ROUND(IFERROR(VALUE(LEFT($Y722,1)),0)*12+IFERROR(VALUE(LEFT($Z722,1)),0)*8,0))</f>
        <v/>
      </c>
      <c r="AB722" s="45" t="str">
        <f aca="false">IF($AA722="","",IF($AA722&gt;=80,"A - call first",IF($AA722&gt;=60,"B - worth pursuing",IF($AA722&gt;=40,"C - nurture","D - do not spend time here"))))</f>
        <v/>
      </c>
      <c r="AC722" s="46" t="str">
        <f aca="false">IF($C722="","",IF($S722="Converted","7 Certification / Enterprise opportunity",IF($S722="Application Started","7 Certification / Enterprise opportunity",IF($S722="Meeting Booked","6 Meeting / Application",IF(OR($S722="Interested",$S722="Info Requested"),"5 Interested",IF(OR($S722="Declined",$S722="Not Relevant"),"0 Closed - no",IF($R722="Yes","4 Contacted",IF($N722="Yes","2 Engaged",IF($M722="Yes","1 Awareness",IF($AA722&gt;=60,"3 Qualified","1 Awareness"))))))))))</f>
        <v/>
      </c>
    </row>
    <row r="723" customFormat="false" ht="30" hidden="false" customHeight="true" outlineLevel="0" collapsed="false">
      <c r="A723" s="36"/>
      <c r="B723" s="37"/>
      <c r="C723" s="37"/>
      <c r="D723" s="37"/>
      <c r="E723" s="37"/>
      <c r="F723" s="37"/>
      <c r="G723" s="37"/>
      <c r="H723" s="37"/>
      <c r="I723" s="37"/>
      <c r="J723" s="47"/>
      <c r="K723" s="41" t="str">
        <f aca="false">IF(J723="","",IF(J723&gt;=8,"Yes","Check"))</f>
        <v/>
      </c>
      <c r="L723" s="38"/>
      <c r="M723" s="47"/>
      <c r="N723" s="47"/>
      <c r="O723" s="37"/>
      <c r="P723" s="38"/>
      <c r="Q723" s="42" t="str">
        <f aca="false">IF(P723="","",LEN(P723))</f>
        <v/>
      </c>
      <c r="R723" s="47"/>
      <c r="S723" s="37"/>
      <c r="T723" s="38"/>
      <c r="U723" s="43" t="str">
        <f aca="false">IF(OR(R723&lt;&gt;"Yes",A723=""),"",A723+4)</f>
        <v/>
      </c>
      <c r="V723" s="47"/>
      <c r="W723" s="38"/>
      <c r="X723" s="38"/>
      <c r="Y723" s="44"/>
      <c r="Z723" s="44"/>
      <c r="AA723" s="45" t="str">
        <f aca="false">IF(AND($Y723="",$Z723=""),"",ROUND(IFERROR(VALUE(LEFT($Y723,1)),0)*12+IFERROR(VALUE(LEFT($Z723,1)),0)*8,0))</f>
        <v/>
      </c>
      <c r="AB723" s="45" t="str">
        <f aca="false">IF($AA723="","",IF($AA723&gt;=80,"A - call first",IF($AA723&gt;=60,"B - worth pursuing",IF($AA723&gt;=40,"C - nurture","D - do not spend time here"))))</f>
        <v/>
      </c>
      <c r="AC723" s="46" t="str">
        <f aca="false">IF($C723="","",IF($S723="Converted","7 Certification / Enterprise opportunity",IF($S723="Application Started","7 Certification / Enterprise opportunity",IF($S723="Meeting Booked","6 Meeting / Application",IF(OR($S723="Interested",$S723="Info Requested"),"5 Interested",IF(OR($S723="Declined",$S723="Not Relevant"),"0 Closed - no",IF($R723="Yes","4 Contacted",IF($N723="Yes","2 Engaged",IF($M723="Yes","1 Awareness",IF($AA723&gt;=60,"3 Qualified","1 Awareness"))))))))))</f>
        <v/>
      </c>
    </row>
    <row r="724" customFormat="false" ht="30" hidden="false" customHeight="true" outlineLevel="0" collapsed="false">
      <c r="A724" s="36"/>
      <c r="B724" s="37"/>
      <c r="C724" s="37"/>
      <c r="D724" s="37"/>
      <c r="E724" s="37"/>
      <c r="F724" s="37"/>
      <c r="G724" s="37"/>
      <c r="H724" s="37"/>
      <c r="I724" s="37"/>
      <c r="J724" s="47"/>
      <c r="K724" s="41" t="str">
        <f aca="false">IF(J724="","",IF(J724&gt;=8,"Yes","Check"))</f>
        <v/>
      </c>
      <c r="L724" s="38"/>
      <c r="M724" s="47"/>
      <c r="N724" s="47"/>
      <c r="O724" s="37"/>
      <c r="P724" s="38"/>
      <c r="Q724" s="42" t="str">
        <f aca="false">IF(P724="","",LEN(P724))</f>
        <v/>
      </c>
      <c r="R724" s="47"/>
      <c r="S724" s="37"/>
      <c r="T724" s="38"/>
      <c r="U724" s="43" t="str">
        <f aca="false">IF(OR(R724&lt;&gt;"Yes",A724=""),"",A724+4)</f>
        <v/>
      </c>
      <c r="V724" s="47"/>
      <c r="W724" s="38"/>
      <c r="X724" s="38"/>
      <c r="Y724" s="44"/>
      <c r="Z724" s="44"/>
      <c r="AA724" s="45" t="str">
        <f aca="false">IF(AND($Y724="",$Z724=""),"",ROUND(IFERROR(VALUE(LEFT($Y724,1)),0)*12+IFERROR(VALUE(LEFT($Z724,1)),0)*8,0))</f>
        <v/>
      </c>
      <c r="AB724" s="45" t="str">
        <f aca="false">IF($AA724="","",IF($AA724&gt;=80,"A - call first",IF($AA724&gt;=60,"B - worth pursuing",IF($AA724&gt;=40,"C - nurture","D - do not spend time here"))))</f>
        <v/>
      </c>
      <c r="AC724" s="46" t="str">
        <f aca="false">IF($C724="","",IF($S724="Converted","7 Certification / Enterprise opportunity",IF($S724="Application Started","7 Certification / Enterprise opportunity",IF($S724="Meeting Booked","6 Meeting / Application",IF(OR($S724="Interested",$S724="Info Requested"),"5 Interested",IF(OR($S724="Declined",$S724="Not Relevant"),"0 Closed - no",IF($R724="Yes","4 Contacted",IF($N724="Yes","2 Engaged",IF($M724="Yes","1 Awareness",IF($AA724&gt;=60,"3 Qualified","1 Awareness"))))))))))</f>
        <v/>
      </c>
    </row>
    <row r="725" customFormat="false" ht="30" hidden="false" customHeight="true" outlineLevel="0" collapsed="false">
      <c r="A725" s="36"/>
      <c r="B725" s="37"/>
      <c r="C725" s="37"/>
      <c r="D725" s="37"/>
      <c r="E725" s="37"/>
      <c r="F725" s="37"/>
      <c r="G725" s="37"/>
      <c r="H725" s="37"/>
      <c r="I725" s="37"/>
      <c r="J725" s="47"/>
      <c r="K725" s="41" t="str">
        <f aca="false">IF(J725="","",IF(J725&gt;=8,"Yes","Check"))</f>
        <v/>
      </c>
      <c r="L725" s="38"/>
      <c r="M725" s="47"/>
      <c r="N725" s="47"/>
      <c r="O725" s="37"/>
      <c r="P725" s="38"/>
      <c r="Q725" s="42" t="str">
        <f aca="false">IF(P725="","",LEN(P725))</f>
        <v/>
      </c>
      <c r="R725" s="47"/>
      <c r="S725" s="37"/>
      <c r="T725" s="38"/>
      <c r="U725" s="43" t="str">
        <f aca="false">IF(OR(R725&lt;&gt;"Yes",A725=""),"",A725+4)</f>
        <v/>
      </c>
      <c r="V725" s="47"/>
      <c r="W725" s="38"/>
      <c r="X725" s="38"/>
      <c r="Y725" s="44"/>
      <c r="Z725" s="44"/>
      <c r="AA725" s="45" t="str">
        <f aca="false">IF(AND($Y725="",$Z725=""),"",ROUND(IFERROR(VALUE(LEFT($Y725,1)),0)*12+IFERROR(VALUE(LEFT($Z725,1)),0)*8,0))</f>
        <v/>
      </c>
      <c r="AB725" s="45" t="str">
        <f aca="false">IF($AA725="","",IF($AA725&gt;=80,"A - call first",IF($AA725&gt;=60,"B - worth pursuing",IF($AA725&gt;=40,"C - nurture","D - do not spend time here"))))</f>
        <v/>
      </c>
      <c r="AC725" s="46" t="str">
        <f aca="false">IF($C725="","",IF($S725="Converted","7 Certification / Enterprise opportunity",IF($S725="Application Started","7 Certification / Enterprise opportunity",IF($S725="Meeting Booked","6 Meeting / Application",IF(OR($S725="Interested",$S725="Info Requested"),"5 Interested",IF(OR($S725="Declined",$S725="Not Relevant"),"0 Closed - no",IF($R725="Yes","4 Contacted",IF($N725="Yes","2 Engaged",IF($M725="Yes","1 Awareness",IF($AA725&gt;=60,"3 Qualified","1 Awareness"))))))))))</f>
        <v/>
      </c>
    </row>
    <row r="726" customFormat="false" ht="30" hidden="false" customHeight="true" outlineLevel="0" collapsed="false">
      <c r="A726" s="36"/>
      <c r="B726" s="37"/>
      <c r="C726" s="37"/>
      <c r="D726" s="37"/>
      <c r="E726" s="37"/>
      <c r="F726" s="37"/>
      <c r="G726" s="37"/>
      <c r="H726" s="37"/>
      <c r="I726" s="37"/>
      <c r="J726" s="47"/>
      <c r="K726" s="41" t="str">
        <f aca="false">IF(J726="","",IF(J726&gt;=8,"Yes","Check"))</f>
        <v/>
      </c>
      <c r="L726" s="38"/>
      <c r="M726" s="47"/>
      <c r="N726" s="47"/>
      <c r="O726" s="37"/>
      <c r="P726" s="38"/>
      <c r="Q726" s="42" t="str">
        <f aca="false">IF(P726="","",LEN(P726))</f>
        <v/>
      </c>
      <c r="R726" s="47"/>
      <c r="S726" s="37"/>
      <c r="T726" s="38"/>
      <c r="U726" s="43" t="str">
        <f aca="false">IF(OR(R726&lt;&gt;"Yes",A726=""),"",A726+4)</f>
        <v/>
      </c>
      <c r="V726" s="47"/>
      <c r="W726" s="38"/>
      <c r="X726" s="38"/>
      <c r="Y726" s="44"/>
      <c r="Z726" s="44"/>
      <c r="AA726" s="45" t="str">
        <f aca="false">IF(AND($Y726="",$Z726=""),"",ROUND(IFERROR(VALUE(LEFT($Y726,1)),0)*12+IFERROR(VALUE(LEFT($Z726,1)),0)*8,0))</f>
        <v/>
      </c>
      <c r="AB726" s="45" t="str">
        <f aca="false">IF($AA726="","",IF($AA726&gt;=80,"A - call first",IF($AA726&gt;=60,"B - worth pursuing",IF($AA726&gt;=40,"C - nurture","D - do not spend time here"))))</f>
        <v/>
      </c>
      <c r="AC726" s="46" t="str">
        <f aca="false">IF($C726="","",IF($S726="Converted","7 Certification / Enterprise opportunity",IF($S726="Application Started","7 Certification / Enterprise opportunity",IF($S726="Meeting Booked","6 Meeting / Application",IF(OR($S726="Interested",$S726="Info Requested"),"5 Interested",IF(OR($S726="Declined",$S726="Not Relevant"),"0 Closed - no",IF($R726="Yes","4 Contacted",IF($N726="Yes","2 Engaged",IF($M726="Yes","1 Awareness",IF($AA726&gt;=60,"3 Qualified","1 Awareness"))))))))))</f>
        <v/>
      </c>
    </row>
    <row r="727" customFormat="false" ht="30" hidden="false" customHeight="true" outlineLevel="0" collapsed="false">
      <c r="A727" s="36"/>
      <c r="B727" s="37"/>
      <c r="C727" s="37"/>
      <c r="D727" s="37"/>
      <c r="E727" s="37"/>
      <c r="F727" s="37"/>
      <c r="G727" s="37"/>
      <c r="H727" s="37"/>
      <c r="I727" s="37"/>
      <c r="J727" s="47"/>
      <c r="K727" s="41" t="str">
        <f aca="false">IF(J727="","",IF(J727&gt;=8,"Yes","Check"))</f>
        <v/>
      </c>
      <c r="L727" s="38"/>
      <c r="M727" s="47"/>
      <c r="N727" s="47"/>
      <c r="O727" s="37"/>
      <c r="P727" s="38"/>
      <c r="Q727" s="42" t="str">
        <f aca="false">IF(P727="","",LEN(P727))</f>
        <v/>
      </c>
      <c r="R727" s="47"/>
      <c r="S727" s="37"/>
      <c r="T727" s="38"/>
      <c r="U727" s="43" t="str">
        <f aca="false">IF(OR(R727&lt;&gt;"Yes",A727=""),"",A727+4)</f>
        <v/>
      </c>
      <c r="V727" s="47"/>
      <c r="W727" s="38"/>
      <c r="X727" s="38"/>
      <c r="Y727" s="44"/>
      <c r="Z727" s="44"/>
      <c r="AA727" s="45" t="str">
        <f aca="false">IF(AND($Y727="",$Z727=""),"",ROUND(IFERROR(VALUE(LEFT($Y727,1)),0)*12+IFERROR(VALUE(LEFT($Z727,1)),0)*8,0))</f>
        <v/>
      </c>
      <c r="AB727" s="45" t="str">
        <f aca="false">IF($AA727="","",IF($AA727&gt;=80,"A - call first",IF($AA727&gt;=60,"B - worth pursuing",IF($AA727&gt;=40,"C - nurture","D - do not spend time here"))))</f>
        <v/>
      </c>
      <c r="AC727" s="46" t="str">
        <f aca="false">IF($C727="","",IF($S727="Converted","7 Certification / Enterprise opportunity",IF($S727="Application Started","7 Certification / Enterprise opportunity",IF($S727="Meeting Booked","6 Meeting / Application",IF(OR($S727="Interested",$S727="Info Requested"),"5 Interested",IF(OR($S727="Declined",$S727="Not Relevant"),"0 Closed - no",IF($R727="Yes","4 Contacted",IF($N727="Yes","2 Engaged",IF($M727="Yes","1 Awareness",IF($AA727&gt;=60,"3 Qualified","1 Awareness"))))))))))</f>
        <v/>
      </c>
    </row>
    <row r="728" customFormat="false" ht="30" hidden="false" customHeight="true" outlineLevel="0" collapsed="false">
      <c r="A728" s="36"/>
      <c r="B728" s="37"/>
      <c r="C728" s="37"/>
      <c r="D728" s="37"/>
      <c r="E728" s="37"/>
      <c r="F728" s="37"/>
      <c r="G728" s="37"/>
      <c r="H728" s="37"/>
      <c r="I728" s="37"/>
      <c r="J728" s="47"/>
      <c r="K728" s="41" t="str">
        <f aca="false">IF(J728="","",IF(J728&gt;=8,"Yes","Check"))</f>
        <v/>
      </c>
      <c r="L728" s="38"/>
      <c r="M728" s="47"/>
      <c r="N728" s="47"/>
      <c r="O728" s="37"/>
      <c r="P728" s="38"/>
      <c r="Q728" s="42" t="str">
        <f aca="false">IF(P728="","",LEN(P728))</f>
        <v/>
      </c>
      <c r="R728" s="47"/>
      <c r="S728" s="37"/>
      <c r="T728" s="38"/>
      <c r="U728" s="43" t="str">
        <f aca="false">IF(OR(R728&lt;&gt;"Yes",A728=""),"",A728+4)</f>
        <v/>
      </c>
      <c r="V728" s="47"/>
      <c r="W728" s="38"/>
      <c r="X728" s="38"/>
      <c r="Y728" s="44"/>
      <c r="Z728" s="44"/>
      <c r="AA728" s="45" t="str">
        <f aca="false">IF(AND($Y728="",$Z728=""),"",ROUND(IFERROR(VALUE(LEFT($Y728,1)),0)*12+IFERROR(VALUE(LEFT($Z728,1)),0)*8,0))</f>
        <v/>
      </c>
      <c r="AB728" s="45" t="str">
        <f aca="false">IF($AA728="","",IF($AA728&gt;=80,"A - call first",IF($AA728&gt;=60,"B - worth pursuing",IF($AA728&gt;=40,"C - nurture","D - do not spend time here"))))</f>
        <v/>
      </c>
      <c r="AC728" s="46" t="str">
        <f aca="false">IF($C728="","",IF($S728="Converted","7 Certification / Enterprise opportunity",IF($S728="Application Started","7 Certification / Enterprise opportunity",IF($S728="Meeting Booked","6 Meeting / Application",IF(OR($S728="Interested",$S728="Info Requested"),"5 Interested",IF(OR($S728="Declined",$S728="Not Relevant"),"0 Closed - no",IF($R728="Yes","4 Contacted",IF($N728="Yes","2 Engaged",IF($M728="Yes","1 Awareness",IF($AA728&gt;=60,"3 Qualified","1 Awareness"))))))))))</f>
        <v/>
      </c>
    </row>
    <row r="729" customFormat="false" ht="30" hidden="false" customHeight="true" outlineLevel="0" collapsed="false">
      <c r="A729" s="36"/>
      <c r="B729" s="37"/>
      <c r="C729" s="37"/>
      <c r="D729" s="37"/>
      <c r="E729" s="37"/>
      <c r="F729" s="37"/>
      <c r="G729" s="37"/>
      <c r="H729" s="37"/>
      <c r="I729" s="37"/>
      <c r="J729" s="47"/>
      <c r="K729" s="41" t="str">
        <f aca="false">IF(J729="","",IF(J729&gt;=8,"Yes","Check"))</f>
        <v/>
      </c>
      <c r="L729" s="38"/>
      <c r="M729" s="47"/>
      <c r="N729" s="47"/>
      <c r="O729" s="37"/>
      <c r="P729" s="38"/>
      <c r="Q729" s="42" t="str">
        <f aca="false">IF(P729="","",LEN(P729))</f>
        <v/>
      </c>
      <c r="R729" s="47"/>
      <c r="S729" s="37"/>
      <c r="T729" s="38"/>
      <c r="U729" s="43" t="str">
        <f aca="false">IF(OR(R729&lt;&gt;"Yes",A729=""),"",A729+4)</f>
        <v/>
      </c>
      <c r="V729" s="47"/>
      <c r="W729" s="38"/>
      <c r="X729" s="38"/>
      <c r="Y729" s="44"/>
      <c r="Z729" s="44"/>
      <c r="AA729" s="45" t="str">
        <f aca="false">IF(AND($Y729="",$Z729=""),"",ROUND(IFERROR(VALUE(LEFT($Y729,1)),0)*12+IFERROR(VALUE(LEFT($Z729,1)),0)*8,0))</f>
        <v/>
      </c>
      <c r="AB729" s="45" t="str">
        <f aca="false">IF($AA729="","",IF($AA729&gt;=80,"A - call first",IF($AA729&gt;=60,"B - worth pursuing",IF($AA729&gt;=40,"C - nurture","D - do not spend time here"))))</f>
        <v/>
      </c>
      <c r="AC729" s="46" t="str">
        <f aca="false">IF($C729="","",IF($S729="Converted","7 Certification / Enterprise opportunity",IF($S729="Application Started","7 Certification / Enterprise opportunity",IF($S729="Meeting Booked","6 Meeting / Application",IF(OR($S729="Interested",$S729="Info Requested"),"5 Interested",IF(OR($S729="Declined",$S729="Not Relevant"),"0 Closed - no",IF($R729="Yes","4 Contacted",IF($N729="Yes","2 Engaged",IF($M729="Yes","1 Awareness",IF($AA729&gt;=60,"3 Qualified","1 Awareness"))))))))))</f>
        <v/>
      </c>
    </row>
    <row r="730" customFormat="false" ht="30" hidden="false" customHeight="true" outlineLevel="0" collapsed="false">
      <c r="A730" s="36"/>
      <c r="B730" s="37"/>
      <c r="C730" s="37"/>
      <c r="D730" s="37"/>
      <c r="E730" s="37"/>
      <c r="F730" s="37"/>
      <c r="G730" s="37"/>
      <c r="H730" s="37"/>
      <c r="I730" s="37"/>
      <c r="J730" s="47"/>
      <c r="K730" s="41" t="str">
        <f aca="false">IF(J730="","",IF(J730&gt;=8,"Yes","Check"))</f>
        <v/>
      </c>
      <c r="L730" s="38"/>
      <c r="M730" s="47"/>
      <c r="N730" s="47"/>
      <c r="O730" s="37"/>
      <c r="P730" s="38"/>
      <c r="Q730" s="42" t="str">
        <f aca="false">IF(P730="","",LEN(P730))</f>
        <v/>
      </c>
      <c r="R730" s="47"/>
      <c r="S730" s="37"/>
      <c r="T730" s="38"/>
      <c r="U730" s="43" t="str">
        <f aca="false">IF(OR(R730&lt;&gt;"Yes",A730=""),"",A730+4)</f>
        <v/>
      </c>
      <c r="V730" s="47"/>
      <c r="W730" s="38"/>
      <c r="X730" s="38"/>
      <c r="Y730" s="44"/>
      <c r="Z730" s="44"/>
      <c r="AA730" s="45" t="str">
        <f aca="false">IF(AND($Y730="",$Z730=""),"",ROUND(IFERROR(VALUE(LEFT($Y730,1)),0)*12+IFERROR(VALUE(LEFT($Z730,1)),0)*8,0))</f>
        <v/>
      </c>
      <c r="AB730" s="45" t="str">
        <f aca="false">IF($AA730="","",IF($AA730&gt;=80,"A - call first",IF($AA730&gt;=60,"B - worth pursuing",IF($AA730&gt;=40,"C - nurture","D - do not spend time here"))))</f>
        <v/>
      </c>
      <c r="AC730" s="46" t="str">
        <f aca="false">IF($C730="","",IF($S730="Converted","7 Certification / Enterprise opportunity",IF($S730="Application Started","7 Certification / Enterprise opportunity",IF($S730="Meeting Booked","6 Meeting / Application",IF(OR($S730="Interested",$S730="Info Requested"),"5 Interested",IF(OR($S730="Declined",$S730="Not Relevant"),"0 Closed - no",IF($R730="Yes","4 Contacted",IF($N730="Yes","2 Engaged",IF($M730="Yes","1 Awareness",IF($AA730&gt;=60,"3 Qualified","1 Awareness"))))))))))</f>
        <v/>
      </c>
    </row>
    <row r="731" customFormat="false" ht="30" hidden="false" customHeight="true" outlineLevel="0" collapsed="false">
      <c r="A731" s="36"/>
      <c r="B731" s="37"/>
      <c r="C731" s="37"/>
      <c r="D731" s="37"/>
      <c r="E731" s="37"/>
      <c r="F731" s="37"/>
      <c r="G731" s="37"/>
      <c r="H731" s="37"/>
      <c r="I731" s="37"/>
      <c r="J731" s="47"/>
      <c r="K731" s="41" t="str">
        <f aca="false">IF(J731="","",IF(J731&gt;=8,"Yes","Check"))</f>
        <v/>
      </c>
      <c r="L731" s="38"/>
      <c r="M731" s="47"/>
      <c r="N731" s="47"/>
      <c r="O731" s="37"/>
      <c r="P731" s="38"/>
      <c r="Q731" s="42" t="str">
        <f aca="false">IF(P731="","",LEN(P731))</f>
        <v/>
      </c>
      <c r="R731" s="47"/>
      <c r="S731" s="37"/>
      <c r="T731" s="38"/>
      <c r="U731" s="43" t="str">
        <f aca="false">IF(OR(R731&lt;&gt;"Yes",A731=""),"",A731+4)</f>
        <v/>
      </c>
      <c r="V731" s="47"/>
      <c r="W731" s="38"/>
      <c r="X731" s="38"/>
      <c r="Y731" s="44"/>
      <c r="Z731" s="44"/>
      <c r="AA731" s="45" t="str">
        <f aca="false">IF(AND($Y731="",$Z731=""),"",ROUND(IFERROR(VALUE(LEFT($Y731,1)),0)*12+IFERROR(VALUE(LEFT($Z731,1)),0)*8,0))</f>
        <v/>
      </c>
      <c r="AB731" s="45" t="str">
        <f aca="false">IF($AA731="","",IF($AA731&gt;=80,"A - call first",IF($AA731&gt;=60,"B - worth pursuing",IF($AA731&gt;=40,"C - nurture","D - do not spend time here"))))</f>
        <v/>
      </c>
      <c r="AC731" s="46" t="str">
        <f aca="false">IF($C731="","",IF($S731="Converted","7 Certification / Enterprise opportunity",IF($S731="Application Started","7 Certification / Enterprise opportunity",IF($S731="Meeting Booked","6 Meeting / Application",IF(OR($S731="Interested",$S731="Info Requested"),"5 Interested",IF(OR($S731="Declined",$S731="Not Relevant"),"0 Closed - no",IF($R731="Yes","4 Contacted",IF($N731="Yes","2 Engaged",IF($M731="Yes","1 Awareness",IF($AA731&gt;=60,"3 Qualified","1 Awareness"))))))))))</f>
        <v/>
      </c>
    </row>
    <row r="732" customFormat="false" ht="30" hidden="false" customHeight="true" outlineLevel="0" collapsed="false">
      <c r="A732" s="36"/>
      <c r="B732" s="37"/>
      <c r="C732" s="37"/>
      <c r="D732" s="37"/>
      <c r="E732" s="37"/>
      <c r="F732" s="37"/>
      <c r="G732" s="37"/>
      <c r="H732" s="37"/>
      <c r="I732" s="37"/>
      <c r="J732" s="47"/>
      <c r="K732" s="41" t="str">
        <f aca="false">IF(J732="","",IF(J732&gt;=8,"Yes","Check"))</f>
        <v/>
      </c>
      <c r="L732" s="38"/>
      <c r="M732" s="47"/>
      <c r="N732" s="47"/>
      <c r="O732" s="37"/>
      <c r="P732" s="38"/>
      <c r="Q732" s="42" t="str">
        <f aca="false">IF(P732="","",LEN(P732))</f>
        <v/>
      </c>
      <c r="R732" s="47"/>
      <c r="S732" s="37"/>
      <c r="T732" s="38"/>
      <c r="U732" s="43" t="str">
        <f aca="false">IF(OR(R732&lt;&gt;"Yes",A732=""),"",A732+4)</f>
        <v/>
      </c>
      <c r="V732" s="47"/>
      <c r="W732" s="38"/>
      <c r="X732" s="38"/>
      <c r="Y732" s="44"/>
      <c r="Z732" s="44"/>
      <c r="AA732" s="45" t="str">
        <f aca="false">IF(AND($Y732="",$Z732=""),"",ROUND(IFERROR(VALUE(LEFT($Y732,1)),0)*12+IFERROR(VALUE(LEFT($Z732,1)),0)*8,0))</f>
        <v/>
      </c>
      <c r="AB732" s="45" t="str">
        <f aca="false">IF($AA732="","",IF($AA732&gt;=80,"A - call first",IF($AA732&gt;=60,"B - worth pursuing",IF($AA732&gt;=40,"C - nurture","D - do not spend time here"))))</f>
        <v/>
      </c>
      <c r="AC732" s="46" t="str">
        <f aca="false">IF($C732="","",IF($S732="Converted","7 Certification / Enterprise opportunity",IF($S732="Application Started","7 Certification / Enterprise opportunity",IF($S732="Meeting Booked","6 Meeting / Application",IF(OR($S732="Interested",$S732="Info Requested"),"5 Interested",IF(OR($S732="Declined",$S732="Not Relevant"),"0 Closed - no",IF($R732="Yes","4 Contacted",IF($N732="Yes","2 Engaged",IF($M732="Yes","1 Awareness",IF($AA732&gt;=60,"3 Qualified","1 Awareness"))))))))))</f>
        <v/>
      </c>
    </row>
    <row r="733" customFormat="false" ht="30" hidden="false" customHeight="true" outlineLevel="0" collapsed="false">
      <c r="A733" s="36"/>
      <c r="B733" s="37"/>
      <c r="C733" s="37"/>
      <c r="D733" s="37"/>
      <c r="E733" s="37"/>
      <c r="F733" s="37"/>
      <c r="G733" s="37"/>
      <c r="H733" s="37"/>
      <c r="I733" s="37"/>
      <c r="J733" s="47"/>
      <c r="K733" s="41" t="str">
        <f aca="false">IF(J733="","",IF(J733&gt;=8,"Yes","Check"))</f>
        <v/>
      </c>
      <c r="L733" s="38"/>
      <c r="M733" s="47"/>
      <c r="N733" s="47"/>
      <c r="O733" s="37"/>
      <c r="P733" s="38"/>
      <c r="Q733" s="42" t="str">
        <f aca="false">IF(P733="","",LEN(P733))</f>
        <v/>
      </c>
      <c r="R733" s="47"/>
      <c r="S733" s="37"/>
      <c r="T733" s="38"/>
      <c r="U733" s="43" t="str">
        <f aca="false">IF(OR(R733&lt;&gt;"Yes",A733=""),"",A733+4)</f>
        <v/>
      </c>
      <c r="V733" s="47"/>
      <c r="W733" s="38"/>
      <c r="X733" s="38"/>
      <c r="Y733" s="44"/>
      <c r="Z733" s="44"/>
      <c r="AA733" s="45" t="str">
        <f aca="false">IF(AND($Y733="",$Z733=""),"",ROUND(IFERROR(VALUE(LEFT($Y733,1)),0)*12+IFERROR(VALUE(LEFT($Z733,1)),0)*8,0))</f>
        <v/>
      </c>
      <c r="AB733" s="45" t="str">
        <f aca="false">IF($AA733="","",IF($AA733&gt;=80,"A - call first",IF($AA733&gt;=60,"B - worth pursuing",IF($AA733&gt;=40,"C - nurture","D - do not spend time here"))))</f>
        <v/>
      </c>
      <c r="AC733" s="46" t="str">
        <f aca="false">IF($C733="","",IF($S733="Converted","7 Certification / Enterprise opportunity",IF($S733="Application Started","7 Certification / Enterprise opportunity",IF($S733="Meeting Booked","6 Meeting / Application",IF(OR($S733="Interested",$S733="Info Requested"),"5 Interested",IF(OR($S733="Declined",$S733="Not Relevant"),"0 Closed - no",IF($R733="Yes","4 Contacted",IF($N733="Yes","2 Engaged",IF($M733="Yes","1 Awareness",IF($AA733&gt;=60,"3 Qualified","1 Awareness"))))))))))</f>
        <v/>
      </c>
    </row>
    <row r="734" customFormat="false" ht="30" hidden="false" customHeight="true" outlineLevel="0" collapsed="false">
      <c r="A734" s="36"/>
      <c r="B734" s="37"/>
      <c r="C734" s="37"/>
      <c r="D734" s="37"/>
      <c r="E734" s="37"/>
      <c r="F734" s="37"/>
      <c r="G734" s="37"/>
      <c r="H734" s="37"/>
      <c r="I734" s="37"/>
      <c r="J734" s="47"/>
      <c r="K734" s="41" t="str">
        <f aca="false">IF(J734="","",IF(J734&gt;=8,"Yes","Check"))</f>
        <v/>
      </c>
      <c r="L734" s="38"/>
      <c r="M734" s="47"/>
      <c r="N734" s="47"/>
      <c r="O734" s="37"/>
      <c r="P734" s="38"/>
      <c r="Q734" s="42" t="str">
        <f aca="false">IF(P734="","",LEN(P734))</f>
        <v/>
      </c>
      <c r="R734" s="47"/>
      <c r="S734" s="37"/>
      <c r="T734" s="38"/>
      <c r="U734" s="43" t="str">
        <f aca="false">IF(OR(R734&lt;&gt;"Yes",A734=""),"",A734+4)</f>
        <v/>
      </c>
      <c r="V734" s="47"/>
      <c r="W734" s="38"/>
      <c r="X734" s="38"/>
      <c r="Y734" s="44"/>
      <c r="Z734" s="44"/>
      <c r="AA734" s="45" t="str">
        <f aca="false">IF(AND($Y734="",$Z734=""),"",ROUND(IFERROR(VALUE(LEFT($Y734,1)),0)*12+IFERROR(VALUE(LEFT($Z734,1)),0)*8,0))</f>
        <v/>
      </c>
      <c r="AB734" s="45" t="str">
        <f aca="false">IF($AA734="","",IF($AA734&gt;=80,"A - call first",IF($AA734&gt;=60,"B - worth pursuing",IF($AA734&gt;=40,"C - nurture","D - do not spend time here"))))</f>
        <v/>
      </c>
      <c r="AC734" s="46" t="str">
        <f aca="false">IF($C734="","",IF($S734="Converted","7 Certification / Enterprise opportunity",IF($S734="Application Started","7 Certification / Enterprise opportunity",IF($S734="Meeting Booked","6 Meeting / Application",IF(OR($S734="Interested",$S734="Info Requested"),"5 Interested",IF(OR($S734="Declined",$S734="Not Relevant"),"0 Closed - no",IF($R734="Yes","4 Contacted",IF($N734="Yes","2 Engaged",IF($M734="Yes","1 Awareness",IF($AA734&gt;=60,"3 Qualified","1 Awareness"))))))))))</f>
        <v/>
      </c>
    </row>
    <row r="735" customFormat="false" ht="30" hidden="false" customHeight="true" outlineLevel="0" collapsed="false">
      <c r="A735" s="36"/>
      <c r="B735" s="37"/>
      <c r="C735" s="37"/>
      <c r="D735" s="37"/>
      <c r="E735" s="37"/>
      <c r="F735" s="37"/>
      <c r="G735" s="37"/>
      <c r="H735" s="37"/>
      <c r="I735" s="37"/>
      <c r="J735" s="47"/>
      <c r="K735" s="41" t="str">
        <f aca="false">IF(J735="","",IF(J735&gt;=8,"Yes","Check"))</f>
        <v/>
      </c>
      <c r="L735" s="38"/>
      <c r="M735" s="47"/>
      <c r="N735" s="47"/>
      <c r="O735" s="37"/>
      <c r="P735" s="38"/>
      <c r="Q735" s="42" t="str">
        <f aca="false">IF(P735="","",LEN(P735))</f>
        <v/>
      </c>
      <c r="R735" s="47"/>
      <c r="S735" s="37"/>
      <c r="T735" s="38"/>
      <c r="U735" s="43" t="str">
        <f aca="false">IF(OR(R735&lt;&gt;"Yes",A735=""),"",A735+4)</f>
        <v/>
      </c>
      <c r="V735" s="47"/>
      <c r="W735" s="38"/>
      <c r="X735" s="38"/>
      <c r="Y735" s="44"/>
      <c r="Z735" s="44"/>
      <c r="AA735" s="45" t="str">
        <f aca="false">IF(AND($Y735="",$Z735=""),"",ROUND(IFERROR(VALUE(LEFT($Y735,1)),0)*12+IFERROR(VALUE(LEFT($Z735,1)),0)*8,0))</f>
        <v/>
      </c>
      <c r="AB735" s="45" t="str">
        <f aca="false">IF($AA735="","",IF($AA735&gt;=80,"A - call first",IF($AA735&gt;=60,"B - worth pursuing",IF($AA735&gt;=40,"C - nurture","D - do not spend time here"))))</f>
        <v/>
      </c>
      <c r="AC735" s="46" t="str">
        <f aca="false">IF($C735="","",IF($S735="Converted","7 Certification / Enterprise opportunity",IF($S735="Application Started","7 Certification / Enterprise opportunity",IF($S735="Meeting Booked","6 Meeting / Application",IF(OR($S735="Interested",$S735="Info Requested"),"5 Interested",IF(OR($S735="Declined",$S735="Not Relevant"),"0 Closed - no",IF($R735="Yes","4 Contacted",IF($N735="Yes","2 Engaged",IF($M735="Yes","1 Awareness",IF($AA735&gt;=60,"3 Qualified","1 Awareness"))))))))))</f>
        <v/>
      </c>
    </row>
    <row r="736" customFormat="false" ht="30" hidden="false" customHeight="true" outlineLevel="0" collapsed="false">
      <c r="A736" s="36"/>
      <c r="B736" s="37"/>
      <c r="C736" s="37"/>
      <c r="D736" s="37"/>
      <c r="E736" s="37"/>
      <c r="F736" s="37"/>
      <c r="G736" s="37"/>
      <c r="H736" s="37"/>
      <c r="I736" s="37"/>
      <c r="J736" s="47"/>
      <c r="K736" s="41" t="str">
        <f aca="false">IF(J736="","",IF(J736&gt;=8,"Yes","Check"))</f>
        <v/>
      </c>
      <c r="L736" s="38"/>
      <c r="M736" s="47"/>
      <c r="N736" s="47"/>
      <c r="O736" s="37"/>
      <c r="P736" s="38"/>
      <c r="Q736" s="42" t="str">
        <f aca="false">IF(P736="","",LEN(P736))</f>
        <v/>
      </c>
      <c r="R736" s="47"/>
      <c r="S736" s="37"/>
      <c r="T736" s="38"/>
      <c r="U736" s="43" t="str">
        <f aca="false">IF(OR(R736&lt;&gt;"Yes",A736=""),"",A736+4)</f>
        <v/>
      </c>
      <c r="V736" s="47"/>
      <c r="W736" s="38"/>
      <c r="X736" s="38"/>
      <c r="Y736" s="44"/>
      <c r="Z736" s="44"/>
      <c r="AA736" s="45" t="str">
        <f aca="false">IF(AND($Y736="",$Z736=""),"",ROUND(IFERROR(VALUE(LEFT($Y736,1)),0)*12+IFERROR(VALUE(LEFT($Z736,1)),0)*8,0))</f>
        <v/>
      </c>
      <c r="AB736" s="45" t="str">
        <f aca="false">IF($AA736="","",IF($AA736&gt;=80,"A - call first",IF($AA736&gt;=60,"B - worth pursuing",IF($AA736&gt;=40,"C - nurture","D - do not spend time here"))))</f>
        <v/>
      </c>
      <c r="AC736" s="46" t="str">
        <f aca="false">IF($C736="","",IF($S736="Converted","7 Certification / Enterprise opportunity",IF($S736="Application Started","7 Certification / Enterprise opportunity",IF($S736="Meeting Booked","6 Meeting / Application",IF(OR($S736="Interested",$S736="Info Requested"),"5 Interested",IF(OR($S736="Declined",$S736="Not Relevant"),"0 Closed - no",IF($R736="Yes","4 Contacted",IF($N736="Yes","2 Engaged",IF($M736="Yes","1 Awareness",IF($AA736&gt;=60,"3 Qualified","1 Awareness"))))))))))</f>
        <v/>
      </c>
    </row>
    <row r="737" customFormat="false" ht="30" hidden="false" customHeight="true" outlineLevel="0" collapsed="false">
      <c r="A737" s="36"/>
      <c r="B737" s="37"/>
      <c r="C737" s="37"/>
      <c r="D737" s="37"/>
      <c r="E737" s="37"/>
      <c r="F737" s="37"/>
      <c r="G737" s="37"/>
      <c r="H737" s="37"/>
      <c r="I737" s="37"/>
      <c r="J737" s="47"/>
      <c r="K737" s="41" t="str">
        <f aca="false">IF(J737="","",IF(J737&gt;=8,"Yes","Check"))</f>
        <v/>
      </c>
      <c r="L737" s="38"/>
      <c r="M737" s="47"/>
      <c r="N737" s="47"/>
      <c r="O737" s="37"/>
      <c r="P737" s="38"/>
      <c r="Q737" s="42" t="str">
        <f aca="false">IF(P737="","",LEN(P737))</f>
        <v/>
      </c>
      <c r="R737" s="47"/>
      <c r="S737" s="37"/>
      <c r="T737" s="38"/>
      <c r="U737" s="43" t="str">
        <f aca="false">IF(OR(R737&lt;&gt;"Yes",A737=""),"",A737+4)</f>
        <v/>
      </c>
      <c r="V737" s="47"/>
      <c r="W737" s="38"/>
      <c r="X737" s="38"/>
      <c r="Y737" s="44"/>
      <c r="Z737" s="44"/>
      <c r="AA737" s="45" t="str">
        <f aca="false">IF(AND($Y737="",$Z737=""),"",ROUND(IFERROR(VALUE(LEFT($Y737,1)),0)*12+IFERROR(VALUE(LEFT($Z737,1)),0)*8,0))</f>
        <v/>
      </c>
      <c r="AB737" s="45" t="str">
        <f aca="false">IF($AA737="","",IF($AA737&gt;=80,"A - call first",IF($AA737&gt;=60,"B - worth pursuing",IF($AA737&gt;=40,"C - nurture","D - do not spend time here"))))</f>
        <v/>
      </c>
      <c r="AC737" s="46" t="str">
        <f aca="false">IF($C737="","",IF($S737="Converted","7 Certification / Enterprise opportunity",IF($S737="Application Started","7 Certification / Enterprise opportunity",IF($S737="Meeting Booked","6 Meeting / Application",IF(OR($S737="Interested",$S737="Info Requested"),"5 Interested",IF(OR($S737="Declined",$S737="Not Relevant"),"0 Closed - no",IF($R737="Yes","4 Contacted",IF($N737="Yes","2 Engaged",IF($M737="Yes","1 Awareness",IF($AA737&gt;=60,"3 Qualified","1 Awareness"))))))))))</f>
        <v/>
      </c>
    </row>
    <row r="738" customFormat="false" ht="30" hidden="false" customHeight="true" outlineLevel="0" collapsed="false">
      <c r="A738" s="36"/>
      <c r="B738" s="37"/>
      <c r="C738" s="37"/>
      <c r="D738" s="37"/>
      <c r="E738" s="37"/>
      <c r="F738" s="37"/>
      <c r="G738" s="37"/>
      <c r="H738" s="37"/>
      <c r="I738" s="37"/>
      <c r="J738" s="47"/>
      <c r="K738" s="41" t="str">
        <f aca="false">IF(J738="","",IF(J738&gt;=8,"Yes","Check"))</f>
        <v/>
      </c>
      <c r="L738" s="38"/>
      <c r="M738" s="47"/>
      <c r="N738" s="47"/>
      <c r="O738" s="37"/>
      <c r="P738" s="38"/>
      <c r="Q738" s="42" t="str">
        <f aca="false">IF(P738="","",LEN(P738))</f>
        <v/>
      </c>
      <c r="R738" s="47"/>
      <c r="S738" s="37"/>
      <c r="T738" s="38"/>
      <c r="U738" s="43" t="str">
        <f aca="false">IF(OR(R738&lt;&gt;"Yes",A738=""),"",A738+4)</f>
        <v/>
      </c>
      <c r="V738" s="47"/>
      <c r="W738" s="38"/>
      <c r="X738" s="38"/>
      <c r="Y738" s="44"/>
      <c r="Z738" s="44"/>
      <c r="AA738" s="45" t="str">
        <f aca="false">IF(AND($Y738="",$Z738=""),"",ROUND(IFERROR(VALUE(LEFT($Y738,1)),0)*12+IFERROR(VALUE(LEFT($Z738,1)),0)*8,0))</f>
        <v/>
      </c>
      <c r="AB738" s="45" t="str">
        <f aca="false">IF($AA738="","",IF($AA738&gt;=80,"A - call first",IF($AA738&gt;=60,"B - worth pursuing",IF($AA738&gt;=40,"C - nurture","D - do not spend time here"))))</f>
        <v/>
      </c>
      <c r="AC738" s="46" t="str">
        <f aca="false">IF($C738="","",IF($S738="Converted","7 Certification / Enterprise opportunity",IF($S738="Application Started","7 Certification / Enterprise opportunity",IF($S738="Meeting Booked","6 Meeting / Application",IF(OR($S738="Interested",$S738="Info Requested"),"5 Interested",IF(OR($S738="Declined",$S738="Not Relevant"),"0 Closed - no",IF($R738="Yes","4 Contacted",IF($N738="Yes","2 Engaged",IF($M738="Yes","1 Awareness",IF($AA738&gt;=60,"3 Qualified","1 Awareness"))))))))))</f>
        <v/>
      </c>
    </row>
    <row r="739" customFormat="false" ht="30" hidden="false" customHeight="true" outlineLevel="0" collapsed="false">
      <c r="A739" s="36"/>
      <c r="B739" s="37"/>
      <c r="C739" s="37"/>
      <c r="D739" s="37"/>
      <c r="E739" s="37"/>
      <c r="F739" s="37"/>
      <c r="G739" s="37"/>
      <c r="H739" s="37"/>
      <c r="I739" s="37"/>
      <c r="J739" s="47"/>
      <c r="K739" s="41" t="str">
        <f aca="false">IF(J739="","",IF(J739&gt;=8,"Yes","Check"))</f>
        <v/>
      </c>
      <c r="L739" s="38"/>
      <c r="M739" s="47"/>
      <c r="N739" s="47"/>
      <c r="O739" s="37"/>
      <c r="P739" s="38"/>
      <c r="Q739" s="42" t="str">
        <f aca="false">IF(P739="","",LEN(P739))</f>
        <v/>
      </c>
      <c r="R739" s="47"/>
      <c r="S739" s="37"/>
      <c r="T739" s="38"/>
      <c r="U739" s="43" t="str">
        <f aca="false">IF(OR(R739&lt;&gt;"Yes",A739=""),"",A739+4)</f>
        <v/>
      </c>
      <c r="V739" s="47"/>
      <c r="W739" s="38"/>
      <c r="X739" s="38"/>
      <c r="Y739" s="44"/>
      <c r="Z739" s="44"/>
      <c r="AA739" s="45" t="str">
        <f aca="false">IF(AND($Y739="",$Z739=""),"",ROUND(IFERROR(VALUE(LEFT($Y739,1)),0)*12+IFERROR(VALUE(LEFT($Z739,1)),0)*8,0))</f>
        <v/>
      </c>
      <c r="AB739" s="45" t="str">
        <f aca="false">IF($AA739="","",IF($AA739&gt;=80,"A - call first",IF($AA739&gt;=60,"B - worth pursuing",IF($AA739&gt;=40,"C - nurture","D - do not spend time here"))))</f>
        <v/>
      </c>
      <c r="AC739" s="46" t="str">
        <f aca="false">IF($C739="","",IF($S739="Converted","7 Certification / Enterprise opportunity",IF($S739="Application Started","7 Certification / Enterprise opportunity",IF($S739="Meeting Booked","6 Meeting / Application",IF(OR($S739="Interested",$S739="Info Requested"),"5 Interested",IF(OR($S739="Declined",$S739="Not Relevant"),"0 Closed - no",IF($R739="Yes","4 Contacted",IF($N739="Yes","2 Engaged",IF($M739="Yes","1 Awareness",IF($AA739&gt;=60,"3 Qualified","1 Awareness"))))))))))</f>
        <v/>
      </c>
    </row>
    <row r="740" customFormat="false" ht="30" hidden="false" customHeight="true" outlineLevel="0" collapsed="false">
      <c r="A740" s="36"/>
      <c r="B740" s="37"/>
      <c r="C740" s="37"/>
      <c r="D740" s="37"/>
      <c r="E740" s="37"/>
      <c r="F740" s="37"/>
      <c r="G740" s="37"/>
      <c r="H740" s="37"/>
      <c r="I740" s="37"/>
      <c r="J740" s="47"/>
      <c r="K740" s="41" t="str">
        <f aca="false">IF(J740="","",IF(J740&gt;=8,"Yes","Check"))</f>
        <v/>
      </c>
      <c r="L740" s="38"/>
      <c r="M740" s="47"/>
      <c r="N740" s="47"/>
      <c r="O740" s="37"/>
      <c r="P740" s="38"/>
      <c r="Q740" s="42" t="str">
        <f aca="false">IF(P740="","",LEN(P740))</f>
        <v/>
      </c>
      <c r="R740" s="47"/>
      <c r="S740" s="37"/>
      <c r="T740" s="38"/>
      <c r="U740" s="43" t="str">
        <f aca="false">IF(OR(R740&lt;&gt;"Yes",A740=""),"",A740+4)</f>
        <v/>
      </c>
      <c r="V740" s="47"/>
      <c r="W740" s="38"/>
      <c r="X740" s="38"/>
      <c r="Y740" s="44"/>
      <c r="Z740" s="44"/>
      <c r="AA740" s="45" t="str">
        <f aca="false">IF(AND($Y740="",$Z740=""),"",ROUND(IFERROR(VALUE(LEFT($Y740,1)),0)*12+IFERROR(VALUE(LEFT($Z740,1)),0)*8,0))</f>
        <v/>
      </c>
      <c r="AB740" s="45" t="str">
        <f aca="false">IF($AA740="","",IF($AA740&gt;=80,"A - call first",IF($AA740&gt;=60,"B - worth pursuing",IF($AA740&gt;=40,"C - nurture","D - do not spend time here"))))</f>
        <v/>
      </c>
      <c r="AC740" s="46" t="str">
        <f aca="false">IF($C740="","",IF($S740="Converted","7 Certification / Enterprise opportunity",IF($S740="Application Started","7 Certification / Enterprise opportunity",IF($S740="Meeting Booked","6 Meeting / Application",IF(OR($S740="Interested",$S740="Info Requested"),"5 Interested",IF(OR($S740="Declined",$S740="Not Relevant"),"0 Closed - no",IF($R740="Yes","4 Contacted",IF($N740="Yes","2 Engaged",IF($M740="Yes","1 Awareness",IF($AA740&gt;=60,"3 Qualified","1 Awareness"))))))))))</f>
        <v/>
      </c>
    </row>
    <row r="741" customFormat="false" ht="30" hidden="false" customHeight="true" outlineLevel="0" collapsed="false">
      <c r="A741" s="36"/>
      <c r="B741" s="37"/>
      <c r="C741" s="37"/>
      <c r="D741" s="37"/>
      <c r="E741" s="37"/>
      <c r="F741" s="37"/>
      <c r="G741" s="37"/>
      <c r="H741" s="37"/>
      <c r="I741" s="37"/>
      <c r="J741" s="47"/>
      <c r="K741" s="41" t="str">
        <f aca="false">IF(J741="","",IF(J741&gt;=8,"Yes","Check"))</f>
        <v/>
      </c>
      <c r="L741" s="38"/>
      <c r="M741" s="47"/>
      <c r="N741" s="47"/>
      <c r="O741" s="37"/>
      <c r="P741" s="38"/>
      <c r="Q741" s="42" t="str">
        <f aca="false">IF(P741="","",LEN(P741))</f>
        <v/>
      </c>
      <c r="R741" s="47"/>
      <c r="S741" s="37"/>
      <c r="T741" s="38"/>
      <c r="U741" s="43" t="str">
        <f aca="false">IF(OR(R741&lt;&gt;"Yes",A741=""),"",A741+4)</f>
        <v/>
      </c>
      <c r="V741" s="47"/>
      <c r="W741" s="38"/>
      <c r="X741" s="38"/>
      <c r="Y741" s="44"/>
      <c r="Z741" s="44"/>
      <c r="AA741" s="45" t="str">
        <f aca="false">IF(AND($Y741="",$Z741=""),"",ROUND(IFERROR(VALUE(LEFT($Y741,1)),0)*12+IFERROR(VALUE(LEFT($Z741,1)),0)*8,0))</f>
        <v/>
      </c>
      <c r="AB741" s="45" t="str">
        <f aca="false">IF($AA741="","",IF($AA741&gt;=80,"A - call first",IF($AA741&gt;=60,"B - worth pursuing",IF($AA741&gt;=40,"C - nurture","D - do not spend time here"))))</f>
        <v/>
      </c>
      <c r="AC741" s="46" t="str">
        <f aca="false">IF($C741="","",IF($S741="Converted","7 Certification / Enterprise opportunity",IF($S741="Application Started","7 Certification / Enterprise opportunity",IF($S741="Meeting Booked","6 Meeting / Application",IF(OR($S741="Interested",$S741="Info Requested"),"5 Interested",IF(OR($S741="Declined",$S741="Not Relevant"),"0 Closed - no",IF($R741="Yes","4 Contacted",IF($N741="Yes","2 Engaged",IF($M741="Yes","1 Awareness",IF($AA741&gt;=60,"3 Qualified","1 Awareness"))))))))))</f>
        <v/>
      </c>
    </row>
    <row r="742" customFormat="false" ht="30" hidden="false" customHeight="true" outlineLevel="0" collapsed="false">
      <c r="A742" s="36"/>
      <c r="B742" s="37"/>
      <c r="C742" s="37"/>
      <c r="D742" s="37"/>
      <c r="E742" s="37"/>
      <c r="F742" s="37"/>
      <c r="G742" s="37"/>
      <c r="H742" s="37"/>
      <c r="I742" s="37"/>
      <c r="J742" s="47"/>
      <c r="K742" s="41" t="str">
        <f aca="false">IF(J742="","",IF(J742&gt;=8,"Yes","Check"))</f>
        <v/>
      </c>
      <c r="L742" s="38"/>
      <c r="M742" s="47"/>
      <c r="N742" s="47"/>
      <c r="O742" s="37"/>
      <c r="P742" s="38"/>
      <c r="Q742" s="42" t="str">
        <f aca="false">IF(P742="","",LEN(P742))</f>
        <v/>
      </c>
      <c r="R742" s="47"/>
      <c r="S742" s="37"/>
      <c r="T742" s="38"/>
      <c r="U742" s="43" t="str">
        <f aca="false">IF(OR(R742&lt;&gt;"Yes",A742=""),"",A742+4)</f>
        <v/>
      </c>
      <c r="V742" s="47"/>
      <c r="W742" s="38"/>
      <c r="X742" s="38"/>
      <c r="Y742" s="44"/>
      <c r="Z742" s="44"/>
      <c r="AA742" s="45" t="str">
        <f aca="false">IF(AND($Y742="",$Z742=""),"",ROUND(IFERROR(VALUE(LEFT($Y742,1)),0)*12+IFERROR(VALUE(LEFT($Z742,1)),0)*8,0))</f>
        <v/>
      </c>
      <c r="AB742" s="45" t="str">
        <f aca="false">IF($AA742="","",IF($AA742&gt;=80,"A - call first",IF($AA742&gt;=60,"B - worth pursuing",IF($AA742&gt;=40,"C - nurture","D - do not spend time here"))))</f>
        <v/>
      </c>
      <c r="AC742" s="46" t="str">
        <f aca="false">IF($C742="","",IF($S742="Converted","7 Certification / Enterprise opportunity",IF($S742="Application Started","7 Certification / Enterprise opportunity",IF($S742="Meeting Booked","6 Meeting / Application",IF(OR($S742="Interested",$S742="Info Requested"),"5 Interested",IF(OR($S742="Declined",$S742="Not Relevant"),"0 Closed - no",IF($R742="Yes","4 Contacted",IF($N742="Yes","2 Engaged",IF($M742="Yes","1 Awareness",IF($AA742&gt;=60,"3 Qualified","1 Awareness"))))))))))</f>
        <v/>
      </c>
    </row>
    <row r="743" customFormat="false" ht="30" hidden="false" customHeight="true" outlineLevel="0" collapsed="false">
      <c r="A743" s="36"/>
      <c r="B743" s="37"/>
      <c r="C743" s="37"/>
      <c r="D743" s="37"/>
      <c r="E743" s="37"/>
      <c r="F743" s="37"/>
      <c r="G743" s="37"/>
      <c r="H743" s="37"/>
      <c r="I743" s="37"/>
      <c r="J743" s="47"/>
      <c r="K743" s="41" t="str">
        <f aca="false">IF(J743="","",IF(J743&gt;=8,"Yes","Check"))</f>
        <v/>
      </c>
      <c r="L743" s="38"/>
      <c r="M743" s="47"/>
      <c r="N743" s="47"/>
      <c r="O743" s="37"/>
      <c r="P743" s="38"/>
      <c r="Q743" s="42" t="str">
        <f aca="false">IF(P743="","",LEN(P743))</f>
        <v/>
      </c>
      <c r="R743" s="47"/>
      <c r="S743" s="37"/>
      <c r="T743" s="38"/>
      <c r="U743" s="43" t="str">
        <f aca="false">IF(OR(R743&lt;&gt;"Yes",A743=""),"",A743+4)</f>
        <v/>
      </c>
      <c r="V743" s="47"/>
      <c r="W743" s="38"/>
      <c r="X743" s="38"/>
      <c r="Y743" s="44"/>
      <c r="Z743" s="44"/>
      <c r="AA743" s="45" t="str">
        <f aca="false">IF(AND($Y743="",$Z743=""),"",ROUND(IFERROR(VALUE(LEFT($Y743,1)),0)*12+IFERROR(VALUE(LEFT($Z743,1)),0)*8,0))</f>
        <v/>
      </c>
      <c r="AB743" s="45" t="str">
        <f aca="false">IF($AA743="","",IF($AA743&gt;=80,"A - call first",IF($AA743&gt;=60,"B - worth pursuing",IF($AA743&gt;=40,"C - nurture","D - do not spend time here"))))</f>
        <v/>
      </c>
      <c r="AC743" s="46" t="str">
        <f aca="false">IF($C743="","",IF($S743="Converted","7 Certification / Enterprise opportunity",IF($S743="Application Started","7 Certification / Enterprise opportunity",IF($S743="Meeting Booked","6 Meeting / Application",IF(OR($S743="Interested",$S743="Info Requested"),"5 Interested",IF(OR($S743="Declined",$S743="Not Relevant"),"0 Closed - no",IF($R743="Yes","4 Contacted",IF($N743="Yes","2 Engaged",IF($M743="Yes","1 Awareness",IF($AA743&gt;=60,"3 Qualified","1 Awareness"))))))))))</f>
        <v/>
      </c>
    </row>
    <row r="744" customFormat="false" ht="30" hidden="false" customHeight="true" outlineLevel="0" collapsed="false">
      <c r="A744" s="36"/>
      <c r="B744" s="37"/>
      <c r="C744" s="37"/>
      <c r="D744" s="37"/>
      <c r="E744" s="37"/>
      <c r="F744" s="37"/>
      <c r="G744" s="37"/>
      <c r="H744" s="37"/>
      <c r="I744" s="37"/>
      <c r="J744" s="47"/>
      <c r="K744" s="41" t="str">
        <f aca="false">IF(J744="","",IF(J744&gt;=8,"Yes","Check"))</f>
        <v/>
      </c>
      <c r="L744" s="38"/>
      <c r="M744" s="47"/>
      <c r="N744" s="47"/>
      <c r="O744" s="37"/>
      <c r="P744" s="38"/>
      <c r="Q744" s="42" t="str">
        <f aca="false">IF(P744="","",LEN(P744))</f>
        <v/>
      </c>
      <c r="R744" s="47"/>
      <c r="S744" s="37"/>
      <c r="T744" s="38"/>
      <c r="U744" s="43" t="str">
        <f aca="false">IF(OR(R744&lt;&gt;"Yes",A744=""),"",A744+4)</f>
        <v/>
      </c>
      <c r="V744" s="47"/>
      <c r="W744" s="38"/>
      <c r="X744" s="38"/>
      <c r="Y744" s="44"/>
      <c r="Z744" s="44"/>
      <c r="AA744" s="45" t="str">
        <f aca="false">IF(AND($Y744="",$Z744=""),"",ROUND(IFERROR(VALUE(LEFT($Y744,1)),0)*12+IFERROR(VALUE(LEFT($Z744,1)),0)*8,0))</f>
        <v/>
      </c>
      <c r="AB744" s="45" t="str">
        <f aca="false">IF($AA744="","",IF($AA744&gt;=80,"A - call first",IF($AA744&gt;=60,"B - worth pursuing",IF($AA744&gt;=40,"C - nurture","D - do not spend time here"))))</f>
        <v/>
      </c>
      <c r="AC744" s="46" t="str">
        <f aca="false">IF($C744="","",IF($S744="Converted","7 Certification / Enterprise opportunity",IF($S744="Application Started","7 Certification / Enterprise opportunity",IF($S744="Meeting Booked","6 Meeting / Application",IF(OR($S744="Interested",$S744="Info Requested"),"5 Interested",IF(OR($S744="Declined",$S744="Not Relevant"),"0 Closed - no",IF($R744="Yes","4 Contacted",IF($N744="Yes","2 Engaged",IF($M744="Yes","1 Awareness",IF($AA744&gt;=60,"3 Qualified","1 Awareness"))))))))))</f>
        <v/>
      </c>
    </row>
    <row r="745" customFormat="false" ht="30" hidden="false" customHeight="true" outlineLevel="0" collapsed="false">
      <c r="A745" s="36"/>
      <c r="B745" s="37"/>
      <c r="C745" s="37"/>
      <c r="D745" s="37"/>
      <c r="E745" s="37"/>
      <c r="F745" s="37"/>
      <c r="G745" s="37"/>
      <c r="H745" s="37"/>
      <c r="I745" s="37"/>
      <c r="J745" s="47"/>
      <c r="K745" s="41" t="str">
        <f aca="false">IF(J745="","",IF(J745&gt;=8,"Yes","Check"))</f>
        <v/>
      </c>
      <c r="L745" s="38"/>
      <c r="M745" s="47"/>
      <c r="N745" s="47"/>
      <c r="O745" s="37"/>
      <c r="P745" s="38"/>
      <c r="Q745" s="42" t="str">
        <f aca="false">IF(P745="","",LEN(P745))</f>
        <v/>
      </c>
      <c r="R745" s="47"/>
      <c r="S745" s="37"/>
      <c r="T745" s="38"/>
      <c r="U745" s="43" t="str">
        <f aca="false">IF(OR(R745&lt;&gt;"Yes",A745=""),"",A745+4)</f>
        <v/>
      </c>
      <c r="V745" s="47"/>
      <c r="W745" s="38"/>
      <c r="X745" s="38"/>
      <c r="Y745" s="44"/>
      <c r="Z745" s="44"/>
      <c r="AA745" s="45" t="str">
        <f aca="false">IF(AND($Y745="",$Z745=""),"",ROUND(IFERROR(VALUE(LEFT($Y745,1)),0)*12+IFERROR(VALUE(LEFT($Z745,1)),0)*8,0))</f>
        <v/>
      </c>
      <c r="AB745" s="45" t="str">
        <f aca="false">IF($AA745="","",IF($AA745&gt;=80,"A - call first",IF($AA745&gt;=60,"B - worth pursuing",IF($AA745&gt;=40,"C - nurture","D - do not spend time here"))))</f>
        <v/>
      </c>
      <c r="AC745" s="46" t="str">
        <f aca="false">IF($C745="","",IF($S745="Converted","7 Certification / Enterprise opportunity",IF($S745="Application Started","7 Certification / Enterprise opportunity",IF($S745="Meeting Booked","6 Meeting / Application",IF(OR($S745="Interested",$S745="Info Requested"),"5 Interested",IF(OR($S745="Declined",$S745="Not Relevant"),"0 Closed - no",IF($R745="Yes","4 Contacted",IF($N745="Yes","2 Engaged",IF($M745="Yes","1 Awareness",IF($AA745&gt;=60,"3 Qualified","1 Awareness"))))))))))</f>
        <v/>
      </c>
    </row>
    <row r="746" customFormat="false" ht="30" hidden="false" customHeight="true" outlineLevel="0" collapsed="false">
      <c r="A746" s="36"/>
      <c r="B746" s="37"/>
      <c r="C746" s="37"/>
      <c r="D746" s="37"/>
      <c r="E746" s="37"/>
      <c r="F746" s="37"/>
      <c r="G746" s="37"/>
      <c r="H746" s="37"/>
      <c r="I746" s="37"/>
      <c r="J746" s="47"/>
      <c r="K746" s="41" t="str">
        <f aca="false">IF(J746="","",IF(J746&gt;=8,"Yes","Check"))</f>
        <v/>
      </c>
      <c r="L746" s="38"/>
      <c r="M746" s="47"/>
      <c r="N746" s="47"/>
      <c r="O746" s="37"/>
      <c r="P746" s="38"/>
      <c r="Q746" s="42" t="str">
        <f aca="false">IF(P746="","",LEN(P746))</f>
        <v/>
      </c>
      <c r="R746" s="47"/>
      <c r="S746" s="37"/>
      <c r="T746" s="38"/>
      <c r="U746" s="43" t="str">
        <f aca="false">IF(OR(R746&lt;&gt;"Yes",A746=""),"",A746+4)</f>
        <v/>
      </c>
      <c r="V746" s="47"/>
      <c r="W746" s="38"/>
      <c r="X746" s="38"/>
      <c r="Y746" s="44"/>
      <c r="Z746" s="44"/>
      <c r="AA746" s="45" t="str">
        <f aca="false">IF(AND($Y746="",$Z746=""),"",ROUND(IFERROR(VALUE(LEFT($Y746,1)),0)*12+IFERROR(VALUE(LEFT($Z746,1)),0)*8,0))</f>
        <v/>
      </c>
      <c r="AB746" s="45" t="str">
        <f aca="false">IF($AA746="","",IF($AA746&gt;=80,"A - call first",IF($AA746&gt;=60,"B - worth pursuing",IF($AA746&gt;=40,"C - nurture","D - do not spend time here"))))</f>
        <v/>
      </c>
      <c r="AC746" s="46" t="str">
        <f aca="false">IF($C746="","",IF($S746="Converted","7 Certification / Enterprise opportunity",IF($S746="Application Started","7 Certification / Enterprise opportunity",IF($S746="Meeting Booked","6 Meeting / Application",IF(OR($S746="Interested",$S746="Info Requested"),"5 Interested",IF(OR($S746="Declined",$S746="Not Relevant"),"0 Closed - no",IF($R746="Yes","4 Contacted",IF($N746="Yes","2 Engaged",IF($M746="Yes","1 Awareness",IF($AA746&gt;=60,"3 Qualified","1 Awareness"))))))))))</f>
        <v/>
      </c>
    </row>
    <row r="747" customFormat="false" ht="30" hidden="false" customHeight="true" outlineLevel="0" collapsed="false">
      <c r="A747" s="36"/>
      <c r="B747" s="37"/>
      <c r="C747" s="37"/>
      <c r="D747" s="37"/>
      <c r="E747" s="37"/>
      <c r="F747" s="37"/>
      <c r="G747" s="37"/>
      <c r="H747" s="37"/>
      <c r="I747" s="37"/>
      <c r="J747" s="47"/>
      <c r="K747" s="41" t="str">
        <f aca="false">IF(J747="","",IF(J747&gt;=8,"Yes","Check"))</f>
        <v/>
      </c>
      <c r="L747" s="38"/>
      <c r="M747" s="47"/>
      <c r="N747" s="47"/>
      <c r="O747" s="37"/>
      <c r="P747" s="38"/>
      <c r="Q747" s="42" t="str">
        <f aca="false">IF(P747="","",LEN(P747))</f>
        <v/>
      </c>
      <c r="R747" s="47"/>
      <c r="S747" s="37"/>
      <c r="T747" s="38"/>
      <c r="U747" s="43" t="str">
        <f aca="false">IF(OR(R747&lt;&gt;"Yes",A747=""),"",A747+4)</f>
        <v/>
      </c>
      <c r="V747" s="47"/>
      <c r="W747" s="38"/>
      <c r="X747" s="38"/>
      <c r="Y747" s="44"/>
      <c r="Z747" s="44"/>
      <c r="AA747" s="45" t="str">
        <f aca="false">IF(AND($Y747="",$Z747=""),"",ROUND(IFERROR(VALUE(LEFT($Y747,1)),0)*12+IFERROR(VALUE(LEFT($Z747,1)),0)*8,0))</f>
        <v/>
      </c>
      <c r="AB747" s="45" t="str">
        <f aca="false">IF($AA747="","",IF($AA747&gt;=80,"A - call first",IF($AA747&gt;=60,"B - worth pursuing",IF($AA747&gt;=40,"C - nurture","D - do not spend time here"))))</f>
        <v/>
      </c>
      <c r="AC747" s="46" t="str">
        <f aca="false">IF($C747="","",IF($S747="Converted","7 Certification / Enterprise opportunity",IF($S747="Application Started","7 Certification / Enterprise opportunity",IF($S747="Meeting Booked","6 Meeting / Application",IF(OR($S747="Interested",$S747="Info Requested"),"5 Interested",IF(OR($S747="Declined",$S747="Not Relevant"),"0 Closed - no",IF($R747="Yes","4 Contacted",IF($N747="Yes","2 Engaged",IF($M747="Yes","1 Awareness",IF($AA747&gt;=60,"3 Qualified","1 Awareness"))))))))))</f>
        <v/>
      </c>
    </row>
    <row r="748" customFormat="false" ht="30" hidden="false" customHeight="true" outlineLevel="0" collapsed="false">
      <c r="A748" s="36"/>
      <c r="B748" s="37"/>
      <c r="C748" s="37"/>
      <c r="D748" s="37"/>
      <c r="E748" s="37"/>
      <c r="F748" s="37"/>
      <c r="G748" s="37"/>
      <c r="H748" s="37"/>
      <c r="I748" s="37"/>
      <c r="J748" s="47"/>
      <c r="K748" s="41" t="str">
        <f aca="false">IF(J748="","",IF(J748&gt;=8,"Yes","Check"))</f>
        <v/>
      </c>
      <c r="L748" s="38"/>
      <c r="M748" s="47"/>
      <c r="N748" s="47"/>
      <c r="O748" s="37"/>
      <c r="P748" s="38"/>
      <c r="Q748" s="42" t="str">
        <f aca="false">IF(P748="","",LEN(P748))</f>
        <v/>
      </c>
      <c r="R748" s="47"/>
      <c r="S748" s="37"/>
      <c r="T748" s="38"/>
      <c r="U748" s="43" t="str">
        <f aca="false">IF(OR(R748&lt;&gt;"Yes",A748=""),"",A748+4)</f>
        <v/>
      </c>
      <c r="V748" s="47"/>
      <c r="W748" s="38"/>
      <c r="X748" s="38"/>
      <c r="Y748" s="44"/>
      <c r="Z748" s="44"/>
      <c r="AA748" s="45" t="str">
        <f aca="false">IF(AND($Y748="",$Z748=""),"",ROUND(IFERROR(VALUE(LEFT($Y748,1)),0)*12+IFERROR(VALUE(LEFT($Z748,1)),0)*8,0))</f>
        <v/>
      </c>
      <c r="AB748" s="45" t="str">
        <f aca="false">IF($AA748="","",IF($AA748&gt;=80,"A - call first",IF($AA748&gt;=60,"B - worth pursuing",IF($AA748&gt;=40,"C - nurture","D - do not spend time here"))))</f>
        <v/>
      </c>
      <c r="AC748" s="46" t="str">
        <f aca="false">IF($C748="","",IF($S748="Converted","7 Certification / Enterprise opportunity",IF($S748="Application Started","7 Certification / Enterprise opportunity",IF($S748="Meeting Booked","6 Meeting / Application",IF(OR($S748="Interested",$S748="Info Requested"),"5 Interested",IF(OR($S748="Declined",$S748="Not Relevant"),"0 Closed - no",IF($R748="Yes","4 Contacted",IF($N748="Yes","2 Engaged",IF($M748="Yes","1 Awareness",IF($AA748&gt;=60,"3 Qualified","1 Awareness"))))))))))</f>
        <v/>
      </c>
    </row>
    <row r="749" customFormat="false" ht="30" hidden="false" customHeight="true" outlineLevel="0" collapsed="false">
      <c r="A749" s="36"/>
      <c r="B749" s="37"/>
      <c r="C749" s="37"/>
      <c r="D749" s="37"/>
      <c r="E749" s="37"/>
      <c r="F749" s="37"/>
      <c r="G749" s="37"/>
      <c r="H749" s="37"/>
      <c r="I749" s="37"/>
      <c r="J749" s="47"/>
      <c r="K749" s="41" t="str">
        <f aca="false">IF(J749="","",IF(J749&gt;=8,"Yes","Check"))</f>
        <v/>
      </c>
      <c r="L749" s="38"/>
      <c r="M749" s="47"/>
      <c r="N749" s="47"/>
      <c r="O749" s="37"/>
      <c r="P749" s="38"/>
      <c r="Q749" s="42" t="str">
        <f aca="false">IF(P749="","",LEN(P749))</f>
        <v/>
      </c>
      <c r="R749" s="47"/>
      <c r="S749" s="37"/>
      <c r="T749" s="38"/>
      <c r="U749" s="43" t="str">
        <f aca="false">IF(OR(R749&lt;&gt;"Yes",A749=""),"",A749+4)</f>
        <v/>
      </c>
      <c r="V749" s="47"/>
      <c r="W749" s="38"/>
      <c r="X749" s="38"/>
      <c r="Y749" s="44"/>
      <c r="Z749" s="44"/>
      <c r="AA749" s="45" t="str">
        <f aca="false">IF(AND($Y749="",$Z749=""),"",ROUND(IFERROR(VALUE(LEFT($Y749,1)),0)*12+IFERROR(VALUE(LEFT($Z749,1)),0)*8,0))</f>
        <v/>
      </c>
      <c r="AB749" s="45" t="str">
        <f aca="false">IF($AA749="","",IF($AA749&gt;=80,"A - call first",IF($AA749&gt;=60,"B - worth pursuing",IF($AA749&gt;=40,"C - nurture","D - do not spend time here"))))</f>
        <v/>
      </c>
      <c r="AC749" s="46" t="str">
        <f aca="false">IF($C749="","",IF($S749="Converted","7 Certification / Enterprise opportunity",IF($S749="Application Started","7 Certification / Enterprise opportunity",IF($S749="Meeting Booked","6 Meeting / Application",IF(OR($S749="Interested",$S749="Info Requested"),"5 Interested",IF(OR($S749="Declined",$S749="Not Relevant"),"0 Closed - no",IF($R749="Yes","4 Contacted",IF($N749="Yes","2 Engaged",IF($M749="Yes","1 Awareness",IF($AA749&gt;=60,"3 Qualified","1 Awareness"))))))))))</f>
        <v/>
      </c>
    </row>
    <row r="750" customFormat="false" ht="30" hidden="false" customHeight="true" outlineLevel="0" collapsed="false">
      <c r="A750" s="36"/>
      <c r="B750" s="37"/>
      <c r="C750" s="37"/>
      <c r="D750" s="37"/>
      <c r="E750" s="37"/>
      <c r="F750" s="37"/>
      <c r="G750" s="37"/>
      <c r="H750" s="37"/>
      <c r="I750" s="37"/>
      <c r="J750" s="47"/>
      <c r="K750" s="41" t="str">
        <f aca="false">IF(J750="","",IF(J750&gt;=8,"Yes","Check"))</f>
        <v/>
      </c>
      <c r="L750" s="38"/>
      <c r="M750" s="47"/>
      <c r="N750" s="47"/>
      <c r="O750" s="37"/>
      <c r="P750" s="38"/>
      <c r="Q750" s="42" t="str">
        <f aca="false">IF(P750="","",LEN(P750))</f>
        <v/>
      </c>
      <c r="R750" s="47"/>
      <c r="S750" s="37"/>
      <c r="T750" s="38"/>
      <c r="U750" s="43" t="str">
        <f aca="false">IF(OR(R750&lt;&gt;"Yes",A750=""),"",A750+4)</f>
        <v/>
      </c>
      <c r="V750" s="47"/>
      <c r="W750" s="38"/>
      <c r="X750" s="38"/>
      <c r="Y750" s="44"/>
      <c r="Z750" s="44"/>
      <c r="AA750" s="45" t="str">
        <f aca="false">IF(AND($Y750="",$Z750=""),"",ROUND(IFERROR(VALUE(LEFT($Y750,1)),0)*12+IFERROR(VALUE(LEFT($Z750,1)),0)*8,0))</f>
        <v/>
      </c>
      <c r="AB750" s="45" t="str">
        <f aca="false">IF($AA750="","",IF($AA750&gt;=80,"A - call first",IF($AA750&gt;=60,"B - worth pursuing",IF($AA750&gt;=40,"C - nurture","D - do not spend time here"))))</f>
        <v/>
      </c>
      <c r="AC750" s="46" t="str">
        <f aca="false">IF($C750="","",IF($S750="Converted","7 Certification / Enterprise opportunity",IF($S750="Application Started","7 Certification / Enterprise opportunity",IF($S750="Meeting Booked","6 Meeting / Application",IF(OR($S750="Interested",$S750="Info Requested"),"5 Interested",IF(OR($S750="Declined",$S750="Not Relevant"),"0 Closed - no",IF($R750="Yes","4 Contacted",IF($N750="Yes","2 Engaged",IF($M750="Yes","1 Awareness",IF($AA750&gt;=60,"3 Qualified","1 Awareness"))))))))))</f>
        <v/>
      </c>
    </row>
    <row r="751" customFormat="false" ht="30" hidden="false" customHeight="true" outlineLevel="0" collapsed="false">
      <c r="A751" s="36"/>
      <c r="B751" s="37"/>
      <c r="C751" s="37"/>
      <c r="D751" s="37"/>
      <c r="E751" s="37"/>
      <c r="F751" s="37"/>
      <c r="G751" s="37"/>
      <c r="H751" s="37"/>
      <c r="I751" s="37"/>
      <c r="J751" s="47"/>
      <c r="K751" s="41" t="str">
        <f aca="false">IF(J751="","",IF(J751&gt;=8,"Yes","Check"))</f>
        <v/>
      </c>
      <c r="L751" s="38"/>
      <c r="M751" s="47"/>
      <c r="N751" s="47"/>
      <c r="O751" s="37"/>
      <c r="P751" s="38"/>
      <c r="Q751" s="42" t="str">
        <f aca="false">IF(P751="","",LEN(P751))</f>
        <v/>
      </c>
      <c r="R751" s="47"/>
      <c r="S751" s="37"/>
      <c r="T751" s="38"/>
      <c r="U751" s="43" t="str">
        <f aca="false">IF(OR(R751&lt;&gt;"Yes",A751=""),"",A751+4)</f>
        <v/>
      </c>
      <c r="V751" s="47"/>
      <c r="W751" s="38"/>
      <c r="X751" s="38"/>
      <c r="Y751" s="44"/>
      <c r="Z751" s="44"/>
      <c r="AA751" s="45" t="str">
        <f aca="false">IF(AND($Y751="",$Z751=""),"",ROUND(IFERROR(VALUE(LEFT($Y751,1)),0)*12+IFERROR(VALUE(LEFT($Z751,1)),0)*8,0))</f>
        <v/>
      </c>
      <c r="AB751" s="45" t="str">
        <f aca="false">IF($AA751="","",IF($AA751&gt;=80,"A - call first",IF($AA751&gt;=60,"B - worth pursuing",IF($AA751&gt;=40,"C - nurture","D - do not spend time here"))))</f>
        <v/>
      </c>
      <c r="AC751" s="46" t="str">
        <f aca="false">IF($C751="","",IF($S751="Converted","7 Certification / Enterprise opportunity",IF($S751="Application Started","7 Certification / Enterprise opportunity",IF($S751="Meeting Booked","6 Meeting / Application",IF(OR($S751="Interested",$S751="Info Requested"),"5 Interested",IF(OR($S751="Declined",$S751="Not Relevant"),"0 Closed - no",IF($R751="Yes","4 Contacted",IF($N751="Yes","2 Engaged",IF($M751="Yes","1 Awareness",IF($AA751&gt;=60,"3 Qualified","1 Awareness"))))))))))</f>
        <v/>
      </c>
    </row>
    <row r="752" customFormat="false" ht="30" hidden="false" customHeight="true" outlineLevel="0" collapsed="false">
      <c r="A752" s="36"/>
      <c r="B752" s="37"/>
      <c r="C752" s="37"/>
      <c r="D752" s="37"/>
      <c r="E752" s="37"/>
      <c r="F752" s="37"/>
      <c r="G752" s="37"/>
      <c r="H752" s="37"/>
      <c r="I752" s="37"/>
      <c r="J752" s="47"/>
      <c r="K752" s="41" t="str">
        <f aca="false">IF(J752="","",IF(J752&gt;=8,"Yes","Check"))</f>
        <v/>
      </c>
      <c r="L752" s="38"/>
      <c r="M752" s="47"/>
      <c r="N752" s="47"/>
      <c r="O752" s="37"/>
      <c r="P752" s="38"/>
      <c r="Q752" s="42" t="str">
        <f aca="false">IF(P752="","",LEN(P752))</f>
        <v/>
      </c>
      <c r="R752" s="47"/>
      <c r="S752" s="37"/>
      <c r="T752" s="38"/>
      <c r="U752" s="43" t="str">
        <f aca="false">IF(OR(R752&lt;&gt;"Yes",A752=""),"",A752+4)</f>
        <v/>
      </c>
      <c r="V752" s="47"/>
      <c r="W752" s="38"/>
      <c r="X752" s="38"/>
      <c r="Y752" s="44"/>
      <c r="Z752" s="44"/>
      <c r="AA752" s="45" t="str">
        <f aca="false">IF(AND($Y752="",$Z752=""),"",ROUND(IFERROR(VALUE(LEFT($Y752,1)),0)*12+IFERROR(VALUE(LEFT($Z752,1)),0)*8,0))</f>
        <v/>
      </c>
      <c r="AB752" s="45" t="str">
        <f aca="false">IF($AA752="","",IF($AA752&gt;=80,"A - call first",IF($AA752&gt;=60,"B - worth pursuing",IF($AA752&gt;=40,"C - nurture","D - do not spend time here"))))</f>
        <v/>
      </c>
      <c r="AC752" s="46" t="str">
        <f aca="false">IF($C752="","",IF($S752="Converted","7 Certification / Enterprise opportunity",IF($S752="Application Started","7 Certification / Enterprise opportunity",IF($S752="Meeting Booked","6 Meeting / Application",IF(OR($S752="Interested",$S752="Info Requested"),"5 Interested",IF(OR($S752="Declined",$S752="Not Relevant"),"0 Closed - no",IF($R752="Yes","4 Contacted",IF($N752="Yes","2 Engaged",IF($M752="Yes","1 Awareness",IF($AA752&gt;=60,"3 Qualified","1 Awareness"))))))))))</f>
        <v/>
      </c>
    </row>
    <row r="753" customFormat="false" ht="30" hidden="false" customHeight="true" outlineLevel="0" collapsed="false">
      <c r="A753" s="36"/>
      <c r="B753" s="37"/>
      <c r="C753" s="37"/>
      <c r="D753" s="37"/>
      <c r="E753" s="37"/>
      <c r="F753" s="37"/>
      <c r="G753" s="37"/>
      <c r="H753" s="37"/>
      <c r="I753" s="37"/>
      <c r="J753" s="47"/>
      <c r="K753" s="41" t="str">
        <f aca="false">IF(J753="","",IF(J753&gt;=8,"Yes","Check"))</f>
        <v/>
      </c>
      <c r="L753" s="38"/>
      <c r="M753" s="47"/>
      <c r="N753" s="47"/>
      <c r="O753" s="37"/>
      <c r="P753" s="38"/>
      <c r="Q753" s="42" t="str">
        <f aca="false">IF(P753="","",LEN(P753))</f>
        <v/>
      </c>
      <c r="R753" s="47"/>
      <c r="S753" s="37"/>
      <c r="T753" s="38"/>
      <c r="U753" s="43" t="str">
        <f aca="false">IF(OR(R753&lt;&gt;"Yes",A753=""),"",A753+4)</f>
        <v/>
      </c>
      <c r="V753" s="47"/>
      <c r="W753" s="38"/>
      <c r="X753" s="38"/>
      <c r="Y753" s="44"/>
      <c r="Z753" s="44"/>
      <c r="AA753" s="45" t="str">
        <f aca="false">IF(AND($Y753="",$Z753=""),"",ROUND(IFERROR(VALUE(LEFT($Y753,1)),0)*12+IFERROR(VALUE(LEFT($Z753,1)),0)*8,0))</f>
        <v/>
      </c>
      <c r="AB753" s="45" t="str">
        <f aca="false">IF($AA753="","",IF($AA753&gt;=80,"A - call first",IF($AA753&gt;=60,"B - worth pursuing",IF($AA753&gt;=40,"C - nurture","D - do not spend time here"))))</f>
        <v/>
      </c>
      <c r="AC753" s="46" t="str">
        <f aca="false">IF($C753="","",IF($S753="Converted","7 Certification / Enterprise opportunity",IF($S753="Application Started","7 Certification / Enterprise opportunity",IF($S753="Meeting Booked","6 Meeting / Application",IF(OR($S753="Interested",$S753="Info Requested"),"5 Interested",IF(OR($S753="Declined",$S753="Not Relevant"),"0 Closed - no",IF($R753="Yes","4 Contacted",IF($N753="Yes","2 Engaged",IF($M753="Yes","1 Awareness",IF($AA753&gt;=60,"3 Qualified","1 Awareness"))))))))))</f>
        <v/>
      </c>
    </row>
    <row r="754" customFormat="false" ht="30" hidden="false" customHeight="true" outlineLevel="0" collapsed="false">
      <c r="A754" s="36"/>
      <c r="B754" s="37"/>
      <c r="C754" s="37"/>
      <c r="D754" s="37"/>
      <c r="E754" s="37"/>
      <c r="F754" s="37"/>
      <c r="G754" s="37"/>
      <c r="H754" s="37"/>
      <c r="I754" s="37"/>
      <c r="J754" s="47"/>
      <c r="K754" s="41" t="str">
        <f aca="false">IF(J754="","",IF(J754&gt;=8,"Yes","Check"))</f>
        <v/>
      </c>
      <c r="L754" s="38"/>
      <c r="M754" s="47"/>
      <c r="N754" s="47"/>
      <c r="O754" s="37"/>
      <c r="P754" s="38"/>
      <c r="Q754" s="42" t="str">
        <f aca="false">IF(P754="","",LEN(P754))</f>
        <v/>
      </c>
      <c r="R754" s="47"/>
      <c r="S754" s="37"/>
      <c r="T754" s="38"/>
      <c r="U754" s="43" t="str">
        <f aca="false">IF(OR(R754&lt;&gt;"Yes",A754=""),"",A754+4)</f>
        <v/>
      </c>
      <c r="V754" s="47"/>
      <c r="W754" s="38"/>
      <c r="X754" s="38"/>
      <c r="Y754" s="44"/>
      <c r="Z754" s="44"/>
      <c r="AA754" s="45" t="str">
        <f aca="false">IF(AND($Y754="",$Z754=""),"",ROUND(IFERROR(VALUE(LEFT($Y754,1)),0)*12+IFERROR(VALUE(LEFT($Z754,1)),0)*8,0))</f>
        <v/>
      </c>
      <c r="AB754" s="45" t="str">
        <f aca="false">IF($AA754="","",IF($AA754&gt;=80,"A - call first",IF($AA754&gt;=60,"B - worth pursuing",IF($AA754&gt;=40,"C - nurture","D - do not spend time here"))))</f>
        <v/>
      </c>
      <c r="AC754" s="46" t="str">
        <f aca="false">IF($C754="","",IF($S754="Converted","7 Certification / Enterprise opportunity",IF($S754="Application Started","7 Certification / Enterprise opportunity",IF($S754="Meeting Booked","6 Meeting / Application",IF(OR($S754="Interested",$S754="Info Requested"),"5 Interested",IF(OR($S754="Declined",$S754="Not Relevant"),"0 Closed - no",IF($R754="Yes","4 Contacted",IF($N754="Yes","2 Engaged",IF($M754="Yes","1 Awareness",IF($AA754&gt;=60,"3 Qualified","1 Awareness"))))))))))</f>
        <v/>
      </c>
    </row>
    <row r="755" customFormat="false" ht="30" hidden="false" customHeight="true" outlineLevel="0" collapsed="false">
      <c r="A755" s="36"/>
      <c r="B755" s="37"/>
      <c r="C755" s="37"/>
      <c r="D755" s="37"/>
      <c r="E755" s="37"/>
      <c r="F755" s="37"/>
      <c r="G755" s="37"/>
      <c r="H755" s="37"/>
      <c r="I755" s="37"/>
      <c r="J755" s="47"/>
      <c r="K755" s="41" t="str">
        <f aca="false">IF(J755="","",IF(J755&gt;=8,"Yes","Check"))</f>
        <v/>
      </c>
      <c r="L755" s="38"/>
      <c r="M755" s="47"/>
      <c r="N755" s="47"/>
      <c r="O755" s="37"/>
      <c r="P755" s="38"/>
      <c r="Q755" s="42" t="str">
        <f aca="false">IF(P755="","",LEN(P755))</f>
        <v/>
      </c>
      <c r="R755" s="47"/>
      <c r="S755" s="37"/>
      <c r="T755" s="38"/>
      <c r="U755" s="43" t="str">
        <f aca="false">IF(OR(R755&lt;&gt;"Yes",A755=""),"",A755+4)</f>
        <v/>
      </c>
      <c r="V755" s="47"/>
      <c r="W755" s="38"/>
      <c r="X755" s="38"/>
      <c r="Y755" s="44"/>
      <c r="Z755" s="44"/>
      <c r="AA755" s="45" t="str">
        <f aca="false">IF(AND($Y755="",$Z755=""),"",ROUND(IFERROR(VALUE(LEFT($Y755,1)),0)*12+IFERROR(VALUE(LEFT($Z755,1)),0)*8,0))</f>
        <v/>
      </c>
      <c r="AB755" s="45" t="str">
        <f aca="false">IF($AA755="","",IF($AA755&gt;=80,"A - call first",IF($AA755&gt;=60,"B - worth pursuing",IF($AA755&gt;=40,"C - nurture","D - do not spend time here"))))</f>
        <v/>
      </c>
      <c r="AC755" s="46" t="str">
        <f aca="false">IF($C755="","",IF($S755="Converted","7 Certification / Enterprise opportunity",IF($S755="Application Started","7 Certification / Enterprise opportunity",IF($S755="Meeting Booked","6 Meeting / Application",IF(OR($S755="Interested",$S755="Info Requested"),"5 Interested",IF(OR($S755="Declined",$S755="Not Relevant"),"0 Closed - no",IF($R755="Yes","4 Contacted",IF($N755="Yes","2 Engaged",IF($M755="Yes","1 Awareness",IF($AA755&gt;=60,"3 Qualified","1 Awareness"))))))))))</f>
        <v/>
      </c>
    </row>
    <row r="756" customFormat="false" ht="30" hidden="false" customHeight="true" outlineLevel="0" collapsed="false">
      <c r="A756" s="36"/>
      <c r="B756" s="37"/>
      <c r="C756" s="37"/>
      <c r="D756" s="37"/>
      <c r="E756" s="37"/>
      <c r="F756" s="37"/>
      <c r="G756" s="37"/>
      <c r="H756" s="37"/>
      <c r="I756" s="37"/>
      <c r="J756" s="47"/>
      <c r="K756" s="41" t="str">
        <f aca="false">IF(J756="","",IF(J756&gt;=8,"Yes","Check"))</f>
        <v/>
      </c>
      <c r="L756" s="38"/>
      <c r="M756" s="47"/>
      <c r="N756" s="47"/>
      <c r="O756" s="37"/>
      <c r="P756" s="38"/>
      <c r="Q756" s="42" t="str">
        <f aca="false">IF(P756="","",LEN(P756))</f>
        <v/>
      </c>
      <c r="R756" s="47"/>
      <c r="S756" s="37"/>
      <c r="T756" s="38"/>
      <c r="U756" s="43" t="str">
        <f aca="false">IF(OR(R756&lt;&gt;"Yes",A756=""),"",A756+4)</f>
        <v/>
      </c>
      <c r="V756" s="47"/>
      <c r="W756" s="38"/>
      <c r="X756" s="38"/>
      <c r="Y756" s="44"/>
      <c r="Z756" s="44"/>
      <c r="AA756" s="45" t="str">
        <f aca="false">IF(AND($Y756="",$Z756=""),"",ROUND(IFERROR(VALUE(LEFT($Y756,1)),0)*12+IFERROR(VALUE(LEFT($Z756,1)),0)*8,0))</f>
        <v/>
      </c>
      <c r="AB756" s="45" t="str">
        <f aca="false">IF($AA756="","",IF($AA756&gt;=80,"A - call first",IF($AA756&gt;=60,"B - worth pursuing",IF($AA756&gt;=40,"C - nurture","D - do not spend time here"))))</f>
        <v/>
      </c>
      <c r="AC756" s="46" t="str">
        <f aca="false">IF($C756="","",IF($S756="Converted","7 Certification / Enterprise opportunity",IF($S756="Application Started","7 Certification / Enterprise opportunity",IF($S756="Meeting Booked","6 Meeting / Application",IF(OR($S756="Interested",$S756="Info Requested"),"5 Interested",IF(OR($S756="Declined",$S756="Not Relevant"),"0 Closed - no",IF($R756="Yes","4 Contacted",IF($N756="Yes","2 Engaged",IF($M756="Yes","1 Awareness",IF($AA756&gt;=60,"3 Qualified","1 Awareness"))))))))))</f>
        <v/>
      </c>
    </row>
    <row r="757" customFormat="false" ht="30" hidden="false" customHeight="true" outlineLevel="0" collapsed="false">
      <c r="A757" s="36"/>
      <c r="B757" s="37"/>
      <c r="C757" s="37"/>
      <c r="D757" s="37"/>
      <c r="E757" s="37"/>
      <c r="F757" s="37"/>
      <c r="G757" s="37"/>
      <c r="H757" s="37"/>
      <c r="I757" s="37"/>
      <c r="J757" s="47"/>
      <c r="K757" s="41" t="str">
        <f aca="false">IF(J757="","",IF(J757&gt;=8,"Yes","Check"))</f>
        <v/>
      </c>
      <c r="L757" s="38"/>
      <c r="M757" s="47"/>
      <c r="N757" s="47"/>
      <c r="O757" s="37"/>
      <c r="P757" s="38"/>
      <c r="Q757" s="42" t="str">
        <f aca="false">IF(P757="","",LEN(P757))</f>
        <v/>
      </c>
      <c r="R757" s="47"/>
      <c r="S757" s="37"/>
      <c r="T757" s="38"/>
      <c r="U757" s="43" t="str">
        <f aca="false">IF(OR(R757&lt;&gt;"Yes",A757=""),"",A757+4)</f>
        <v/>
      </c>
      <c r="V757" s="47"/>
      <c r="W757" s="38"/>
      <c r="X757" s="38"/>
      <c r="Y757" s="44"/>
      <c r="Z757" s="44"/>
      <c r="AA757" s="45" t="str">
        <f aca="false">IF(AND($Y757="",$Z757=""),"",ROUND(IFERROR(VALUE(LEFT($Y757,1)),0)*12+IFERROR(VALUE(LEFT($Z757,1)),0)*8,0))</f>
        <v/>
      </c>
      <c r="AB757" s="45" t="str">
        <f aca="false">IF($AA757="","",IF($AA757&gt;=80,"A - call first",IF($AA757&gt;=60,"B - worth pursuing",IF($AA757&gt;=40,"C - nurture","D - do not spend time here"))))</f>
        <v/>
      </c>
      <c r="AC757" s="46" t="str">
        <f aca="false">IF($C757="","",IF($S757="Converted","7 Certification / Enterprise opportunity",IF($S757="Application Started","7 Certification / Enterprise opportunity",IF($S757="Meeting Booked","6 Meeting / Application",IF(OR($S757="Interested",$S757="Info Requested"),"5 Interested",IF(OR($S757="Declined",$S757="Not Relevant"),"0 Closed - no",IF($R757="Yes","4 Contacted",IF($N757="Yes","2 Engaged",IF($M757="Yes","1 Awareness",IF($AA757&gt;=60,"3 Qualified","1 Awareness"))))))))))</f>
        <v/>
      </c>
    </row>
    <row r="758" customFormat="false" ht="30" hidden="false" customHeight="true" outlineLevel="0" collapsed="false">
      <c r="A758" s="36"/>
      <c r="B758" s="37"/>
      <c r="C758" s="37"/>
      <c r="D758" s="37"/>
      <c r="E758" s="37"/>
      <c r="F758" s="37"/>
      <c r="G758" s="37"/>
      <c r="H758" s="37"/>
      <c r="I758" s="37"/>
      <c r="J758" s="47"/>
      <c r="K758" s="41" t="str">
        <f aca="false">IF(J758="","",IF(J758&gt;=8,"Yes","Check"))</f>
        <v/>
      </c>
      <c r="L758" s="38"/>
      <c r="M758" s="47"/>
      <c r="N758" s="47"/>
      <c r="O758" s="37"/>
      <c r="P758" s="38"/>
      <c r="Q758" s="42" t="str">
        <f aca="false">IF(P758="","",LEN(P758))</f>
        <v/>
      </c>
      <c r="R758" s="47"/>
      <c r="S758" s="37"/>
      <c r="T758" s="38"/>
      <c r="U758" s="43" t="str">
        <f aca="false">IF(OR(R758&lt;&gt;"Yes",A758=""),"",A758+4)</f>
        <v/>
      </c>
      <c r="V758" s="47"/>
      <c r="W758" s="38"/>
      <c r="X758" s="38"/>
      <c r="Y758" s="44"/>
      <c r="Z758" s="44"/>
      <c r="AA758" s="45" t="str">
        <f aca="false">IF(AND($Y758="",$Z758=""),"",ROUND(IFERROR(VALUE(LEFT($Y758,1)),0)*12+IFERROR(VALUE(LEFT($Z758,1)),0)*8,0))</f>
        <v/>
      </c>
      <c r="AB758" s="45" t="str">
        <f aca="false">IF($AA758="","",IF($AA758&gt;=80,"A - call first",IF($AA758&gt;=60,"B - worth pursuing",IF($AA758&gt;=40,"C - nurture","D - do not spend time here"))))</f>
        <v/>
      </c>
      <c r="AC758" s="46" t="str">
        <f aca="false">IF($C758="","",IF($S758="Converted","7 Certification / Enterprise opportunity",IF($S758="Application Started","7 Certification / Enterprise opportunity",IF($S758="Meeting Booked","6 Meeting / Application",IF(OR($S758="Interested",$S758="Info Requested"),"5 Interested",IF(OR($S758="Declined",$S758="Not Relevant"),"0 Closed - no",IF($R758="Yes","4 Contacted",IF($N758="Yes","2 Engaged",IF($M758="Yes","1 Awareness",IF($AA758&gt;=60,"3 Qualified","1 Awareness"))))))))))</f>
        <v/>
      </c>
    </row>
    <row r="759" customFormat="false" ht="30" hidden="false" customHeight="true" outlineLevel="0" collapsed="false">
      <c r="A759" s="36"/>
      <c r="B759" s="37"/>
      <c r="C759" s="37"/>
      <c r="D759" s="37"/>
      <c r="E759" s="37"/>
      <c r="F759" s="37"/>
      <c r="G759" s="37"/>
      <c r="H759" s="37"/>
      <c r="I759" s="37"/>
      <c r="J759" s="47"/>
      <c r="K759" s="41" t="str">
        <f aca="false">IF(J759="","",IF(J759&gt;=8,"Yes","Check"))</f>
        <v/>
      </c>
      <c r="L759" s="38"/>
      <c r="M759" s="47"/>
      <c r="N759" s="47"/>
      <c r="O759" s="37"/>
      <c r="P759" s="38"/>
      <c r="Q759" s="42" t="str">
        <f aca="false">IF(P759="","",LEN(P759))</f>
        <v/>
      </c>
      <c r="R759" s="47"/>
      <c r="S759" s="37"/>
      <c r="T759" s="38"/>
      <c r="U759" s="43" t="str">
        <f aca="false">IF(OR(R759&lt;&gt;"Yes",A759=""),"",A759+4)</f>
        <v/>
      </c>
      <c r="V759" s="47"/>
      <c r="W759" s="38"/>
      <c r="X759" s="38"/>
      <c r="Y759" s="44"/>
      <c r="Z759" s="44"/>
      <c r="AA759" s="45" t="str">
        <f aca="false">IF(AND($Y759="",$Z759=""),"",ROUND(IFERROR(VALUE(LEFT($Y759,1)),0)*12+IFERROR(VALUE(LEFT($Z759,1)),0)*8,0))</f>
        <v/>
      </c>
      <c r="AB759" s="45" t="str">
        <f aca="false">IF($AA759="","",IF($AA759&gt;=80,"A - call first",IF($AA759&gt;=60,"B - worth pursuing",IF($AA759&gt;=40,"C - nurture","D - do not spend time here"))))</f>
        <v/>
      </c>
      <c r="AC759" s="46" t="str">
        <f aca="false">IF($C759="","",IF($S759="Converted","7 Certification / Enterprise opportunity",IF($S759="Application Started","7 Certification / Enterprise opportunity",IF($S759="Meeting Booked","6 Meeting / Application",IF(OR($S759="Interested",$S759="Info Requested"),"5 Interested",IF(OR($S759="Declined",$S759="Not Relevant"),"0 Closed - no",IF($R759="Yes","4 Contacted",IF($N759="Yes","2 Engaged",IF($M759="Yes","1 Awareness",IF($AA759&gt;=60,"3 Qualified","1 Awareness"))))))))))</f>
        <v/>
      </c>
    </row>
    <row r="760" customFormat="false" ht="30" hidden="false" customHeight="true" outlineLevel="0" collapsed="false">
      <c r="A760" s="36"/>
      <c r="B760" s="37"/>
      <c r="C760" s="37"/>
      <c r="D760" s="37"/>
      <c r="E760" s="37"/>
      <c r="F760" s="37"/>
      <c r="G760" s="37"/>
      <c r="H760" s="37"/>
      <c r="I760" s="37"/>
      <c r="J760" s="47"/>
      <c r="K760" s="41" t="str">
        <f aca="false">IF(J760="","",IF(J760&gt;=8,"Yes","Check"))</f>
        <v/>
      </c>
      <c r="L760" s="38"/>
      <c r="M760" s="47"/>
      <c r="N760" s="47"/>
      <c r="O760" s="37"/>
      <c r="P760" s="38"/>
      <c r="Q760" s="42" t="str">
        <f aca="false">IF(P760="","",LEN(P760))</f>
        <v/>
      </c>
      <c r="R760" s="47"/>
      <c r="S760" s="37"/>
      <c r="T760" s="38"/>
      <c r="U760" s="43" t="str">
        <f aca="false">IF(OR(R760&lt;&gt;"Yes",A760=""),"",A760+4)</f>
        <v/>
      </c>
      <c r="V760" s="47"/>
      <c r="W760" s="38"/>
      <c r="X760" s="38"/>
      <c r="Y760" s="44"/>
      <c r="Z760" s="44"/>
      <c r="AA760" s="45" t="str">
        <f aca="false">IF(AND($Y760="",$Z760=""),"",ROUND(IFERROR(VALUE(LEFT($Y760,1)),0)*12+IFERROR(VALUE(LEFT($Z760,1)),0)*8,0))</f>
        <v/>
      </c>
      <c r="AB760" s="45" t="str">
        <f aca="false">IF($AA760="","",IF($AA760&gt;=80,"A - call first",IF($AA760&gt;=60,"B - worth pursuing",IF($AA760&gt;=40,"C - nurture","D - do not spend time here"))))</f>
        <v/>
      </c>
      <c r="AC760" s="46" t="str">
        <f aca="false">IF($C760="","",IF($S760="Converted","7 Certification / Enterprise opportunity",IF($S760="Application Started","7 Certification / Enterprise opportunity",IF($S760="Meeting Booked","6 Meeting / Application",IF(OR($S760="Interested",$S760="Info Requested"),"5 Interested",IF(OR($S760="Declined",$S760="Not Relevant"),"0 Closed - no",IF($R760="Yes","4 Contacted",IF($N760="Yes","2 Engaged",IF($M760="Yes","1 Awareness",IF($AA760&gt;=60,"3 Qualified","1 Awareness"))))))))))</f>
        <v/>
      </c>
    </row>
    <row r="761" customFormat="false" ht="30" hidden="false" customHeight="true" outlineLevel="0" collapsed="false">
      <c r="A761" s="36"/>
      <c r="B761" s="37"/>
      <c r="C761" s="37"/>
      <c r="D761" s="37"/>
      <c r="E761" s="37"/>
      <c r="F761" s="37"/>
      <c r="G761" s="37"/>
      <c r="H761" s="37"/>
      <c r="I761" s="37"/>
      <c r="J761" s="47"/>
      <c r="K761" s="41" t="str">
        <f aca="false">IF(J761="","",IF(J761&gt;=8,"Yes","Check"))</f>
        <v/>
      </c>
      <c r="L761" s="38"/>
      <c r="M761" s="47"/>
      <c r="N761" s="47"/>
      <c r="O761" s="37"/>
      <c r="P761" s="38"/>
      <c r="Q761" s="42" t="str">
        <f aca="false">IF(P761="","",LEN(P761))</f>
        <v/>
      </c>
      <c r="R761" s="47"/>
      <c r="S761" s="37"/>
      <c r="T761" s="38"/>
      <c r="U761" s="43" t="str">
        <f aca="false">IF(OR(R761&lt;&gt;"Yes",A761=""),"",A761+4)</f>
        <v/>
      </c>
      <c r="V761" s="47"/>
      <c r="W761" s="38"/>
      <c r="X761" s="38"/>
      <c r="Y761" s="44"/>
      <c r="Z761" s="44"/>
      <c r="AA761" s="45" t="str">
        <f aca="false">IF(AND($Y761="",$Z761=""),"",ROUND(IFERROR(VALUE(LEFT($Y761,1)),0)*12+IFERROR(VALUE(LEFT($Z761,1)),0)*8,0))</f>
        <v/>
      </c>
      <c r="AB761" s="45" t="str">
        <f aca="false">IF($AA761="","",IF($AA761&gt;=80,"A - call first",IF($AA761&gt;=60,"B - worth pursuing",IF($AA761&gt;=40,"C - nurture","D - do not spend time here"))))</f>
        <v/>
      </c>
      <c r="AC761" s="46" t="str">
        <f aca="false">IF($C761="","",IF($S761="Converted","7 Certification / Enterprise opportunity",IF($S761="Application Started","7 Certification / Enterprise opportunity",IF($S761="Meeting Booked","6 Meeting / Application",IF(OR($S761="Interested",$S761="Info Requested"),"5 Interested",IF(OR($S761="Declined",$S761="Not Relevant"),"0 Closed - no",IF($R761="Yes","4 Contacted",IF($N761="Yes","2 Engaged",IF($M761="Yes","1 Awareness",IF($AA761&gt;=60,"3 Qualified","1 Awareness"))))))))))</f>
        <v/>
      </c>
    </row>
    <row r="762" customFormat="false" ht="30" hidden="false" customHeight="true" outlineLevel="0" collapsed="false">
      <c r="A762" s="36"/>
      <c r="B762" s="37"/>
      <c r="C762" s="37"/>
      <c r="D762" s="37"/>
      <c r="E762" s="37"/>
      <c r="F762" s="37"/>
      <c r="G762" s="37"/>
      <c r="H762" s="37"/>
      <c r="I762" s="37"/>
      <c r="J762" s="47"/>
      <c r="K762" s="41" t="str">
        <f aca="false">IF(J762="","",IF(J762&gt;=8,"Yes","Check"))</f>
        <v/>
      </c>
      <c r="L762" s="38"/>
      <c r="M762" s="47"/>
      <c r="N762" s="47"/>
      <c r="O762" s="37"/>
      <c r="P762" s="38"/>
      <c r="Q762" s="42" t="str">
        <f aca="false">IF(P762="","",LEN(P762))</f>
        <v/>
      </c>
      <c r="R762" s="47"/>
      <c r="S762" s="37"/>
      <c r="T762" s="38"/>
      <c r="U762" s="43" t="str">
        <f aca="false">IF(OR(R762&lt;&gt;"Yes",A762=""),"",A762+4)</f>
        <v/>
      </c>
      <c r="V762" s="47"/>
      <c r="W762" s="38"/>
      <c r="X762" s="38"/>
      <c r="Y762" s="44"/>
      <c r="Z762" s="44"/>
      <c r="AA762" s="45" t="str">
        <f aca="false">IF(AND($Y762="",$Z762=""),"",ROUND(IFERROR(VALUE(LEFT($Y762,1)),0)*12+IFERROR(VALUE(LEFT($Z762,1)),0)*8,0))</f>
        <v/>
      </c>
      <c r="AB762" s="45" t="str">
        <f aca="false">IF($AA762="","",IF($AA762&gt;=80,"A - call first",IF($AA762&gt;=60,"B - worth pursuing",IF($AA762&gt;=40,"C - nurture","D - do not spend time here"))))</f>
        <v/>
      </c>
      <c r="AC762" s="46" t="str">
        <f aca="false">IF($C762="","",IF($S762="Converted","7 Certification / Enterprise opportunity",IF($S762="Application Started","7 Certification / Enterprise opportunity",IF($S762="Meeting Booked","6 Meeting / Application",IF(OR($S762="Interested",$S762="Info Requested"),"5 Interested",IF(OR($S762="Declined",$S762="Not Relevant"),"0 Closed - no",IF($R762="Yes","4 Contacted",IF($N762="Yes","2 Engaged",IF($M762="Yes","1 Awareness",IF($AA762&gt;=60,"3 Qualified","1 Awareness"))))))))))</f>
        <v/>
      </c>
    </row>
    <row r="763" customFormat="false" ht="30" hidden="false" customHeight="true" outlineLevel="0" collapsed="false">
      <c r="A763" s="36"/>
      <c r="B763" s="37"/>
      <c r="C763" s="37"/>
      <c r="D763" s="37"/>
      <c r="E763" s="37"/>
      <c r="F763" s="37"/>
      <c r="G763" s="37"/>
      <c r="H763" s="37"/>
      <c r="I763" s="37"/>
      <c r="J763" s="47"/>
      <c r="K763" s="41" t="str">
        <f aca="false">IF(J763="","",IF(J763&gt;=8,"Yes","Check"))</f>
        <v/>
      </c>
      <c r="L763" s="38"/>
      <c r="M763" s="47"/>
      <c r="N763" s="47"/>
      <c r="O763" s="37"/>
      <c r="P763" s="38"/>
      <c r="Q763" s="42" t="str">
        <f aca="false">IF(P763="","",LEN(P763))</f>
        <v/>
      </c>
      <c r="R763" s="47"/>
      <c r="S763" s="37"/>
      <c r="T763" s="38"/>
      <c r="U763" s="43" t="str">
        <f aca="false">IF(OR(R763&lt;&gt;"Yes",A763=""),"",A763+4)</f>
        <v/>
      </c>
      <c r="V763" s="47"/>
      <c r="W763" s="38"/>
      <c r="X763" s="38"/>
      <c r="Y763" s="44"/>
      <c r="Z763" s="44"/>
      <c r="AA763" s="45" t="str">
        <f aca="false">IF(AND($Y763="",$Z763=""),"",ROUND(IFERROR(VALUE(LEFT($Y763,1)),0)*12+IFERROR(VALUE(LEFT($Z763,1)),0)*8,0))</f>
        <v/>
      </c>
      <c r="AB763" s="45" t="str">
        <f aca="false">IF($AA763="","",IF($AA763&gt;=80,"A - call first",IF($AA763&gt;=60,"B - worth pursuing",IF($AA763&gt;=40,"C - nurture","D - do not spend time here"))))</f>
        <v/>
      </c>
      <c r="AC763" s="46" t="str">
        <f aca="false">IF($C763="","",IF($S763="Converted","7 Certification / Enterprise opportunity",IF($S763="Application Started","7 Certification / Enterprise opportunity",IF($S763="Meeting Booked","6 Meeting / Application",IF(OR($S763="Interested",$S763="Info Requested"),"5 Interested",IF(OR($S763="Declined",$S763="Not Relevant"),"0 Closed - no",IF($R763="Yes","4 Contacted",IF($N763="Yes","2 Engaged",IF($M763="Yes","1 Awareness",IF($AA763&gt;=60,"3 Qualified","1 Awareness"))))))))))</f>
        <v/>
      </c>
    </row>
    <row r="764" customFormat="false" ht="30" hidden="false" customHeight="true" outlineLevel="0" collapsed="false">
      <c r="A764" s="36"/>
      <c r="B764" s="37"/>
      <c r="C764" s="37"/>
      <c r="D764" s="37"/>
      <c r="E764" s="37"/>
      <c r="F764" s="37"/>
      <c r="G764" s="37"/>
      <c r="H764" s="37"/>
      <c r="I764" s="37"/>
      <c r="J764" s="47"/>
      <c r="K764" s="41" t="str">
        <f aca="false">IF(J764="","",IF(J764&gt;=8,"Yes","Check"))</f>
        <v/>
      </c>
      <c r="L764" s="38"/>
      <c r="M764" s="47"/>
      <c r="N764" s="47"/>
      <c r="O764" s="37"/>
      <c r="P764" s="38"/>
      <c r="Q764" s="42" t="str">
        <f aca="false">IF(P764="","",LEN(P764))</f>
        <v/>
      </c>
      <c r="R764" s="47"/>
      <c r="S764" s="37"/>
      <c r="T764" s="38"/>
      <c r="U764" s="43" t="str">
        <f aca="false">IF(OR(R764&lt;&gt;"Yes",A764=""),"",A764+4)</f>
        <v/>
      </c>
      <c r="V764" s="47"/>
      <c r="W764" s="38"/>
      <c r="X764" s="38"/>
      <c r="Y764" s="44"/>
      <c r="Z764" s="44"/>
      <c r="AA764" s="45" t="str">
        <f aca="false">IF(AND($Y764="",$Z764=""),"",ROUND(IFERROR(VALUE(LEFT($Y764,1)),0)*12+IFERROR(VALUE(LEFT($Z764,1)),0)*8,0))</f>
        <v/>
      </c>
      <c r="AB764" s="45" t="str">
        <f aca="false">IF($AA764="","",IF($AA764&gt;=80,"A - call first",IF($AA764&gt;=60,"B - worth pursuing",IF($AA764&gt;=40,"C - nurture","D - do not spend time here"))))</f>
        <v/>
      </c>
      <c r="AC764" s="46" t="str">
        <f aca="false">IF($C764="","",IF($S764="Converted","7 Certification / Enterprise opportunity",IF($S764="Application Started","7 Certification / Enterprise opportunity",IF($S764="Meeting Booked","6 Meeting / Application",IF(OR($S764="Interested",$S764="Info Requested"),"5 Interested",IF(OR($S764="Declined",$S764="Not Relevant"),"0 Closed - no",IF($R764="Yes","4 Contacted",IF($N764="Yes","2 Engaged",IF($M764="Yes","1 Awareness",IF($AA764&gt;=60,"3 Qualified","1 Awareness"))))))))))</f>
        <v/>
      </c>
    </row>
    <row r="765" customFormat="false" ht="30" hidden="false" customHeight="true" outlineLevel="0" collapsed="false">
      <c r="A765" s="36"/>
      <c r="B765" s="37"/>
      <c r="C765" s="37"/>
      <c r="D765" s="37"/>
      <c r="E765" s="37"/>
      <c r="F765" s="37"/>
      <c r="G765" s="37"/>
      <c r="H765" s="37"/>
      <c r="I765" s="37"/>
      <c r="J765" s="47"/>
      <c r="K765" s="41" t="str">
        <f aca="false">IF(J765="","",IF(J765&gt;=8,"Yes","Check"))</f>
        <v/>
      </c>
      <c r="L765" s="38"/>
      <c r="M765" s="47"/>
      <c r="N765" s="47"/>
      <c r="O765" s="37"/>
      <c r="P765" s="38"/>
      <c r="Q765" s="42" t="str">
        <f aca="false">IF(P765="","",LEN(P765))</f>
        <v/>
      </c>
      <c r="R765" s="47"/>
      <c r="S765" s="37"/>
      <c r="T765" s="38"/>
      <c r="U765" s="43" t="str">
        <f aca="false">IF(OR(R765&lt;&gt;"Yes",A765=""),"",A765+4)</f>
        <v/>
      </c>
      <c r="V765" s="47"/>
      <c r="W765" s="38"/>
      <c r="X765" s="38"/>
      <c r="Y765" s="44"/>
      <c r="Z765" s="44"/>
      <c r="AA765" s="45" t="str">
        <f aca="false">IF(AND($Y765="",$Z765=""),"",ROUND(IFERROR(VALUE(LEFT($Y765,1)),0)*12+IFERROR(VALUE(LEFT($Z765,1)),0)*8,0))</f>
        <v/>
      </c>
      <c r="AB765" s="45" t="str">
        <f aca="false">IF($AA765="","",IF($AA765&gt;=80,"A - call first",IF($AA765&gt;=60,"B - worth pursuing",IF($AA765&gt;=40,"C - nurture","D - do not spend time here"))))</f>
        <v/>
      </c>
      <c r="AC765" s="46" t="str">
        <f aca="false">IF($C765="","",IF($S765="Converted","7 Certification / Enterprise opportunity",IF($S765="Application Started","7 Certification / Enterprise opportunity",IF($S765="Meeting Booked","6 Meeting / Application",IF(OR($S765="Interested",$S765="Info Requested"),"5 Interested",IF(OR($S765="Declined",$S765="Not Relevant"),"0 Closed - no",IF($R765="Yes","4 Contacted",IF($N765="Yes","2 Engaged",IF($M765="Yes","1 Awareness",IF($AA765&gt;=60,"3 Qualified","1 Awareness"))))))))))</f>
        <v/>
      </c>
    </row>
    <row r="766" customFormat="false" ht="30" hidden="false" customHeight="true" outlineLevel="0" collapsed="false">
      <c r="A766" s="36"/>
      <c r="B766" s="37"/>
      <c r="C766" s="37"/>
      <c r="D766" s="37"/>
      <c r="E766" s="37"/>
      <c r="F766" s="37"/>
      <c r="G766" s="37"/>
      <c r="H766" s="37"/>
      <c r="I766" s="37"/>
      <c r="J766" s="47"/>
      <c r="K766" s="41" t="str">
        <f aca="false">IF(J766="","",IF(J766&gt;=8,"Yes","Check"))</f>
        <v/>
      </c>
      <c r="L766" s="38"/>
      <c r="M766" s="47"/>
      <c r="N766" s="47"/>
      <c r="O766" s="37"/>
      <c r="P766" s="38"/>
      <c r="Q766" s="42" t="str">
        <f aca="false">IF(P766="","",LEN(P766))</f>
        <v/>
      </c>
      <c r="R766" s="47"/>
      <c r="S766" s="37"/>
      <c r="T766" s="38"/>
      <c r="U766" s="43" t="str">
        <f aca="false">IF(OR(R766&lt;&gt;"Yes",A766=""),"",A766+4)</f>
        <v/>
      </c>
      <c r="V766" s="47"/>
      <c r="W766" s="38"/>
      <c r="X766" s="38"/>
      <c r="Y766" s="44"/>
      <c r="Z766" s="44"/>
      <c r="AA766" s="45" t="str">
        <f aca="false">IF(AND($Y766="",$Z766=""),"",ROUND(IFERROR(VALUE(LEFT($Y766,1)),0)*12+IFERROR(VALUE(LEFT($Z766,1)),0)*8,0))</f>
        <v/>
      </c>
      <c r="AB766" s="45" t="str">
        <f aca="false">IF($AA766="","",IF($AA766&gt;=80,"A - call first",IF($AA766&gt;=60,"B - worth pursuing",IF($AA766&gt;=40,"C - nurture","D - do not spend time here"))))</f>
        <v/>
      </c>
      <c r="AC766" s="46" t="str">
        <f aca="false">IF($C766="","",IF($S766="Converted","7 Certification / Enterprise opportunity",IF($S766="Application Started","7 Certification / Enterprise opportunity",IF($S766="Meeting Booked","6 Meeting / Application",IF(OR($S766="Interested",$S766="Info Requested"),"5 Interested",IF(OR($S766="Declined",$S766="Not Relevant"),"0 Closed - no",IF($R766="Yes","4 Contacted",IF($N766="Yes","2 Engaged",IF($M766="Yes","1 Awareness",IF($AA766&gt;=60,"3 Qualified","1 Awareness"))))))))))</f>
        <v/>
      </c>
    </row>
    <row r="767" customFormat="false" ht="30" hidden="false" customHeight="true" outlineLevel="0" collapsed="false">
      <c r="A767" s="36"/>
      <c r="B767" s="37"/>
      <c r="C767" s="37"/>
      <c r="D767" s="37"/>
      <c r="E767" s="37"/>
      <c r="F767" s="37"/>
      <c r="G767" s="37"/>
      <c r="H767" s="37"/>
      <c r="I767" s="37"/>
      <c r="J767" s="47"/>
      <c r="K767" s="41" t="str">
        <f aca="false">IF(J767="","",IF(J767&gt;=8,"Yes","Check"))</f>
        <v/>
      </c>
      <c r="L767" s="38"/>
      <c r="M767" s="47"/>
      <c r="N767" s="47"/>
      <c r="O767" s="37"/>
      <c r="P767" s="38"/>
      <c r="Q767" s="42" t="str">
        <f aca="false">IF(P767="","",LEN(P767))</f>
        <v/>
      </c>
      <c r="R767" s="47"/>
      <c r="S767" s="37"/>
      <c r="T767" s="38"/>
      <c r="U767" s="43" t="str">
        <f aca="false">IF(OR(R767&lt;&gt;"Yes",A767=""),"",A767+4)</f>
        <v/>
      </c>
      <c r="V767" s="47"/>
      <c r="W767" s="38"/>
      <c r="X767" s="38"/>
      <c r="Y767" s="44"/>
      <c r="Z767" s="44"/>
      <c r="AA767" s="45" t="str">
        <f aca="false">IF(AND($Y767="",$Z767=""),"",ROUND(IFERROR(VALUE(LEFT($Y767,1)),0)*12+IFERROR(VALUE(LEFT($Z767,1)),0)*8,0))</f>
        <v/>
      </c>
      <c r="AB767" s="45" t="str">
        <f aca="false">IF($AA767="","",IF($AA767&gt;=80,"A - call first",IF($AA767&gt;=60,"B - worth pursuing",IF($AA767&gt;=40,"C - nurture","D - do not spend time here"))))</f>
        <v/>
      </c>
      <c r="AC767" s="46" t="str">
        <f aca="false">IF($C767="","",IF($S767="Converted","7 Certification / Enterprise opportunity",IF($S767="Application Started","7 Certification / Enterprise opportunity",IF($S767="Meeting Booked","6 Meeting / Application",IF(OR($S767="Interested",$S767="Info Requested"),"5 Interested",IF(OR($S767="Declined",$S767="Not Relevant"),"0 Closed - no",IF($R767="Yes","4 Contacted",IF($N767="Yes","2 Engaged",IF($M767="Yes","1 Awareness",IF($AA767&gt;=60,"3 Qualified","1 Awareness"))))))))))</f>
        <v/>
      </c>
    </row>
    <row r="768" customFormat="false" ht="30" hidden="false" customHeight="true" outlineLevel="0" collapsed="false">
      <c r="A768" s="36"/>
      <c r="B768" s="37"/>
      <c r="C768" s="37"/>
      <c r="D768" s="37"/>
      <c r="E768" s="37"/>
      <c r="F768" s="37"/>
      <c r="G768" s="37"/>
      <c r="H768" s="37"/>
      <c r="I768" s="37"/>
      <c r="J768" s="47"/>
      <c r="K768" s="41" t="str">
        <f aca="false">IF(J768="","",IF(J768&gt;=8,"Yes","Check"))</f>
        <v/>
      </c>
      <c r="L768" s="38"/>
      <c r="M768" s="47"/>
      <c r="N768" s="47"/>
      <c r="O768" s="37"/>
      <c r="P768" s="38"/>
      <c r="Q768" s="42" t="str">
        <f aca="false">IF(P768="","",LEN(P768))</f>
        <v/>
      </c>
      <c r="R768" s="47"/>
      <c r="S768" s="37"/>
      <c r="T768" s="38"/>
      <c r="U768" s="43" t="str">
        <f aca="false">IF(OR(R768&lt;&gt;"Yes",A768=""),"",A768+4)</f>
        <v/>
      </c>
      <c r="V768" s="47"/>
      <c r="W768" s="38"/>
      <c r="X768" s="38"/>
      <c r="Y768" s="44"/>
      <c r="Z768" s="44"/>
      <c r="AA768" s="45" t="str">
        <f aca="false">IF(AND($Y768="",$Z768=""),"",ROUND(IFERROR(VALUE(LEFT($Y768,1)),0)*12+IFERROR(VALUE(LEFT($Z768,1)),0)*8,0))</f>
        <v/>
      </c>
      <c r="AB768" s="45" t="str">
        <f aca="false">IF($AA768="","",IF($AA768&gt;=80,"A - call first",IF($AA768&gt;=60,"B - worth pursuing",IF($AA768&gt;=40,"C - nurture","D - do not spend time here"))))</f>
        <v/>
      </c>
      <c r="AC768" s="46" t="str">
        <f aca="false">IF($C768="","",IF($S768="Converted","7 Certification / Enterprise opportunity",IF($S768="Application Started","7 Certification / Enterprise opportunity",IF($S768="Meeting Booked","6 Meeting / Application",IF(OR($S768="Interested",$S768="Info Requested"),"5 Interested",IF(OR($S768="Declined",$S768="Not Relevant"),"0 Closed - no",IF($R768="Yes","4 Contacted",IF($N768="Yes","2 Engaged",IF($M768="Yes","1 Awareness",IF($AA768&gt;=60,"3 Qualified","1 Awareness"))))))))))</f>
        <v/>
      </c>
    </row>
    <row r="769" customFormat="false" ht="30" hidden="false" customHeight="true" outlineLevel="0" collapsed="false">
      <c r="A769" s="36"/>
      <c r="B769" s="37"/>
      <c r="C769" s="37"/>
      <c r="D769" s="37"/>
      <c r="E769" s="37"/>
      <c r="F769" s="37"/>
      <c r="G769" s="37"/>
      <c r="H769" s="37"/>
      <c r="I769" s="37"/>
      <c r="J769" s="47"/>
      <c r="K769" s="41" t="str">
        <f aca="false">IF(J769="","",IF(J769&gt;=8,"Yes","Check"))</f>
        <v/>
      </c>
      <c r="L769" s="38"/>
      <c r="M769" s="47"/>
      <c r="N769" s="47"/>
      <c r="O769" s="37"/>
      <c r="P769" s="38"/>
      <c r="Q769" s="42" t="str">
        <f aca="false">IF(P769="","",LEN(P769))</f>
        <v/>
      </c>
      <c r="R769" s="47"/>
      <c r="S769" s="37"/>
      <c r="T769" s="38"/>
      <c r="U769" s="43" t="str">
        <f aca="false">IF(OR(R769&lt;&gt;"Yes",A769=""),"",A769+4)</f>
        <v/>
      </c>
      <c r="V769" s="47"/>
      <c r="W769" s="38"/>
      <c r="X769" s="38"/>
      <c r="Y769" s="44"/>
      <c r="Z769" s="44"/>
      <c r="AA769" s="45" t="str">
        <f aca="false">IF(AND($Y769="",$Z769=""),"",ROUND(IFERROR(VALUE(LEFT($Y769,1)),0)*12+IFERROR(VALUE(LEFT($Z769,1)),0)*8,0))</f>
        <v/>
      </c>
      <c r="AB769" s="45" t="str">
        <f aca="false">IF($AA769="","",IF($AA769&gt;=80,"A - call first",IF($AA769&gt;=60,"B - worth pursuing",IF($AA769&gt;=40,"C - nurture","D - do not spend time here"))))</f>
        <v/>
      </c>
      <c r="AC769" s="46" t="str">
        <f aca="false">IF($C769="","",IF($S769="Converted","7 Certification / Enterprise opportunity",IF($S769="Application Started","7 Certification / Enterprise opportunity",IF($S769="Meeting Booked","6 Meeting / Application",IF(OR($S769="Interested",$S769="Info Requested"),"5 Interested",IF(OR($S769="Declined",$S769="Not Relevant"),"0 Closed - no",IF($R769="Yes","4 Contacted",IF($N769="Yes","2 Engaged",IF($M769="Yes","1 Awareness",IF($AA769&gt;=60,"3 Qualified","1 Awareness"))))))))))</f>
        <v/>
      </c>
    </row>
    <row r="770" customFormat="false" ht="30" hidden="false" customHeight="true" outlineLevel="0" collapsed="false">
      <c r="A770" s="36"/>
      <c r="B770" s="37"/>
      <c r="C770" s="37"/>
      <c r="D770" s="37"/>
      <c r="E770" s="37"/>
      <c r="F770" s="37"/>
      <c r="G770" s="37"/>
      <c r="H770" s="37"/>
      <c r="I770" s="37"/>
      <c r="J770" s="47"/>
      <c r="K770" s="41" t="str">
        <f aca="false">IF(J770="","",IF(J770&gt;=8,"Yes","Check"))</f>
        <v/>
      </c>
      <c r="L770" s="38"/>
      <c r="M770" s="47"/>
      <c r="N770" s="47"/>
      <c r="O770" s="37"/>
      <c r="P770" s="38"/>
      <c r="Q770" s="42" t="str">
        <f aca="false">IF(P770="","",LEN(P770))</f>
        <v/>
      </c>
      <c r="R770" s="47"/>
      <c r="S770" s="37"/>
      <c r="T770" s="38"/>
      <c r="U770" s="43" t="str">
        <f aca="false">IF(OR(R770&lt;&gt;"Yes",A770=""),"",A770+4)</f>
        <v/>
      </c>
      <c r="V770" s="47"/>
      <c r="W770" s="38"/>
      <c r="X770" s="38"/>
      <c r="Y770" s="44"/>
      <c r="Z770" s="44"/>
      <c r="AA770" s="45" t="str">
        <f aca="false">IF(AND($Y770="",$Z770=""),"",ROUND(IFERROR(VALUE(LEFT($Y770,1)),0)*12+IFERROR(VALUE(LEFT($Z770,1)),0)*8,0))</f>
        <v/>
      </c>
      <c r="AB770" s="45" t="str">
        <f aca="false">IF($AA770="","",IF($AA770&gt;=80,"A - call first",IF($AA770&gt;=60,"B - worth pursuing",IF($AA770&gt;=40,"C - nurture","D - do not spend time here"))))</f>
        <v/>
      </c>
      <c r="AC770" s="46" t="str">
        <f aca="false">IF($C770="","",IF($S770="Converted","7 Certification / Enterprise opportunity",IF($S770="Application Started","7 Certification / Enterprise opportunity",IF($S770="Meeting Booked","6 Meeting / Application",IF(OR($S770="Interested",$S770="Info Requested"),"5 Interested",IF(OR($S770="Declined",$S770="Not Relevant"),"0 Closed - no",IF($R770="Yes","4 Contacted",IF($N770="Yes","2 Engaged",IF($M770="Yes","1 Awareness",IF($AA770&gt;=60,"3 Qualified","1 Awareness"))))))))))</f>
        <v/>
      </c>
    </row>
    <row r="771" customFormat="false" ht="30" hidden="false" customHeight="true" outlineLevel="0" collapsed="false">
      <c r="A771" s="36"/>
      <c r="B771" s="37"/>
      <c r="C771" s="37"/>
      <c r="D771" s="37"/>
      <c r="E771" s="37"/>
      <c r="F771" s="37"/>
      <c r="G771" s="37"/>
      <c r="H771" s="37"/>
      <c r="I771" s="37"/>
      <c r="J771" s="47"/>
      <c r="K771" s="41" t="str">
        <f aca="false">IF(J771="","",IF(J771&gt;=8,"Yes","Check"))</f>
        <v/>
      </c>
      <c r="L771" s="38"/>
      <c r="M771" s="47"/>
      <c r="N771" s="47"/>
      <c r="O771" s="37"/>
      <c r="P771" s="38"/>
      <c r="Q771" s="42" t="str">
        <f aca="false">IF(P771="","",LEN(P771))</f>
        <v/>
      </c>
      <c r="R771" s="47"/>
      <c r="S771" s="37"/>
      <c r="T771" s="38"/>
      <c r="U771" s="43" t="str">
        <f aca="false">IF(OR(R771&lt;&gt;"Yes",A771=""),"",A771+4)</f>
        <v/>
      </c>
      <c r="V771" s="47"/>
      <c r="W771" s="38"/>
      <c r="X771" s="38"/>
      <c r="Y771" s="44"/>
      <c r="Z771" s="44"/>
      <c r="AA771" s="45" t="str">
        <f aca="false">IF(AND($Y771="",$Z771=""),"",ROUND(IFERROR(VALUE(LEFT($Y771,1)),0)*12+IFERROR(VALUE(LEFT($Z771,1)),0)*8,0))</f>
        <v/>
      </c>
      <c r="AB771" s="45" t="str">
        <f aca="false">IF($AA771="","",IF($AA771&gt;=80,"A - call first",IF($AA771&gt;=60,"B - worth pursuing",IF($AA771&gt;=40,"C - nurture","D - do not spend time here"))))</f>
        <v/>
      </c>
      <c r="AC771" s="46" t="str">
        <f aca="false">IF($C771="","",IF($S771="Converted","7 Certification / Enterprise opportunity",IF($S771="Application Started","7 Certification / Enterprise opportunity",IF($S771="Meeting Booked","6 Meeting / Application",IF(OR($S771="Interested",$S771="Info Requested"),"5 Interested",IF(OR($S771="Declined",$S771="Not Relevant"),"0 Closed - no",IF($R771="Yes","4 Contacted",IF($N771="Yes","2 Engaged",IF($M771="Yes","1 Awareness",IF($AA771&gt;=60,"3 Qualified","1 Awareness"))))))))))</f>
        <v/>
      </c>
    </row>
    <row r="772" customFormat="false" ht="30" hidden="false" customHeight="true" outlineLevel="0" collapsed="false">
      <c r="A772" s="36"/>
      <c r="B772" s="37"/>
      <c r="C772" s="37"/>
      <c r="D772" s="37"/>
      <c r="E772" s="37"/>
      <c r="F772" s="37"/>
      <c r="G772" s="37"/>
      <c r="H772" s="37"/>
      <c r="I772" s="37"/>
      <c r="J772" s="47"/>
      <c r="K772" s="41" t="str">
        <f aca="false">IF(J772="","",IF(J772&gt;=8,"Yes","Check"))</f>
        <v/>
      </c>
      <c r="L772" s="38"/>
      <c r="M772" s="47"/>
      <c r="N772" s="47"/>
      <c r="O772" s="37"/>
      <c r="P772" s="38"/>
      <c r="Q772" s="42" t="str">
        <f aca="false">IF(P772="","",LEN(P772))</f>
        <v/>
      </c>
      <c r="R772" s="47"/>
      <c r="S772" s="37"/>
      <c r="T772" s="38"/>
      <c r="U772" s="43" t="str">
        <f aca="false">IF(OR(R772&lt;&gt;"Yes",A772=""),"",A772+4)</f>
        <v/>
      </c>
      <c r="V772" s="47"/>
      <c r="W772" s="38"/>
      <c r="X772" s="38"/>
      <c r="Y772" s="44"/>
      <c r="Z772" s="44"/>
      <c r="AA772" s="45" t="str">
        <f aca="false">IF(AND($Y772="",$Z772=""),"",ROUND(IFERROR(VALUE(LEFT($Y772,1)),0)*12+IFERROR(VALUE(LEFT($Z772,1)),0)*8,0))</f>
        <v/>
      </c>
      <c r="AB772" s="45" t="str">
        <f aca="false">IF($AA772="","",IF($AA772&gt;=80,"A - call first",IF($AA772&gt;=60,"B - worth pursuing",IF($AA772&gt;=40,"C - nurture","D - do not spend time here"))))</f>
        <v/>
      </c>
      <c r="AC772" s="46" t="str">
        <f aca="false">IF($C772="","",IF($S772="Converted","7 Certification / Enterprise opportunity",IF($S772="Application Started","7 Certification / Enterprise opportunity",IF($S772="Meeting Booked","6 Meeting / Application",IF(OR($S772="Interested",$S772="Info Requested"),"5 Interested",IF(OR($S772="Declined",$S772="Not Relevant"),"0 Closed - no",IF($R772="Yes","4 Contacted",IF($N772="Yes","2 Engaged",IF($M772="Yes","1 Awareness",IF($AA772&gt;=60,"3 Qualified","1 Awareness"))))))))))</f>
        <v/>
      </c>
    </row>
    <row r="773" customFormat="false" ht="30" hidden="false" customHeight="true" outlineLevel="0" collapsed="false">
      <c r="A773" s="36"/>
      <c r="B773" s="37"/>
      <c r="C773" s="37"/>
      <c r="D773" s="37"/>
      <c r="E773" s="37"/>
      <c r="F773" s="37"/>
      <c r="G773" s="37"/>
      <c r="H773" s="37"/>
      <c r="I773" s="37"/>
      <c r="J773" s="47"/>
      <c r="K773" s="41" t="str">
        <f aca="false">IF(J773="","",IF(J773&gt;=8,"Yes","Check"))</f>
        <v/>
      </c>
      <c r="L773" s="38"/>
      <c r="M773" s="47"/>
      <c r="N773" s="47"/>
      <c r="O773" s="37"/>
      <c r="P773" s="38"/>
      <c r="Q773" s="42" t="str">
        <f aca="false">IF(P773="","",LEN(P773))</f>
        <v/>
      </c>
      <c r="R773" s="47"/>
      <c r="S773" s="37"/>
      <c r="T773" s="38"/>
      <c r="U773" s="43" t="str">
        <f aca="false">IF(OR(R773&lt;&gt;"Yes",A773=""),"",A773+4)</f>
        <v/>
      </c>
      <c r="V773" s="47"/>
      <c r="W773" s="38"/>
      <c r="X773" s="38"/>
      <c r="Y773" s="44"/>
      <c r="Z773" s="44"/>
      <c r="AA773" s="45" t="str">
        <f aca="false">IF(AND($Y773="",$Z773=""),"",ROUND(IFERROR(VALUE(LEFT($Y773,1)),0)*12+IFERROR(VALUE(LEFT($Z773,1)),0)*8,0))</f>
        <v/>
      </c>
      <c r="AB773" s="45" t="str">
        <f aca="false">IF($AA773="","",IF($AA773&gt;=80,"A - call first",IF($AA773&gt;=60,"B - worth pursuing",IF($AA773&gt;=40,"C - nurture","D - do not spend time here"))))</f>
        <v/>
      </c>
      <c r="AC773" s="46" t="str">
        <f aca="false">IF($C773="","",IF($S773="Converted","7 Certification / Enterprise opportunity",IF($S773="Application Started","7 Certification / Enterprise opportunity",IF($S773="Meeting Booked","6 Meeting / Application",IF(OR($S773="Interested",$S773="Info Requested"),"5 Interested",IF(OR($S773="Declined",$S773="Not Relevant"),"0 Closed - no",IF($R773="Yes","4 Contacted",IF($N773="Yes","2 Engaged",IF($M773="Yes","1 Awareness",IF($AA773&gt;=60,"3 Qualified","1 Awareness"))))))))))</f>
        <v/>
      </c>
    </row>
    <row r="774" customFormat="false" ht="30" hidden="false" customHeight="true" outlineLevel="0" collapsed="false">
      <c r="A774" s="36"/>
      <c r="B774" s="37"/>
      <c r="C774" s="37"/>
      <c r="D774" s="37"/>
      <c r="E774" s="37"/>
      <c r="F774" s="37"/>
      <c r="G774" s="37"/>
      <c r="H774" s="37"/>
      <c r="I774" s="37"/>
      <c r="J774" s="47"/>
      <c r="K774" s="41" t="str">
        <f aca="false">IF(J774="","",IF(J774&gt;=8,"Yes","Check"))</f>
        <v/>
      </c>
      <c r="L774" s="38"/>
      <c r="M774" s="47"/>
      <c r="N774" s="47"/>
      <c r="O774" s="37"/>
      <c r="P774" s="38"/>
      <c r="Q774" s="42" t="str">
        <f aca="false">IF(P774="","",LEN(P774))</f>
        <v/>
      </c>
      <c r="R774" s="47"/>
      <c r="S774" s="37"/>
      <c r="T774" s="38"/>
      <c r="U774" s="43" t="str">
        <f aca="false">IF(OR(R774&lt;&gt;"Yes",A774=""),"",A774+4)</f>
        <v/>
      </c>
      <c r="V774" s="47"/>
      <c r="W774" s="38"/>
      <c r="X774" s="38"/>
      <c r="Y774" s="44"/>
      <c r="Z774" s="44"/>
      <c r="AA774" s="45" t="str">
        <f aca="false">IF(AND($Y774="",$Z774=""),"",ROUND(IFERROR(VALUE(LEFT($Y774,1)),0)*12+IFERROR(VALUE(LEFT($Z774,1)),0)*8,0))</f>
        <v/>
      </c>
      <c r="AB774" s="45" t="str">
        <f aca="false">IF($AA774="","",IF($AA774&gt;=80,"A - call first",IF($AA774&gt;=60,"B - worth pursuing",IF($AA774&gt;=40,"C - nurture","D - do not spend time here"))))</f>
        <v/>
      </c>
      <c r="AC774" s="46" t="str">
        <f aca="false">IF($C774="","",IF($S774="Converted","7 Certification / Enterprise opportunity",IF($S774="Application Started","7 Certification / Enterprise opportunity",IF($S774="Meeting Booked","6 Meeting / Application",IF(OR($S774="Interested",$S774="Info Requested"),"5 Interested",IF(OR($S774="Declined",$S774="Not Relevant"),"0 Closed - no",IF($R774="Yes","4 Contacted",IF($N774="Yes","2 Engaged",IF($M774="Yes","1 Awareness",IF($AA774&gt;=60,"3 Qualified","1 Awareness"))))))))))</f>
        <v/>
      </c>
    </row>
    <row r="775" customFormat="false" ht="30" hidden="false" customHeight="true" outlineLevel="0" collapsed="false">
      <c r="A775" s="36"/>
      <c r="B775" s="37"/>
      <c r="C775" s="37"/>
      <c r="D775" s="37"/>
      <c r="E775" s="37"/>
      <c r="F775" s="37"/>
      <c r="G775" s="37"/>
      <c r="H775" s="37"/>
      <c r="I775" s="37"/>
      <c r="J775" s="47"/>
      <c r="K775" s="41" t="str">
        <f aca="false">IF(J775="","",IF(J775&gt;=8,"Yes","Check"))</f>
        <v/>
      </c>
      <c r="L775" s="38"/>
      <c r="M775" s="47"/>
      <c r="N775" s="47"/>
      <c r="O775" s="37"/>
      <c r="P775" s="38"/>
      <c r="Q775" s="42" t="str">
        <f aca="false">IF(P775="","",LEN(P775))</f>
        <v/>
      </c>
      <c r="R775" s="47"/>
      <c r="S775" s="37"/>
      <c r="T775" s="38"/>
      <c r="U775" s="43" t="str">
        <f aca="false">IF(OR(R775&lt;&gt;"Yes",A775=""),"",A775+4)</f>
        <v/>
      </c>
      <c r="V775" s="47"/>
      <c r="W775" s="38"/>
      <c r="X775" s="38"/>
      <c r="Y775" s="44"/>
      <c r="Z775" s="44"/>
      <c r="AA775" s="45" t="str">
        <f aca="false">IF(AND($Y775="",$Z775=""),"",ROUND(IFERROR(VALUE(LEFT($Y775,1)),0)*12+IFERROR(VALUE(LEFT($Z775,1)),0)*8,0))</f>
        <v/>
      </c>
      <c r="AB775" s="45" t="str">
        <f aca="false">IF($AA775="","",IF($AA775&gt;=80,"A - call first",IF($AA775&gt;=60,"B - worth pursuing",IF($AA775&gt;=40,"C - nurture","D - do not spend time here"))))</f>
        <v/>
      </c>
      <c r="AC775" s="46" t="str">
        <f aca="false">IF($C775="","",IF($S775="Converted","7 Certification / Enterprise opportunity",IF($S775="Application Started","7 Certification / Enterprise opportunity",IF($S775="Meeting Booked","6 Meeting / Application",IF(OR($S775="Interested",$S775="Info Requested"),"5 Interested",IF(OR($S775="Declined",$S775="Not Relevant"),"0 Closed - no",IF($R775="Yes","4 Contacted",IF($N775="Yes","2 Engaged",IF($M775="Yes","1 Awareness",IF($AA775&gt;=60,"3 Qualified","1 Awareness"))))))))))</f>
        <v/>
      </c>
    </row>
    <row r="776" customFormat="false" ht="30" hidden="false" customHeight="true" outlineLevel="0" collapsed="false">
      <c r="A776" s="36"/>
      <c r="B776" s="37"/>
      <c r="C776" s="37"/>
      <c r="D776" s="37"/>
      <c r="E776" s="37"/>
      <c r="F776" s="37"/>
      <c r="G776" s="37"/>
      <c r="H776" s="37"/>
      <c r="I776" s="37"/>
      <c r="J776" s="47"/>
      <c r="K776" s="41" t="str">
        <f aca="false">IF(J776="","",IF(J776&gt;=8,"Yes","Check"))</f>
        <v/>
      </c>
      <c r="L776" s="38"/>
      <c r="M776" s="47"/>
      <c r="N776" s="47"/>
      <c r="O776" s="37"/>
      <c r="P776" s="38"/>
      <c r="Q776" s="42" t="str">
        <f aca="false">IF(P776="","",LEN(P776))</f>
        <v/>
      </c>
      <c r="R776" s="47"/>
      <c r="S776" s="37"/>
      <c r="T776" s="38"/>
      <c r="U776" s="43" t="str">
        <f aca="false">IF(OR(R776&lt;&gt;"Yes",A776=""),"",A776+4)</f>
        <v/>
      </c>
      <c r="V776" s="47"/>
      <c r="W776" s="38"/>
      <c r="X776" s="38"/>
      <c r="Y776" s="44"/>
      <c r="Z776" s="44"/>
      <c r="AA776" s="45" t="str">
        <f aca="false">IF(AND($Y776="",$Z776=""),"",ROUND(IFERROR(VALUE(LEFT($Y776,1)),0)*12+IFERROR(VALUE(LEFT($Z776,1)),0)*8,0))</f>
        <v/>
      </c>
      <c r="AB776" s="45" t="str">
        <f aca="false">IF($AA776="","",IF($AA776&gt;=80,"A - call first",IF($AA776&gt;=60,"B - worth pursuing",IF($AA776&gt;=40,"C - nurture","D - do not spend time here"))))</f>
        <v/>
      </c>
      <c r="AC776" s="46" t="str">
        <f aca="false">IF($C776="","",IF($S776="Converted","7 Certification / Enterprise opportunity",IF($S776="Application Started","7 Certification / Enterprise opportunity",IF($S776="Meeting Booked","6 Meeting / Application",IF(OR($S776="Interested",$S776="Info Requested"),"5 Interested",IF(OR($S776="Declined",$S776="Not Relevant"),"0 Closed - no",IF($R776="Yes","4 Contacted",IF($N776="Yes","2 Engaged",IF($M776="Yes","1 Awareness",IF($AA776&gt;=60,"3 Qualified","1 Awareness"))))))))))</f>
        <v/>
      </c>
    </row>
    <row r="777" customFormat="false" ht="30" hidden="false" customHeight="true" outlineLevel="0" collapsed="false">
      <c r="A777" s="36"/>
      <c r="B777" s="37"/>
      <c r="C777" s="37"/>
      <c r="D777" s="37"/>
      <c r="E777" s="37"/>
      <c r="F777" s="37"/>
      <c r="G777" s="37"/>
      <c r="H777" s="37"/>
      <c r="I777" s="37"/>
      <c r="J777" s="47"/>
      <c r="K777" s="41" t="str">
        <f aca="false">IF(J777="","",IF(J777&gt;=8,"Yes","Check"))</f>
        <v/>
      </c>
      <c r="L777" s="38"/>
      <c r="M777" s="47"/>
      <c r="N777" s="47"/>
      <c r="O777" s="37"/>
      <c r="P777" s="38"/>
      <c r="Q777" s="42" t="str">
        <f aca="false">IF(P777="","",LEN(P777))</f>
        <v/>
      </c>
      <c r="R777" s="47"/>
      <c r="S777" s="37"/>
      <c r="T777" s="38"/>
      <c r="U777" s="43" t="str">
        <f aca="false">IF(OR(R777&lt;&gt;"Yes",A777=""),"",A777+4)</f>
        <v/>
      </c>
      <c r="V777" s="47"/>
      <c r="W777" s="38"/>
      <c r="X777" s="38"/>
      <c r="Y777" s="44"/>
      <c r="Z777" s="44"/>
      <c r="AA777" s="45" t="str">
        <f aca="false">IF(AND($Y777="",$Z777=""),"",ROUND(IFERROR(VALUE(LEFT($Y777,1)),0)*12+IFERROR(VALUE(LEFT($Z777,1)),0)*8,0))</f>
        <v/>
      </c>
      <c r="AB777" s="45" t="str">
        <f aca="false">IF($AA777="","",IF($AA777&gt;=80,"A - call first",IF($AA777&gt;=60,"B - worth pursuing",IF($AA777&gt;=40,"C - nurture","D - do not spend time here"))))</f>
        <v/>
      </c>
      <c r="AC777" s="46" t="str">
        <f aca="false">IF($C777="","",IF($S777="Converted","7 Certification / Enterprise opportunity",IF($S777="Application Started","7 Certification / Enterprise opportunity",IF($S777="Meeting Booked","6 Meeting / Application",IF(OR($S777="Interested",$S777="Info Requested"),"5 Interested",IF(OR($S777="Declined",$S777="Not Relevant"),"0 Closed - no",IF($R777="Yes","4 Contacted",IF($N777="Yes","2 Engaged",IF($M777="Yes","1 Awareness",IF($AA777&gt;=60,"3 Qualified","1 Awareness"))))))))))</f>
        <v/>
      </c>
    </row>
    <row r="778" customFormat="false" ht="30" hidden="false" customHeight="true" outlineLevel="0" collapsed="false">
      <c r="A778" s="36"/>
      <c r="B778" s="37"/>
      <c r="C778" s="37"/>
      <c r="D778" s="37"/>
      <c r="E778" s="37"/>
      <c r="F778" s="37"/>
      <c r="G778" s="37"/>
      <c r="H778" s="37"/>
      <c r="I778" s="37"/>
      <c r="J778" s="47"/>
      <c r="K778" s="41" t="str">
        <f aca="false">IF(J778="","",IF(J778&gt;=8,"Yes","Check"))</f>
        <v/>
      </c>
      <c r="L778" s="38"/>
      <c r="M778" s="47"/>
      <c r="N778" s="47"/>
      <c r="O778" s="37"/>
      <c r="P778" s="38"/>
      <c r="Q778" s="42" t="str">
        <f aca="false">IF(P778="","",LEN(P778))</f>
        <v/>
      </c>
      <c r="R778" s="47"/>
      <c r="S778" s="37"/>
      <c r="T778" s="38"/>
      <c r="U778" s="43" t="str">
        <f aca="false">IF(OR(R778&lt;&gt;"Yes",A778=""),"",A778+4)</f>
        <v/>
      </c>
      <c r="V778" s="47"/>
      <c r="W778" s="38"/>
      <c r="X778" s="38"/>
      <c r="Y778" s="44"/>
      <c r="Z778" s="44"/>
      <c r="AA778" s="45" t="str">
        <f aca="false">IF(AND($Y778="",$Z778=""),"",ROUND(IFERROR(VALUE(LEFT($Y778,1)),0)*12+IFERROR(VALUE(LEFT($Z778,1)),0)*8,0))</f>
        <v/>
      </c>
      <c r="AB778" s="45" t="str">
        <f aca="false">IF($AA778="","",IF($AA778&gt;=80,"A - call first",IF($AA778&gt;=60,"B - worth pursuing",IF($AA778&gt;=40,"C - nurture","D - do not spend time here"))))</f>
        <v/>
      </c>
      <c r="AC778" s="46" t="str">
        <f aca="false">IF($C778="","",IF($S778="Converted","7 Certification / Enterprise opportunity",IF($S778="Application Started","7 Certification / Enterprise opportunity",IF($S778="Meeting Booked","6 Meeting / Application",IF(OR($S778="Interested",$S778="Info Requested"),"5 Interested",IF(OR($S778="Declined",$S778="Not Relevant"),"0 Closed - no",IF($R778="Yes","4 Contacted",IF($N778="Yes","2 Engaged",IF($M778="Yes","1 Awareness",IF($AA778&gt;=60,"3 Qualified","1 Awareness"))))))))))</f>
        <v/>
      </c>
    </row>
    <row r="779" customFormat="false" ht="30" hidden="false" customHeight="true" outlineLevel="0" collapsed="false">
      <c r="A779" s="36"/>
      <c r="B779" s="37"/>
      <c r="C779" s="37"/>
      <c r="D779" s="37"/>
      <c r="E779" s="37"/>
      <c r="F779" s="37"/>
      <c r="G779" s="37"/>
      <c r="H779" s="37"/>
      <c r="I779" s="37"/>
      <c r="J779" s="47"/>
      <c r="K779" s="41" t="str">
        <f aca="false">IF(J779="","",IF(J779&gt;=8,"Yes","Check"))</f>
        <v/>
      </c>
      <c r="L779" s="38"/>
      <c r="M779" s="47"/>
      <c r="N779" s="47"/>
      <c r="O779" s="37"/>
      <c r="P779" s="38"/>
      <c r="Q779" s="42" t="str">
        <f aca="false">IF(P779="","",LEN(P779))</f>
        <v/>
      </c>
      <c r="R779" s="47"/>
      <c r="S779" s="37"/>
      <c r="T779" s="38"/>
      <c r="U779" s="43" t="str">
        <f aca="false">IF(OR(R779&lt;&gt;"Yes",A779=""),"",A779+4)</f>
        <v/>
      </c>
      <c r="V779" s="47"/>
      <c r="W779" s="38"/>
      <c r="X779" s="38"/>
      <c r="Y779" s="44"/>
      <c r="Z779" s="44"/>
      <c r="AA779" s="45" t="str">
        <f aca="false">IF(AND($Y779="",$Z779=""),"",ROUND(IFERROR(VALUE(LEFT($Y779,1)),0)*12+IFERROR(VALUE(LEFT($Z779,1)),0)*8,0))</f>
        <v/>
      </c>
      <c r="AB779" s="45" t="str">
        <f aca="false">IF($AA779="","",IF($AA779&gt;=80,"A - call first",IF($AA779&gt;=60,"B - worth pursuing",IF($AA779&gt;=40,"C - nurture","D - do not spend time here"))))</f>
        <v/>
      </c>
      <c r="AC779" s="46" t="str">
        <f aca="false">IF($C779="","",IF($S779="Converted","7 Certification / Enterprise opportunity",IF($S779="Application Started","7 Certification / Enterprise opportunity",IF($S779="Meeting Booked","6 Meeting / Application",IF(OR($S779="Interested",$S779="Info Requested"),"5 Interested",IF(OR($S779="Declined",$S779="Not Relevant"),"0 Closed - no",IF($R779="Yes","4 Contacted",IF($N779="Yes","2 Engaged",IF($M779="Yes","1 Awareness",IF($AA779&gt;=60,"3 Qualified","1 Awareness"))))))))))</f>
        <v/>
      </c>
    </row>
    <row r="780" customFormat="false" ht="30" hidden="false" customHeight="true" outlineLevel="0" collapsed="false">
      <c r="A780" s="36"/>
      <c r="B780" s="37"/>
      <c r="C780" s="37"/>
      <c r="D780" s="37"/>
      <c r="E780" s="37"/>
      <c r="F780" s="37"/>
      <c r="G780" s="37"/>
      <c r="H780" s="37"/>
      <c r="I780" s="37"/>
      <c r="J780" s="47"/>
      <c r="K780" s="41" t="str">
        <f aca="false">IF(J780="","",IF(J780&gt;=8,"Yes","Check"))</f>
        <v/>
      </c>
      <c r="L780" s="38"/>
      <c r="M780" s="47"/>
      <c r="N780" s="47"/>
      <c r="O780" s="37"/>
      <c r="P780" s="38"/>
      <c r="Q780" s="42" t="str">
        <f aca="false">IF(P780="","",LEN(P780))</f>
        <v/>
      </c>
      <c r="R780" s="47"/>
      <c r="S780" s="37"/>
      <c r="T780" s="38"/>
      <c r="U780" s="43" t="str">
        <f aca="false">IF(OR(R780&lt;&gt;"Yes",A780=""),"",A780+4)</f>
        <v/>
      </c>
      <c r="V780" s="47"/>
      <c r="W780" s="38"/>
      <c r="X780" s="38"/>
      <c r="Y780" s="44"/>
      <c r="Z780" s="44"/>
      <c r="AA780" s="45" t="str">
        <f aca="false">IF(AND($Y780="",$Z780=""),"",ROUND(IFERROR(VALUE(LEFT($Y780,1)),0)*12+IFERROR(VALUE(LEFT($Z780,1)),0)*8,0))</f>
        <v/>
      </c>
      <c r="AB780" s="45" t="str">
        <f aca="false">IF($AA780="","",IF($AA780&gt;=80,"A - call first",IF($AA780&gt;=60,"B - worth pursuing",IF($AA780&gt;=40,"C - nurture","D - do not spend time here"))))</f>
        <v/>
      </c>
      <c r="AC780" s="46" t="str">
        <f aca="false">IF($C780="","",IF($S780="Converted","7 Certification / Enterprise opportunity",IF($S780="Application Started","7 Certification / Enterprise opportunity",IF($S780="Meeting Booked","6 Meeting / Application",IF(OR($S780="Interested",$S780="Info Requested"),"5 Interested",IF(OR($S780="Declined",$S780="Not Relevant"),"0 Closed - no",IF($R780="Yes","4 Contacted",IF($N780="Yes","2 Engaged",IF($M780="Yes","1 Awareness",IF($AA780&gt;=60,"3 Qualified","1 Awareness"))))))))))</f>
        <v/>
      </c>
    </row>
    <row r="781" customFormat="false" ht="30" hidden="false" customHeight="true" outlineLevel="0" collapsed="false">
      <c r="A781" s="36"/>
      <c r="B781" s="37"/>
      <c r="C781" s="37"/>
      <c r="D781" s="37"/>
      <c r="E781" s="37"/>
      <c r="F781" s="37"/>
      <c r="G781" s="37"/>
      <c r="H781" s="37"/>
      <c r="I781" s="37"/>
      <c r="J781" s="47"/>
      <c r="K781" s="41" t="str">
        <f aca="false">IF(J781="","",IF(J781&gt;=8,"Yes","Check"))</f>
        <v/>
      </c>
      <c r="L781" s="38"/>
      <c r="M781" s="47"/>
      <c r="N781" s="47"/>
      <c r="O781" s="37"/>
      <c r="P781" s="38"/>
      <c r="Q781" s="42" t="str">
        <f aca="false">IF(P781="","",LEN(P781))</f>
        <v/>
      </c>
      <c r="R781" s="47"/>
      <c r="S781" s="37"/>
      <c r="T781" s="38"/>
      <c r="U781" s="43" t="str">
        <f aca="false">IF(OR(R781&lt;&gt;"Yes",A781=""),"",A781+4)</f>
        <v/>
      </c>
      <c r="V781" s="47"/>
      <c r="W781" s="38"/>
      <c r="X781" s="38"/>
      <c r="Y781" s="44"/>
      <c r="Z781" s="44"/>
      <c r="AA781" s="45" t="str">
        <f aca="false">IF(AND($Y781="",$Z781=""),"",ROUND(IFERROR(VALUE(LEFT($Y781,1)),0)*12+IFERROR(VALUE(LEFT($Z781,1)),0)*8,0))</f>
        <v/>
      </c>
      <c r="AB781" s="45" t="str">
        <f aca="false">IF($AA781="","",IF($AA781&gt;=80,"A - call first",IF($AA781&gt;=60,"B - worth pursuing",IF($AA781&gt;=40,"C - nurture","D - do not spend time here"))))</f>
        <v/>
      </c>
      <c r="AC781" s="46" t="str">
        <f aca="false">IF($C781="","",IF($S781="Converted","7 Certification / Enterprise opportunity",IF($S781="Application Started","7 Certification / Enterprise opportunity",IF($S781="Meeting Booked","6 Meeting / Application",IF(OR($S781="Interested",$S781="Info Requested"),"5 Interested",IF(OR($S781="Declined",$S781="Not Relevant"),"0 Closed - no",IF($R781="Yes","4 Contacted",IF($N781="Yes","2 Engaged",IF($M781="Yes","1 Awareness",IF($AA781&gt;=60,"3 Qualified","1 Awareness"))))))))))</f>
        <v/>
      </c>
    </row>
    <row r="782" customFormat="false" ht="30" hidden="false" customHeight="true" outlineLevel="0" collapsed="false">
      <c r="A782" s="36"/>
      <c r="B782" s="37"/>
      <c r="C782" s="37"/>
      <c r="D782" s="37"/>
      <c r="E782" s="37"/>
      <c r="F782" s="37"/>
      <c r="G782" s="37"/>
      <c r="H782" s="37"/>
      <c r="I782" s="37"/>
      <c r="J782" s="47"/>
      <c r="K782" s="41" t="str">
        <f aca="false">IF(J782="","",IF(J782&gt;=8,"Yes","Check"))</f>
        <v/>
      </c>
      <c r="L782" s="38"/>
      <c r="M782" s="47"/>
      <c r="N782" s="47"/>
      <c r="O782" s="37"/>
      <c r="P782" s="38"/>
      <c r="Q782" s="42" t="str">
        <f aca="false">IF(P782="","",LEN(P782))</f>
        <v/>
      </c>
      <c r="R782" s="47"/>
      <c r="S782" s="37"/>
      <c r="T782" s="38"/>
      <c r="U782" s="43" t="str">
        <f aca="false">IF(OR(R782&lt;&gt;"Yes",A782=""),"",A782+4)</f>
        <v/>
      </c>
      <c r="V782" s="47"/>
      <c r="W782" s="38"/>
      <c r="X782" s="38"/>
      <c r="Y782" s="44"/>
      <c r="Z782" s="44"/>
      <c r="AA782" s="45" t="str">
        <f aca="false">IF(AND($Y782="",$Z782=""),"",ROUND(IFERROR(VALUE(LEFT($Y782,1)),0)*12+IFERROR(VALUE(LEFT($Z782,1)),0)*8,0))</f>
        <v/>
      </c>
      <c r="AB782" s="45" t="str">
        <f aca="false">IF($AA782="","",IF($AA782&gt;=80,"A - call first",IF($AA782&gt;=60,"B - worth pursuing",IF($AA782&gt;=40,"C - nurture","D - do not spend time here"))))</f>
        <v/>
      </c>
      <c r="AC782" s="46" t="str">
        <f aca="false">IF($C782="","",IF($S782="Converted","7 Certification / Enterprise opportunity",IF($S782="Application Started","7 Certification / Enterprise opportunity",IF($S782="Meeting Booked","6 Meeting / Application",IF(OR($S782="Interested",$S782="Info Requested"),"5 Interested",IF(OR($S782="Declined",$S782="Not Relevant"),"0 Closed - no",IF($R782="Yes","4 Contacted",IF($N782="Yes","2 Engaged",IF($M782="Yes","1 Awareness",IF($AA782&gt;=60,"3 Qualified","1 Awareness"))))))))))</f>
        <v/>
      </c>
    </row>
    <row r="783" customFormat="false" ht="30" hidden="false" customHeight="true" outlineLevel="0" collapsed="false">
      <c r="A783" s="36"/>
      <c r="B783" s="37"/>
      <c r="C783" s="37"/>
      <c r="D783" s="37"/>
      <c r="E783" s="37"/>
      <c r="F783" s="37"/>
      <c r="G783" s="37"/>
      <c r="H783" s="37"/>
      <c r="I783" s="37"/>
      <c r="J783" s="47"/>
      <c r="K783" s="41" t="str">
        <f aca="false">IF(J783="","",IF(J783&gt;=8,"Yes","Check"))</f>
        <v/>
      </c>
      <c r="L783" s="38"/>
      <c r="M783" s="47"/>
      <c r="N783" s="47"/>
      <c r="O783" s="37"/>
      <c r="P783" s="38"/>
      <c r="Q783" s="42" t="str">
        <f aca="false">IF(P783="","",LEN(P783))</f>
        <v/>
      </c>
      <c r="R783" s="47"/>
      <c r="S783" s="37"/>
      <c r="T783" s="38"/>
      <c r="U783" s="43" t="str">
        <f aca="false">IF(OR(R783&lt;&gt;"Yes",A783=""),"",A783+4)</f>
        <v/>
      </c>
      <c r="V783" s="47"/>
      <c r="W783" s="38"/>
      <c r="X783" s="38"/>
      <c r="Y783" s="44"/>
      <c r="Z783" s="44"/>
      <c r="AA783" s="45" t="str">
        <f aca="false">IF(AND($Y783="",$Z783=""),"",ROUND(IFERROR(VALUE(LEFT($Y783,1)),0)*12+IFERROR(VALUE(LEFT($Z783,1)),0)*8,0))</f>
        <v/>
      </c>
      <c r="AB783" s="45" t="str">
        <f aca="false">IF($AA783="","",IF($AA783&gt;=80,"A - call first",IF($AA783&gt;=60,"B - worth pursuing",IF($AA783&gt;=40,"C - nurture","D - do not spend time here"))))</f>
        <v/>
      </c>
      <c r="AC783" s="46" t="str">
        <f aca="false">IF($C783="","",IF($S783="Converted","7 Certification / Enterprise opportunity",IF($S783="Application Started","7 Certification / Enterprise opportunity",IF($S783="Meeting Booked","6 Meeting / Application",IF(OR($S783="Interested",$S783="Info Requested"),"5 Interested",IF(OR($S783="Declined",$S783="Not Relevant"),"0 Closed - no",IF($R783="Yes","4 Contacted",IF($N783="Yes","2 Engaged",IF($M783="Yes","1 Awareness",IF($AA783&gt;=60,"3 Qualified","1 Awareness"))))))))))</f>
        <v/>
      </c>
    </row>
    <row r="784" customFormat="false" ht="30" hidden="false" customHeight="true" outlineLevel="0" collapsed="false">
      <c r="A784" s="36"/>
      <c r="B784" s="37"/>
      <c r="C784" s="37"/>
      <c r="D784" s="37"/>
      <c r="E784" s="37"/>
      <c r="F784" s="37"/>
      <c r="G784" s="37"/>
      <c r="H784" s="37"/>
      <c r="I784" s="37"/>
      <c r="J784" s="47"/>
      <c r="K784" s="41" t="str">
        <f aca="false">IF(J784="","",IF(J784&gt;=8,"Yes","Check"))</f>
        <v/>
      </c>
      <c r="L784" s="38"/>
      <c r="M784" s="47"/>
      <c r="N784" s="47"/>
      <c r="O784" s="37"/>
      <c r="P784" s="38"/>
      <c r="Q784" s="42" t="str">
        <f aca="false">IF(P784="","",LEN(P784))</f>
        <v/>
      </c>
      <c r="R784" s="47"/>
      <c r="S784" s="37"/>
      <c r="T784" s="38"/>
      <c r="U784" s="43" t="str">
        <f aca="false">IF(OR(R784&lt;&gt;"Yes",A784=""),"",A784+4)</f>
        <v/>
      </c>
      <c r="V784" s="47"/>
      <c r="W784" s="38"/>
      <c r="X784" s="38"/>
      <c r="Y784" s="44"/>
      <c r="Z784" s="44"/>
      <c r="AA784" s="45" t="str">
        <f aca="false">IF(AND($Y784="",$Z784=""),"",ROUND(IFERROR(VALUE(LEFT($Y784,1)),0)*12+IFERROR(VALUE(LEFT($Z784,1)),0)*8,0))</f>
        <v/>
      </c>
      <c r="AB784" s="45" t="str">
        <f aca="false">IF($AA784="","",IF($AA784&gt;=80,"A - call first",IF($AA784&gt;=60,"B - worth pursuing",IF($AA784&gt;=40,"C - nurture","D - do not spend time here"))))</f>
        <v/>
      </c>
      <c r="AC784" s="46" t="str">
        <f aca="false">IF($C784="","",IF($S784="Converted","7 Certification / Enterprise opportunity",IF($S784="Application Started","7 Certification / Enterprise opportunity",IF($S784="Meeting Booked","6 Meeting / Application",IF(OR($S784="Interested",$S784="Info Requested"),"5 Interested",IF(OR($S784="Declined",$S784="Not Relevant"),"0 Closed - no",IF($R784="Yes","4 Contacted",IF($N784="Yes","2 Engaged",IF($M784="Yes","1 Awareness",IF($AA784&gt;=60,"3 Qualified","1 Awareness"))))))))))</f>
        <v/>
      </c>
    </row>
    <row r="785" customFormat="false" ht="30" hidden="false" customHeight="true" outlineLevel="0" collapsed="false">
      <c r="A785" s="36"/>
      <c r="B785" s="37"/>
      <c r="C785" s="37"/>
      <c r="D785" s="37"/>
      <c r="E785" s="37"/>
      <c r="F785" s="37"/>
      <c r="G785" s="37"/>
      <c r="H785" s="37"/>
      <c r="I785" s="37"/>
      <c r="J785" s="47"/>
      <c r="K785" s="41" t="str">
        <f aca="false">IF(J785="","",IF(J785&gt;=8,"Yes","Check"))</f>
        <v/>
      </c>
      <c r="L785" s="38"/>
      <c r="M785" s="47"/>
      <c r="N785" s="47"/>
      <c r="O785" s="37"/>
      <c r="P785" s="38"/>
      <c r="Q785" s="42" t="str">
        <f aca="false">IF(P785="","",LEN(P785))</f>
        <v/>
      </c>
      <c r="R785" s="47"/>
      <c r="S785" s="37"/>
      <c r="T785" s="38"/>
      <c r="U785" s="43" t="str">
        <f aca="false">IF(OR(R785&lt;&gt;"Yes",A785=""),"",A785+4)</f>
        <v/>
      </c>
      <c r="V785" s="47"/>
      <c r="W785" s="38"/>
      <c r="X785" s="38"/>
      <c r="Y785" s="44"/>
      <c r="Z785" s="44"/>
      <c r="AA785" s="45" t="str">
        <f aca="false">IF(AND($Y785="",$Z785=""),"",ROUND(IFERROR(VALUE(LEFT($Y785,1)),0)*12+IFERROR(VALUE(LEFT($Z785,1)),0)*8,0))</f>
        <v/>
      </c>
      <c r="AB785" s="45" t="str">
        <f aca="false">IF($AA785="","",IF($AA785&gt;=80,"A - call first",IF($AA785&gt;=60,"B - worth pursuing",IF($AA785&gt;=40,"C - nurture","D - do not spend time here"))))</f>
        <v/>
      </c>
      <c r="AC785" s="46" t="str">
        <f aca="false">IF($C785="","",IF($S785="Converted","7 Certification / Enterprise opportunity",IF($S785="Application Started","7 Certification / Enterprise opportunity",IF($S785="Meeting Booked","6 Meeting / Application",IF(OR($S785="Interested",$S785="Info Requested"),"5 Interested",IF(OR($S785="Declined",$S785="Not Relevant"),"0 Closed - no",IF($R785="Yes","4 Contacted",IF($N785="Yes","2 Engaged",IF($M785="Yes","1 Awareness",IF($AA785&gt;=60,"3 Qualified","1 Awareness"))))))))))</f>
        <v/>
      </c>
    </row>
    <row r="786" customFormat="false" ht="30" hidden="false" customHeight="true" outlineLevel="0" collapsed="false">
      <c r="A786" s="36"/>
      <c r="B786" s="37"/>
      <c r="C786" s="37"/>
      <c r="D786" s="37"/>
      <c r="E786" s="37"/>
      <c r="F786" s="37"/>
      <c r="G786" s="37"/>
      <c r="H786" s="37"/>
      <c r="I786" s="37"/>
      <c r="J786" s="47"/>
      <c r="K786" s="41" t="str">
        <f aca="false">IF(J786="","",IF(J786&gt;=8,"Yes","Check"))</f>
        <v/>
      </c>
      <c r="L786" s="38"/>
      <c r="M786" s="47"/>
      <c r="N786" s="47"/>
      <c r="O786" s="37"/>
      <c r="P786" s="38"/>
      <c r="Q786" s="42" t="str">
        <f aca="false">IF(P786="","",LEN(P786))</f>
        <v/>
      </c>
      <c r="R786" s="47"/>
      <c r="S786" s="37"/>
      <c r="T786" s="38"/>
      <c r="U786" s="43" t="str">
        <f aca="false">IF(OR(R786&lt;&gt;"Yes",A786=""),"",A786+4)</f>
        <v/>
      </c>
      <c r="V786" s="47"/>
      <c r="W786" s="38"/>
      <c r="X786" s="38"/>
      <c r="Y786" s="44"/>
      <c r="Z786" s="44"/>
      <c r="AA786" s="45" t="str">
        <f aca="false">IF(AND($Y786="",$Z786=""),"",ROUND(IFERROR(VALUE(LEFT($Y786,1)),0)*12+IFERROR(VALUE(LEFT($Z786,1)),0)*8,0))</f>
        <v/>
      </c>
      <c r="AB786" s="45" t="str">
        <f aca="false">IF($AA786="","",IF($AA786&gt;=80,"A - call first",IF($AA786&gt;=60,"B - worth pursuing",IF($AA786&gt;=40,"C - nurture","D - do not spend time here"))))</f>
        <v/>
      </c>
      <c r="AC786" s="46" t="str">
        <f aca="false">IF($C786="","",IF($S786="Converted","7 Certification / Enterprise opportunity",IF($S786="Application Started","7 Certification / Enterprise opportunity",IF($S786="Meeting Booked","6 Meeting / Application",IF(OR($S786="Interested",$S786="Info Requested"),"5 Interested",IF(OR($S786="Declined",$S786="Not Relevant"),"0 Closed - no",IF($R786="Yes","4 Contacted",IF($N786="Yes","2 Engaged",IF($M786="Yes","1 Awareness",IF($AA786&gt;=60,"3 Qualified","1 Awareness"))))))))))</f>
        <v/>
      </c>
    </row>
    <row r="787" customFormat="false" ht="30" hidden="false" customHeight="true" outlineLevel="0" collapsed="false">
      <c r="A787" s="36"/>
      <c r="B787" s="37"/>
      <c r="C787" s="37"/>
      <c r="D787" s="37"/>
      <c r="E787" s="37"/>
      <c r="F787" s="37"/>
      <c r="G787" s="37"/>
      <c r="H787" s="37"/>
      <c r="I787" s="37"/>
      <c r="J787" s="47"/>
      <c r="K787" s="41" t="str">
        <f aca="false">IF(J787="","",IF(J787&gt;=8,"Yes","Check"))</f>
        <v/>
      </c>
      <c r="L787" s="38"/>
      <c r="M787" s="47"/>
      <c r="N787" s="47"/>
      <c r="O787" s="37"/>
      <c r="P787" s="38"/>
      <c r="Q787" s="42" t="str">
        <f aca="false">IF(P787="","",LEN(P787))</f>
        <v/>
      </c>
      <c r="R787" s="47"/>
      <c r="S787" s="37"/>
      <c r="T787" s="38"/>
      <c r="U787" s="43" t="str">
        <f aca="false">IF(OR(R787&lt;&gt;"Yes",A787=""),"",A787+4)</f>
        <v/>
      </c>
      <c r="V787" s="47"/>
      <c r="W787" s="38"/>
      <c r="X787" s="38"/>
      <c r="Y787" s="44"/>
      <c r="Z787" s="44"/>
      <c r="AA787" s="45" t="str">
        <f aca="false">IF(AND($Y787="",$Z787=""),"",ROUND(IFERROR(VALUE(LEFT($Y787,1)),0)*12+IFERROR(VALUE(LEFT($Z787,1)),0)*8,0))</f>
        <v/>
      </c>
      <c r="AB787" s="45" t="str">
        <f aca="false">IF($AA787="","",IF($AA787&gt;=80,"A - call first",IF($AA787&gt;=60,"B - worth pursuing",IF($AA787&gt;=40,"C - nurture","D - do not spend time here"))))</f>
        <v/>
      </c>
      <c r="AC787" s="46" t="str">
        <f aca="false">IF($C787="","",IF($S787="Converted","7 Certification / Enterprise opportunity",IF($S787="Application Started","7 Certification / Enterprise opportunity",IF($S787="Meeting Booked","6 Meeting / Application",IF(OR($S787="Interested",$S787="Info Requested"),"5 Interested",IF(OR($S787="Declined",$S787="Not Relevant"),"0 Closed - no",IF($R787="Yes","4 Contacted",IF($N787="Yes","2 Engaged",IF($M787="Yes","1 Awareness",IF($AA787&gt;=60,"3 Qualified","1 Awareness"))))))))))</f>
        <v/>
      </c>
    </row>
    <row r="788" customFormat="false" ht="30" hidden="false" customHeight="true" outlineLevel="0" collapsed="false">
      <c r="A788" s="36"/>
      <c r="B788" s="37"/>
      <c r="C788" s="37"/>
      <c r="D788" s="37"/>
      <c r="E788" s="37"/>
      <c r="F788" s="37"/>
      <c r="G788" s="37"/>
      <c r="H788" s="37"/>
      <c r="I788" s="37"/>
      <c r="J788" s="47"/>
      <c r="K788" s="41" t="str">
        <f aca="false">IF(J788="","",IF(J788&gt;=8,"Yes","Check"))</f>
        <v/>
      </c>
      <c r="L788" s="38"/>
      <c r="M788" s="47"/>
      <c r="N788" s="47"/>
      <c r="O788" s="37"/>
      <c r="P788" s="38"/>
      <c r="Q788" s="42" t="str">
        <f aca="false">IF(P788="","",LEN(P788))</f>
        <v/>
      </c>
      <c r="R788" s="47"/>
      <c r="S788" s="37"/>
      <c r="T788" s="38"/>
      <c r="U788" s="43" t="str">
        <f aca="false">IF(OR(R788&lt;&gt;"Yes",A788=""),"",A788+4)</f>
        <v/>
      </c>
      <c r="V788" s="47"/>
      <c r="W788" s="38"/>
      <c r="X788" s="38"/>
      <c r="Y788" s="44"/>
      <c r="Z788" s="44"/>
      <c r="AA788" s="45" t="str">
        <f aca="false">IF(AND($Y788="",$Z788=""),"",ROUND(IFERROR(VALUE(LEFT($Y788,1)),0)*12+IFERROR(VALUE(LEFT($Z788,1)),0)*8,0))</f>
        <v/>
      </c>
      <c r="AB788" s="45" t="str">
        <f aca="false">IF($AA788="","",IF($AA788&gt;=80,"A - call first",IF($AA788&gt;=60,"B - worth pursuing",IF($AA788&gt;=40,"C - nurture","D - do not spend time here"))))</f>
        <v/>
      </c>
      <c r="AC788" s="46" t="str">
        <f aca="false">IF($C788="","",IF($S788="Converted","7 Certification / Enterprise opportunity",IF($S788="Application Started","7 Certification / Enterprise opportunity",IF($S788="Meeting Booked","6 Meeting / Application",IF(OR($S788="Interested",$S788="Info Requested"),"5 Interested",IF(OR($S788="Declined",$S788="Not Relevant"),"0 Closed - no",IF($R788="Yes","4 Contacted",IF($N788="Yes","2 Engaged",IF($M788="Yes","1 Awareness",IF($AA788&gt;=60,"3 Qualified","1 Awareness"))))))))))</f>
        <v/>
      </c>
    </row>
    <row r="789" customFormat="false" ht="30" hidden="false" customHeight="true" outlineLevel="0" collapsed="false">
      <c r="A789" s="36"/>
      <c r="B789" s="37"/>
      <c r="C789" s="37"/>
      <c r="D789" s="37"/>
      <c r="E789" s="37"/>
      <c r="F789" s="37"/>
      <c r="G789" s="37"/>
      <c r="H789" s="37"/>
      <c r="I789" s="37"/>
      <c r="J789" s="47"/>
      <c r="K789" s="41" t="str">
        <f aca="false">IF(J789="","",IF(J789&gt;=8,"Yes","Check"))</f>
        <v/>
      </c>
      <c r="L789" s="38"/>
      <c r="M789" s="47"/>
      <c r="N789" s="47"/>
      <c r="O789" s="37"/>
      <c r="P789" s="38"/>
      <c r="Q789" s="42" t="str">
        <f aca="false">IF(P789="","",LEN(P789))</f>
        <v/>
      </c>
      <c r="R789" s="47"/>
      <c r="S789" s="37"/>
      <c r="T789" s="38"/>
      <c r="U789" s="43" t="str">
        <f aca="false">IF(OR(R789&lt;&gt;"Yes",A789=""),"",A789+4)</f>
        <v/>
      </c>
      <c r="V789" s="47"/>
      <c r="W789" s="38"/>
      <c r="X789" s="38"/>
      <c r="Y789" s="44"/>
      <c r="Z789" s="44"/>
      <c r="AA789" s="45" t="str">
        <f aca="false">IF(AND($Y789="",$Z789=""),"",ROUND(IFERROR(VALUE(LEFT($Y789,1)),0)*12+IFERROR(VALUE(LEFT($Z789,1)),0)*8,0))</f>
        <v/>
      </c>
      <c r="AB789" s="45" t="str">
        <f aca="false">IF($AA789="","",IF($AA789&gt;=80,"A - call first",IF($AA789&gt;=60,"B - worth pursuing",IF($AA789&gt;=40,"C - nurture","D - do not spend time here"))))</f>
        <v/>
      </c>
      <c r="AC789" s="46" t="str">
        <f aca="false">IF($C789="","",IF($S789="Converted","7 Certification / Enterprise opportunity",IF($S789="Application Started","7 Certification / Enterprise opportunity",IF($S789="Meeting Booked","6 Meeting / Application",IF(OR($S789="Interested",$S789="Info Requested"),"5 Interested",IF(OR($S789="Declined",$S789="Not Relevant"),"0 Closed - no",IF($R789="Yes","4 Contacted",IF($N789="Yes","2 Engaged",IF($M789="Yes","1 Awareness",IF($AA789&gt;=60,"3 Qualified","1 Awareness"))))))))))</f>
        <v/>
      </c>
    </row>
    <row r="790" customFormat="false" ht="30" hidden="false" customHeight="true" outlineLevel="0" collapsed="false">
      <c r="A790" s="36"/>
      <c r="B790" s="37"/>
      <c r="C790" s="37"/>
      <c r="D790" s="37"/>
      <c r="E790" s="37"/>
      <c r="F790" s="37"/>
      <c r="G790" s="37"/>
      <c r="H790" s="37"/>
      <c r="I790" s="37"/>
      <c r="J790" s="47"/>
      <c r="K790" s="41" t="str">
        <f aca="false">IF(J790="","",IF(J790&gt;=8,"Yes","Check"))</f>
        <v/>
      </c>
      <c r="L790" s="38"/>
      <c r="M790" s="47"/>
      <c r="N790" s="47"/>
      <c r="O790" s="37"/>
      <c r="P790" s="38"/>
      <c r="Q790" s="42" t="str">
        <f aca="false">IF(P790="","",LEN(P790))</f>
        <v/>
      </c>
      <c r="R790" s="47"/>
      <c r="S790" s="37"/>
      <c r="T790" s="38"/>
      <c r="U790" s="43" t="str">
        <f aca="false">IF(OR(R790&lt;&gt;"Yes",A790=""),"",A790+4)</f>
        <v/>
      </c>
      <c r="V790" s="47"/>
      <c r="W790" s="38"/>
      <c r="X790" s="38"/>
      <c r="Y790" s="44"/>
      <c r="Z790" s="44"/>
      <c r="AA790" s="45" t="str">
        <f aca="false">IF(AND($Y790="",$Z790=""),"",ROUND(IFERROR(VALUE(LEFT($Y790,1)),0)*12+IFERROR(VALUE(LEFT($Z790,1)),0)*8,0))</f>
        <v/>
      </c>
      <c r="AB790" s="45" t="str">
        <f aca="false">IF($AA790="","",IF($AA790&gt;=80,"A - call first",IF($AA790&gt;=60,"B - worth pursuing",IF($AA790&gt;=40,"C - nurture","D - do not spend time here"))))</f>
        <v/>
      </c>
      <c r="AC790" s="46" t="str">
        <f aca="false">IF($C790="","",IF($S790="Converted","7 Certification / Enterprise opportunity",IF($S790="Application Started","7 Certification / Enterprise opportunity",IF($S790="Meeting Booked","6 Meeting / Application",IF(OR($S790="Interested",$S790="Info Requested"),"5 Interested",IF(OR($S790="Declined",$S790="Not Relevant"),"0 Closed - no",IF($R790="Yes","4 Contacted",IF($N790="Yes","2 Engaged",IF($M790="Yes","1 Awareness",IF($AA790&gt;=60,"3 Qualified","1 Awareness"))))))))))</f>
        <v/>
      </c>
    </row>
    <row r="791" customFormat="false" ht="30" hidden="false" customHeight="true" outlineLevel="0" collapsed="false">
      <c r="A791" s="36"/>
      <c r="B791" s="37"/>
      <c r="C791" s="37"/>
      <c r="D791" s="37"/>
      <c r="E791" s="37"/>
      <c r="F791" s="37"/>
      <c r="G791" s="37"/>
      <c r="H791" s="37"/>
      <c r="I791" s="37"/>
      <c r="J791" s="47"/>
      <c r="K791" s="41" t="str">
        <f aca="false">IF(J791="","",IF(J791&gt;=8,"Yes","Check"))</f>
        <v/>
      </c>
      <c r="L791" s="38"/>
      <c r="M791" s="47"/>
      <c r="N791" s="47"/>
      <c r="O791" s="37"/>
      <c r="P791" s="38"/>
      <c r="Q791" s="42" t="str">
        <f aca="false">IF(P791="","",LEN(P791))</f>
        <v/>
      </c>
      <c r="R791" s="47"/>
      <c r="S791" s="37"/>
      <c r="T791" s="38"/>
      <c r="U791" s="43" t="str">
        <f aca="false">IF(OR(R791&lt;&gt;"Yes",A791=""),"",A791+4)</f>
        <v/>
      </c>
      <c r="V791" s="47"/>
      <c r="W791" s="38"/>
      <c r="X791" s="38"/>
      <c r="Y791" s="44"/>
      <c r="Z791" s="44"/>
      <c r="AA791" s="45" t="str">
        <f aca="false">IF(AND($Y791="",$Z791=""),"",ROUND(IFERROR(VALUE(LEFT($Y791,1)),0)*12+IFERROR(VALUE(LEFT($Z791,1)),0)*8,0))</f>
        <v/>
      </c>
      <c r="AB791" s="45" t="str">
        <f aca="false">IF($AA791="","",IF($AA791&gt;=80,"A - call first",IF($AA791&gt;=60,"B - worth pursuing",IF($AA791&gt;=40,"C - nurture","D - do not spend time here"))))</f>
        <v/>
      </c>
      <c r="AC791" s="46" t="str">
        <f aca="false">IF($C791="","",IF($S791="Converted","7 Certification / Enterprise opportunity",IF($S791="Application Started","7 Certification / Enterprise opportunity",IF($S791="Meeting Booked","6 Meeting / Application",IF(OR($S791="Interested",$S791="Info Requested"),"5 Interested",IF(OR($S791="Declined",$S791="Not Relevant"),"0 Closed - no",IF($R791="Yes","4 Contacted",IF($N791="Yes","2 Engaged",IF($M791="Yes","1 Awareness",IF($AA791&gt;=60,"3 Qualified","1 Awareness"))))))))))</f>
        <v/>
      </c>
    </row>
    <row r="792" customFormat="false" ht="30" hidden="false" customHeight="true" outlineLevel="0" collapsed="false">
      <c r="A792" s="36"/>
      <c r="B792" s="37"/>
      <c r="C792" s="37"/>
      <c r="D792" s="37"/>
      <c r="E792" s="37"/>
      <c r="F792" s="37"/>
      <c r="G792" s="37"/>
      <c r="H792" s="37"/>
      <c r="I792" s="37"/>
      <c r="J792" s="47"/>
      <c r="K792" s="41" t="str">
        <f aca="false">IF(J792="","",IF(J792&gt;=8,"Yes","Check"))</f>
        <v/>
      </c>
      <c r="L792" s="38"/>
      <c r="M792" s="47"/>
      <c r="N792" s="47"/>
      <c r="O792" s="37"/>
      <c r="P792" s="38"/>
      <c r="Q792" s="42" t="str">
        <f aca="false">IF(P792="","",LEN(P792))</f>
        <v/>
      </c>
      <c r="R792" s="47"/>
      <c r="S792" s="37"/>
      <c r="T792" s="38"/>
      <c r="U792" s="43" t="str">
        <f aca="false">IF(OR(R792&lt;&gt;"Yes",A792=""),"",A792+4)</f>
        <v/>
      </c>
      <c r="V792" s="47"/>
      <c r="W792" s="38"/>
      <c r="X792" s="38"/>
      <c r="Y792" s="44"/>
      <c r="Z792" s="44"/>
      <c r="AA792" s="45" t="str">
        <f aca="false">IF(AND($Y792="",$Z792=""),"",ROUND(IFERROR(VALUE(LEFT($Y792,1)),0)*12+IFERROR(VALUE(LEFT($Z792,1)),0)*8,0))</f>
        <v/>
      </c>
      <c r="AB792" s="45" t="str">
        <f aca="false">IF($AA792="","",IF($AA792&gt;=80,"A - call first",IF($AA792&gt;=60,"B - worth pursuing",IF($AA792&gt;=40,"C - nurture","D - do not spend time here"))))</f>
        <v/>
      </c>
      <c r="AC792" s="46" t="str">
        <f aca="false">IF($C792="","",IF($S792="Converted","7 Certification / Enterprise opportunity",IF($S792="Application Started","7 Certification / Enterprise opportunity",IF($S792="Meeting Booked","6 Meeting / Application",IF(OR($S792="Interested",$S792="Info Requested"),"5 Interested",IF(OR($S792="Declined",$S792="Not Relevant"),"0 Closed - no",IF($R792="Yes","4 Contacted",IF($N792="Yes","2 Engaged",IF($M792="Yes","1 Awareness",IF($AA792&gt;=60,"3 Qualified","1 Awareness"))))))))))</f>
        <v/>
      </c>
    </row>
    <row r="793" customFormat="false" ht="30" hidden="false" customHeight="true" outlineLevel="0" collapsed="false">
      <c r="A793" s="36"/>
      <c r="B793" s="37"/>
      <c r="C793" s="37"/>
      <c r="D793" s="37"/>
      <c r="E793" s="37"/>
      <c r="F793" s="37"/>
      <c r="G793" s="37"/>
      <c r="H793" s="37"/>
      <c r="I793" s="37"/>
      <c r="J793" s="47"/>
      <c r="K793" s="41" t="str">
        <f aca="false">IF(J793="","",IF(J793&gt;=8,"Yes","Check"))</f>
        <v/>
      </c>
      <c r="L793" s="38"/>
      <c r="M793" s="47"/>
      <c r="N793" s="47"/>
      <c r="O793" s="37"/>
      <c r="P793" s="38"/>
      <c r="Q793" s="42" t="str">
        <f aca="false">IF(P793="","",LEN(P793))</f>
        <v/>
      </c>
      <c r="R793" s="47"/>
      <c r="S793" s="37"/>
      <c r="T793" s="38"/>
      <c r="U793" s="43" t="str">
        <f aca="false">IF(OR(R793&lt;&gt;"Yes",A793=""),"",A793+4)</f>
        <v/>
      </c>
      <c r="V793" s="47"/>
      <c r="W793" s="38"/>
      <c r="X793" s="38"/>
      <c r="Y793" s="44"/>
      <c r="Z793" s="44"/>
      <c r="AA793" s="45" t="str">
        <f aca="false">IF(AND($Y793="",$Z793=""),"",ROUND(IFERROR(VALUE(LEFT($Y793,1)),0)*12+IFERROR(VALUE(LEFT($Z793,1)),0)*8,0))</f>
        <v/>
      </c>
      <c r="AB793" s="45" t="str">
        <f aca="false">IF($AA793="","",IF($AA793&gt;=80,"A - call first",IF($AA793&gt;=60,"B - worth pursuing",IF($AA793&gt;=40,"C - nurture","D - do not spend time here"))))</f>
        <v/>
      </c>
      <c r="AC793" s="46" t="str">
        <f aca="false">IF($C793="","",IF($S793="Converted","7 Certification / Enterprise opportunity",IF($S793="Application Started","7 Certification / Enterprise opportunity",IF($S793="Meeting Booked","6 Meeting / Application",IF(OR($S793="Interested",$S793="Info Requested"),"5 Interested",IF(OR($S793="Declined",$S793="Not Relevant"),"0 Closed - no",IF($R793="Yes","4 Contacted",IF($N793="Yes","2 Engaged",IF($M793="Yes","1 Awareness",IF($AA793&gt;=60,"3 Qualified","1 Awareness"))))))))))</f>
        <v/>
      </c>
    </row>
    <row r="794" customFormat="false" ht="30" hidden="false" customHeight="true" outlineLevel="0" collapsed="false">
      <c r="A794" s="36"/>
      <c r="B794" s="37"/>
      <c r="C794" s="37"/>
      <c r="D794" s="37"/>
      <c r="E794" s="37"/>
      <c r="F794" s="37"/>
      <c r="G794" s="37"/>
      <c r="H794" s="37"/>
      <c r="I794" s="37"/>
      <c r="J794" s="47"/>
      <c r="K794" s="41" t="str">
        <f aca="false">IF(J794="","",IF(J794&gt;=8,"Yes","Check"))</f>
        <v/>
      </c>
      <c r="L794" s="38"/>
      <c r="M794" s="47"/>
      <c r="N794" s="47"/>
      <c r="O794" s="37"/>
      <c r="P794" s="38"/>
      <c r="Q794" s="42" t="str">
        <f aca="false">IF(P794="","",LEN(P794))</f>
        <v/>
      </c>
      <c r="R794" s="47"/>
      <c r="S794" s="37"/>
      <c r="T794" s="38"/>
      <c r="U794" s="43" t="str">
        <f aca="false">IF(OR(R794&lt;&gt;"Yes",A794=""),"",A794+4)</f>
        <v/>
      </c>
      <c r="V794" s="47"/>
      <c r="W794" s="38"/>
      <c r="X794" s="38"/>
      <c r="Y794" s="44"/>
      <c r="Z794" s="44"/>
      <c r="AA794" s="45" t="str">
        <f aca="false">IF(AND($Y794="",$Z794=""),"",ROUND(IFERROR(VALUE(LEFT($Y794,1)),0)*12+IFERROR(VALUE(LEFT($Z794,1)),0)*8,0))</f>
        <v/>
      </c>
      <c r="AB794" s="45" t="str">
        <f aca="false">IF($AA794="","",IF($AA794&gt;=80,"A - call first",IF($AA794&gt;=60,"B - worth pursuing",IF($AA794&gt;=40,"C - nurture","D - do not spend time here"))))</f>
        <v/>
      </c>
      <c r="AC794" s="46" t="str">
        <f aca="false">IF($C794="","",IF($S794="Converted","7 Certification / Enterprise opportunity",IF($S794="Application Started","7 Certification / Enterprise opportunity",IF($S794="Meeting Booked","6 Meeting / Application",IF(OR($S794="Interested",$S794="Info Requested"),"5 Interested",IF(OR($S794="Declined",$S794="Not Relevant"),"0 Closed - no",IF($R794="Yes","4 Contacted",IF($N794="Yes","2 Engaged",IF($M794="Yes","1 Awareness",IF($AA794&gt;=60,"3 Qualified","1 Awareness"))))))))))</f>
        <v/>
      </c>
    </row>
    <row r="795" customFormat="false" ht="30" hidden="false" customHeight="true" outlineLevel="0" collapsed="false">
      <c r="A795" s="36"/>
      <c r="B795" s="37"/>
      <c r="C795" s="37"/>
      <c r="D795" s="37"/>
      <c r="E795" s="37"/>
      <c r="F795" s="37"/>
      <c r="G795" s="37"/>
      <c r="H795" s="37"/>
      <c r="I795" s="37"/>
      <c r="J795" s="47"/>
      <c r="K795" s="41" t="str">
        <f aca="false">IF(J795="","",IF(J795&gt;=8,"Yes","Check"))</f>
        <v/>
      </c>
      <c r="L795" s="38"/>
      <c r="M795" s="47"/>
      <c r="N795" s="47"/>
      <c r="O795" s="37"/>
      <c r="P795" s="38"/>
      <c r="Q795" s="42" t="str">
        <f aca="false">IF(P795="","",LEN(P795))</f>
        <v/>
      </c>
      <c r="R795" s="47"/>
      <c r="S795" s="37"/>
      <c r="T795" s="38"/>
      <c r="U795" s="43" t="str">
        <f aca="false">IF(OR(R795&lt;&gt;"Yes",A795=""),"",A795+4)</f>
        <v/>
      </c>
      <c r="V795" s="47"/>
      <c r="W795" s="38"/>
      <c r="X795" s="38"/>
      <c r="Y795" s="44"/>
      <c r="Z795" s="44"/>
      <c r="AA795" s="45" t="str">
        <f aca="false">IF(AND($Y795="",$Z795=""),"",ROUND(IFERROR(VALUE(LEFT($Y795,1)),0)*12+IFERROR(VALUE(LEFT($Z795,1)),0)*8,0))</f>
        <v/>
      </c>
      <c r="AB795" s="45" t="str">
        <f aca="false">IF($AA795="","",IF($AA795&gt;=80,"A - call first",IF($AA795&gt;=60,"B - worth pursuing",IF($AA795&gt;=40,"C - nurture","D - do not spend time here"))))</f>
        <v/>
      </c>
      <c r="AC795" s="46" t="str">
        <f aca="false">IF($C795="","",IF($S795="Converted","7 Certification / Enterprise opportunity",IF($S795="Application Started","7 Certification / Enterprise opportunity",IF($S795="Meeting Booked","6 Meeting / Application",IF(OR($S795="Interested",$S795="Info Requested"),"5 Interested",IF(OR($S795="Declined",$S795="Not Relevant"),"0 Closed - no",IF($R795="Yes","4 Contacted",IF($N795="Yes","2 Engaged",IF($M795="Yes","1 Awareness",IF($AA795&gt;=60,"3 Qualified","1 Awareness"))))))))))</f>
        <v/>
      </c>
    </row>
    <row r="796" customFormat="false" ht="30" hidden="false" customHeight="true" outlineLevel="0" collapsed="false">
      <c r="A796" s="36"/>
      <c r="B796" s="37"/>
      <c r="C796" s="37"/>
      <c r="D796" s="37"/>
      <c r="E796" s="37"/>
      <c r="F796" s="37"/>
      <c r="G796" s="37"/>
      <c r="H796" s="37"/>
      <c r="I796" s="37"/>
      <c r="J796" s="47"/>
      <c r="K796" s="41" t="str">
        <f aca="false">IF(J796="","",IF(J796&gt;=8,"Yes","Check"))</f>
        <v/>
      </c>
      <c r="L796" s="38"/>
      <c r="M796" s="47"/>
      <c r="N796" s="47"/>
      <c r="O796" s="37"/>
      <c r="P796" s="38"/>
      <c r="Q796" s="42" t="str">
        <f aca="false">IF(P796="","",LEN(P796))</f>
        <v/>
      </c>
      <c r="R796" s="47"/>
      <c r="S796" s="37"/>
      <c r="T796" s="38"/>
      <c r="U796" s="43" t="str">
        <f aca="false">IF(OR(R796&lt;&gt;"Yes",A796=""),"",A796+4)</f>
        <v/>
      </c>
      <c r="V796" s="47"/>
      <c r="W796" s="38"/>
      <c r="X796" s="38"/>
      <c r="Y796" s="44"/>
      <c r="Z796" s="44"/>
      <c r="AA796" s="45" t="str">
        <f aca="false">IF(AND($Y796="",$Z796=""),"",ROUND(IFERROR(VALUE(LEFT($Y796,1)),0)*12+IFERROR(VALUE(LEFT($Z796,1)),0)*8,0))</f>
        <v/>
      </c>
      <c r="AB796" s="45" t="str">
        <f aca="false">IF($AA796="","",IF($AA796&gt;=80,"A - call first",IF($AA796&gt;=60,"B - worth pursuing",IF($AA796&gt;=40,"C - nurture","D - do not spend time here"))))</f>
        <v/>
      </c>
      <c r="AC796" s="46" t="str">
        <f aca="false">IF($C796="","",IF($S796="Converted","7 Certification / Enterprise opportunity",IF($S796="Application Started","7 Certification / Enterprise opportunity",IF($S796="Meeting Booked","6 Meeting / Application",IF(OR($S796="Interested",$S796="Info Requested"),"5 Interested",IF(OR($S796="Declined",$S796="Not Relevant"),"0 Closed - no",IF($R796="Yes","4 Contacted",IF($N796="Yes","2 Engaged",IF($M796="Yes","1 Awareness",IF($AA796&gt;=60,"3 Qualified","1 Awareness"))))))))))</f>
        <v/>
      </c>
    </row>
    <row r="797" customFormat="false" ht="30" hidden="false" customHeight="true" outlineLevel="0" collapsed="false">
      <c r="A797" s="36"/>
      <c r="B797" s="37"/>
      <c r="C797" s="37"/>
      <c r="D797" s="37"/>
      <c r="E797" s="37"/>
      <c r="F797" s="37"/>
      <c r="G797" s="37"/>
      <c r="H797" s="37"/>
      <c r="I797" s="37"/>
      <c r="J797" s="47"/>
      <c r="K797" s="41" t="str">
        <f aca="false">IF(J797="","",IF(J797&gt;=8,"Yes","Check"))</f>
        <v/>
      </c>
      <c r="L797" s="38"/>
      <c r="M797" s="47"/>
      <c r="N797" s="47"/>
      <c r="O797" s="37"/>
      <c r="P797" s="38"/>
      <c r="Q797" s="42" t="str">
        <f aca="false">IF(P797="","",LEN(P797))</f>
        <v/>
      </c>
      <c r="R797" s="47"/>
      <c r="S797" s="37"/>
      <c r="T797" s="38"/>
      <c r="U797" s="43" t="str">
        <f aca="false">IF(OR(R797&lt;&gt;"Yes",A797=""),"",A797+4)</f>
        <v/>
      </c>
      <c r="V797" s="47"/>
      <c r="W797" s="38"/>
      <c r="X797" s="38"/>
      <c r="Y797" s="44"/>
      <c r="Z797" s="44"/>
      <c r="AA797" s="45" t="str">
        <f aca="false">IF(AND($Y797="",$Z797=""),"",ROUND(IFERROR(VALUE(LEFT($Y797,1)),0)*12+IFERROR(VALUE(LEFT($Z797,1)),0)*8,0))</f>
        <v/>
      </c>
      <c r="AB797" s="45" t="str">
        <f aca="false">IF($AA797="","",IF($AA797&gt;=80,"A - call first",IF($AA797&gt;=60,"B - worth pursuing",IF($AA797&gt;=40,"C - nurture","D - do not spend time here"))))</f>
        <v/>
      </c>
      <c r="AC797" s="46" t="str">
        <f aca="false">IF($C797="","",IF($S797="Converted","7 Certification / Enterprise opportunity",IF($S797="Application Started","7 Certification / Enterprise opportunity",IF($S797="Meeting Booked","6 Meeting / Application",IF(OR($S797="Interested",$S797="Info Requested"),"5 Interested",IF(OR($S797="Declined",$S797="Not Relevant"),"0 Closed - no",IF($R797="Yes","4 Contacted",IF($N797="Yes","2 Engaged",IF($M797="Yes","1 Awareness",IF($AA797&gt;=60,"3 Qualified","1 Awareness"))))))))))</f>
        <v/>
      </c>
    </row>
    <row r="798" customFormat="false" ht="30" hidden="false" customHeight="true" outlineLevel="0" collapsed="false">
      <c r="A798" s="36"/>
      <c r="B798" s="37"/>
      <c r="C798" s="37"/>
      <c r="D798" s="37"/>
      <c r="E798" s="37"/>
      <c r="F798" s="37"/>
      <c r="G798" s="37"/>
      <c r="H798" s="37"/>
      <c r="I798" s="37"/>
      <c r="J798" s="47"/>
      <c r="K798" s="41" t="str">
        <f aca="false">IF(J798="","",IF(J798&gt;=8,"Yes","Check"))</f>
        <v/>
      </c>
      <c r="L798" s="38"/>
      <c r="M798" s="47"/>
      <c r="N798" s="47"/>
      <c r="O798" s="37"/>
      <c r="P798" s="38"/>
      <c r="Q798" s="42" t="str">
        <f aca="false">IF(P798="","",LEN(P798))</f>
        <v/>
      </c>
      <c r="R798" s="47"/>
      <c r="S798" s="37"/>
      <c r="T798" s="38"/>
      <c r="U798" s="43" t="str">
        <f aca="false">IF(OR(R798&lt;&gt;"Yes",A798=""),"",A798+4)</f>
        <v/>
      </c>
      <c r="V798" s="47"/>
      <c r="W798" s="38"/>
      <c r="X798" s="38"/>
      <c r="Y798" s="44"/>
      <c r="Z798" s="44"/>
      <c r="AA798" s="45" t="str">
        <f aca="false">IF(AND($Y798="",$Z798=""),"",ROUND(IFERROR(VALUE(LEFT($Y798,1)),0)*12+IFERROR(VALUE(LEFT($Z798,1)),0)*8,0))</f>
        <v/>
      </c>
      <c r="AB798" s="45" t="str">
        <f aca="false">IF($AA798="","",IF($AA798&gt;=80,"A - call first",IF($AA798&gt;=60,"B - worth pursuing",IF($AA798&gt;=40,"C - nurture","D - do not spend time here"))))</f>
        <v/>
      </c>
      <c r="AC798" s="46" t="str">
        <f aca="false">IF($C798="","",IF($S798="Converted","7 Certification / Enterprise opportunity",IF($S798="Application Started","7 Certification / Enterprise opportunity",IF($S798="Meeting Booked","6 Meeting / Application",IF(OR($S798="Interested",$S798="Info Requested"),"5 Interested",IF(OR($S798="Declined",$S798="Not Relevant"),"0 Closed - no",IF($R798="Yes","4 Contacted",IF($N798="Yes","2 Engaged",IF($M798="Yes","1 Awareness",IF($AA798&gt;=60,"3 Qualified","1 Awareness"))))))))))</f>
        <v/>
      </c>
    </row>
    <row r="799" customFormat="false" ht="30" hidden="false" customHeight="true" outlineLevel="0" collapsed="false">
      <c r="A799" s="36"/>
      <c r="B799" s="37"/>
      <c r="C799" s="37"/>
      <c r="D799" s="37"/>
      <c r="E799" s="37"/>
      <c r="F799" s="37"/>
      <c r="G799" s="37"/>
      <c r="H799" s="37"/>
      <c r="I799" s="37"/>
      <c r="J799" s="47"/>
      <c r="K799" s="41" t="str">
        <f aca="false">IF(J799="","",IF(J799&gt;=8,"Yes","Check"))</f>
        <v/>
      </c>
      <c r="L799" s="38"/>
      <c r="M799" s="47"/>
      <c r="N799" s="47"/>
      <c r="O799" s="37"/>
      <c r="P799" s="38"/>
      <c r="Q799" s="42" t="str">
        <f aca="false">IF(P799="","",LEN(P799))</f>
        <v/>
      </c>
      <c r="R799" s="47"/>
      <c r="S799" s="37"/>
      <c r="T799" s="38"/>
      <c r="U799" s="43" t="str">
        <f aca="false">IF(OR(R799&lt;&gt;"Yes",A799=""),"",A799+4)</f>
        <v/>
      </c>
      <c r="V799" s="47"/>
      <c r="W799" s="38"/>
      <c r="X799" s="38"/>
      <c r="Y799" s="44"/>
      <c r="Z799" s="44"/>
      <c r="AA799" s="45" t="str">
        <f aca="false">IF(AND($Y799="",$Z799=""),"",ROUND(IFERROR(VALUE(LEFT($Y799,1)),0)*12+IFERROR(VALUE(LEFT($Z799,1)),0)*8,0))</f>
        <v/>
      </c>
      <c r="AB799" s="45" t="str">
        <f aca="false">IF($AA799="","",IF($AA799&gt;=80,"A - call first",IF($AA799&gt;=60,"B - worth pursuing",IF($AA799&gt;=40,"C - nurture","D - do not spend time here"))))</f>
        <v/>
      </c>
      <c r="AC799" s="46" t="str">
        <f aca="false">IF($C799="","",IF($S799="Converted","7 Certification / Enterprise opportunity",IF($S799="Application Started","7 Certification / Enterprise opportunity",IF($S799="Meeting Booked","6 Meeting / Application",IF(OR($S799="Interested",$S799="Info Requested"),"5 Interested",IF(OR($S799="Declined",$S799="Not Relevant"),"0 Closed - no",IF($R799="Yes","4 Contacted",IF($N799="Yes","2 Engaged",IF($M799="Yes","1 Awareness",IF($AA799&gt;=60,"3 Qualified","1 Awareness"))))))))))</f>
        <v/>
      </c>
    </row>
    <row r="800" customFormat="false" ht="30" hidden="false" customHeight="true" outlineLevel="0" collapsed="false">
      <c r="A800" s="36"/>
      <c r="B800" s="37"/>
      <c r="C800" s="37"/>
      <c r="D800" s="37"/>
      <c r="E800" s="37"/>
      <c r="F800" s="37"/>
      <c r="G800" s="37"/>
      <c r="H800" s="37"/>
      <c r="I800" s="37"/>
      <c r="J800" s="47"/>
      <c r="K800" s="41" t="str">
        <f aca="false">IF(J800="","",IF(J800&gt;=8,"Yes","Check"))</f>
        <v/>
      </c>
      <c r="L800" s="38"/>
      <c r="M800" s="47"/>
      <c r="N800" s="47"/>
      <c r="O800" s="37"/>
      <c r="P800" s="38"/>
      <c r="Q800" s="42" t="str">
        <f aca="false">IF(P800="","",LEN(P800))</f>
        <v/>
      </c>
      <c r="R800" s="47"/>
      <c r="S800" s="37"/>
      <c r="T800" s="38"/>
      <c r="U800" s="43" t="str">
        <f aca="false">IF(OR(R800&lt;&gt;"Yes",A800=""),"",A800+4)</f>
        <v/>
      </c>
      <c r="V800" s="47"/>
      <c r="W800" s="38"/>
      <c r="X800" s="38"/>
      <c r="Y800" s="44"/>
      <c r="Z800" s="44"/>
      <c r="AA800" s="45" t="str">
        <f aca="false">IF(AND($Y800="",$Z800=""),"",ROUND(IFERROR(VALUE(LEFT($Y800,1)),0)*12+IFERROR(VALUE(LEFT($Z800,1)),0)*8,0))</f>
        <v/>
      </c>
      <c r="AB800" s="45" t="str">
        <f aca="false">IF($AA800="","",IF($AA800&gt;=80,"A - call first",IF($AA800&gt;=60,"B - worth pursuing",IF($AA800&gt;=40,"C - nurture","D - do not spend time here"))))</f>
        <v/>
      </c>
      <c r="AC800" s="46" t="str">
        <f aca="false">IF($C800="","",IF($S800="Converted","7 Certification / Enterprise opportunity",IF($S800="Application Started","7 Certification / Enterprise opportunity",IF($S800="Meeting Booked","6 Meeting / Application",IF(OR($S800="Interested",$S800="Info Requested"),"5 Interested",IF(OR($S800="Declined",$S800="Not Relevant"),"0 Closed - no",IF($R800="Yes","4 Contacted",IF($N800="Yes","2 Engaged",IF($M800="Yes","1 Awareness",IF($AA800&gt;=60,"3 Qualified","1 Awareness"))))))))))</f>
        <v/>
      </c>
    </row>
    <row r="801" customFormat="false" ht="30" hidden="false" customHeight="true" outlineLevel="0" collapsed="false">
      <c r="A801" s="36"/>
      <c r="B801" s="37"/>
      <c r="C801" s="37"/>
      <c r="D801" s="37"/>
      <c r="E801" s="37"/>
      <c r="F801" s="37"/>
      <c r="G801" s="37"/>
      <c r="H801" s="37"/>
      <c r="I801" s="37"/>
      <c r="J801" s="47"/>
      <c r="K801" s="41" t="str">
        <f aca="false">IF(J801="","",IF(J801&gt;=8,"Yes","Check"))</f>
        <v/>
      </c>
      <c r="L801" s="38"/>
      <c r="M801" s="47"/>
      <c r="N801" s="47"/>
      <c r="O801" s="37"/>
      <c r="P801" s="38"/>
      <c r="Q801" s="42" t="str">
        <f aca="false">IF(P801="","",LEN(P801))</f>
        <v/>
      </c>
      <c r="R801" s="47"/>
      <c r="S801" s="37"/>
      <c r="T801" s="38"/>
      <c r="U801" s="43" t="str">
        <f aca="false">IF(OR(R801&lt;&gt;"Yes",A801=""),"",A801+4)</f>
        <v/>
      </c>
      <c r="V801" s="47"/>
      <c r="W801" s="38"/>
      <c r="X801" s="38"/>
      <c r="Y801" s="44"/>
      <c r="Z801" s="44"/>
      <c r="AA801" s="45" t="str">
        <f aca="false">IF(AND($Y801="",$Z801=""),"",ROUND(IFERROR(VALUE(LEFT($Y801,1)),0)*12+IFERROR(VALUE(LEFT($Z801,1)),0)*8,0))</f>
        <v/>
      </c>
      <c r="AB801" s="45" t="str">
        <f aca="false">IF($AA801="","",IF($AA801&gt;=80,"A - call first",IF($AA801&gt;=60,"B - worth pursuing",IF($AA801&gt;=40,"C - nurture","D - do not spend time here"))))</f>
        <v/>
      </c>
      <c r="AC801" s="46" t="str">
        <f aca="false">IF($C801="","",IF($S801="Converted","7 Certification / Enterprise opportunity",IF($S801="Application Started","7 Certification / Enterprise opportunity",IF($S801="Meeting Booked","6 Meeting / Application",IF(OR($S801="Interested",$S801="Info Requested"),"5 Interested",IF(OR($S801="Declined",$S801="Not Relevant"),"0 Closed - no",IF($R801="Yes","4 Contacted",IF($N801="Yes","2 Engaged",IF($M801="Yes","1 Awareness",IF($AA801&gt;=60,"3 Qualified","1 Awareness"))))))))))</f>
        <v/>
      </c>
    </row>
    <row r="802" customFormat="false" ht="30" hidden="false" customHeight="true" outlineLevel="0" collapsed="false">
      <c r="A802" s="36"/>
      <c r="B802" s="37"/>
      <c r="C802" s="37"/>
      <c r="D802" s="37"/>
      <c r="E802" s="37"/>
      <c r="F802" s="37"/>
      <c r="G802" s="37"/>
      <c r="H802" s="37"/>
      <c r="I802" s="37"/>
      <c r="J802" s="47"/>
      <c r="K802" s="41" t="str">
        <f aca="false">IF(J802="","",IF(J802&gt;=8,"Yes","Check"))</f>
        <v/>
      </c>
      <c r="L802" s="38"/>
      <c r="M802" s="47"/>
      <c r="N802" s="47"/>
      <c r="O802" s="37"/>
      <c r="P802" s="38"/>
      <c r="Q802" s="42" t="str">
        <f aca="false">IF(P802="","",LEN(P802))</f>
        <v/>
      </c>
      <c r="R802" s="47"/>
      <c r="S802" s="37"/>
      <c r="T802" s="38"/>
      <c r="U802" s="43" t="str">
        <f aca="false">IF(OR(R802&lt;&gt;"Yes",A802=""),"",A802+4)</f>
        <v/>
      </c>
      <c r="V802" s="47"/>
      <c r="W802" s="38"/>
      <c r="X802" s="38"/>
      <c r="Y802" s="44"/>
      <c r="Z802" s="44"/>
      <c r="AA802" s="45" t="str">
        <f aca="false">IF(AND($Y802="",$Z802=""),"",ROUND(IFERROR(VALUE(LEFT($Y802,1)),0)*12+IFERROR(VALUE(LEFT($Z802,1)),0)*8,0))</f>
        <v/>
      </c>
      <c r="AB802" s="45" t="str">
        <f aca="false">IF($AA802="","",IF($AA802&gt;=80,"A - call first",IF($AA802&gt;=60,"B - worth pursuing",IF($AA802&gt;=40,"C - nurture","D - do not spend time here"))))</f>
        <v/>
      </c>
      <c r="AC802" s="46" t="str">
        <f aca="false">IF($C802="","",IF($S802="Converted","7 Certification / Enterprise opportunity",IF($S802="Application Started","7 Certification / Enterprise opportunity",IF($S802="Meeting Booked","6 Meeting / Application",IF(OR($S802="Interested",$S802="Info Requested"),"5 Interested",IF(OR($S802="Declined",$S802="Not Relevant"),"0 Closed - no",IF($R802="Yes","4 Contacted",IF($N802="Yes","2 Engaged",IF($M802="Yes","1 Awareness",IF($AA802&gt;=60,"3 Qualified","1 Awareness"))))))))))</f>
        <v/>
      </c>
    </row>
    <row r="803" customFormat="false" ht="30" hidden="false" customHeight="true" outlineLevel="0" collapsed="false">
      <c r="A803" s="36"/>
      <c r="B803" s="37"/>
      <c r="C803" s="37"/>
      <c r="D803" s="37"/>
      <c r="E803" s="37"/>
      <c r="F803" s="37"/>
      <c r="G803" s="37"/>
      <c r="H803" s="37"/>
      <c r="I803" s="37"/>
      <c r="J803" s="47"/>
      <c r="K803" s="41" t="str">
        <f aca="false">IF(J803="","",IF(J803&gt;=8,"Yes","Check"))</f>
        <v/>
      </c>
      <c r="L803" s="38"/>
      <c r="M803" s="47"/>
      <c r="N803" s="47"/>
      <c r="O803" s="37"/>
      <c r="P803" s="38"/>
      <c r="Q803" s="42" t="str">
        <f aca="false">IF(P803="","",LEN(P803))</f>
        <v/>
      </c>
      <c r="R803" s="47"/>
      <c r="S803" s="37"/>
      <c r="T803" s="38"/>
      <c r="U803" s="43" t="str">
        <f aca="false">IF(OR(R803&lt;&gt;"Yes",A803=""),"",A803+4)</f>
        <v/>
      </c>
      <c r="V803" s="47"/>
      <c r="W803" s="38"/>
      <c r="X803" s="38"/>
      <c r="Y803" s="44"/>
      <c r="Z803" s="44"/>
      <c r="AA803" s="45" t="str">
        <f aca="false">IF(AND($Y803="",$Z803=""),"",ROUND(IFERROR(VALUE(LEFT($Y803,1)),0)*12+IFERROR(VALUE(LEFT($Z803,1)),0)*8,0))</f>
        <v/>
      </c>
      <c r="AB803" s="45" t="str">
        <f aca="false">IF($AA803="","",IF($AA803&gt;=80,"A - call first",IF($AA803&gt;=60,"B - worth pursuing",IF($AA803&gt;=40,"C - nurture","D - do not spend time here"))))</f>
        <v/>
      </c>
      <c r="AC803" s="46" t="str">
        <f aca="false">IF($C803="","",IF($S803="Converted","7 Certification / Enterprise opportunity",IF($S803="Application Started","7 Certification / Enterprise opportunity",IF($S803="Meeting Booked","6 Meeting / Application",IF(OR($S803="Interested",$S803="Info Requested"),"5 Interested",IF(OR($S803="Declined",$S803="Not Relevant"),"0 Closed - no",IF($R803="Yes","4 Contacted",IF($N803="Yes","2 Engaged",IF($M803="Yes","1 Awareness",IF($AA803&gt;=60,"3 Qualified","1 Awareness"))))))))))</f>
        <v/>
      </c>
    </row>
    <row r="804" customFormat="false" ht="30" hidden="false" customHeight="true" outlineLevel="0" collapsed="false">
      <c r="A804" s="36"/>
      <c r="B804" s="37"/>
      <c r="C804" s="37"/>
      <c r="D804" s="37"/>
      <c r="E804" s="37"/>
      <c r="F804" s="37"/>
      <c r="G804" s="37"/>
      <c r="H804" s="37"/>
      <c r="I804" s="37"/>
      <c r="J804" s="47"/>
      <c r="K804" s="41" t="str">
        <f aca="false">IF(J804="","",IF(J804&gt;=8,"Yes","Check"))</f>
        <v/>
      </c>
      <c r="L804" s="38"/>
      <c r="M804" s="47"/>
      <c r="N804" s="47"/>
      <c r="O804" s="37"/>
      <c r="P804" s="38"/>
      <c r="Q804" s="42" t="str">
        <f aca="false">IF(P804="","",LEN(P804))</f>
        <v/>
      </c>
      <c r="R804" s="47"/>
      <c r="S804" s="37"/>
      <c r="T804" s="38"/>
      <c r="U804" s="43" t="str">
        <f aca="false">IF(OR(R804&lt;&gt;"Yes",A804=""),"",A804+4)</f>
        <v/>
      </c>
      <c r="V804" s="47"/>
      <c r="W804" s="38"/>
      <c r="X804" s="38"/>
      <c r="Y804" s="44"/>
      <c r="Z804" s="44"/>
      <c r="AA804" s="45" t="str">
        <f aca="false">IF(AND($Y804="",$Z804=""),"",ROUND(IFERROR(VALUE(LEFT($Y804,1)),0)*12+IFERROR(VALUE(LEFT($Z804,1)),0)*8,0))</f>
        <v/>
      </c>
      <c r="AB804" s="45" t="str">
        <f aca="false">IF($AA804="","",IF($AA804&gt;=80,"A - call first",IF($AA804&gt;=60,"B - worth pursuing",IF($AA804&gt;=40,"C - nurture","D - do not spend time here"))))</f>
        <v/>
      </c>
      <c r="AC804" s="46" t="str">
        <f aca="false">IF($C804="","",IF($S804="Converted","7 Certification / Enterprise opportunity",IF($S804="Application Started","7 Certification / Enterprise opportunity",IF($S804="Meeting Booked","6 Meeting / Application",IF(OR($S804="Interested",$S804="Info Requested"),"5 Interested",IF(OR($S804="Declined",$S804="Not Relevant"),"0 Closed - no",IF($R804="Yes","4 Contacted",IF($N804="Yes","2 Engaged",IF($M804="Yes","1 Awareness",IF($AA804&gt;=60,"3 Qualified","1 Awareness"))))))))))</f>
        <v/>
      </c>
    </row>
    <row r="805" customFormat="false" ht="30" hidden="false" customHeight="true" outlineLevel="0" collapsed="false">
      <c r="A805" s="36"/>
      <c r="B805" s="37"/>
      <c r="C805" s="37"/>
      <c r="D805" s="37"/>
      <c r="E805" s="37"/>
      <c r="F805" s="37"/>
      <c r="G805" s="37"/>
      <c r="H805" s="37"/>
      <c r="I805" s="37"/>
      <c r="J805" s="47"/>
      <c r="K805" s="41" t="str">
        <f aca="false">IF(J805="","",IF(J805&gt;=8,"Yes","Check"))</f>
        <v/>
      </c>
      <c r="L805" s="38"/>
      <c r="M805" s="47"/>
      <c r="N805" s="47"/>
      <c r="O805" s="37"/>
      <c r="P805" s="38"/>
      <c r="Q805" s="42" t="str">
        <f aca="false">IF(P805="","",LEN(P805))</f>
        <v/>
      </c>
      <c r="R805" s="47"/>
      <c r="S805" s="37"/>
      <c r="T805" s="38"/>
      <c r="U805" s="43" t="str">
        <f aca="false">IF(OR(R805&lt;&gt;"Yes",A805=""),"",A805+4)</f>
        <v/>
      </c>
      <c r="V805" s="47"/>
      <c r="W805" s="38"/>
      <c r="X805" s="38"/>
      <c r="Y805" s="44"/>
      <c r="Z805" s="44"/>
      <c r="AA805" s="45" t="str">
        <f aca="false">IF(AND($Y805="",$Z805=""),"",ROUND(IFERROR(VALUE(LEFT($Y805,1)),0)*12+IFERROR(VALUE(LEFT($Z805,1)),0)*8,0))</f>
        <v/>
      </c>
      <c r="AB805" s="45" t="str">
        <f aca="false">IF($AA805="","",IF($AA805&gt;=80,"A - call first",IF($AA805&gt;=60,"B - worth pursuing",IF($AA805&gt;=40,"C - nurture","D - do not spend time here"))))</f>
        <v/>
      </c>
      <c r="AC805" s="46" t="str">
        <f aca="false">IF($C805="","",IF($S805="Converted","7 Certification / Enterprise opportunity",IF($S805="Application Started","7 Certification / Enterprise opportunity",IF($S805="Meeting Booked","6 Meeting / Application",IF(OR($S805="Interested",$S805="Info Requested"),"5 Interested",IF(OR($S805="Declined",$S805="Not Relevant"),"0 Closed - no",IF($R805="Yes","4 Contacted",IF($N805="Yes","2 Engaged",IF($M805="Yes","1 Awareness",IF($AA805&gt;=60,"3 Qualified","1 Awareness"))))))))))</f>
        <v/>
      </c>
    </row>
    <row r="806" customFormat="false" ht="30" hidden="false" customHeight="true" outlineLevel="0" collapsed="false">
      <c r="A806" s="36"/>
      <c r="B806" s="37"/>
      <c r="C806" s="37"/>
      <c r="D806" s="37"/>
      <c r="E806" s="37"/>
      <c r="F806" s="37"/>
      <c r="G806" s="37"/>
      <c r="H806" s="37"/>
      <c r="I806" s="37"/>
      <c r="J806" s="47"/>
      <c r="K806" s="41" t="str">
        <f aca="false">IF(J806="","",IF(J806&gt;=8,"Yes","Check"))</f>
        <v/>
      </c>
      <c r="L806" s="38"/>
      <c r="M806" s="47"/>
      <c r="N806" s="47"/>
      <c r="O806" s="37"/>
      <c r="P806" s="38"/>
      <c r="Q806" s="42" t="str">
        <f aca="false">IF(P806="","",LEN(P806))</f>
        <v/>
      </c>
      <c r="R806" s="47"/>
      <c r="S806" s="37"/>
      <c r="T806" s="38"/>
      <c r="U806" s="43" t="str">
        <f aca="false">IF(OR(R806&lt;&gt;"Yes",A806=""),"",A806+4)</f>
        <v/>
      </c>
      <c r="V806" s="47"/>
      <c r="W806" s="38"/>
      <c r="X806" s="38"/>
      <c r="Y806" s="44"/>
      <c r="Z806" s="44"/>
      <c r="AA806" s="45" t="str">
        <f aca="false">IF(AND($Y806="",$Z806=""),"",ROUND(IFERROR(VALUE(LEFT($Y806,1)),0)*12+IFERROR(VALUE(LEFT($Z806,1)),0)*8,0))</f>
        <v/>
      </c>
      <c r="AB806" s="45" t="str">
        <f aca="false">IF($AA806="","",IF($AA806&gt;=80,"A - call first",IF($AA806&gt;=60,"B - worth pursuing",IF($AA806&gt;=40,"C - nurture","D - do not spend time here"))))</f>
        <v/>
      </c>
      <c r="AC806" s="46" t="str">
        <f aca="false">IF($C806="","",IF($S806="Converted","7 Certification / Enterprise opportunity",IF($S806="Application Started","7 Certification / Enterprise opportunity",IF($S806="Meeting Booked","6 Meeting / Application",IF(OR($S806="Interested",$S806="Info Requested"),"5 Interested",IF(OR($S806="Declined",$S806="Not Relevant"),"0 Closed - no",IF($R806="Yes","4 Contacted",IF($N806="Yes","2 Engaged",IF($M806="Yes","1 Awareness",IF($AA806&gt;=60,"3 Qualified","1 Awareness"))))))))))</f>
        <v/>
      </c>
    </row>
    <row r="807" customFormat="false" ht="30" hidden="false" customHeight="true" outlineLevel="0" collapsed="false">
      <c r="A807" s="36"/>
      <c r="B807" s="37"/>
      <c r="C807" s="37"/>
      <c r="D807" s="37"/>
      <c r="E807" s="37"/>
      <c r="F807" s="37"/>
      <c r="G807" s="37"/>
      <c r="H807" s="37"/>
      <c r="I807" s="37"/>
      <c r="J807" s="47"/>
      <c r="K807" s="41" t="str">
        <f aca="false">IF(J807="","",IF(J807&gt;=8,"Yes","Check"))</f>
        <v/>
      </c>
      <c r="L807" s="38"/>
      <c r="M807" s="47"/>
      <c r="N807" s="47"/>
      <c r="O807" s="37"/>
      <c r="P807" s="38"/>
      <c r="Q807" s="42" t="str">
        <f aca="false">IF(P807="","",LEN(P807))</f>
        <v/>
      </c>
      <c r="R807" s="47"/>
      <c r="S807" s="37"/>
      <c r="T807" s="38"/>
      <c r="U807" s="43" t="str">
        <f aca="false">IF(OR(R807&lt;&gt;"Yes",A807=""),"",A807+4)</f>
        <v/>
      </c>
      <c r="V807" s="47"/>
      <c r="W807" s="38"/>
      <c r="X807" s="38"/>
      <c r="Y807" s="44"/>
      <c r="Z807" s="44"/>
      <c r="AA807" s="45" t="str">
        <f aca="false">IF(AND($Y807="",$Z807=""),"",ROUND(IFERROR(VALUE(LEFT($Y807,1)),0)*12+IFERROR(VALUE(LEFT($Z807,1)),0)*8,0))</f>
        <v/>
      </c>
      <c r="AB807" s="45" t="str">
        <f aca="false">IF($AA807="","",IF($AA807&gt;=80,"A - call first",IF($AA807&gt;=60,"B - worth pursuing",IF($AA807&gt;=40,"C - nurture","D - do not spend time here"))))</f>
        <v/>
      </c>
      <c r="AC807" s="46" t="str">
        <f aca="false">IF($C807="","",IF($S807="Converted","7 Certification / Enterprise opportunity",IF($S807="Application Started","7 Certification / Enterprise opportunity",IF($S807="Meeting Booked","6 Meeting / Application",IF(OR($S807="Interested",$S807="Info Requested"),"5 Interested",IF(OR($S807="Declined",$S807="Not Relevant"),"0 Closed - no",IF($R807="Yes","4 Contacted",IF($N807="Yes","2 Engaged",IF($M807="Yes","1 Awareness",IF($AA807&gt;=60,"3 Qualified","1 Awareness"))))))))))</f>
        <v/>
      </c>
    </row>
    <row r="808" customFormat="false" ht="30" hidden="false" customHeight="true" outlineLevel="0" collapsed="false">
      <c r="A808" s="36"/>
      <c r="B808" s="37"/>
      <c r="C808" s="37"/>
      <c r="D808" s="37"/>
      <c r="E808" s="37"/>
      <c r="F808" s="37"/>
      <c r="G808" s="37"/>
      <c r="H808" s="37"/>
      <c r="I808" s="37"/>
      <c r="J808" s="47"/>
      <c r="K808" s="41" t="str">
        <f aca="false">IF(J808="","",IF(J808&gt;=8,"Yes","Check"))</f>
        <v/>
      </c>
      <c r="L808" s="38"/>
      <c r="M808" s="47"/>
      <c r="N808" s="47"/>
      <c r="O808" s="37"/>
      <c r="P808" s="38"/>
      <c r="Q808" s="42" t="str">
        <f aca="false">IF(P808="","",LEN(P808))</f>
        <v/>
      </c>
      <c r="R808" s="47"/>
      <c r="S808" s="37"/>
      <c r="T808" s="38"/>
      <c r="U808" s="43" t="str">
        <f aca="false">IF(OR(R808&lt;&gt;"Yes",A808=""),"",A808+4)</f>
        <v/>
      </c>
      <c r="V808" s="47"/>
      <c r="W808" s="38"/>
      <c r="X808" s="38"/>
      <c r="Y808" s="44"/>
      <c r="Z808" s="44"/>
      <c r="AA808" s="45" t="str">
        <f aca="false">IF(AND($Y808="",$Z808=""),"",ROUND(IFERROR(VALUE(LEFT($Y808,1)),0)*12+IFERROR(VALUE(LEFT($Z808,1)),0)*8,0))</f>
        <v/>
      </c>
      <c r="AB808" s="45" t="str">
        <f aca="false">IF($AA808="","",IF($AA808&gt;=80,"A - call first",IF($AA808&gt;=60,"B - worth pursuing",IF($AA808&gt;=40,"C - nurture","D - do not spend time here"))))</f>
        <v/>
      </c>
      <c r="AC808" s="46" t="str">
        <f aca="false">IF($C808="","",IF($S808="Converted","7 Certification / Enterprise opportunity",IF($S808="Application Started","7 Certification / Enterprise opportunity",IF($S808="Meeting Booked","6 Meeting / Application",IF(OR($S808="Interested",$S808="Info Requested"),"5 Interested",IF(OR($S808="Declined",$S808="Not Relevant"),"0 Closed - no",IF($R808="Yes","4 Contacted",IF($N808="Yes","2 Engaged",IF($M808="Yes","1 Awareness",IF($AA808&gt;=60,"3 Qualified","1 Awareness"))))))))))</f>
        <v/>
      </c>
    </row>
    <row r="809" customFormat="false" ht="30" hidden="false" customHeight="true" outlineLevel="0" collapsed="false">
      <c r="A809" s="36"/>
      <c r="B809" s="37"/>
      <c r="C809" s="37"/>
      <c r="D809" s="37"/>
      <c r="E809" s="37"/>
      <c r="F809" s="37"/>
      <c r="G809" s="37"/>
      <c r="H809" s="37"/>
      <c r="I809" s="37"/>
      <c r="J809" s="47"/>
      <c r="K809" s="41" t="str">
        <f aca="false">IF(J809="","",IF(J809&gt;=8,"Yes","Check"))</f>
        <v/>
      </c>
      <c r="L809" s="38"/>
      <c r="M809" s="47"/>
      <c r="N809" s="47"/>
      <c r="O809" s="37"/>
      <c r="P809" s="38"/>
      <c r="Q809" s="42" t="str">
        <f aca="false">IF(P809="","",LEN(P809))</f>
        <v/>
      </c>
      <c r="R809" s="47"/>
      <c r="S809" s="37"/>
      <c r="T809" s="38"/>
      <c r="U809" s="43" t="str">
        <f aca="false">IF(OR(R809&lt;&gt;"Yes",A809=""),"",A809+4)</f>
        <v/>
      </c>
      <c r="V809" s="47"/>
      <c r="W809" s="38"/>
      <c r="X809" s="38"/>
      <c r="Y809" s="44"/>
      <c r="Z809" s="44"/>
      <c r="AA809" s="45" t="str">
        <f aca="false">IF(AND($Y809="",$Z809=""),"",ROUND(IFERROR(VALUE(LEFT($Y809,1)),0)*12+IFERROR(VALUE(LEFT($Z809,1)),0)*8,0))</f>
        <v/>
      </c>
      <c r="AB809" s="45" t="str">
        <f aca="false">IF($AA809="","",IF($AA809&gt;=80,"A - call first",IF($AA809&gt;=60,"B - worth pursuing",IF($AA809&gt;=40,"C - nurture","D - do not spend time here"))))</f>
        <v/>
      </c>
      <c r="AC809" s="46" t="str">
        <f aca="false">IF($C809="","",IF($S809="Converted","7 Certification / Enterprise opportunity",IF($S809="Application Started","7 Certification / Enterprise opportunity",IF($S809="Meeting Booked","6 Meeting / Application",IF(OR($S809="Interested",$S809="Info Requested"),"5 Interested",IF(OR($S809="Declined",$S809="Not Relevant"),"0 Closed - no",IF($R809="Yes","4 Contacted",IF($N809="Yes","2 Engaged",IF($M809="Yes","1 Awareness",IF($AA809&gt;=60,"3 Qualified","1 Awareness"))))))))))</f>
        <v/>
      </c>
    </row>
    <row r="810" customFormat="false" ht="30" hidden="false" customHeight="true" outlineLevel="0" collapsed="false">
      <c r="A810" s="36"/>
      <c r="B810" s="37"/>
      <c r="C810" s="37"/>
      <c r="D810" s="37"/>
      <c r="E810" s="37"/>
      <c r="F810" s="37"/>
      <c r="G810" s="37"/>
      <c r="H810" s="37"/>
      <c r="I810" s="37"/>
      <c r="J810" s="47"/>
      <c r="K810" s="41" t="str">
        <f aca="false">IF(J810="","",IF(J810&gt;=8,"Yes","Check"))</f>
        <v/>
      </c>
      <c r="L810" s="38"/>
      <c r="M810" s="47"/>
      <c r="N810" s="47"/>
      <c r="O810" s="37"/>
      <c r="P810" s="38"/>
      <c r="Q810" s="42" t="str">
        <f aca="false">IF(P810="","",LEN(P810))</f>
        <v/>
      </c>
      <c r="R810" s="47"/>
      <c r="S810" s="37"/>
      <c r="T810" s="38"/>
      <c r="U810" s="43" t="str">
        <f aca="false">IF(OR(R810&lt;&gt;"Yes",A810=""),"",A810+4)</f>
        <v/>
      </c>
      <c r="V810" s="47"/>
      <c r="W810" s="38"/>
      <c r="X810" s="38"/>
      <c r="Y810" s="44"/>
      <c r="Z810" s="44"/>
      <c r="AA810" s="45" t="str">
        <f aca="false">IF(AND($Y810="",$Z810=""),"",ROUND(IFERROR(VALUE(LEFT($Y810,1)),0)*12+IFERROR(VALUE(LEFT($Z810,1)),0)*8,0))</f>
        <v/>
      </c>
      <c r="AB810" s="45" t="str">
        <f aca="false">IF($AA810="","",IF($AA810&gt;=80,"A - call first",IF($AA810&gt;=60,"B - worth pursuing",IF($AA810&gt;=40,"C - nurture","D - do not spend time here"))))</f>
        <v/>
      </c>
      <c r="AC810" s="46" t="str">
        <f aca="false">IF($C810="","",IF($S810="Converted","7 Certification / Enterprise opportunity",IF($S810="Application Started","7 Certification / Enterprise opportunity",IF($S810="Meeting Booked","6 Meeting / Application",IF(OR($S810="Interested",$S810="Info Requested"),"5 Interested",IF(OR($S810="Declined",$S810="Not Relevant"),"0 Closed - no",IF($R810="Yes","4 Contacted",IF($N810="Yes","2 Engaged",IF($M810="Yes","1 Awareness",IF($AA810&gt;=60,"3 Qualified","1 Awareness"))))))))))</f>
        <v/>
      </c>
    </row>
    <row r="811" customFormat="false" ht="30" hidden="false" customHeight="true" outlineLevel="0" collapsed="false">
      <c r="A811" s="36"/>
      <c r="B811" s="37"/>
      <c r="C811" s="37"/>
      <c r="D811" s="37"/>
      <c r="E811" s="37"/>
      <c r="F811" s="37"/>
      <c r="G811" s="37"/>
      <c r="H811" s="37"/>
      <c r="I811" s="37"/>
      <c r="J811" s="47"/>
      <c r="K811" s="41" t="str">
        <f aca="false">IF(J811="","",IF(J811&gt;=8,"Yes","Check"))</f>
        <v/>
      </c>
      <c r="L811" s="38"/>
      <c r="M811" s="47"/>
      <c r="N811" s="47"/>
      <c r="O811" s="37"/>
      <c r="P811" s="38"/>
      <c r="Q811" s="42" t="str">
        <f aca="false">IF(P811="","",LEN(P811))</f>
        <v/>
      </c>
      <c r="R811" s="47"/>
      <c r="S811" s="37"/>
      <c r="T811" s="38"/>
      <c r="U811" s="43" t="str">
        <f aca="false">IF(OR(R811&lt;&gt;"Yes",A811=""),"",A811+4)</f>
        <v/>
      </c>
      <c r="V811" s="47"/>
      <c r="W811" s="38"/>
      <c r="X811" s="38"/>
      <c r="Y811" s="44"/>
      <c r="Z811" s="44"/>
      <c r="AA811" s="45" t="str">
        <f aca="false">IF(AND($Y811="",$Z811=""),"",ROUND(IFERROR(VALUE(LEFT($Y811,1)),0)*12+IFERROR(VALUE(LEFT($Z811,1)),0)*8,0))</f>
        <v/>
      </c>
      <c r="AB811" s="45" t="str">
        <f aca="false">IF($AA811="","",IF($AA811&gt;=80,"A - call first",IF($AA811&gt;=60,"B - worth pursuing",IF($AA811&gt;=40,"C - nurture","D - do not spend time here"))))</f>
        <v/>
      </c>
      <c r="AC811" s="46" t="str">
        <f aca="false">IF($C811="","",IF($S811="Converted","7 Certification / Enterprise opportunity",IF($S811="Application Started","7 Certification / Enterprise opportunity",IF($S811="Meeting Booked","6 Meeting / Application",IF(OR($S811="Interested",$S811="Info Requested"),"5 Interested",IF(OR($S811="Declined",$S811="Not Relevant"),"0 Closed - no",IF($R811="Yes","4 Contacted",IF($N811="Yes","2 Engaged",IF($M811="Yes","1 Awareness",IF($AA811&gt;=60,"3 Qualified","1 Awareness"))))))))))</f>
        <v/>
      </c>
    </row>
    <row r="812" customFormat="false" ht="30" hidden="false" customHeight="true" outlineLevel="0" collapsed="false">
      <c r="A812" s="36"/>
      <c r="B812" s="37"/>
      <c r="C812" s="37"/>
      <c r="D812" s="37"/>
      <c r="E812" s="37"/>
      <c r="F812" s="37"/>
      <c r="G812" s="37"/>
      <c r="H812" s="37"/>
      <c r="I812" s="37"/>
      <c r="J812" s="47"/>
      <c r="K812" s="41" t="str">
        <f aca="false">IF(J812="","",IF(J812&gt;=8,"Yes","Check"))</f>
        <v/>
      </c>
      <c r="L812" s="38"/>
      <c r="M812" s="47"/>
      <c r="N812" s="47"/>
      <c r="O812" s="37"/>
      <c r="P812" s="38"/>
      <c r="Q812" s="42" t="str">
        <f aca="false">IF(P812="","",LEN(P812))</f>
        <v/>
      </c>
      <c r="R812" s="47"/>
      <c r="S812" s="37"/>
      <c r="T812" s="38"/>
      <c r="U812" s="43" t="str">
        <f aca="false">IF(OR(R812&lt;&gt;"Yes",A812=""),"",A812+4)</f>
        <v/>
      </c>
      <c r="V812" s="47"/>
      <c r="W812" s="38"/>
      <c r="X812" s="38"/>
      <c r="Y812" s="44"/>
      <c r="Z812" s="44"/>
      <c r="AA812" s="45" t="str">
        <f aca="false">IF(AND($Y812="",$Z812=""),"",ROUND(IFERROR(VALUE(LEFT($Y812,1)),0)*12+IFERROR(VALUE(LEFT($Z812,1)),0)*8,0))</f>
        <v/>
      </c>
      <c r="AB812" s="45" t="str">
        <f aca="false">IF($AA812="","",IF($AA812&gt;=80,"A - call first",IF($AA812&gt;=60,"B - worth pursuing",IF($AA812&gt;=40,"C - nurture","D - do not spend time here"))))</f>
        <v/>
      </c>
      <c r="AC812" s="46" t="str">
        <f aca="false">IF($C812="","",IF($S812="Converted","7 Certification / Enterprise opportunity",IF($S812="Application Started","7 Certification / Enterprise opportunity",IF($S812="Meeting Booked","6 Meeting / Application",IF(OR($S812="Interested",$S812="Info Requested"),"5 Interested",IF(OR($S812="Declined",$S812="Not Relevant"),"0 Closed - no",IF($R812="Yes","4 Contacted",IF($N812="Yes","2 Engaged",IF($M812="Yes","1 Awareness",IF($AA812&gt;=60,"3 Qualified","1 Awareness"))))))))))</f>
        <v/>
      </c>
    </row>
    <row r="813" customFormat="false" ht="30" hidden="false" customHeight="true" outlineLevel="0" collapsed="false">
      <c r="A813" s="36"/>
      <c r="B813" s="37"/>
      <c r="C813" s="37"/>
      <c r="D813" s="37"/>
      <c r="E813" s="37"/>
      <c r="F813" s="37"/>
      <c r="G813" s="37"/>
      <c r="H813" s="37"/>
      <c r="I813" s="37"/>
      <c r="J813" s="47"/>
      <c r="K813" s="41" t="str">
        <f aca="false">IF(J813="","",IF(J813&gt;=8,"Yes","Check"))</f>
        <v/>
      </c>
      <c r="L813" s="38"/>
      <c r="M813" s="47"/>
      <c r="N813" s="47"/>
      <c r="O813" s="37"/>
      <c r="P813" s="38"/>
      <c r="Q813" s="42" t="str">
        <f aca="false">IF(P813="","",LEN(P813))</f>
        <v/>
      </c>
      <c r="R813" s="47"/>
      <c r="S813" s="37"/>
      <c r="T813" s="38"/>
      <c r="U813" s="43" t="str">
        <f aca="false">IF(OR(R813&lt;&gt;"Yes",A813=""),"",A813+4)</f>
        <v/>
      </c>
      <c r="V813" s="47"/>
      <c r="W813" s="38"/>
      <c r="X813" s="38"/>
      <c r="Y813" s="44"/>
      <c r="Z813" s="44"/>
      <c r="AA813" s="45" t="str">
        <f aca="false">IF(AND($Y813="",$Z813=""),"",ROUND(IFERROR(VALUE(LEFT($Y813,1)),0)*12+IFERROR(VALUE(LEFT($Z813,1)),0)*8,0))</f>
        <v/>
      </c>
      <c r="AB813" s="45" t="str">
        <f aca="false">IF($AA813="","",IF($AA813&gt;=80,"A - call first",IF($AA813&gt;=60,"B - worth pursuing",IF($AA813&gt;=40,"C - nurture","D - do not spend time here"))))</f>
        <v/>
      </c>
      <c r="AC813" s="46" t="str">
        <f aca="false">IF($C813="","",IF($S813="Converted","7 Certification / Enterprise opportunity",IF($S813="Application Started","7 Certification / Enterprise opportunity",IF($S813="Meeting Booked","6 Meeting / Application",IF(OR($S813="Interested",$S813="Info Requested"),"5 Interested",IF(OR($S813="Declined",$S813="Not Relevant"),"0 Closed - no",IF($R813="Yes","4 Contacted",IF($N813="Yes","2 Engaged",IF($M813="Yes","1 Awareness",IF($AA813&gt;=60,"3 Qualified","1 Awareness"))))))))))</f>
        <v/>
      </c>
    </row>
    <row r="814" customFormat="false" ht="30" hidden="false" customHeight="true" outlineLevel="0" collapsed="false">
      <c r="A814" s="36"/>
      <c r="B814" s="37"/>
      <c r="C814" s="37"/>
      <c r="D814" s="37"/>
      <c r="E814" s="37"/>
      <c r="F814" s="37"/>
      <c r="G814" s="37"/>
      <c r="H814" s="37"/>
      <c r="I814" s="37"/>
      <c r="J814" s="47"/>
      <c r="K814" s="41" t="str">
        <f aca="false">IF(J814="","",IF(J814&gt;=8,"Yes","Check"))</f>
        <v/>
      </c>
      <c r="L814" s="38"/>
      <c r="M814" s="47"/>
      <c r="N814" s="47"/>
      <c r="O814" s="37"/>
      <c r="P814" s="38"/>
      <c r="Q814" s="42" t="str">
        <f aca="false">IF(P814="","",LEN(P814))</f>
        <v/>
      </c>
      <c r="R814" s="47"/>
      <c r="S814" s="37"/>
      <c r="T814" s="38"/>
      <c r="U814" s="43" t="str">
        <f aca="false">IF(OR(R814&lt;&gt;"Yes",A814=""),"",A814+4)</f>
        <v/>
      </c>
      <c r="V814" s="47"/>
      <c r="W814" s="38"/>
      <c r="X814" s="38"/>
      <c r="Y814" s="44"/>
      <c r="Z814" s="44"/>
      <c r="AA814" s="45" t="str">
        <f aca="false">IF(AND($Y814="",$Z814=""),"",ROUND(IFERROR(VALUE(LEFT($Y814,1)),0)*12+IFERROR(VALUE(LEFT($Z814,1)),0)*8,0))</f>
        <v/>
      </c>
      <c r="AB814" s="45" t="str">
        <f aca="false">IF($AA814="","",IF($AA814&gt;=80,"A - call first",IF($AA814&gt;=60,"B - worth pursuing",IF($AA814&gt;=40,"C - nurture","D - do not spend time here"))))</f>
        <v/>
      </c>
      <c r="AC814" s="46" t="str">
        <f aca="false">IF($C814="","",IF($S814="Converted","7 Certification / Enterprise opportunity",IF($S814="Application Started","7 Certification / Enterprise opportunity",IF($S814="Meeting Booked","6 Meeting / Application",IF(OR($S814="Interested",$S814="Info Requested"),"5 Interested",IF(OR($S814="Declined",$S814="Not Relevant"),"0 Closed - no",IF($R814="Yes","4 Contacted",IF($N814="Yes","2 Engaged",IF($M814="Yes","1 Awareness",IF($AA814&gt;=60,"3 Qualified","1 Awareness"))))))))))</f>
        <v/>
      </c>
    </row>
    <row r="815" customFormat="false" ht="30" hidden="false" customHeight="true" outlineLevel="0" collapsed="false">
      <c r="A815" s="36"/>
      <c r="B815" s="37"/>
      <c r="C815" s="37"/>
      <c r="D815" s="37"/>
      <c r="E815" s="37"/>
      <c r="F815" s="37"/>
      <c r="G815" s="37"/>
      <c r="H815" s="37"/>
      <c r="I815" s="37"/>
      <c r="J815" s="47"/>
      <c r="K815" s="41" t="str">
        <f aca="false">IF(J815="","",IF(J815&gt;=8,"Yes","Check"))</f>
        <v/>
      </c>
      <c r="L815" s="38"/>
      <c r="M815" s="47"/>
      <c r="N815" s="47"/>
      <c r="O815" s="37"/>
      <c r="P815" s="38"/>
      <c r="Q815" s="42" t="str">
        <f aca="false">IF(P815="","",LEN(P815))</f>
        <v/>
      </c>
      <c r="R815" s="47"/>
      <c r="S815" s="37"/>
      <c r="T815" s="38"/>
      <c r="U815" s="43" t="str">
        <f aca="false">IF(OR(R815&lt;&gt;"Yes",A815=""),"",A815+4)</f>
        <v/>
      </c>
      <c r="V815" s="47"/>
      <c r="W815" s="38"/>
      <c r="X815" s="38"/>
      <c r="Y815" s="44"/>
      <c r="Z815" s="44"/>
      <c r="AA815" s="45" t="str">
        <f aca="false">IF(AND($Y815="",$Z815=""),"",ROUND(IFERROR(VALUE(LEFT($Y815,1)),0)*12+IFERROR(VALUE(LEFT($Z815,1)),0)*8,0))</f>
        <v/>
      </c>
      <c r="AB815" s="45" t="str">
        <f aca="false">IF($AA815="","",IF($AA815&gt;=80,"A - call first",IF($AA815&gt;=60,"B - worth pursuing",IF($AA815&gt;=40,"C - nurture","D - do not spend time here"))))</f>
        <v/>
      </c>
      <c r="AC815" s="46" t="str">
        <f aca="false">IF($C815="","",IF($S815="Converted","7 Certification / Enterprise opportunity",IF($S815="Application Started","7 Certification / Enterprise opportunity",IF($S815="Meeting Booked","6 Meeting / Application",IF(OR($S815="Interested",$S815="Info Requested"),"5 Interested",IF(OR($S815="Declined",$S815="Not Relevant"),"0 Closed - no",IF($R815="Yes","4 Contacted",IF($N815="Yes","2 Engaged",IF($M815="Yes","1 Awareness",IF($AA815&gt;=60,"3 Qualified","1 Awareness"))))))))))</f>
        <v/>
      </c>
    </row>
    <row r="816" customFormat="false" ht="30" hidden="false" customHeight="true" outlineLevel="0" collapsed="false">
      <c r="A816" s="36"/>
      <c r="B816" s="37"/>
      <c r="C816" s="37"/>
      <c r="D816" s="37"/>
      <c r="E816" s="37"/>
      <c r="F816" s="37"/>
      <c r="G816" s="37"/>
      <c r="H816" s="37"/>
      <c r="I816" s="37"/>
      <c r="J816" s="47"/>
      <c r="K816" s="41" t="str">
        <f aca="false">IF(J816="","",IF(J816&gt;=8,"Yes","Check"))</f>
        <v/>
      </c>
      <c r="L816" s="38"/>
      <c r="M816" s="47"/>
      <c r="N816" s="47"/>
      <c r="O816" s="37"/>
      <c r="P816" s="38"/>
      <c r="Q816" s="42" t="str">
        <f aca="false">IF(P816="","",LEN(P816))</f>
        <v/>
      </c>
      <c r="R816" s="47"/>
      <c r="S816" s="37"/>
      <c r="T816" s="38"/>
      <c r="U816" s="43" t="str">
        <f aca="false">IF(OR(R816&lt;&gt;"Yes",A816=""),"",A816+4)</f>
        <v/>
      </c>
      <c r="V816" s="47"/>
      <c r="W816" s="38"/>
      <c r="X816" s="38"/>
      <c r="Y816" s="44"/>
      <c r="Z816" s="44"/>
      <c r="AA816" s="45" t="str">
        <f aca="false">IF(AND($Y816="",$Z816=""),"",ROUND(IFERROR(VALUE(LEFT($Y816,1)),0)*12+IFERROR(VALUE(LEFT($Z816,1)),0)*8,0))</f>
        <v/>
      </c>
      <c r="AB816" s="45" t="str">
        <f aca="false">IF($AA816="","",IF($AA816&gt;=80,"A - call first",IF($AA816&gt;=60,"B - worth pursuing",IF($AA816&gt;=40,"C - nurture","D - do not spend time here"))))</f>
        <v/>
      </c>
      <c r="AC816" s="46" t="str">
        <f aca="false">IF($C816="","",IF($S816="Converted","7 Certification / Enterprise opportunity",IF($S816="Application Started","7 Certification / Enterprise opportunity",IF($S816="Meeting Booked","6 Meeting / Application",IF(OR($S816="Interested",$S816="Info Requested"),"5 Interested",IF(OR($S816="Declined",$S816="Not Relevant"),"0 Closed - no",IF($R816="Yes","4 Contacted",IF($N816="Yes","2 Engaged",IF($M816="Yes","1 Awareness",IF($AA816&gt;=60,"3 Qualified","1 Awareness"))))))))))</f>
        <v/>
      </c>
    </row>
    <row r="817" customFormat="false" ht="30" hidden="false" customHeight="true" outlineLevel="0" collapsed="false">
      <c r="A817" s="36"/>
      <c r="B817" s="37"/>
      <c r="C817" s="37"/>
      <c r="D817" s="37"/>
      <c r="E817" s="37"/>
      <c r="F817" s="37"/>
      <c r="G817" s="37"/>
      <c r="H817" s="37"/>
      <c r="I817" s="37"/>
      <c r="J817" s="47"/>
      <c r="K817" s="41" t="str">
        <f aca="false">IF(J817="","",IF(J817&gt;=8,"Yes","Check"))</f>
        <v/>
      </c>
      <c r="L817" s="38"/>
      <c r="M817" s="47"/>
      <c r="N817" s="47"/>
      <c r="O817" s="37"/>
      <c r="P817" s="38"/>
      <c r="Q817" s="42" t="str">
        <f aca="false">IF(P817="","",LEN(P817))</f>
        <v/>
      </c>
      <c r="R817" s="47"/>
      <c r="S817" s="37"/>
      <c r="T817" s="38"/>
      <c r="U817" s="43" t="str">
        <f aca="false">IF(OR(R817&lt;&gt;"Yes",A817=""),"",A817+4)</f>
        <v/>
      </c>
      <c r="V817" s="47"/>
      <c r="W817" s="38"/>
      <c r="X817" s="38"/>
      <c r="Y817" s="44"/>
      <c r="Z817" s="44"/>
      <c r="AA817" s="45" t="str">
        <f aca="false">IF(AND($Y817="",$Z817=""),"",ROUND(IFERROR(VALUE(LEFT($Y817,1)),0)*12+IFERROR(VALUE(LEFT($Z817,1)),0)*8,0))</f>
        <v/>
      </c>
      <c r="AB817" s="45" t="str">
        <f aca="false">IF($AA817="","",IF($AA817&gt;=80,"A - call first",IF($AA817&gt;=60,"B - worth pursuing",IF($AA817&gt;=40,"C - nurture","D - do not spend time here"))))</f>
        <v/>
      </c>
      <c r="AC817" s="46" t="str">
        <f aca="false">IF($C817="","",IF($S817="Converted","7 Certification / Enterprise opportunity",IF($S817="Application Started","7 Certification / Enterprise opportunity",IF($S817="Meeting Booked","6 Meeting / Application",IF(OR($S817="Interested",$S817="Info Requested"),"5 Interested",IF(OR($S817="Declined",$S817="Not Relevant"),"0 Closed - no",IF($R817="Yes","4 Contacted",IF($N817="Yes","2 Engaged",IF($M817="Yes","1 Awareness",IF($AA817&gt;=60,"3 Qualified","1 Awareness"))))))))))</f>
        <v/>
      </c>
    </row>
    <row r="818" customFormat="false" ht="30" hidden="false" customHeight="true" outlineLevel="0" collapsed="false">
      <c r="A818" s="36"/>
      <c r="B818" s="37"/>
      <c r="C818" s="37"/>
      <c r="D818" s="37"/>
      <c r="E818" s="37"/>
      <c r="F818" s="37"/>
      <c r="G818" s="37"/>
      <c r="H818" s="37"/>
      <c r="I818" s="37"/>
      <c r="J818" s="47"/>
      <c r="K818" s="41" t="str">
        <f aca="false">IF(J818="","",IF(J818&gt;=8,"Yes","Check"))</f>
        <v/>
      </c>
      <c r="L818" s="38"/>
      <c r="M818" s="47"/>
      <c r="N818" s="47"/>
      <c r="O818" s="37"/>
      <c r="P818" s="38"/>
      <c r="Q818" s="42" t="str">
        <f aca="false">IF(P818="","",LEN(P818))</f>
        <v/>
      </c>
      <c r="R818" s="47"/>
      <c r="S818" s="37"/>
      <c r="T818" s="38"/>
      <c r="U818" s="43" t="str">
        <f aca="false">IF(OR(R818&lt;&gt;"Yes",A818=""),"",A818+4)</f>
        <v/>
      </c>
      <c r="V818" s="47"/>
      <c r="W818" s="38"/>
      <c r="X818" s="38"/>
      <c r="Y818" s="44"/>
      <c r="Z818" s="44"/>
      <c r="AA818" s="45" t="str">
        <f aca="false">IF(AND($Y818="",$Z818=""),"",ROUND(IFERROR(VALUE(LEFT($Y818,1)),0)*12+IFERROR(VALUE(LEFT($Z818,1)),0)*8,0))</f>
        <v/>
      </c>
      <c r="AB818" s="45" t="str">
        <f aca="false">IF($AA818="","",IF($AA818&gt;=80,"A - call first",IF($AA818&gt;=60,"B - worth pursuing",IF($AA818&gt;=40,"C - nurture","D - do not spend time here"))))</f>
        <v/>
      </c>
      <c r="AC818" s="46" t="str">
        <f aca="false">IF($C818="","",IF($S818="Converted","7 Certification / Enterprise opportunity",IF($S818="Application Started","7 Certification / Enterprise opportunity",IF($S818="Meeting Booked","6 Meeting / Application",IF(OR($S818="Interested",$S818="Info Requested"),"5 Interested",IF(OR($S818="Declined",$S818="Not Relevant"),"0 Closed - no",IF($R818="Yes","4 Contacted",IF($N818="Yes","2 Engaged",IF($M818="Yes","1 Awareness",IF($AA818&gt;=60,"3 Qualified","1 Awareness"))))))))))</f>
        <v/>
      </c>
    </row>
    <row r="819" customFormat="false" ht="30" hidden="false" customHeight="true" outlineLevel="0" collapsed="false">
      <c r="A819" s="36"/>
      <c r="B819" s="37"/>
      <c r="C819" s="37"/>
      <c r="D819" s="37"/>
      <c r="E819" s="37"/>
      <c r="F819" s="37"/>
      <c r="G819" s="37"/>
      <c r="H819" s="37"/>
      <c r="I819" s="37"/>
      <c r="J819" s="47"/>
      <c r="K819" s="41" t="str">
        <f aca="false">IF(J819="","",IF(J819&gt;=8,"Yes","Check"))</f>
        <v/>
      </c>
      <c r="L819" s="38"/>
      <c r="M819" s="47"/>
      <c r="N819" s="47"/>
      <c r="O819" s="37"/>
      <c r="P819" s="38"/>
      <c r="Q819" s="42" t="str">
        <f aca="false">IF(P819="","",LEN(P819))</f>
        <v/>
      </c>
      <c r="R819" s="47"/>
      <c r="S819" s="37"/>
      <c r="T819" s="38"/>
      <c r="U819" s="43" t="str">
        <f aca="false">IF(OR(R819&lt;&gt;"Yes",A819=""),"",A819+4)</f>
        <v/>
      </c>
      <c r="V819" s="47"/>
      <c r="W819" s="38"/>
      <c r="X819" s="38"/>
      <c r="Y819" s="44"/>
      <c r="Z819" s="44"/>
      <c r="AA819" s="45" t="str">
        <f aca="false">IF(AND($Y819="",$Z819=""),"",ROUND(IFERROR(VALUE(LEFT($Y819,1)),0)*12+IFERROR(VALUE(LEFT($Z819,1)),0)*8,0))</f>
        <v/>
      </c>
      <c r="AB819" s="45" t="str">
        <f aca="false">IF($AA819="","",IF($AA819&gt;=80,"A - call first",IF($AA819&gt;=60,"B - worth pursuing",IF($AA819&gt;=40,"C - nurture","D - do not spend time here"))))</f>
        <v/>
      </c>
      <c r="AC819" s="46" t="str">
        <f aca="false">IF($C819="","",IF($S819="Converted","7 Certification / Enterprise opportunity",IF($S819="Application Started","7 Certification / Enterprise opportunity",IF($S819="Meeting Booked","6 Meeting / Application",IF(OR($S819="Interested",$S819="Info Requested"),"5 Interested",IF(OR($S819="Declined",$S819="Not Relevant"),"0 Closed - no",IF($R819="Yes","4 Contacted",IF($N819="Yes","2 Engaged",IF($M819="Yes","1 Awareness",IF($AA819&gt;=60,"3 Qualified","1 Awareness"))))))))))</f>
        <v/>
      </c>
    </row>
    <row r="820" customFormat="false" ht="30" hidden="false" customHeight="true" outlineLevel="0" collapsed="false">
      <c r="A820" s="36"/>
      <c r="B820" s="37"/>
      <c r="C820" s="37"/>
      <c r="D820" s="37"/>
      <c r="E820" s="37"/>
      <c r="F820" s="37"/>
      <c r="G820" s="37"/>
      <c r="H820" s="37"/>
      <c r="I820" s="37"/>
      <c r="J820" s="47"/>
      <c r="K820" s="41" t="str">
        <f aca="false">IF(J820="","",IF(J820&gt;=8,"Yes","Check"))</f>
        <v/>
      </c>
      <c r="L820" s="38"/>
      <c r="M820" s="47"/>
      <c r="N820" s="47"/>
      <c r="O820" s="37"/>
      <c r="P820" s="38"/>
      <c r="Q820" s="42" t="str">
        <f aca="false">IF(P820="","",LEN(P820))</f>
        <v/>
      </c>
      <c r="R820" s="47"/>
      <c r="S820" s="37"/>
      <c r="T820" s="38"/>
      <c r="U820" s="43" t="str">
        <f aca="false">IF(OR(R820&lt;&gt;"Yes",A820=""),"",A820+4)</f>
        <v/>
      </c>
      <c r="V820" s="47"/>
      <c r="W820" s="38"/>
      <c r="X820" s="38"/>
      <c r="Y820" s="44"/>
      <c r="Z820" s="44"/>
      <c r="AA820" s="45" t="str">
        <f aca="false">IF(AND($Y820="",$Z820=""),"",ROUND(IFERROR(VALUE(LEFT($Y820,1)),0)*12+IFERROR(VALUE(LEFT($Z820,1)),0)*8,0))</f>
        <v/>
      </c>
      <c r="AB820" s="45" t="str">
        <f aca="false">IF($AA820="","",IF($AA820&gt;=80,"A - call first",IF($AA820&gt;=60,"B - worth pursuing",IF($AA820&gt;=40,"C - nurture","D - do not spend time here"))))</f>
        <v/>
      </c>
      <c r="AC820" s="46" t="str">
        <f aca="false">IF($C820="","",IF($S820="Converted","7 Certification / Enterprise opportunity",IF($S820="Application Started","7 Certification / Enterprise opportunity",IF($S820="Meeting Booked","6 Meeting / Application",IF(OR($S820="Interested",$S820="Info Requested"),"5 Interested",IF(OR($S820="Declined",$S820="Not Relevant"),"0 Closed - no",IF($R820="Yes","4 Contacted",IF($N820="Yes","2 Engaged",IF($M820="Yes","1 Awareness",IF($AA820&gt;=60,"3 Qualified","1 Awareness"))))))))))</f>
        <v/>
      </c>
    </row>
    <row r="821" customFormat="false" ht="30" hidden="false" customHeight="true" outlineLevel="0" collapsed="false">
      <c r="A821" s="36"/>
      <c r="B821" s="37"/>
      <c r="C821" s="37"/>
      <c r="D821" s="37"/>
      <c r="E821" s="37"/>
      <c r="F821" s="37"/>
      <c r="G821" s="37"/>
      <c r="H821" s="37"/>
      <c r="I821" s="37"/>
      <c r="J821" s="47"/>
      <c r="K821" s="41" t="str">
        <f aca="false">IF(J821="","",IF(J821&gt;=8,"Yes","Check"))</f>
        <v/>
      </c>
      <c r="L821" s="38"/>
      <c r="M821" s="47"/>
      <c r="N821" s="47"/>
      <c r="O821" s="37"/>
      <c r="P821" s="38"/>
      <c r="Q821" s="42" t="str">
        <f aca="false">IF(P821="","",LEN(P821))</f>
        <v/>
      </c>
      <c r="R821" s="47"/>
      <c r="S821" s="37"/>
      <c r="T821" s="38"/>
      <c r="U821" s="43" t="str">
        <f aca="false">IF(OR(R821&lt;&gt;"Yes",A821=""),"",A821+4)</f>
        <v/>
      </c>
      <c r="V821" s="47"/>
      <c r="W821" s="38"/>
      <c r="X821" s="38"/>
      <c r="Y821" s="44"/>
      <c r="Z821" s="44"/>
      <c r="AA821" s="45" t="str">
        <f aca="false">IF(AND($Y821="",$Z821=""),"",ROUND(IFERROR(VALUE(LEFT($Y821,1)),0)*12+IFERROR(VALUE(LEFT($Z821,1)),0)*8,0))</f>
        <v/>
      </c>
      <c r="AB821" s="45" t="str">
        <f aca="false">IF($AA821="","",IF($AA821&gt;=80,"A - call first",IF($AA821&gt;=60,"B - worth pursuing",IF($AA821&gt;=40,"C - nurture","D - do not spend time here"))))</f>
        <v/>
      </c>
      <c r="AC821" s="46" t="str">
        <f aca="false">IF($C821="","",IF($S821="Converted","7 Certification / Enterprise opportunity",IF($S821="Application Started","7 Certification / Enterprise opportunity",IF($S821="Meeting Booked","6 Meeting / Application",IF(OR($S821="Interested",$S821="Info Requested"),"5 Interested",IF(OR($S821="Declined",$S821="Not Relevant"),"0 Closed - no",IF($R821="Yes","4 Contacted",IF($N821="Yes","2 Engaged",IF($M821="Yes","1 Awareness",IF($AA821&gt;=60,"3 Qualified","1 Awareness"))))))))))</f>
        <v/>
      </c>
    </row>
    <row r="822" customFormat="false" ht="30" hidden="false" customHeight="true" outlineLevel="0" collapsed="false">
      <c r="A822" s="36"/>
      <c r="B822" s="37"/>
      <c r="C822" s="37"/>
      <c r="D822" s="37"/>
      <c r="E822" s="37"/>
      <c r="F822" s="37"/>
      <c r="G822" s="37"/>
      <c r="H822" s="37"/>
      <c r="I822" s="37"/>
      <c r="J822" s="47"/>
      <c r="K822" s="41" t="str">
        <f aca="false">IF(J822="","",IF(J822&gt;=8,"Yes","Check"))</f>
        <v/>
      </c>
      <c r="L822" s="38"/>
      <c r="M822" s="47"/>
      <c r="N822" s="47"/>
      <c r="O822" s="37"/>
      <c r="P822" s="38"/>
      <c r="Q822" s="42" t="str">
        <f aca="false">IF(P822="","",LEN(P822))</f>
        <v/>
      </c>
      <c r="R822" s="47"/>
      <c r="S822" s="37"/>
      <c r="T822" s="38"/>
      <c r="U822" s="43" t="str">
        <f aca="false">IF(OR(R822&lt;&gt;"Yes",A822=""),"",A822+4)</f>
        <v/>
      </c>
      <c r="V822" s="47"/>
      <c r="W822" s="38"/>
      <c r="X822" s="38"/>
      <c r="Y822" s="44"/>
      <c r="Z822" s="44"/>
      <c r="AA822" s="45" t="str">
        <f aca="false">IF(AND($Y822="",$Z822=""),"",ROUND(IFERROR(VALUE(LEFT($Y822,1)),0)*12+IFERROR(VALUE(LEFT($Z822,1)),0)*8,0))</f>
        <v/>
      </c>
      <c r="AB822" s="45" t="str">
        <f aca="false">IF($AA822="","",IF($AA822&gt;=80,"A - call first",IF($AA822&gt;=60,"B - worth pursuing",IF($AA822&gt;=40,"C - nurture","D - do not spend time here"))))</f>
        <v/>
      </c>
      <c r="AC822" s="46" t="str">
        <f aca="false">IF($C822="","",IF($S822="Converted","7 Certification / Enterprise opportunity",IF($S822="Application Started","7 Certification / Enterprise opportunity",IF($S822="Meeting Booked","6 Meeting / Application",IF(OR($S822="Interested",$S822="Info Requested"),"5 Interested",IF(OR($S822="Declined",$S822="Not Relevant"),"0 Closed - no",IF($R822="Yes","4 Contacted",IF($N822="Yes","2 Engaged",IF($M822="Yes","1 Awareness",IF($AA822&gt;=60,"3 Qualified","1 Awareness"))))))))))</f>
        <v/>
      </c>
    </row>
    <row r="823" customFormat="false" ht="30" hidden="false" customHeight="true" outlineLevel="0" collapsed="false">
      <c r="A823" s="36"/>
      <c r="B823" s="37"/>
      <c r="C823" s="37"/>
      <c r="D823" s="37"/>
      <c r="E823" s="37"/>
      <c r="F823" s="37"/>
      <c r="G823" s="37"/>
      <c r="H823" s="37"/>
      <c r="I823" s="37"/>
      <c r="J823" s="47"/>
      <c r="K823" s="41" t="str">
        <f aca="false">IF(J823="","",IF(J823&gt;=8,"Yes","Check"))</f>
        <v/>
      </c>
      <c r="L823" s="38"/>
      <c r="M823" s="47"/>
      <c r="N823" s="47"/>
      <c r="O823" s="37"/>
      <c r="P823" s="38"/>
      <c r="Q823" s="42" t="str">
        <f aca="false">IF(P823="","",LEN(P823))</f>
        <v/>
      </c>
      <c r="R823" s="47"/>
      <c r="S823" s="37"/>
      <c r="T823" s="38"/>
      <c r="U823" s="43" t="str">
        <f aca="false">IF(OR(R823&lt;&gt;"Yes",A823=""),"",A823+4)</f>
        <v/>
      </c>
      <c r="V823" s="47"/>
      <c r="W823" s="38"/>
      <c r="X823" s="38"/>
      <c r="Y823" s="44"/>
      <c r="Z823" s="44"/>
      <c r="AA823" s="45" t="str">
        <f aca="false">IF(AND($Y823="",$Z823=""),"",ROUND(IFERROR(VALUE(LEFT($Y823,1)),0)*12+IFERROR(VALUE(LEFT($Z823,1)),0)*8,0))</f>
        <v/>
      </c>
      <c r="AB823" s="45" t="str">
        <f aca="false">IF($AA823="","",IF($AA823&gt;=80,"A - call first",IF($AA823&gt;=60,"B - worth pursuing",IF($AA823&gt;=40,"C - nurture","D - do not spend time here"))))</f>
        <v/>
      </c>
      <c r="AC823" s="46" t="str">
        <f aca="false">IF($C823="","",IF($S823="Converted","7 Certification / Enterprise opportunity",IF($S823="Application Started","7 Certification / Enterprise opportunity",IF($S823="Meeting Booked","6 Meeting / Application",IF(OR($S823="Interested",$S823="Info Requested"),"5 Interested",IF(OR($S823="Declined",$S823="Not Relevant"),"0 Closed - no",IF($R823="Yes","4 Contacted",IF($N823="Yes","2 Engaged",IF($M823="Yes","1 Awareness",IF($AA823&gt;=60,"3 Qualified","1 Awareness"))))))))))</f>
        <v/>
      </c>
    </row>
    <row r="824" customFormat="false" ht="30" hidden="false" customHeight="true" outlineLevel="0" collapsed="false">
      <c r="A824" s="36"/>
      <c r="B824" s="37"/>
      <c r="C824" s="37"/>
      <c r="D824" s="37"/>
      <c r="E824" s="37"/>
      <c r="F824" s="37"/>
      <c r="G824" s="37"/>
      <c r="H824" s="37"/>
      <c r="I824" s="37"/>
      <c r="J824" s="47"/>
      <c r="K824" s="41" t="str">
        <f aca="false">IF(J824="","",IF(J824&gt;=8,"Yes","Check"))</f>
        <v/>
      </c>
      <c r="L824" s="38"/>
      <c r="M824" s="47"/>
      <c r="N824" s="47"/>
      <c r="O824" s="37"/>
      <c r="P824" s="38"/>
      <c r="Q824" s="42" t="str">
        <f aca="false">IF(P824="","",LEN(P824))</f>
        <v/>
      </c>
      <c r="R824" s="47"/>
      <c r="S824" s="37"/>
      <c r="T824" s="38"/>
      <c r="U824" s="43" t="str">
        <f aca="false">IF(OR(R824&lt;&gt;"Yes",A824=""),"",A824+4)</f>
        <v/>
      </c>
      <c r="V824" s="47"/>
      <c r="W824" s="38"/>
      <c r="X824" s="38"/>
      <c r="Y824" s="44"/>
      <c r="Z824" s="44"/>
      <c r="AA824" s="45" t="str">
        <f aca="false">IF(AND($Y824="",$Z824=""),"",ROUND(IFERROR(VALUE(LEFT($Y824,1)),0)*12+IFERROR(VALUE(LEFT($Z824,1)),0)*8,0))</f>
        <v/>
      </c>
      <c r="AB824" s="45" t="str">
        <f aca="false">IF($AA824="","",IF($AA824&gt;=80,"A - call first",IF($AA824&gt;=60,"B - worth pursuing",IF($AA824&gt;=40,"C - nurture","D - do not spend time here"))))</f>
        <v/>
      </c>
      <c r="AC824" s="46" t="str">
        <f aca="false">IF($C824="","",IF($S824="Converted","7 Certification / Enterprise opportunity",IF($S824="Application Started","7 Certification / Enterprise opportunity",IF($S824="Meeting Booked","6 Meeting / Application",IF(OR($S824="Interested",$S824="Info Requested"),"5 Interested",IF(OR($S824="Declined",$S824="Not Relevant"),"0 Closed - no",IF($R824="Yes","4 Contacted",IF($N824="Yes","2 Engaged",IF($M824="Yes","1 Awareness",IF($AA824&gt;=60,"3 Qualified","1 Awareness"))))))))))</f>
        <v/>
      </c>
    </row>
    <row r="825" customFormat="false" ht="30" hidden="false" customHeight="true" outlineLevel="0" collapsed="false">
      <c r="A825" s="36"/>
      <c r="B825" s="37"/>
      <c r="C825" s="37"/>
      <c r="D825" s="37"/>
      <c r="E825" s="37"/>
      <c r="F825" s="37"/>
      <c r="G825" s="37"/>
      <c r="H825" s="37"/>
      <c r="I825" s="37"/>
      <c r="J825" s="47"/>
      <c r="K825" s="41" t="str">
        <f aca="false">IF(J825="","",IF(J825&gt;=8,"Yes","Check"))</f>
        <v/>
      </c>
      <c r="L825" s="38"/>
      <c r="M825" s="47"/>
      <c r="N825" s="47"/>
      <c r="O825" s="37"/>
      <c r="P825" s="38"/>
      <c r="Q825" s="42" t="str">
        <f aca="false">IF(P825="","",LEN(P825))</f>
        <v/>
      </c>
      <c r="R825" s="47"/>
      <c r="S825" s="37"/>
      <c r="T825" s="38"/>
      <c r="U825" s="43" t="str">
        <f aca="false">IF(OR(R825&lt;&gt;"Yes",A825=""),"",A825+4)</f>
        <v/>
      </c>
      <c r="V825" s="47"/>
      <c r="W825" s="38"/>
      <c r="X825" s="38"/>
      <c r="Y825" s="44"/>
      <c r="Z825" s="44"/>
      <c r="AA825" s="45" t="str">
        <f aca="false">IF(AND($Y825="",$Z825=""),"",ROUND(IFERROR(VALUE(LEFT($Y825,1)),0)*12+IFERROR(VALUE(LEFT($Z825,1)),0)*8,0))</f>
        <v/>
      </c>
      <c r="AB825" s="45" t="str">
        <f aca="false">IF($AA825="","",IF($AA825&gt;=80,"A - call first",IF($AA825&gt;=60,"B - worth pursuing",IF($AA825&gt;=40,"C - nurture","D - do not spend time here"))))</f>
        <v/>
      </c>
      <c r="AC825" s="46" t="str">
        <f aca="false">IF($C825="","",IF($S825="Converted","7 Certification / Enterprise opportunity",IF($S825="Application Started","7 Certification / Enterprise opportunity",IF($S825="Meeting Booked","6 Meeting / Application",IF(OR($S825="Interested",$S825="Info Requested"),"5 Interested",IF(OR($S825="Declined",$S825="Not Relevant"),"0 Closed - no",IF($R825="Yes","4 Contacted",IF($N825="Yes","2 Engaged",IF($M825="Yes","1 Awareness",IF($AA825&gt;=60,"3 Qualified","1 Awareness"))))))))))</f>
        <v/>
      </c>
    </row>
    <row r="826" customFormat="false" ht="30" hidden="false" customHeight="true" outlineLevel="0" collapsed="false">
      <c r="A826" s="36"/>
      <c r="B826" s="37"/>
      <c r="C826" s="37"/>
      <c r="D826" s="37"/>
      <c r="E826" s="37"/>
      <c r="F826" s="37"/>
      <c r="G826" s="37"/>
      <c r="H826" s="37"/>
      <c r="I826" s="37"/>
      <c r="J826" s="47"/>
      <c r="K826" s="41" t="str">
        <f aca="false">IF(J826="","",IF(J826&gt;=8,"Yes","Check"))</f>
        <v/>
      </c>
      <c r="L826" s="38"/>
      <c r="M826" s="47"/>
      <c r="N826" s="47"/>
      <c r="O826" s="37"/>
      <c r="P826" s="38"/>
      <c r="Q826" s="42" t="str">
        <f aca="false">IF(P826="","",LEN(P826))</f>
        <v/>
      </c>
      <c r="R826" s="47"/>
      <c r="S826" s="37"/>
      <c r="T826" s="38"/>
      <c r="U826" s="43" t="str">
        <f aca="false">IF(OR(R826&lt;&gt;"Yes",A826=""),"",A826+4)</f>
        <v/>
      </c>
      <c r="V826" s="47"/>
      <c r="W826" s="38"/>
      <c r="X826" s="38"/>
      <c r="Y826" s="44"/>
      <c r="Z826" s="44"/>
      <c r="AA826" s="45" t="str">
        <f aca="false">IF(AND($Y826="",$Z826=""),"",ROUND(IFERROR(VALUE(LEFT($Y826,1)),0)*12+IFERROR(VALUE(LEFT($Z826,1)),0)*8,0))</f>
        <v/>
      </c>
      <c r="AB826" s="45" t="str">
        <f aca="false">IF($AA826="","",IF($AA826&gt;=80,"A - call first",IF($AA826&gt;=60,"B - worth pursuing",IF($AA826&gt;=40,"C - nurture","D - do not spend time here"))))</f>
        <v/>
      </c>
      <c r="AC826" s="46" t="str">
        <f aca="false">IF($C826="","",IF($S826="Converted","7 Certification / Enterprise opportunity",IF($S826="Application Started","7 Certification / Enterprise opportunity",IF($S826="Meeting Booked","6 Meeting / Application",IF(OR($S826="Interested",$S826="Info Requested"),"5 Interested",IF(OR($S826="Declined",$S826="Not Relevant"),"0 Closed - no",IF($R826="Yes","4 Contacted",IF($N826="Yes","2 Engaged",IF($M826="Yes","1 Awareness",IF($AA826&gt;=60,"3 Qualified","1 Awareness"))))))))))</f>
        <v/>
      </c>
    </row>
    <row r="827" customFormat="false" ht="30" hidden="false" customHeight="true" outlineLevel="0" collapsed="false">
      <c r="A827" s="36"/>
      <c r="B827" s="37"/>
      <c r="C827" s="37"/>
      <c r="D827" s="37"/>
      <c r="E827" s="37"/>
      <c r="F827" s="37"/>
      <c r="G827" s="37"/>
      <c r="H827" s="37"/>
      <c r="I827" s="37"/>
      <c r="J827" s="47"/>
      <c r="K827" s="41" t="str">
        <f aca="false">IF(J827="","",IF(J827&gt;=8,"Yes","Check"))</f>
        <v/>
      </c>
      <c r="L827" s="38"/>
      <c r="M827" s="47"/>
      <c r="N827" s="47"/>
      <c r="O827" s="37"/>
      <c r="P827" s="38"/>
      <c r="Q827" s="42" t="str">
        <f aca="false">IF(P827="","",LEN(P827))</f>
        <v/>
      </c>
      <c r="R827" s="47"/>
      <c r="S827" s="37"/>
      <c r="T827" s="38"/>
      <c r="U827" s="43" t="str">
        <f aca="false">IF(OR(R827&lt;&gt;"Yes",A827=""),"",A827+4)</f>
        <v/>
      </c>
      <c r="V827" s="47"/>
      <c r="W827" s="38"/>
      <c r="X827" s="38"/>
      <c r="Y827" s="44"/>
      <c r="Z827" s="44"/>
      <c r="AA827" s="45" t="str">
        <f aca="false">IF(AND($Y827="",$Z827=""),"",ROUND(IFERROR(VALUE(LEFT($Y827,1)),0)*12+IFERROR(VALUE(LEFT($Z827,1)),0)*8,0))</f>
        <v/>
      </c>
      <c r="AB827" s="45" t="str">
        <f aca="false">IF($AA827="","",IF($AA827&gt;=80,"A - call first",IF($AA827&gt;=60,"B - worth pursuing",IF($AA827&gt;=40,"C - nurture","D - do not spend time here"))))</f>
        <v/>
      </c>
      <c r="AC827" s="46" t="str">
        <f aca="false">IF($C827="","",IF($S827="Converted","7 Certification / Enterprise opportunity",IF($S827="Application Started","7 Certification / Enterprise opportunity",IF($S827="Meeting Booked","6 Meeting / Application",IF(OR($S827="Interested",$S827="Info Requested"),"5 Interested",IF(OR($S827="Declined",$S827="Not Relevant"),"0 Closed - no",IF($R827="Yes","4 Contacted",IF($N827="Yes","2 Engaged",IF($M827="Yes","1 Awareness",IF($AA827&gt;=60,"3 Qualified","1 Awareness"))))))))))</f>
        <v/>
      </c>
    </row>
    <row r="828" customFormat="false" ht="30" hidden="false" customHeight="true" outlineLevel="0" collapsed="false">
      <c r="A828" s="36"/>
      <c r="B828" s="37"/>
      <c r="C828" s="37"/>
      <c r="D828" s="37"/>
      <c r="E828" s="37"/>
      <c r="F828" s="37"/>
      <c r="G828" s="37"/>
      <c r="H828" s="37"/>
      <c r="I828" s="37"/>
      <c r="J828" s="47"/>
      <c r="K828" s="41" t="str">
        <f aca="false">IF(J828="","",IF(J828&gt;=8,"Yes","Check"))</f>
        <v/>
      </c>
      <c r="L828" s="38"/>
      <c r="M828" s="47"/>
      <c r="N828" s="47"/>
      <c r="O828" s="37"/>
      <c r="P828" s="38"/>
      <c r="Q828" s="42" t="str">
        <f aca="false">IF(P828="","",LEN(P828))</f>
        <v/>
      </c>
      <c r="R828" s="47"/>
      <c r="S828" s="37"/>
      <c r="T828" s="38"/>
      <c r="U828" s="43" t="str">
        <f aca="false">IF(OR(R828&lt;&gt;"Yes",A828=""),"",A828+4)</f>
        <v/>
      </c>
      <c r="V828" s="47"/>
      <c r="W828" s="38"/>
      <c r="X828" s="38"/>
      <c r="Y828" s="44"/>
      <c r="Z828" s="44"/>
      <c r="AA828" s="45" t="str">
        <f aca="false">IF(AND($Y828="",$Z828=""),"",ROUND(IFERROR(VALUE(LEFT($Y828,1)),0)*12+IFERROR(VALUE(LEFT($Z828,1)),0)*8,0))</f>
        <v/>
      </c>
      <c r="AB828" s="45" t="str">
        <f aca="false">IF($AA828="","",IF($AA828&gt;=80,"A - call first",IF($AA828&gt;=60,"B - worth pursuing",IF($AA828&gt;=40,"C - nurture","D - do not spend time here"))))</f>
        <v/>
      </c>
      <c r="AC828" s="46" t="str">
        <f aca="false">IF($C828="","",IF($S828="Converted","7 Certification / Enterprise opportunity",IF($S828="Application Started","7 Certification / Enterprise opportunity",IF($S828="Meeting Booked","6 Meeting / Application",IF(OR($S828="Interested",$S828="Info Requested"),"5 Interested",IF(OR($S828="Declined",$S828="Not Relevant"),"0 Closed - no",IF($R828="Yes","4 Contacted",IF($N828="Yes","2 Engaged",IF($M828="Yes","1 Awareness",IF($AA828&gt;=60,"3 Qualified","1 Awareness"))))))))))</f>
        <v/>
      </c>
    </row>
    <row r="829" customFormat="false" ht="30" hidden="false" customHeight="true" outlineLevel="0" collapsed="false">
      <c r="A829" s="36"/>
      <c r="B829" s="37"/>
      <c r="C829" s="37"/>
      <c r="D829" s="37"/>
      <c r="E829" s="37"/>
      <c r="F829" s="37"/>
      <c r="G829" s="37"/>
      <c r="H829" s="37"/>
      <c r="I829" s="37"/>
      <c r="J829" s="47"/>
      <c r="K829" s="41" t="str">
        <f aca="false">IF(J829="","",IF(J829&gt;=8,"Yes","Check"))</f>
        <v/>
      </c>
      <c r="L829" s="38"/>
      <c r="M829" s="47"/>
      <c r="N829" s="47"/>
      <c r="O829" s="37"/>
      <c r="P829" s="38"/>
      <c r="Q829" s="42" t="str">
        <f aca="false">IF(P829="","",LEN(P829))</f>
        <v/>
      </c>
      <c r="R829" s="47"/>
      <c r="S829" s="37"/>
      <c r="T829" s="38"/>
      <c r="U829" s="43" t="str">
        <f aca="false">IF(OR(R829&lt;&gt;"Yes",A829=""),"",A829+4)</f>
        <v/>
      </c>
      <c r="V829" s="47"/>
      <c r="W829" s="38"/>
      <c r="X829" s="38"/>
      <c r="Y829" s="44"/>
      <c r="Z829" s="44"/>
      <c r="AA829" s="45" t="str">
        <f aca="false">IF(AND($Y829="",$Z829=""),"",ROUND(IFERROR(VALUE(LEFT($Y829,1)),0)*12+IFERROR(VALUE(LEFT($Z829,1)),0)*8,0))</f>
        <v/>
      </c>
      <c r="AB829" s="45" t="str">
        <f aca="false">IF($AA829="","",IF($AA829&gt;=80,"A - call first",IF($AA829&gt;=60,"B - worth pursuing",IF($AA829&gt;=40,"C - nurture","D - do not spend time here"))))</f>
        <v/>
      </c>
      <c r="AC829" s="46" t="str">
        <f aca="false">IF($C829="","",IF($S829="Converted","7 Certification / Enterprise opportunity",IF($S829="Application Started","7 Certification / Enterprise opportunity",IF($S829="Meeting Booked","6 Meeting / Application",IF(OR($S829="Interested",$S829="Info Requested"),"5 Interested",IF(OR($S829="Declined",$S829="Not Relevant"),"0 Closed - no",IF($R829="Yes","4 Contacted",IF($N829="Yes","2 Engaged",IF($M829="Yes","1 Awareness",IF($AA829&gt;=60,"3 Qualified","1 Awareness"))))))))))</f>
        <v/>
      </c>
    </row>
    <row r="830" customFormat="false" ht="30" hidden="false" customHeight="true" outlineLevel="0" collapsed="false">
      <c r="A830" s="36"/>
      <c r="B830" s="37"/>
      <c r="C830" s="37"/>
      <c r="D830" s="37"/>
      <c r="E830" s="37"/>
      <c r="F830" s="37"/>
      <c r="G830" s="37"/>
      <c r="H830" s="37"/>
      <c r="I830" s="37"/>
      <c r="J830" s="47"/>
      <c r="K830" s="41" t="str">
        <f aca="false">IF(J830="","",IF(J830&gt;=8,"Yes","Check"))</f>
        <v/>
      </c>
      <c r="L830" s="38"/>
      <c r="M830" s="47"/>
      <c r="N830" s="47"/>
      <c r="O830" s="37"/>
      <c r="P830" s="38"/>
      <c r="Q830" s="42" t="str">
        <f aca="false">IF(P830="","",LEN(P830))</f>
        <v/>
      </c>
      <c r="R830" s="47"/>
      <c r="S830" s="37"/>
      <c r="T830" s="38"/>
      <c r="U830" s="43" t="str">
        <f aca="false">IF(OR(R830&lt;&gt;"Yes",A830=""),"",A830+4)</f>
        <v/>
      </c>
      <c r="V830" s="47"/>
      <c r="W830" s="38"/>
      <c r="X830" s="38"/>
      <c r="Y830" s="44"/>
      <c r="Z830" s="44"/>
      <c r="AA830" s="45" t="str">
        <f aca="false">IF(AND($Y830="",$Z830=""),"",ROUND(IFERROR(VALUE(LEFT($Y830,1)),0)*12+IFERROR(VALUE(LEFT($Z830,1)),0)*8,0))</f>
        <v/>
      </c>
      <c r="AB830" s="45" t="str">
        <f aca="false">IF($AA830="","",IF($AA830&gt;=80,"A - call first",IF($AA830&gt;=60,"B - worth pursuing",IF($AA830&gt;=40,"C - nurture","D - do not spend time here"))))</f>
        <v/>
      </c>
      <c r="AC830" s="46" t="str">
        <f aca="false">IF($C830="","",IF($S830="Converted","7 Certification / Enterprise opportunity",IF($S830="Application Started","7 Certification / Enterprise opportunity",IF($S830="Meeting Booked","6 Meeting / Application",IF(OR($S830="Interested",$S830="Info Requested"),"5 Interested",IF(OR($S830="Declined",$S830="Not Relevant"),"0 Closed - no",IF($R830="Yes","4 Contacted",IF($N830="Yes","2 Engaged",IF($M830="Yes","1 Awareness",IF($AA830&gt;=60,"3 Qualified","1 Awareness"))))))))))</f>
        <v/>
      </c>
    </row>
    <row r="831" customFormat="false" ht="30" hidden="false" customHeight="true" outlineLevel="0" collapsed="false">
      <c r="A831" s="36"/>
      <c r="B831" s="37"/>
      <c r="C831" s="37"/>
      <c r="D831" s="37"/>
      <c r="E831" s="37"/>
      <c r="F831" s="37"/>
      <c r="G831" s="37"/>
      <c r="H831" s="37"/>
      <c r="I831" s="37"/>
      <c r="J831" s="47"/>
      <c r="K831" s="41" t="str">
        <f aca="false">IF(J831="","",IF(J831&gt;=8,"Yes","Check"))</f>
        <v/>
      </c>
      <c r="L831" s="38"/>
      <c r="M831" s="47"/>
      <c r="N831" s="47"/>
      <c r="O831" s="37"/>
      <c r="P831" s="38"/>
      <c r="Q831" s="42" t="str">
        <f aca="false">IF(P831="","",LEN(P831))</f>
        <v/>
      </c>
      <c r="R831" s="47"/>
      <c r="S831" s="37"/>
      <c r="T831" s="38"/>
      <c r="U831" s="43" t="str">
        <f aca="false">IF(OR(R831&lt;&gt;"Yes",A831=""),"",A831+4)</f>
        <v/>
      </c>
      <c r="V831" s="47"/>
      <c r="W831" s="38"/>
      <c r="X831" s="38"/>
      <c r="Y831" s="44"/>
      <c r="Z831" s="44"/>
      <c r="AA831" s="45" t="str">
        <f aca="false">IF(AND($Y831="",$Z831=""),"",ROUND(IFERROR(VALUE(LEFT($Y831,1)),0)*12+IFERROR(VALUE(LEFT($Z831,1)),0)*8,0))</f>
        <v/>
      </c>
      <c r="AB831" s="45" t="str">
        <f aca="false">IF($AA831="","",IF($AA831&gt;=80,"A - call first",IF($AA831&gt;=60,"B - worth pursuing",IF($AA831&gt;=40,"C - nurture","D - do not spend time here"))))</f>
        <v/>
      </c>
      <c r="AC831" s="46" t="str">
        <f aca="false">IF($C831="","",IF($S831="Converted","7 Certification / Enterprise opportunity",IF($S831="Application Started","7 Certification / Enterprise opportunity",IF($S831="Meeting Booked","6 Meeting / Application",IF(OR($S831="Interested",$S831="Info Requested"),"5 Interested",IF(OR($S831="Declined",$S831="Not Relevant"),"0 Closed - no",IF($R831="Yes","4 Contacted",IF($N831="Yes","2 Engaged",IF($M831="Yes","1 Awareness",IF($AA831&gt;=60,"3 Qualified","1 Awareness"))))))))))</f>
        <v/>
      </c>
    </row>
    <row r="832" customFormat="false" ht="30" hidden="false" customHeight="true" outlineLevel="0" collapsed="false">
      <c r="A832" s="36"/>
      <c r="B832" s="37"/>
      <c r="C832" s="37"/>
      <c r="D832" s="37"/>
      <c r="E832" s="37"/>
      <c r="F832" s="37"/>
      <c r="G832" s="37"/>
      <c r="H832" s="37"/>
      <c r="I832" s="37"/>
      <c r="J832" s="47"/>
      <c r="K832" s="41" t="str">
        <f aca="false">IF(J832="","",IF(J832&gt;=8,"Yes","Check"))</f>
        <v/>
      </c>
      <c r="L832" s="38"/>
      <c r="M832" s="47"/>
      <c r="N832" s="47"/>
      <c r="O832" s="37"/>
      <c r="P832" s="38"/>
      <c r="Q832" s="42" t="str">
        <f aca="false">IF(P832="","",LEN(P832))</f>
        <v/>
      </c>
      <c r="R832" s="47"/>
      <c r="S832" s="37"/>
      <c r="T832" s="38"/>
      <c r="U832" s="43" t="str">
        <f aca="false">IF(OR(R832&lt;&gt;"Yes",A832=""),"",A832+4)</f>
        <v/>
      </c>
      <c r="V832" s="47"/>
      <c r="W832" s="38"/>
      <c r="X832" s="38"/>
      <c r="Y832" s="44"/>
      <c r="Z832" s="44"/>
      <c r="AA832" s="45" t="str">
        <f aca="false">IF(AND($Y832="",$Z832=""),"",ROUND(IFERROR(VALUE(LEFT($Y832,1)),0)*12+IFERROR(VALUE(LEFT($Z832,1)),0)*8,0))</f>
        <v/>
      </c>
      <c r="AB832" s="45" t="str">
        <f aca="false">IF($AA832="","",IF($AA832&gt;=80,"A - call first",IF($AA832&gt;=60,"B - worth pursuing",IF($AA832&gt;=40,"C - nurture","D - do not spend time here"))))</f>
        <v/>
      </c>
      <c r="AC832" s="46" t="str">
        <f aca="false">IF($C832="","",IF($S832="Converted","7 Certification / Enterprise opportunity",IF($S832="Application Started","7 Certification / Enterprise opportunity",IF($S832="Meeting Booked","6 Meeting / Application",IF(OR($S832="Interested",$S832="Info Requested"),"5 Interested",IF(OR($S832="Declined",$S832="Not Relevant"),"0 Closed - no",IF($R832="Yes","4 Contacted",IF($N832="Yes","2 Engaged",IF($M832="Yes","1 Awareness",IF($AA832&gt;=60,"3 Qualified","1 Awareness"))))))))))</f>
        <v/>
      </c>
    </row>
    <row r="833" customFormat="false" ht="30" hidden="false" customHeight="true" outlineLevel="0" collapsed="false">
      <c r="A833" s="36"/>
      <c r="B833" s="37"/>
      <c r="C833" s="37"/>
      <c r="D833" s="37"/>
      <c r="E833" s="37"/>
      <c r="F833" s="37"/>
      <c r="G833" s="37"/>
      <c r="H833" s="37"/>
      <c r="I833" s="37"/>
      <c r="J833" s="47"/>
      <c r="K833" s="41" t="str">
        <f aca="false">IF(J833="","",IF(J833&gt;=8,"Yes","Check"))</f>
        <v/>
      </c>
      <c r="L833" s="38"/>
      <c r="M833" s="47"/>
      <c r="N833" s="47"/>
      <c r="O833" s="37"/>
      <c r="P833" s="38"/>
      <c r="Q833" s="42" t="str">
        <f aca="false">IF(P833="","",LEN(P833))</f>
        <v/>
      </c>
      <c r="R833" s="47"/>
      <c r="S833" s="37"/>
      <c r="T833" s="38"/>
      <c r="U833" s="43" t="str">
        <f aca="false">IF(OR(R833&lt;&gt;"Yes",A833=""),"",A833+4)</f>
        <v/>
      </c>
      <c r="V833" s="47"/>
      <c r="W833" s="38"/>
      <c r="X833" s="38"/>
      <c r="Y833" s="44"/>
      <c r="Z833" s="44"/>
      <c r="AA833" s="45" t="str">
        <f aca="false">IF(AND($Y833="",$Z833=""),"",ROUND(IFERROR(VALUE(LEFT($Y833,1)),0)*12+IFERROR(VALUE(LEFT($Z833,1)),0)*8,0))</f>
        <v/>
      </c>
      <c r="AB833" s="45" t="str">
        <f aca="false">IF($AA833="","",IF($AA833&gt;=80,"A - call first",IF($AA833&gt;=60,"B - worth pursuing",IF($AA833&gt;=40,"C - nurture","D - do not spend time here"))))</f>
        <v/>
      </c>
      <c r="AC833" s="46" t="str">
        <f aca="false">IF($C833="","",IF($S833="Converted","7 Certification / Enterprise opportunity",IF($S833="Application Started","7 Certification / Enterprise opportunity",IF($S833="Meeting Booked","6 Meeting / Application",IF(OR($S833="Interested",$S833="Info Requested"),"5 Interested",IF(OR($S833="Declined",$S833="Not Relevant"),"0 Closed - no",IF($R833="Yes","4 Contacted",IF($N833="Yes","2 Engaged",IF($M833="Yes","1 Awareness",IF($AA833&gt;=60,"3 Qualified","1 Awareness"))))))))))</f>
        <v/>
      </c>
    </row>
    <row r="834" customFormat="false" ht="30" hidden="false" customHeight="true" outlineLevel="0" collapsed="false">
      <c r="A834" s="36"/>
      <c r="B834" s="37"/>
      <c r="C834" s="37"/>
      <c r="D834" s="37"/>
      <c r="E834" s="37"/>
      <c r="F834" s="37"/>
      <c r="G834" s="37"/>
      <c r="H834" s="37"/>
      <c r="I834" s="37"/>
      <c r="J834" s="47"/>
      <c r="K834" s="41" t="str">
        <f aca="false">IF(J834="","",IF(J834&gt;=8,"Yes","Check"))</f>
        <v/>
      </c>
      <c r="L834" s="38"/>
      <c r="M834" s="47"/>
      <c r="N834" s="47"/>
      <c r="O834" s="37"/>
      <c r="P834" s="38"/>
      <c r="Q834" s="42" t="str">
        <f aca="false">IF(P834="","",LEN(P834))</f>
        <v/>
      </c>
      <c r="R834" s="47"/>
      <c r="S834" s="37"/>
      <c r="T834" s="38"/>
      <c r="U834" s="43" t="str">
        <f aca="false">IF(OR(R834&lt;&gt;"Yes",A834=""),"",A834+4)</f>
        <v/>
      </c>
      <c r="V834" s="47"/>
      <c r="W834" s="38"/>
      <c r="X834" s="38"/>
      <c r="Y834" s="44"/>
      <c r="Z834" s="44"/>
      <c r="AA834" s="45" t="str">
        <f aca="false">IF(AND($Y834="",$Z834=""),"",ROUND(IFERROR(VALUE(LEFT($Y834,1)),0)*12+IFERROR(VALUE(LEFT($Z834,1)),0)*8,0))</f>
        <v/>
      </c>
      <c r="AB834" s="45" t="str">
        <f aca="false">IF($AA834="","",IF($AA834&gt;=80,"A - call first",IF($AA834&gt;=60,"B - worth pursuing",IF($AA834&gt;=40,"C - nurture","D - do not spend time here"))))</f>
        <v/>
      </c>
      <c r="AC834" s="46" t="str">
        <f aca="false">IF($C834="","",IF($S834="Converted","7 Certification / Enterprise opportunity",IF($S834="Application Started","7 Certification / Enterprise opportunity",IF($S834="Meeting Booked","6 Meeting / Application",IF(OR($S834="Interested",$S834="Info Requested"),"5 Interested",IF(OR($S834="Declined",$S834="Not Relevant"),"0 Closed - no",IF($R834="Yes","4 Contacted",IF($N834="Yes","2 Engaged",IF($M834="Yes","1 Awareness",IF($AA834&gt;=60,"3 Qualified","1 Awareness"))))))))))</f>
        <v/>
      </c>
    </row>
    <row r="835" customFormat="false" ht="30" hidden="false" customHeight="true" outlineLevel="0" collapsed="false">
      <c r="A835" s="36"/>
      <c r="B835" s="37"/>
      <c r="C835" s="37"/>
      <c r="D835" s="37"/>
      <c r="E835" s="37"/>
      <c r="F835" s="37"/>
      <c r="G835" s="37"/>
      <c r="H835" s="37"/>
      <c r="I835" s="37"/>
      <c r="J835" s="47"/>
      <c r="K835" s="41" t="str">
        <f aca="false">IF(J835="","",IF(J835&gt;=8,"Yes","Check"))</f>
        <v/>
      </c>
      <c r="L835" s="38"/>
      <c r="M835" s="47"/>
      <c r="N835" s="47"/>
      <c r="O835" s="37"/>
      <c r="P835" s="38"/>
      <c r="Q835" s="42" t="str">
        <f aca="false">IF(P835="","",LEN(P835))</f>
        <v/>
      </c>
      <c r="R835" s="47"/>
      <c r="S835" s="37"/>
      <c r="T835" s="38"/>
      <c r="U835" s="43" t="str">
        <f aca="false">IF(OR(R835&lt;&gt;"Yes",A835=""),"",A835+4)</f>
        <v/>
      </c>
      <c r="V835" s="47"/>
      <c r="W835" s="38"/>
      <c r="X835" s="38"/>
      <c r="Y835" s="44"/>
      <c r="Z835" s="44"/>
      <c r="AA835" s="45" t="str">
        <f aca="false">IF(AND($Y835="",$Z835=""),"",ROUND(IFERROR(VALUE(LEFT($Y835,1)),0)*12+IFERROR(VALUE(LEFT($Z835,1)),0)*8,0))</f>
        <v/>
      </c>
      <c r="AB835" s="45" t="str">
        <f aca="false">IF($AA835="","",IF($AA835&gt;=80,"A - call first",IF($AA835&gt;=60,"B - worth pursuing",IF($AA835&gt;=40,"C - nurture","D - do not spend time here"))))</f>
        <v/>
      </c>
      <c r="AC835" s="46" t="str">
        <f aca="false">IF($C835="","",IF($S835="Converted","7 Certification / Enterprise opportunity",IF($S835="Application Started","7 Certification / Enterprise opportunity",IF($S835="Meeting Booked","6 Meeting / Application",IF(OR($S835="Interested",$S835="Info Requested"),"5 Interested",IF(OR($S835="Declined",$S835="Not Relevant"),"0 Closed - no",IF($R835="Yes","4 Contacted",IF($N835="Yes","2 Engaged",IF($M835="Yes","1 Awareness",IF($AA835&gt;=60,"3 Qualified","1 Awareness"))))))))))</f>
        <v/>
      </c>
    </row>
    <row r="836" customFormat="false" ht="30" hidden="false" customHeight="true" outlineLevel="0" collapsed="false">
      <c r="A836" s="36"/>
      <c r="B836" s="37"/>
      <c r="C836" s="37"/>
      <c r="D836" s="37"/>
      <c r="E836" s="37"/>
      <c r="F836" s="37"/>
      <c r="G836" s="37"/>
      <c r="H836" s="37"/>
      <c r="I836" s="37"/>
      <c r="J836" s="47"/>
      <c r="K836" s="41" t="str">
        <f aca="false">IF(J836="","",IF(J836&gt;=8,"Yes","Check"))</f>
        <v/>
      </c>
      <c r="L836" s="38"/>
      <c r="M836" s="47"/>
      <c r="N836" s="47"/>
      <c r="O836" s="37"/>
      <c r="P836" s="38"/>
      <c r="Q836" s="42" t="str">
        <f aca="false">IF(P836="","",LEN(P836))</f>
        <v/>
      </c>
      <c r="R836" s="47"/>
      <c r="S836" s="37"/>
      <c r="T836" s="38"/>
      <c r="U836" s="43" t="str">
        <f aca="false">IF(OR(R836&lt;&gt;"Yes",A836=""),"",A836+4)</f>
        <v/>
      </c>
      <c r="V836" s="47"/>
      <c r="W836" s="38"/>
      <c r="X836" s="38"/>
      <c r="Y836" s="44"/>
      <c r="Z836" s="44"/>
      <c r="AA836" s="45" t="str">
        <f aca="false">IF(AND($Y836="",$Z836=""),"",ROUND(IFERROR(VALUE(LEFT($Y836,1)),0)*12+IFERROR(VALUE(LEFT($Z836,1)),0)*8,0))</f>
        <v/>
      </c>
      <c r="AB836" s="45" t="str">
        <f aca="false">IF($AA836="","",IF($AA836&gt;=80,"A - call first",IF($AA836&gt;=60,"B - worth pursuing",IF($AA836&gt;=40,"C - nurture","D - do not spend time here"))))</f>
        <v/>
      </c>
      <c r="AC836" s="46" t="str">
        <f aca="false">IF($C836="","",IF($S836="Converted","7 Certification / Enterprise opportunity",IF($S836="Application Started","7 Certification / Enterprise opportunity",IF($S836="Meeting Booked","6 Meeting / Application",IF(OR($S836="Interested",$S836="Info Requested"),"5 Interested",IF(OR($S836="Declined",$S836="Not Relevant"),"0 Closed - no",IF($R836="Yes","4 Contacted",IF($N836="Yes","2 Engaged",IF($M836="Yes","1 Awareness",IF($AA836&gt;=60,"3 Qualified","1 Awareness"))))))))))</f>
        <v/>
      </c>
    </row>
    <row r="837" customFormat="false" ht="30" hidden="false" customHeight="true" outlineLevel="0" collapsed="false">
      <c r="A837" s="36"/>
      <c r="B837" s="37"/>
      <c r="C837" s="37"/>
      <c r="D837" s="37"/>
      <c r="E837" s="37"/>
      <c r="F837" s="37"/>
      <c r="G837" s="37"/>
      <c r="H837" s="37"/>
      <c r="I837" s="37"/>
      <c r="J837" s="47"/>
      <c r="K837" s="41" t="str">
        <f aca="false">IF(J837="","",IF(J837&gt;=8,"Yes","Check"))</f>
        <v/>
      </c>
      <c r="L837" s="38"/>
      <c r="M837" s="47"/>
      <c r="N837" s="47"/>
      <c r="O837" s="37"/>
      <c r="P837" s="38"/>
      <c r="Q837" s="42" t="str">
        <f aca="false">IF(P837="","",LEN(P837))</f>
        <v/>
      </c>
      <c r="R837" s="47"/>
      <c r="S837" s="37"/>
      <c r="T837" s="38"/>
      <c r="U837" s="43" t="str">
        <f aca="false">IF(OR(R837&lt;&gt;"Yes",A837=""),"",A837+4)</f>
        <v/>
      </c>
      <c r="V837" s="47"/>
      <c r="W837" s="38"/>
      <c r="X837" s="38"/>
      <c r="Y837" s="44"/>
      <c r="Z837" s="44"/>
      <c r="AA837" s="45" t="str">
        <f aca="false">IF(AND($Y837="",$Z837=""),"",ROUND(IFERROR(VALUE(LEFT($Y837,1)),0)*12+IFERROR(VALUE(LEFT($Z837,1)),0)*8,0))</f>
        <v/>
      </c>
      <c r="AB837" s="45" t="str">
        <f aca="false">IF($AA837="","",IF($AA837&gt;=80,"A - call first",IF($AA837&gt;=60,"B - worth pursuing",IF($AA837&gt;=40,"C - nurture","D - do not spend time here"))))</f>
        <v/>
      </c>
      <c r="AC837" s="46" t="str">
        <f aca="false">IF($C837="","",IF($S837="Converted","7 Certification / Enterprise opportunity",IF($S837="Application Started","7 Certification / Enterprise opportunity",IF($S837="Meeting Booked","6 Meeting / Application",IF(OR($S837="Interested",$S837="Info Requested"),"5 Interested",IF(OR($S837="Declined",$S837="Not Relevant"),"0 Closed - no",IF($R837="Yes","4 Contacted",IF($N837="Yes","2 Engaged",IF($M837="Yes","1 Awareness",IF($AA837&gt;=60,"3 Qualified","1 Awareness"))))))))))</f>
        <v/>
      </c>
    </row>
    <row r="838" customFormat="false" ht="30" hidden="false" customHeight="true" outlineLevel="0" collapsed="false">
      <c r="A838" s="36"/>
      <c r="B838" s="37"/>
      <c r="C838" s="37"/>
      <c r="D838" s="37"/>
      <c r="E838" s="37"/>
      <c r="F838" s="37"/>
      <c r="G838" s="37"/>
      <c r="H838" s="37"/>
      <c r="I838" s="37"/>
      <c r="J838" s="47"/>
      <c r="K838" s="41" t="str">
        <f aca="false">IF(J838="","",IF(J838&gt;=8,"Yes","Check"))</f>
        <v/>
      </c>
      <c r="L838" s="38"/>
      <c r="M838" s="47"/>
      <c r="N838" s="47"/>
      <c r="O838" s="37"/>
      <c r="P838" s="38"/>
      <c r="Q838" s="42" t="str">
        <f aca="false">IF(P838="","",LEN(P838))</f>
        <v/>
      </c>
      <c r="R838" s="47"/>
      <c r="S838" s="37"/>
      <c r="T838" s="38"/>
      <c r="U838" s="43" t="str">
        <f aca="false">IF(OR(R838&lt;&gt;"Yes",A838=""),"",A838+4)</f>
        <v/>
      </c>
      <c r="V838" s="47"/>
      <c r="W838" s="38"/>
      <c r="X838" s="38"/>
      <c r="Y838" s="44"/>
      <c r="Z838" s="44"/>
      <c r="AA838" s="45" t="str">
        <f aca="false">IF(AND($Y838="",$Z838=""),"",ROUND(IFERROR(VALUE(LEFT($Y838,1)),0)*12+IFERROR(VALUE(LEFT($Z838,1)),0)*8,0))</f>
        <v/>
      </c>
      <c r="AB838" s="45" t="str">
        <f aca="false">IF($AA838="","",IF($AA838&gt;=80,"A - call first",IF($AA838&gt;=60,"B - worth pursuing",IF($AA838&gt;=40,"C - nurture","D - do not spend time here"))))</f>
        <v/>
      </c>
      <c r="AC838" s="46" t="str">
        <f aca="false">IF($C838="","",IF($S838="Converted","7 Certification / Enterprise opportunity",IF($S838="Application Started","7 Certification / Enterprise opportunity",IF($S838="Meeting Booked","6 Meeting / Application",IF(OR($S838="Interested",$S838="Info Requested"),"5 Interested",IF(OR($S838="Declined",$S838="Not Relevant"),"0 Closed - no",IF($R838="Yes","4 Contacted",IF($N838="Yes","2 Engaged",IF($M838="Yes","1 Awareness",IF($AA838&gt;=60,"3 Qualified","1 Awareness"))))))))))</f>
        <v/>
      </c>
    </row>
    <row r="839" customFormat="false" ht="30" hidden="false" customHeight="true" outlineLevel="0" collapsed="false">
      <c r="A839" s="36"/>
      <c r="B839" s="37"/>
      <c r="C839" s="37"/>
      <c r="D839" s="37"/>
      <c r="E839" s="37"/>
      <c r="F839" s="37"/>
      <c r="G839" s="37"/>
      <c r="H839" s="37"/>
      <c r="I839" s="37"/>
      <c r="J839" s="47"/>
      <c r="K839" s="41" t="str">
        <f aca="false">IF(J839="","",IF(J839&gt;=8,"Yes","Check"))</f>
        <v/>
      </c>
      <c r="L839" s="38"/>
      <c r="M839" s="47"/>
      <c r="N839" s="47"/>
      <c r="O839" s="37"/>
      <c r="P839" s="38"/>
      <c r="Q839" s="42" t="str">
        <f aca="false">IF(P839="","",LEN(P839))</f>
        <v/>
      </c>
      <c r="R839" s="47"/>
      <c r="S839" s="37"/>
      <c r="T839" s="38"/>
      <c r="U839" s="43" t="str">
        <f aca="false">IF(OR(R839&lt;&gt;"Yes",A839=""),"",A839+4)</f>
        <v/>
      </c>
      <c r="V839" s="47"/>
      <c r="W839" s="38"/>
      <c r="X839" s="38"/>
      <c r="Y839" s="44"/>
      <c r="Z839" s="44"/>
      <c r="AA839" s="45" t="str">
        <f aca="false">IF(AND($Y839="",$Z839=""),"",ROUND(IFERROR(VALUE(LEFT($Y839,1)),0)*12+IFERROR(VALUE(LEFT($Z839,1)),0)*8,0))</f>
        <v/>
      </c>
      <c r="AB839" s="45" t="str">
        <f aca="false">IF($AA839="","",IF($AA839&gt;=80,"A - call first",IF($AA839&gt;=60,"B - worth pursuing",IF($AA839&gt;=40,"C - nurture","D - do not spend time here"))))</f>
        <v/>
      </c>
      <c r="AC839" s="46" t="str">
        <f aca="false">IF($C839="","",IF($S839="Converted","7 Certification / Enterprise opportunity",IF($S839="Application Started","7 Certification / Enterprise opportunity",IF($S839="Meeting Booked","6 Meeting / Application",IF(OR($S839="Interested",$S839="Info Requested"),"5 Interested",IF(OR($S839="Declined",$S839="Not Relevant"),"0 Closed - no",IF($R839="Yes","4 Contacted",IF($N839="Yes","2 Engaged",IF($M839="Yes","1 Awareness",IF($AA839&gt;=60,"3 Qualified","1 Awareness"))))))))))</f>
        <v/>
      </c>
    </row>
    <row r="840" customFormat="false" ht="30" hidden="false" customHeight="true" outlineLevel="0" collapsed="false">
      <c r="A840" s="36"/>
      <c r="B840" s="37"/>
      <c r="C840" s="37"/>
      <c r="D840" s="37"/>
      <c r="E840" s="37"/>
      <c r="F840" s="37"/>
      <c r="G840" s="37"/>
      <c r="H840" s="37"/>
      <c r="I840" s="37"/>
      <c r="J840" s="47"/>
      <c r="K840" s="41" t="str">
        <f aca="false">IF(J840="","",IF(J840&gt;=8,"Yes","Check"))</f>
        <v/>
      </c>
      <c r="L840" s="38"/>
      <c r="M840" s="47"/>
      <c r="N840" s="47"/>
      <c r="O840" s="37"/>
      <c r="P840" s="38"/>
      <c r="Q840" s="42" t="str">
        <f aca="false">IF(P840="","",LEN(P840))</f>
        <v/>
      </c>
      <c r="R840" s="47"/>
      <c r="S840" s="37"/>
      <c r="T840" s="38"/>
      <c r="U840" s="43" t="str">
        <f aca="false">IF(OR(R840&lt;&gt;"Yes",A840=""),"",A840+4)</f>
        <v/>
      </c>
      <c r="V840" s="47"/>
      <c r="W840" s="38"/>
      <c r="X840" s="38"/>
      <c r="Y840" s="44"/>
      <c r="Z840" s="44"/>
      <c r="AA840" s="45" t="str">
        <f aca="false">IF(AND($Y840="",$Z840=""),"",ROUND(IFERROR(VALUE(LEFT($Y840,1)),0)*12+IFERROR(VALUE(LEFT($Z840,1)),0)*8,0))</f>
        <v/>
      </c>
      <c r="AB840" s="45" t="str">
        <f aca="false">IF($AA840="","",IF($AA840&gt;=80,"A - call first",IF($AA840&gt;=60,"B - worth pursuing",IF($AA840&gt;=40,"C - nurture","D - do not spend time here"))))</f>
        <v/>
      </c>
      <c r="AC840" s="46" t="str">
        <f aca="false">IF($C840="","",IF($S840="Converted","7 Certification / Enterprise opportunity",IF($S840="Application Started","7 Certification / Enterprise opportunity",IF($S840="Meeting Booked","6 Meeting / Application",IF(OR($S840="Interested",$S840="Info Requested"),"5 Interested",IF(OR($S840="Declined",$S840="Not Relevant"),"0 Closed - no",IF($R840="Yes","4 Contacted",IF($N840="Yes","2 Engaged",IF($M840="Yes","1 Awareness",IF($AA840&gt;=60,"3 Qualified","1 Awareness"))))))))))</f>
        <v/>
      </c>
    </row>
    <row r="841" customFormat="false" ht="30" hidden="false" customHeight="true" outlineLevel="0" collapsed="false">
      <c r="A841" s="36"/>
      <c r="B841" s="37"/>
      <c r="C841" s="37"/>
      <c r="D841" s="37"/>
      <c r="E841" s="37"/>
      <c r="F841" s="37"/>
      <c r="G841" s="37"/>
      <c r="H841" s="37"/>
      <c r="I841" s="37"/>
      <c r="J841" s="47"/>
      <c r="K841" s="41" t="str">
        <f aca="false">IF(J841="","",IF(J841&gt;=8,"Yes","Check"))</f>
        <v/>
      </c>
      <c r="L841" s="38"/>
      <c r="M841" s="47"/>
      <c r="N841" s="47"/>
      <c r="O841" s="37"/>
      <c r="P841" s="38"/>
      <c r="Q841" s="42" t="str">
        <f aca="false">IF(P841="","",LEN(P841))</f>
        <v/>
      </c>
      <c r="R841" s="47"/>
      <c r="S841" s="37"/>
      <c r="T841" s="38"/>
      <c r="U841" s="43" t="str">
        <f aca="false">IF(OR(R841&lt;&gt;"Yes",A841=""),"",A841+4)</f>
        <v/>
      </c>
      <c r="V841" s="47"/>
      <c r="W841" s="38"/>
      <c r="X841" s="38"/>
      <c r="Y841" s="44"/>
      <c r="Z841" s="44"/>
      <c r="AA841" s="45" t="str">
        <f aca="false">IF(AND($Y841="",$Z841=""),"",ROUND(IFERROR(VALUE(LEFT($Y841,1)),0)*12+IFERROR(VALUE(LEFT($Z841,1)),0)*8,0))</f>
        <v/>
      </c>
      <c r="AB841" s="45" t="str">
        <f aca="false">IF($AA841="","",IF($AA841&gt;=80,"A - call first",IF($AA841&gt;=60,"B - worth pursuing",IF($AA841&gt;=40,"C - nurture","D - do not spend time here"))))</f>
        <v/>
      </c>
      <c r="AC841" s="46" t="str">
        <f aca="false">IF($C841="","",IF($S841="Converted","7 Certification / Enterprise opportunity",IF($S841="Application Started","7 Certification / Enterprise opportunity",IF($S841="Meeting Booked","6 Meeting / Application",IF(OR($S841="Interested",$S841="Info Requested"),"5 Interested",IF(OR($S841="Declined",$S841="Not Relevant"),"0 Closed - no",IF($R841="Yes","4 Contacted",IF($N841="Yes","2 Engaged",IF($M841="Yes","1 Awareness",IF($AA841&gt;=60,"3 Qualified","1 Awareness"))))))))))</f>
        <v/>
      </c>
    </row>
    <row r="842" customFormat="false" ht="30" hidden="false" customHeight="true" outlineLevel="0" collapsed="false">
      <c r="A842" s="36"/>
      <c r="B842" s="37"/>
      <c r="C842" s="37"/>
      <c r="D842" s="37"/>
      <c r="E842" s="37"/>
      <c r="F842" s="37"/>
      <c r="G842" s="37"/>
      <c r="H842" s="37"/>
      <c r="I842" s="37"/>
      <c r="J842" s="47"/>
      <c r="K842" s="41" t="str">
        <f aca="false">IF(J842="","",IF(J842&gt;=8,"Yes","Check"))</f>
        <v/>
      </c>
      <c r="L842" s="38"/>
      <c r="M842" s="47"/>
      <c r="N842" s="47"/>
      <c r="O842" s="37"/>
      <c r="P842" s="38"/>
      <c r="Q842" s="42" t="str">
        <f aca="false">IF(P842="","",LEN(P842))</f>
        <v/>
      </c>
      <c r="R842" s="47"/>
      <c r="S842" s="37"/>
      <c r="T842" s="38"/>
      <c r="U842" s="43" t="str">
        <f aca="false">IF(OR(R842&lt;&gt;"Yes",A842=""),"",A842+4)</f>
        <v/>
      </c>
      <c r="V842" s="47"/>
      <c r="W842" s="38"/>
      <c r="X842" s="38"/>
      <c r="Y842" s="44"/>
      <c r="Z842" s="44"/>
      <c r="AA842" s="45" t="str">
        <f aca="false">IF(AND($Y842="",$Z842=""),"",ROUND(IFERROR(VALUE(LEFT($Y842,1)),0)*12+IFERROR(VALUE(LEFT($Z842,1)),0)*8,0))</f>
        <v/>
      </c>
      <c r="AB842" s="45" t="str">
        <f aca="false">IF($AA842="","",IF($AA842&gt;=80,"A - call first",IF($AA842&gt;=60,"B - worth pursuing",IF($AA842&gt;=40,"C - nurture","D - do not spend time here"))))</f>
        <v/>
      </c>
      <c r="AC842" s="46" t="str">
        <f aca="false">IF($C842="","",IF($S842="Converted","7 Certification / Enterprise opportunity",IF($S842="Application Started","7 Certification / Enterprise opportunity",IF($S842="Meeting Booked","6 Meeting / Application",IF(OR($S842="Interested",$S842="Info Requested"),"5 Interested",IF(OR($S842="Declined",$S842="Not Relevant"),"0 Closed - no",IF($R842="Yes","4 Contacted",IF($N842="Yes","2 Engaged",IF($M842="Yes","1 Awareness",IF($AA842&gt;=60,"3 Qualified","1 Awareness"))))))))))</f>
        <v/>
      </c>
    </row>
    <row r="843" customFormat="false" ht="30" hidden="false" customHeight="true" outlineLevel="0" collapsed="false">
      <c r="A843" s="36"/>
      <c r="B843" s="37"/>
      <c r="C843" s="37"/>
      <c r="D843" s="37"/>
      <c r="E843" s="37"/>
      <c r="F843" s="37"/>
      <c r="G843" s="37"/>
      <c r="H843" s="37"/>
      <c r="I843" s="37"/>
      <c r="J843" s="47"/>
      <c r="K843" s="41" t="str">
        <f aca="false">IF(J843="","",IF(J843&gt;=8,"Yes","Check"))</f>
        <v/>
      </c>
      <c r="L843" s="38"/>
      <c r="M843" s="47"/>
      <c r="N843" s="47"/>
      <c r="O843" s="37"/>
      <c r="P843" s="38"/>
      <c r="Q843" s="42" t="str">
        <f aca="false">IF(P843="","",LEN(P843))</f>
        <v/>
      </c>
      <c r="R843" s="47"/>
      <c r="S843" s="37"/>
      <c r="T843" s="38"/>
      <c r="U843" s="43" t="str">
        <f aca="false">IF(OR(R843&lt;&gt;"Yes",A843=""),"",A843+4)</f>
        <v/>
      </c>
      <c r="V843" s="47"/>
      <c r="W843" s="38"/>
      <c r="X843" s="38"/>
      <c r="Y843" s="44"/>
      <c r="Z843" s="44"/>
      <c r="AA843" s="45" t="str">
        <f aca="false">IF(AND($Y843="",$Z843=""),"",ROUND(IFERROR(VALUE(LEFT($Y843,1)),0)*12+IFERROR(VALUE(LEFT($Z843,1)),0)*8,0))</f>
        <v/>
      </c>
      <c r="AB843" s="45" t="str">
        <f aca="false">IF($AA843="","",IF($AA843&gt;=80,"A - call first",IF($AA843&gt;=60,"B - worth pursuing",IF($AA843&gt;=40,"C - nurture","D - do not spend time here"))))</f>
        <v/>
      </c>
      <c r="AC843" s="46" t="str">
        <f aca="false">IF($C843="","",IF($S843="Converted","7 Certification / Enterprise opportunity",IF($S843="Application Started","7 Certification / Enterprise opportunity",IF($S843="Meeting Booked","6 Meeting / Application",IF(OR($S843="Interested",$S843="Info Requested"),"5 Interested",IF(OR($S843="Declined",$S843="Not Relevant"),"0 Closed - no",IF($R843="Yes","4 Contacted",IF($N843="Yes","2 Engaged",IF($M843="Yes","1 Awareness",IF($AA843&gt;=60,"3 Qualified","1 Awareness"))))))))))</f>
        <v/>
      </c>
    </row>
    <row r="844" customFormat="false" ht="30" hidden="false" customHeight="true" outlineLevel="0" collapsed="false">
      <c r="A844" s="36"/>
      <c r="B844" s="37"/>
      <c r="C844" s="37"/>
      <c r="D844" s="37"/>
      <c r="E844" s="37"/>
      <c r="F844" s="37"/>
      <c r="G844" s="37"/>
      <c r="H844" s="37"/>
      <c r="I844" s="37"/>
      <c r="J844" s="47"/>
      <c r="K844" s="41" t="str">
        <f aca="false">IF(J844="","",IF(J844&gt;=8,"Yes","Check"))</f>
        <v/>
      </c>
      <c r="L844" s="38"/>
      <c r="M844" s="47"/>
      <c r="N844" s="47"/>
      <c r="O844" s="37"/>
      <c r="P844" s="38"/>
      <c r="Q844" s="42" t="str">
        <f aca="false">IF(P844="","",LEN(P844))</f>
        <v/>
      </c>
      <c r="R844" s="47"/>
      <c r="S844" s="37"/>
      <c r="T844" s="38"/>
      <c r="U844" s="43" t="str">
        <f aca="false">IF(OR(R844&lt;&gt;"Yes",A844=""),"",A844+4)</f>
        <v/>
      </c>
      <c r="V844" s="47"/>
      <c r="W844" s="38"/>
      <c r="X844" s="38"/>
      <c r="Y844" s="44"/>
      <c r="Z844" s="44"/>
      <c r="AA844" s="45" t="str">
        <f aca="false">IF(AND($Y844="",$Z844=""),"",ROUND(IFERROR(VALUE(LEFT($Y844,1)),0)*12+IFERROR(VALUE(LEFT($Z844,1)),0)*8,0))</f>
        <v/>
      </c>
      <c r="AB844" s="45" t="str">
        <f aca="false">IF($AA844="","",IF($AA844&gt;=80,"A - call first",IF($AA844&gt;=60,"B - worth pursuing",IF($AA844&gt;=40,"C - nurture","D - do not spend time here"))))</f>
        <v/>
      </c>
      <c r="AC844" s="46" t="str">
        <f aca="false">IF($C844="","",IF($S844="Converted","7 Certification / Enterprise opportunity",IF($S844="Application Started","7 Certification / Enterprise opportunity",IF($S844="Meeting Booked","6 Meeting / Application",IF(OR($S844="Interested",$S844="Info Requested"),"5 Interested",IF(OR($S844="Declined",$S844="Not Relevant"),"0 Closed - no",IF($R844="Yes","4 Contacted",IF($N844="Yes","2 Engaged",IF($M844="Yes","1 Awareness",IF($AA844&gt;=60,"3 Qualified","1 Awareness"))))))))))</f>
        <v/>
      </c>
    </row>
    <row r="845" customFormat="false" ht="30" hidden="false" customHeight="true" outlineLevel="0" collapsed="false">
      <c r="A845" s="36"/>
      <c r="B845" s="37"/>
      <c r="C845" s="37"/>
      <c r="D845" s="37"/>
      <c r="E845" s="37"/>
      <c r="F845" s="37"/>
      <c r="G845" s="37"/>
      <c r="H845" s="37"/>
      <c r="I845" s="37"/>
      <c r="J845" s="47"/>
      <c r="K845" s="41" t="str">
        <f aca="false">IF(J845="","",IF(J845&gt;=8,"Yes","Check"))</f>
        <v/>
      </c>
      <c r="L845" s="38"/>
      <c r="M845" s="47"/>
      <c r="N845" s="47"/>
      <c r="O845" s="37"/>
      <c r="P845" s="38"/>
      <c r="Q845" s="42" t="str">
        <f aca="false">IF(P845="","",LEN(P845))</f>
        <v/>
      </c>
      <c r="R845" s="47"/>
      <c r="S845" s="37"/>
      <c r="T845" s="38"/>
      <c r="U845" s="43" t="str">
        <f aca="false">IF(OR(R845&lt;&gt;"Yes",A845=""),"",A845+4)</f>
        <v/>
      </c>
      <c r="V845" s="47"/>
      <c r="W845" s="38"/>
      <c r="X845" s="38"/>
      <c r="Y845" s="44"/>
      <c r="Z845" s="44"/>
      <c r="AA845" s="45" t="str">
        <f aca="false">IF(AND($Y845="",$Z845=""),"",ROUND(IFERROR(VALUE(LEFT($Y845,1)),0)*12+IFERROR(VALUE(LEFT($Z845,1)),0)*8,0))</f>
        <v/>
      </c>
      <c r="AB845" s="45" t="str">
        <f aca="false">IF($AA845="","",IF($AA845&gt;=80,"A - call first",IF($AA845&gt;=60,"B - worth pursuing",IF($AA845&gt;=40,"C - nurture","D - do not spend time here"))))</f>
        <v/>
      </c>
      <c r="AC845" s="46" t="str">
        <f aca="false">IF($C845="","",IF($S845="Converted","7 Certification / Enterprise opportunity",IF($S845="Application Started","7 Certification / Enterprise opportunity",IF($S845="Meeting Booked","6 Meeting / Application",IF(OR($S845="Interested",$S845="Info Requested"),"5 Interested",IF(OR($S845="Declined",$S845="Not Relevant"),"0 Closed - no",IF($R845="Yes","4 Contacted",IF($N845="Yes","2 Engaged",IF($M845="Yes","1 Awareness",IF($AA845&gt;=60,"3 Qualified","1 Awareness"))))))))))</f>
        <v/>
      </c>
    </row>
    <row r="846" customFormat="false" ht="30" hidden="false" customHeight="true" outlineLevel="0" collapsed="false">
      <c r="A846" s="36"/>
      <c r="B846" s="37"/>
      <c r="C846" s="37"/>
      <c r="D846" s="37"/>
      <c r="E846" s="37"/>
      <c r="F846" s="37"/>
      <c r="G846" s="37"/>
      <c r="H846" s="37"/>
      <c r="I846" s="37"/>
      <c r="J846" s="47"/>
      <c r="K846" s="41" t="str">
        <f aca="false">IF(J846="","",IF(J846&gt;=8,"Yes","Check"))</f>
        <v/>
      </c>
      <c r="L846" s="38"/>
      <c r="M846" s="47"/>
      <c r="N846" s="47"/>
      <c r="O846" s="37"/>
      <c r="P846" s="38"/>
      <c r="Q846" s="42" t="str">
        <f aca="false">IF(P846="","",LEN(P846))</f>
        <v/>
      </c>
      <c r="R846" s="47"/>
      <c r="S846" s="37"/>
      <c r="T846" s="38"/>
      <c r="U846" s="43" t="str">
        <f aca="false">IF(OR(R846&lt;&gt;"Yes",A846=""),"",A846+4)</f>
        <v/>
      </c>
      <c r="V846" s="47"/>
      <c r="W846" s="38"/>
      <c r="X846" s="38"/>
      <c r="Y846" s="44"/>
      <c r="Z846" s="44"/>
      <c r="AA846" s="45" t="str">
        <f aca="false">IF(AND($Y846="",$Z846=""),"",ROUND(IFERROR(VALUE(LEFT($Y846,1)),0)*12+IFERROR(VALUE(LEFT($Z846,1)),0)*8,0))</f>
        <v/>
      </c>
      <c r="AB846" s="45" t="str">
        <f aca="false">IF($AA846="","",IF($AA846&gt;=80,"A - call first",IF($AA846&gt;=60,"B - worth pursuing",IF($AA846&gt;=40,"C - nurture","D - do not spend time here"))))</f>
        <v/>
      </c>
      <c r="AC846" s="46" t="str">
        <f aca="false">IF($C846="","",IF($S846="Converted","7 Certification / Enterprise opportunity",IF($S846="Application Started","7 Certification / Enterprise opportunity",IF($S846="Meeting Booked","6 Meeting / Application",IF(OR($S846="Interested",$S846="Info Requested"),"5 Interested",IF(OR($S846="Declined",$S846="Not Relevant"),"0 Closed - no",IF($R846="Yes","4 Contacted",IF($N846="Yes","2 Engaged",IF($M846="Yes","1 Awareness",IF($AA846&gt;=60,"3 Qualified","1 Awareness"))))))))))</f>
        <v/>
      </c>
    </row>
    <row r="847" customFormat="false" ht="30" hidden="false" customHeight="true" outlineLevel="0" collapsed="false">
      <c r="A847" s="36"/>
      <c r="B847" s="37"/>
      <c r="C847" s="37"/>
      <c r="D847" s="37"/>
      <c r="E847" s="37"/>
      <c r="F847" s="37"/>
      <c r="G847" s="37"/>
      <c r="H847" s="37"/>
      <c r="I847" s="37"/>
      <c r="J847" s="47"/>
      <c r="K847" s="41" t="str">
        <f aca="false">IF(J847="","",IF(J847&gt;=8,"Yes","Check"))</f>
        <v/>
      </c>
      <c r="L847" s="38"/>
      <c r="M847" s="47"/>
      <c r="N847" s="47"/>
      <c r="O847" s="37"/>
      <c r="P847" s="38"/>
      <c r="Q847" s="42" t="str">
        <f aca="false">IF(P847="","",LEN(P847))</f>
        <v/>
      </c>
      <c r="R847" s="47"/>
      <c r="S847" s="37"/>
      <c r="T847" s="38"/>
      <c r="U847" s="43" t="str">
        <f aca="false">IF(OR(R847&lt;&gt;"Yes",A847=""),"",A847+4)</f>
        <v/>
      </c>
      <c r="V847" s="47"/>
      <c r="W847" s="38"/>
      <c r="X847" s="38"/>
      <c r="Y847" s="44"/>
      <c r="Z847" s="44"/>
      <c r="AA847" s="45" t="str">
        <f aca="false">IF(AND($Y847="",$Z847=""),"",ROUND(IFERROR(VALUE(LEFT($Y847,1)),0)*12+IFERROR(VALUE(LEFT($Z847,1)),0)*8,0))</f>
        <v/>
      </c>
      <c r="AB847" s="45" t="str">
        <f aca="false">IF($AA847="","",IF($AA847&gt;=80,"A - call first",IF($AA847&gt;=60,"B - worth pursuing",IF($AA847&gt;=40,"C - nurture","D - do not spend time here"))))</f>
        <v/>
      </c>
      <c r="AC847" s="46" t="str">
        <f aca="false">IF($C847="","",IF($S847="Converted","7 Certification / Enterprise opportunity",IF($S847="Application Started","7 Certification / Enterprise opportunity",IF($S847="Meeting Booked","6 Meeting / Application",IF(OR($S847="Interested",$S847="Info Requested"),"5 Interested",IF(OR($S847="Declined",$S847="Not Relevant"),"0 Closed - no",IF($R847="Yes","4 Contacted",IF($N847="Yes","2 Engaged",IF($M847="Yes","1 Awareness",IF($AA847&gt;=60,"3 Qualified","1 Awareness"))))))))))</f>
        <v/>
      </c>
    </row>
    <row r="848" customFormat="false" ht="30" hidden="false" customHeight="true" outlineLevel="0" collapsed="false">
      <c r="A848" s="36"/>
      <c r="B848" s="37"/>
      <c r="C848" s="37"/>
      <c r="D848" s="37"/>
      <c r="E848" s="37"/>
      <c r="F848" s="37"/>
      <c r="G848" s="37"/>
      <c r="H848" s="37"/>
      <c r="I848" s="37"/>
      <c r="J848" s="47"/>
      <c r="K848" s="41" t="str">
        <f aca="false">IF(J848="","",IF(J848&gt;=8,"Yes","Check"))</f>
        <v/>
      </c>
      <c r="L848" s="38"/>
      <c r="M848" s="47"/>
      <c r="N848" s="47"/>
      <c r="O848" s="37"/>
      <c r="P848" s="38"/>
      <c r="Q848" s="42" t="str">
        <f aca="false">IF(P848="","",LEN(P848))</f>
        <v/>
      </c>
      <c r="R848" s="47"/>
      <c r="S848" s="37"/>
      <c r="T848" s="38"/>
      <c r="U848" s="43" t="str">
        <f aca="false">IF(OR(R848&lt;&gt;"Yes",A848=""),"",A848+4)</f>
        <v/>
      </c>
      <c r="V848" s="47"/>
      <c r="W848" s="38"/>
      <c r="X848" s="38"/>
      <c r="Y848" s="44"/>
      <c r="Z848" s="44"/>
      <c r="AA848" s="45" t="str">
        <f aca="false">IF(AND($Y848="",$Z848=""),"",ROUND(IFERROR(VALUE(LEFT($Y848,1)),0)*12+IFERROR(VALUE(LEFT($Z848,1)),0)*8,0))</f>
        <v/>
      </c>
      <c r="AB848" s="45" t="str">
        <f aca="false">IF($AA848="","",IF($AA848&gt;=80,"A - call first",IF($AA848&gt;=60,"B - worth pursuing",IF($AA848&gt;=40,"C - nurture","D - do not spend time here"))))</f>
        <v/>
      </c>
      <c r="AC848" s="46" t="str">
        <f aca="false">IF($C848="","",IF($S848="Converted","7 Certification / Enterprise opportunity",IF($S848="Application Started","7 Certification / Enterprise opportunity",IF($S848="Meeting Booked","6 Meeting / Application",IF(OR($S848="Interested",$S848="Info Requested"),"5 Interested",IF(OR($S848="Declined",$S848="Not Relevant"),"0 Closed - no",IF($R848="Yes","4 Contacted",IF($N848="Yes","2 Engaged",IF($M848="Yes","1 Awareness",IF($AA848&gt;=60,"3 Qualified","1 Awareness"))))))))))</f>
        <v/>
      </c>
    </row>
    <row r="849" customFormat="false" ht="30" hidden="false" customHeight="true" outlineLevel="0" collapsed="false">
      <c r="A849" s="36"/>
      <c r="B849" s="37"/>
      <c r="C849" s="37"/>
      <c r="D849" s="37"/>
      <c r="E849" s="37"/>
      <c r="F849" s="37"/>
      <c r="G849" s="37"/>
      <c r="H849" s="37"/>
      <c r="I849" s="37"/>
      <c r="J849" s="47"/>
      <c r="K849" s="41" t="str">
        <f aca="false">IF(J849="","",IF(J849&gt;=8,"Yes","Check"))</f>
        <v/>
      </c>
      <c r="L849" s="38"/>
      <c r="M849" s="47"/>
      <c r="N849" s="47"/>
      <c r="O849" s="37"/>
      <c r="P849" s="38"/>
      <c r="Q849" s="42" t="str">
        <f aca="false">IF(P849="","",LEN(P849))</f>
        <v/>
      </c>
      <c r="R849" s="47"/>
      <c r="S849" s="37"/>
      <c r="T849" s="38"/>
      <c r="U849" s="43" t="str">
        <f aca="false">IF(OR(R849&lt;&gt;"Yes",A849=""),"",A849+4)</f>
        <v/>
      </c>
      <c r="V849" s="47"/>
      <c r="W849" s="38"/>
      <c r="X849" s="38"/>
      <c r="Y849" s="44"/>
      <c r="Z849" s="44"/>
      <c r="AA849" s="45" t="str">
        <f aca="false">IF(AND($Y849="",$Z849=""),"",ROUND(IFERROR(VALUE(LEFT($Y849,1)),0)*12+IFERROR(VALUE(LEFT($Z849,1)),0)*8,0))</f>
        <v/>
      </c>
      <c r="AB849" s="45" t="str">
        <f aca="false">IF($AA849="","",IF($AA849&gt;=80,"A - call first",IF($AA849&gt;=60,"B - worth pursuing",IF($AA849&gt;=40,"C - nurture","D - do not spend time here"))))</f>
        <v/>
      </c>
      <c r="AC849" s="46" t="str">
        <f aca="false">IF($C849="","",IF($S849="Converted","7 Certification / Enterprise opportunity",IF($S849="Application Started","7 Certification / Enterprise opportunity",IF($S849="Meeting Booked","6 Meeting / Application",IF(OR($S849="Interested",$S849="Info Requested"),"5 Interested",IF(OR($S849="Declined",$S849="Not Relevant"),"0 Closed - no",IF($R849="Yes","4 Contacted",IF($N849="Yes","2 Engaged",IF($M849="Yes","1 Awareness",IF($AA849&gt;=60,"3 Qualified","1 Awareness"))))))))))</f>
        <v/>
      </c>
    </row>
    <row r="850" customFormat="false" ht="30" hidden="false" customHeight="true" outlineLevel="0" collapsed="false">
      <c r="A850" s="36"/>
      <c r="B850" s="37"/>
      <c r="C850" s="37"/>
      <c r="D850" s="37"/>
      <c r="E850" s="37"/>
      <c r="F850" s="37"/>
      <c r="G850" s="37"/>
      <c r="H850" s="37"/>
      <c r="I850" s="37"/>
      <c r="J850" s="47"/>
      <c r="K850" s="41" t="str">
        <f aca="false">IF(J850="","",IF(J850&gt;=8,"Yes","Check"))</f>
        <v/>
      </c>
      <c r="L850" s="38"/>
      <c r="M850" s="47"/>
      <c r="N850" s="47"/>
      <c r="O850" s="37"/>
      <c r="P850" s="38"/>
      <c r="Q850" s="42" t="str">
        <f aca="false">IF(P850="","",LEN(P850))</f>
        <v/>
      </c>
      <c r="R850" s="47"/>
      <c r="S850" s="37"/>
      <c r="T850" s="38"/>
      <c r="U850" s="43" t="str">
        <f aca="false">IF(OR(R850&lt;&gt;"Yes",A850=""),"",A850+4)</f>
        <v/>
      </c>
      <c r="V850" s="47"/>
      <c r="W850" s="38"/>
      <c r="X850" s="38"/>
      <c r="Y850" s="44"/>
      <c r="Z850" s="44"/>
      <c r="AA850" s="45" t="str">
        <f aca="false">IF(AND($Y850="",$Z850=""),"",ROUND(IFERROR(VALUE(LEFT($Y850,1)),0)*12+IFERROR(VALUE(LEFT($Z850,1)),0)*8,0))</f>
        <v/>
      </c>
      <c r="AB850" s="45" t="str">
        <f aca="false">IF($AA850="","",IF($AA850&gt;=80,"A - call first",IF($AA850&gt;=60,"B - worth pursuing",IF($AA850&gt;=40,"C - nurture","D - do not spend time here"))))</f>
        <v/>
      </c>
      <c r="AC850" s="46" t="str">
        <f aca="false">IF($C850="","",IF($S850="Converted","7 Certification / Enterprise opportunity",IF($S850="Application Started","7 Certification / Enterprise opportunity",IF($S850="Meeting Booked","6 Meeting / Application",IF(OR($S850="Interested",$S850="Info Requested"),"5 Interested",IF(OR($S850="Declined",$S850="Not Relevant"),"0 Closed - no",IF($R850="Yes","4 Contacted",IF($N850="Yes","2 Engaged",IF($M850="Yes","1 Awareness",IF($AA850&gt;=60,"3 Qualified","1 Awareness"))))))))))</f>
        <v/>
      </c>
    </row>
    <row r="851" customFormat="false" ht="30" hidden="false" customHeight="true" outlineLevel="0" collapsed="false">
      <c r="A851" s="36"/>
      <c r="B851" s="37"/>
      <c r="C851" s="37"/>
      <c r="D851" s="37"/>
      <c r="E851" s="37"/>
      <c r="F851" s="37"/>
      <c r="G851" s="37"/>
      <c r="H851" s="37"/>
      <c r="I851" s="37"/>
      <c r="J851" s="47"/>
      <c r="K851" s="41" t="str">
        <f aca="false">IF(J851="","",IF(J851&gt;=8,"Yes","Check"))</f>
        <v/>
      </c>
      <c r="L851" s="38"/>
      <c r="M851" s="47"/>
      <c r="N851" s="47"/>
      <c r="O851" s="37"/>
      <c r="P851" s="38"/>
      <c r="Q851" s="42" t="str">
        <f aca="false">IF(P851="","",LEN(P851))</f>
        <v/>
      </c>
      <c r="R851" s="47"/>
      <c r="S851" s="37"/>
      <c r="T851" s="38"/>
      <c r="U851" s="43" t="str">
        <f aca="false">IF(OR(R851&lt;&gt;"Yes",A851=""),"",A851+4)</f>
        <v/>
      </c>
      <c r="V851" s="47"/>
      <c r="W851" s="38"/>
      <c r="X851" s="38"/>
      <c r="Y851" s="44"/>
      <c r="Z851" s="44"/>
      <c r="AA851" s="45" t="str">
        <f aca="false">IF(AND($Y851="",$Z851=""),"",ROUND(IFERROR(VALUE(LEFT($Y851,1)),0)*12+IFERROR(VALUE(LEFT($Z851,1)),0)*8,0))</f>
        <v/>
      </c>
      <c r="AB851" s="45" t="str">
        <f aca="false">IF($AA851="","",IF($AA851&gt;=80,"A - call first",IF($AA851&gt;=60,"B - worth pursuing",IF($AA851&gt;=40,"C - nurture","D - do not spend time here"))))</f>
        <v/>
      </c>
      <c r="AC851" s="46" t="str">
        <f aca="false">IF($C851="","",IF($S851="Converted","7 Certification / Enterprise opportunity",IF($S851="Application Started","7 Certification / Enterprise opportunity",IF($S851="Meeting Booked","6 Meeting / Application",IF(OR($S851="Interested",$S851="Info Requested"),"5 Interested",IF(OR($S851="Declined",$S851="Not Relevant"),"0 Closed - no",IF($R851="Yes","4 Contacted",IF($N851="Yes","2 Engaged",IF($M851="Yes","1 Awareness",IF($AA851&gt;=60,"3 Qualified","1 Awareness"))))))))))</f>
        <v/>
      </c>
    </row>
    <row r="852" customFormat="false" ht="30" hidden="false" customHeight="true" outlineLevel="0" collapsed="false">
      <c r="A852" s="36"/>
      <c r="B852" s="37"/>
      <c r="C852" s="37"/>
      <c r="D852" s="37"/>
      <c r="E852" s="37"/>
      <c r="F852" s="37"/>
      <c r="G852" s="37"/>
      <c r="H852" s="37"/>
      <c r="I852" s="37"/>
      <c r="J852" s="47"/>
      <c r="K852" s="41" t="str">
        <f aca="false">IF(J852="","",IF(J852&gt;=8,"Yes","Check"))</f>
        <v/>
      </c>
      <c r="L852" s="38"/>
      <c r="M852" s="47"/>
      <c r="N852" s="47"/>
      <c r="O852" s="37"/>
      <c r="P852" s="38"/>
      <c r="Q852" s="42" t="str">
        <f aca="false">IF(P852="","",LEN(P852))</f>
        <v/>
      </c>
      <c r="R852" s="47"/>
      <c r="S852" s="37"/>
      <c r="T852" s="38"/>
      <c r="U852" s="43" t="str">
        <f aca="false">IF(OR(R852&lt;&gt;"Yes",A852=""),"",A852+4)</f>
        <v/>
      </c>
      <c r="V852" s="47"/>
      <c r="W852" s="38"/>
      <c r="X852" s="38"/>
      <c r="Y852" s="44"/>
      <c r="Z852" s="44"/>
      <c r="AA852" s="45" t="str">
        <f aca="false">IF(AND($Y852="",$Z852=""),"",ROUND(IFERROR(VALUE(LEFT($Y852,1)),0)*12+IFERROR(VALUE(LEFT($Z852,1)),0)*8,0))</f>
        <v/>
      </c>
      <c r="AB852" s="45" t="str">
        <f aca="false">IF($AA852="","",IF($AA852&gt;=80,"A - call first",IF($AA852&gt;=60,"B - worth pursuing",IF($AA852&gt;=40,"C - nurture","D - do not spend time here"))))</f>
        <v/>
      </c>
      <c r="AC852" s="46" t="str">
        <f aca="false">IF($C852="","",IF($S852="Converted","7 Certification / Enterprise opportunity",IF($S852="Application Started","7 Certification / Enterprise opportunity",IF($S852="Meeting Booked","6 Meeting / Application",IF(OR($S852="Interested",$S852="Info Requested"),"5 Interested",IF(OR($S852="Declined",$S852="Not Relevant"),"0 Closed - no",IF($R852="Yes","4 Contacted",IF($N852="Yes","2 Engaged",IF($M852="Yes","1 Awareness",IF($AA852&gt;=60,"3 Qualified","1 Awareness"))))))))))</f>
        <v/>
      </c>
    </row>
    <row r="853" customFormat="false" ht="30" hidden="false" customHeight="true" outlineLevel="0" collapsed="false">
      <c r="A853" s="36"/>
      <c r="B853" s="37"/>
      <c r="C853" s="37"/>
      <c r="D853" s="37"/>
      <c r="E853" s="37"/>
      <c r="F853" s="37"/>
      <c r="G853" s="37"/>
      <c r="H853" s="37"/>
      <c r="I853" s="37"/>
      <c r="J853" s="47"/>
      <c r="K853" s="41" t="str">
        <f aca="false">IF(J853="","",IF(J853&gt;=8,"Yes","Check"))</f>
        <v/>
      </c>
      <c r="L853" s="38"/>
      <c r="M853" s="47"/>
      <c r="N853" s="47"/>
      <c r="O853" s="37"/>
      <c r="P853" s="38"/>
      <c r="Q853" s="42" t="str">
        <f aca="false">IF(P853="","",LEN(P853))</f>
        <v/>
      </c>
      <c r="R853" s="47"/>
      <c r="S853" s="37"/>
      <c r="T853" s="38"/>
      <c r="U853" s="43" t="str">
        <f aca="false">IF(OR(R853&lt;&gt;"Yes",A853=""),"",A853+4)</f>
        <v/>
      </c>
      <c r="V853" s="47"/>
      <c r="W853" s="38"/>
      <c r="X853" s="38"/>
      <c r="Y853" s="44"/>
      <c r="Z853" s="44"/>
      <c r="AA853" s="45" t="str">
        <f aca="false">IF(AND($Y853="",$Z853=""),"",ROUND(IFERROR(VALUE(LEFT($Y853,1)),0)*12+IFERROR(VALUE(LEFT($Z853,1)),0)*8,0))</f>
        <v/>
      </c>
      <c r="AB853" s="45" t="str">
        <f aca="false">IF($AA853="","",IF($AA853&gt;=80,"A - call first",IF($AA853&gt;=60,"B - worth pursuing",IF($AA853&gt;=40,"C - nurture","D - do not spend time here"))))</f>
        <v/>
      </c>
      <c r="AC853" s="46" t="str">
        <f aca="false">IF($C853="","",IF($S853="Converted","7 Certification / Enterprise opportunity",IF($S853="Application Started","7 Certification / Enterprise opportunity",IF($S853="Meeting Booked","6 Meeting / Application",IF(OR($S853="Interested",$S853="Info Requested"),"5 Interested",IF(OR($S853="Declined",$S853="Not Relevant"),"0 Closed - no",IF($R853="Yes","4 Contacted",IF($N853="Yes","2 Engaged",IF($M853="Yes","1 Awareness",IF($AA853&gt;=60,"3 Qualified","1 Awareness"))))))))))</f>
        <v/>
      </c>
    </row>
    <row r="854" customFormat="false" ht="30" hidden="false" customHeight="true" outlineLevel="0" collapsed="false">
      <c r="A854" s="36"/>
      <c r="B854" s="37"/>
      <c r="C854" s="37"/>
      <c r="D854" s="37"/>
      <c r="E854" s="37"/>
      <c r="F854" s="37"/>
      <c r="G854" s="37"/>
      <c r="H854" s="37"/>
      <c r="I854" s="37"/>
      <c r="J854" s="47"/>
      <c r="K854" s="41" t="str">
        <f aca="false">IF(J854="","",IF(J854&gt;=8,"Yes","Check"))</f>
        <v/>
      </c>
      <c r="L854" s="38"/>
      <c r="M854" s="47"/>
      <c r="N854" s="47"/>
      <c r="O854" s="37"/>
      <c r="P854" s="38"/>
      <c r="Q854" s="42" t="str">
        <f aca="false">IF(P854="","",LEN(P854))</f>
        <v/>
      </c>
      <c r="R854" s="47"/>
      <c r="S854" s="37"/>
      <c r="T854" s="38"/>
      <c r="U854" s="43" t="str">
        <f aca="false">IF(OR(R854&lt;&gt;"Yes",A854=""),"",A854+4)</f>
        <v/>
      </c>
      <c r="V854" s="47"/>
      <c r="W854" s="38"/>
      <c r="X854" s="38"/>
      <c r="Y854" s="44"/>
      <c r="Z854" s="44"/>
      <c r="AA854" s="45" t="str">
        <f aca="false">IF(AND($Y854="",$Z854=""),"",ROUND(IFERROR(VALUE(LEFT($Y854,1)),0)*12+IFERROR(VALUE(LEFT($Z854,1)),0)*8,0))</f>
        <v/>
      </c>
      <c r="AB854" s="45" t="str">
        <f aca="false">IF($AA854="","",IF($AA854&gt;=80,"A - call first",IF($AA854&gt;=60,"B - worth pursuing",IF($AA854&gt;=40,"C - nurture","D - do not spend time here"))))</f>
        <v/>
      </c>
      <c r="AC854" s="46" t="str">
        <f aca="false">IF($C854="","",IF($S854="Converted","7 Certification / Enterprise opportunity",IF($S854="Application Started","7 Certification / Enterprise opportunity",IF($S854="Meeting Booked","6 Meeting / Application",IF(OR($S854="Interested",$S854="Info Requested"),"5 Interested",IF(OR($S854="Declined",$S854="Not Relevant"),"0 Closed - no",IF($R854="Yes","4 Contacted",IF($N854="Yes","2 Engaged",IF($M854="Yes","1 Awareness",IF($AA854&gt;=60,"3 Qualified","1 Awareness"))))))))))</f>
        <v/>
      </c>
    </row>
    <row r="855" customFormat="false" ht="30" hidden="false" customHeight="true" outlineLevel="0" collapsed="false">
      <c r="A855" s="36"/>
      <c r="B855" s="37"/>
      <c r="C855" s="37"/>
      <c r="D855" s="37"/>
      <c r="E855" s="37"/>
      <c r="F855" s="37"/>
      <c r="G855" s="37"/>
      <c r="H855" s="37"/>
      <c r="I855" s="37"/>
      <c r="J855" s="47"/>
      <c r="K855" s="41" t="str">
        <f aca="false">IF(J855="","",IF(J855&gt;=8,"Yes","Check"))</f>
        <v/>
      </c>
      <c r="L855" s="38"/>
      <c r="M855" s="47"/>
      <c r="N855" s="47"/>
      <c r="O855" s="37"/>
      <c r="P855" s="38"/>
      <c r="Q855" s="42" t="str">
        <f aca="false">IF(P855="","",LEN(P855))</f>
        <v/>
      </c>
      <c r="R855" s="47"/>
      <c r="S855" s="37"/>
      <c r="T855" s="38"/>
      <c r="U855" s="43" t="str">
        <f aca="false">IF(OR(R855&lt;&gt;"Yes",A855=""),"",A855+4)</f>
        <v/>
      </c>
      <c r="V855" s="47"/>
      <c r="W855" s="38"/>
      <c r="X855" s="38"/>
      <c r="Y855" s="44"/>
      <c r="Z855" s="44"/>
      <c r="AA855" s="45" t="str">
        <f aca="false">IF(AND($Y855="",$Z855=""),"",ROUND(IFERROR(VALUE(LEFT($Y855,1)),0)*12+IFERROR(VALUE(LEFT($Z855,1)),0)*8,0))</f>
        <v/>
      </c>
      <c r="AB855" s="45" t="str">
        <f aca="false">IF($AA855="","",IF($AA855&gt;=80,"A - call first",IF($AA855&gt;=60,"B - worth pursuing",IF($AA855&gt;=40,"C - nurture","D - do not spend time here"))))</f>
        <v/>
      </c>
      <c r="AC855" s="46" t="str">
        <f aca="false">IF($C855="","",IF($S855="Converted","7 Certification / Enterprise opportunity",IF($S855="Application Started","7 Certification / Enterprise opportunity",IF($S855="Meeting Booked","6 Meeting / Application",IF(OR($S855="Interested",$S855="Info Requested"),"5 Interested",IF(OR($S855="Declined",$S855="Not Relevant"),"0 Closed - no",IF($R855="Yes","4 Contacted",IF($N855="Yes","2 Engaged",IF($M855="Yes","1 Awareness",IF($AA855&gt;=60,"3 Qualified","1 Awareness"))))))))))</f>
        <v/>
      </c>
    </row>
    <row r="856" customFormat="false" ht="30" hidden="false" customHeight="true" outlineLevel="0" collapsed="false">
      <c r="A856" s="36"/>
      <c r="B856" s="37"/>
      <c r="C856" s="37"/>
      <c r="D856" s="37"/>
      <c r="E856" s="37"/>
      <c r="F856" s="37"/>
      <c r="G856" s="37"/>
      <c r="H856" s="37"/>
      <c r="I856" s="37"/>
      <c r="J856" s="47"/>
      <c r="K856" s="41" t="str">
        <f aca="false">IF(J856="","",IF(J856&gt;=8,"Yes","Check"))</f>
        <v/>
      </c>
      <c r="L856" s="38"/>
      <c r="M856" s="47"/>
      <c r="N856" s="47"/>
      <c r="O856" s="37"/>
      <c r="P856" s="38"/>
      <c r="Q856" s="42" t="str">
        <f aca="false">IF(P856="","",LEN(P856))</f>
        <v/>
      </c>
      <c r="R856" s="47"/>
      <c r="S856" s="37"/>
      <c r="T856" s="38"/>
      <c r="U856" s="43" t="str">
        <f aca="false">IF(OR(R856&lt;&gt;"Yes",A856=""),"",A856+4)</f>
        <v/>
      </c>
      <c r="V856" s="47"/>
      <c r="W856" s="38"/>
      <c r="X856" s="38"/>
      <c r="Y856" s="44"/>
      <c r="Z856" s="44"/>
      <c r="AA856" s="45" t="str">
        <f aca="false">IF(AND($Y856="",$Z856=""),"",ROUND(IFERROR(VALUE(LEFT($Y856,1)),0)*12+IFERROR(VALUE(LEFT($Z856,1)),0)*8,0))</f>
        <v/>
      </c>
      <c r="AB856" s="45" t="str">
        <f aca="false">IF($AA856="","",IF($AA856&gt;=80,"A - call first",IF($AA856&gt;=60,"B - worth pursuing",IF($AA856&gt;=40,"C - nurture","D - do not spend time here"))))</f>
        <v/>
      </c>
      <c r="AC856" s="46" t="str">
        <f aca="false">IF($C856="","",IF($S856="Converted","7 Certification / Enterprise opportunity",IF($S856="Application Started","7 Certification / Enterprise opportunity",IF($S856="Meeting Booked","6 Meeting / Application",IF(OR($S856="Interested",$S856="Info Requested"),"5 Interested",IF(OR($S856="Declined",$S856="Not Relevant"),"0 Closed - no",IF($R856="Yes","4 Contacted",IF($N856="Yes","2 Engaged",IF($M856="Yes","1 Awareness",IF($AA856&gt;=60,"3 Qualified","1 Awareness"))))))))))</f>
        <v/>
      </c>
    </row>
    <row r="857" customFormat="false" ht="30" hidden="false" customHeight="true" outlineLevel="0" collapsed="false">
      <c r="A857" s="36"/>
      <c r="B857" s="37"/>
      <c r="C857" s="37"/>
      <c r="D857" s="37"/>
      <c r="E857" s="37"/>
      <c r="F857" s="37"/>
      <c r="G857" s="37"/>
      <c r="H857" s="37"/>
      <c r="I857" s="37"/>
      <c r="J857" s="47"/>
      <c r="K857" s="41" t="str">
        <f aca="false">IF(J857="","",IF(J857&gt;=8,"Yes","Check"))</f>
        <v/>
      </c>
      <c r="L857" s="38"/>
      <c r="M857" s="47"/>
      <c r="N857" s="47"/>
      <c r="O857" s="37"/>
      <c r="P857" s="38"/>
      <c r="Q857" s="42" t="str">
        <f aca="false">IF(P857="","",LEN(P857))</f>
        <v/>
      </c>
      <c r="R857" s="47"/>
      <c r="S857" s="37"/>
      <c r="T857" s="38"/>
      <c r="U857" s="43" t="str">
        <f aca="false">IF(OR(R857&lt;&gt;"Yes",A857=""),"",A857+4)</f>
        <v/>
      </c>
      <c r="V857" s="47"/>
      <c r="W857" s="38"/>
      <c r="X857" s="38"/>
      <c r="Y857" s="44"/>
      <c r="Z857" s="44"/>
      <c r="AA857" s="45" t="str">
        <f aca="false">IF(AND($Y857="",$Z857=""),"",ROUND(IFERROR(VALUE(LEFT($Y857,1)),0)*12+IFERROR(VALUE(LEFT($Z857,1)),0)*8,0))</f>
        <v/>
      </c>
      <c r="AB857" s="45" t="str">
        <f aca="false">IF($AA857="","",IF($AA857&gt;=80,"A - call first",IF($AA857&gt;=60,"B - worth pursuing",IF($AA857&gt;=40,"C - nurture","D - do not spend time here"))))</f>
        <v/>
      </c>
      <c r="AC857" s="46" t="str">
        <f aca="false">IF($C857="","",IF($S857="Converted","7 Certification / Enterprise opportunity",IF($S857="Application Started","7 Certification / Enterprise opportunity",IF($S857="Meeting Booked","6 Meeting / Application",IF(OR($S857="Interested",$S857="Info Requested"),"5 Interested",IF(OR($S857="Declined",$S857="Not Relevant"),"0 Closed - no",IF($R857="Yes","4 Contacted",IF($N857="Yes","2 Engaged",IF($M857="Yes","1 Awareness",IF($AA857&gt;=60,"3 Qualified","1 Awareness"))))))))))</f>
        <v/>
      </c>
    </row>
    <row r="858" customFormat="false" ht="30" hidden="false" customHeight="true" outlineLevel="0" collapsed="false">
      <c r="A858" s="36"/>
      <c r="B858" s="37"/>
      <c r="C858" s="37"/>
      <c r="D858" s="37"/>
      <c r="E858" s="37"/>
      <c r="F858" s="37"/>
      <c r="G858" s="37"/>
      <c r="H858" s="37"/>
      <c r="I858" s="37"/>
      <c r="J858" s="47"/>
      <c r="K858" s="41" t="str">
        <f aca="false">IF(J858="","",IF(J858&gt;=8,"Yes","Check"))</f>
        <v/>
      </c>
      <c r="L858" s="38"/>
      <c r="M858" s="47"/>
      <c r="N858" s="47"/>
      <c r="O858" s="37"/>
      <c r="P858" s="38"/>
      <c r="Q858" s="42" t="str">
        <f aca="false">IF(P858="","",LEN(P858))</f>
        <v/>
      </c>
      <c r="R858" s="47"/>
      <c r="S858" s="37"/>
      <c r="T858" s="38"/>
      <c r="U858" s="43" t="str">
        <f aca="false">IF(OR(R858&lt;&gt;"Yes",A858=""),"",A858+4)</f>
        <v/>
      </c>
      <c r="V858" s="47"/>
      <c r="W858" s="38"/>
      <c r="X858" s="38"/>
      <c r="Y858" s="44"/>
      <c r="Z858" s="44"/>
      <c r="AA858" s="45" t="str">
        <f aca="false">IF(AND($Y858="",$Z858=""),"",ROUND(IFERROR(VALUE(LEFT($Y858,1)),0)*12+IFERROR(VALUE(LEFT($Z858,1)),0)*8,0))</f>
        <v/>
      </c>
      <c r="AB858" s="45" t="str">
        <f aca="false">IF($AA858="","",IF($AA858&gt;=80,"A - call first",IF($AA858&gt;=60,"B - worth pursuing",IF($AA858&gt;=40,"C - nurture","D - do not spend time here"))))</f>
        <v/>
      </c>
      <c r="AC858" s="46" t="str">
        <f aca="false">IF($C858="","",IF($S858="Converted","7 Certification / Enterprise opportunity",IF($S858="Application Started","7 Certification / Enterprise opportunity",IF($S858="Meeting Booked","6 Meeting / Application",IF(OR($S858="Interested",$S858="Info Requested"),"5 Interested",IF(OR($S858="Declined",$S858="Not Relevant"),"0 Closed - no",IF($R858="Yes","4 Contacted",IF($N858="Yes","2 Engaged",IF($M858="Yes","1 Awareness",IF($AA858&gt;=60,"3 Qualified","1 Awareness"))))))))))</f>
        <v/>
      </c>
    </row>
    <row r="859" customFormat="false" ht="30" hidden="false" customHeight="true" outlineLevel="0" collapsed="false">
      <c r="A859" s="36"/>
      <c r="B859" s="37"/>
      <c r="C859" s="37"/>
      <c r="D859" s="37"/>
      <c r="E859" s="37"/>
      <c r="F859" s="37"/>
      <c r="G859" s="37"/>
      <c r="H859" s="37"/>
      <c r="I859" s="37"/>
      <c r="J859" s="47"/>
      <c r="K859" s="41" t="str">
        <f aca="false">IF(J859="","",IF(J859&gt;=8,"Yes","Check"))</f>
        <v/>
      </c>
      <c r="L859" s="38"/>
      <c r="M859" s="47"/>
      <c r="N859" s="47"/>
      <c r="O859" s="37"/>
      <c r="P859" s="38"/>
      <c r="Q859" s="42" t="str">
        <f aca="false">IF(P859="","",LEN(P859))</f>
        <v/>
      </c>
      <c r="R859" s="47"/>
      <c r="S859" s="37"/>
      <c r="T859" s="38"/>
      <c r="U859" s="43" t="str">
        <f aca="false">IF(OR(R859&lt;&gt;"Yes",A859=""),"",A859+4)</f>
        <v/>
      </c>
      <c r="V859" s="47"/>
      <c r="W859" s="38"/>
      <c r="X859" s="38"/>
      <c r="Y859" s="44"/>
      <c r="Z859" s="44"/>
      <c r="AA859" s="45" t="str">
        <f aca="false">IF(AND($Y859="",$Z859=""),"",ROUND(IFERROR(VALUE(LEFT($Y859,1)),0)*12+IFERROR(VALUE(LEFT($Z859,1)),0)*8,0))</f>
        <v/>
      </c>
      <c r="AB859" s="45" t="str">
        <f aca="false">IF($AA859="","",IF($AA859&gt;=80,"A - call first",IF($AA859&gt;=60,"B - worth pursuing",IF($AA859&gt;=40,"C - nurture","D - do not spend time here"))))</f>
        <v/>
      </c>
      <c r="AC859" s="46" t="str">
        <f aca="false">IF($C859="","",IF($S859="Converted","7 Certification / Enterprise opportunity",IF($S859="Application Started","7 Certification / Enterprise opportunity",IF($S859="Meeting Booked","6 Meeting / Application",IF(OR($S859="Interested",$S859="Info Requested"),"5 Interested",IF(OR($S859="Declined",$S859="Not Relevant"),"0 Closed - no",IF($R859="Yes","4 Contacted",IF($N859="Yes","2 Engaged",IF($M859="Yes","1 Awareness",IF($AA859&gt;=60,"3 Qualified","1 Awareness"))))))))))</f>
        <v/>
      </c>
    </row>
    <row r="860" customFormat="false" ht="30" hidden="false" customHeight="true" outlineLevel="0" collapsed="false">
      <c r="A860" s="36"/>
      <c r="B860" s="37"/>
      <c r="C860" s="37"/>
      <c r="D860" s="37"/>
      <c r="E860" s="37"/>
      <c r="F860" s="37"/>
      <c r="G860" s="37"/>
      <c r="H860" s="37"/>
      <c r="I860" s="37"/>
      <c r="J860" s="47"/>
      <c r="K860" s="41" t="str">
        <f aca="false">IF(J860="","",IF(J860&gt;=8,"Yes","Check"))</f>
        <v/>
      </c>
      <c r="L860" s="38"/>
      <c r="M860" s="47"/>
      <c r="N860" s="47"/>
      <c r="O860" s="37"/>
      <c r="P860" s="38"/>
      <c r="Q860" s="42" t="str">
        <f aca="false">IF(P860="","",LEN(P860))</f>
        <v/>
      </c>
      <c r="R860" s="47"/>
      <c r="S860" s="37"/>
      <c r="T860" s="38"/>
      <c r="U860" s="43" t="str">
        <f aca="false">IF(OR(R860&lt;&gt;"Yes",A860=""),"",A860+4)</f>
        <v/>
      </c>
      <c r="V860" s="47"/>
      <c r="W860" s="38"/>
      <c r="X860" s="38"/>
      <c r="Y860" s="44"/>
      <c r="Z860" s="44"/>
      <c r="AA860" s="45" t="str">
        <f aca="false">IF(AND($Y860="",$Z860=""),"",ROUND(IFERROR(VALUE(LEFT($Y860,1)),0)*12+IFERROR(VALUE(LEFT($Z860,1)),0)*8,0))</f>
        <v/>
      </c>
      <c r="AB860" s="45" t="str">
        <f aca="false">IF($AA860="","",IF($AA860&gt;=80,"A - call first",IF($AA860&gt;=60,"B - worth pursuing",IF($AA860&gt;=40,"C - nurture","D - do not spend time here"))))</f>
        <v/>
      </c>
      <c r="AC860" s="46" t="str">
        <f aca="false">IF($C860="","",IF($S860="Converted","7 Certification / Enterprise opportunity",IF($S860="Application Started","7 Certification / Enterprise opportunity",IF($S860="Meeting Booked","6 Meeting / Application",IF(OR($S860="Interested",$S860="Info Requested"),"5 Interested",IF(OR($S860="Declined",$S860="Not Relevant"),"0 Closed - no",IF($R860="Yes","4 Contacted",IF($N860="Yes","2 Engaged",IF($M860="Yes","1 Awareness",IF($AA860&gt;=60,"3 Qualified","1 Awareness"))))))))))</f>
        <v/>
      </c>
    </row>
    <row r="861" customFormat="false" ht="30" hidden="false" customHeight="true" outlineLevel="0" collapsed="false">
      <c r="A861" s="36"/>
      <c r="B861" s="37"/>
      <c r="C861" s="37"/>
      <c r="D861" s="37"/>
      <c r="E861" s="37"/>
      <c r="F861" s="37"/>
      <c r="G861" s="37"/>
      <c r="H861" s="37"/>
      <c r="I861" s="37"/>
      <c r="J861" s="47"/>
      <c r="K861" s="41" t="str">
        <f aca="false">IF(J861="","",IF(J861&gt;=8,"Yes","Check"))</f>
        <v/>
      </c>
      <c r="L861" s="38"/>
      <c r="M861" s="47"/>
      <c r="N861" s="47"/>
      <c r="O861" s="37"/>
      <c r="P861" s="38"/>
      <c r="Q861" s="42" t="str">
        <f aca="false">IF(P861="","",LEN(P861))</f>
        <v/>
      </c>
      <c r="R861" s="47"/>
      <c r="S861" s="37"/>
      <c r="T861" s="38"/>
      <c r="U861" s="43" t="str">
        <f aca="false">IF(OR(R861&lt;&gt;"Yes",A861=""),"",A861+4)</f>
        <v/>
      </c>
      <c r="V861" s="47"/>
      <c r="W861" s="38"/>
      <c r="X861" s="38"/>
      <c r="Y861" s="44"/>
      <c r="Z861" s="44"/>
      <c r="AA861" s="45" t="str">
        <f aca="false">IF(AND($Y861="",$Z861=""),"",ROUND(IFERROR(VALUE(LEFT($Y861,1)),0)*12+IFERROR(VALUE(LEFT($Z861,1)),0)*8,0))</f>
        <v/>
      </c>
      <c r="AB861" s="45" t="str">
        <f aca="false">IF($AA861="","",IF($AA861&gt;=80,"A - call first",IF($AA861&gt;=60,"B - worth pursuing",IF($AA861&gt;=40,"C - nurture","D - do not spend time here"))))</f>
        <v/>
      </c>
      <c r="AC861" s="46" t="str">
        <f aca="false">IF($C861="","",IF($S861="Converted","7 Certification / Enterprise opportunity",IF($S861="Application Started","7 Certification / Enterprise opportunity",IF($S861="Meeting Booked","6 Meeting / Application",IF(OR($S861="Interested",$S861="Info Requested"),"5 Interested",IF(OR($S861="Declined",$S861="Not Relevant"),"0 Closed - no",IF($R861="Yes","4 Contacted",IF($N861="Yes","2 Engaged",IF($M861="Yes","1 Awareness",IF($AA861&gt;=60,"3 Qualified","1 Awareness"))))))))))</f>
        <v/>
      </c>
    </row>
    <row r="862" customFormat="false" ht="30" hidden="false" customHeight="true" outlineLevel="0" collapsed="false">
      <c r="A862" s="36"/>
      <c r="B862" s="37"/>
      <c r="C862" s="37"/>
      <c r="D862" s="37"/>
      <c r="E862" s="37"/>
      <c r="F862" s="37"/>
      <c r="G862" s="37"/>
      <c r="H862" s="37"/>
      <c r="I862" s="37"/>
      <c r="J862" s="47"/>
      <c r="K862" s="41" t="str">
        <f aca="false">IF(J862="","",IF(J862&gt;=8,"Yes","Check"))</f>
        <v/>
      </c>
      <c r="L862" s="38"/>
      <c r="M862" s="47"/>
      <c r="N862" s="47"/>
      <c r="O862" s="37"/>
      <c r="P862" s="38"/>
      <c r="Q862" s="42" t="str">
        <f aca="false">IF(P862="","",LEN(P862))</f>
        <v/>
      </c>
      <c r="R862" s="47"/>
      <c r="S862" s="37"/>
      <c r="T862" s="38"/>
      <c r="U862" s="43" t="str">
        <f aca="false">IF(OR(R862&lt;&gt;"Yes",A862=""),"",A862+4)</f>
        <v/>
      </c>
      <c r="V862" s="47"/>
      <c r="W862" s="38"/>
      <c r="X862" s="38"/>
      <c r="Y862" s="44"/>
      <c r="Z862" s="44"/>
      <c r="AA862" s="45" t="str">
        <f aca="false">IF(AND($Y862="",$Z862=""),"",ROUND(IFERROR(VALUE(LEFT($Y862,1)),0)*12+IFERROR(VALUE(LEFT($Z862,1)),0)*8,0))</f>
        <v/>
      </c>
      <c r="AB862" s="45" t="str">
        <f aca="false">IF($AA862="","",IF($AA862&gt;=80,"A - call first",IF($AA862&gt;=60,"B - worth pursuing",IF($AA862&gt;=40,"C - nurture","D - do not spend time here"))))</f>
        <v/>
      </c>
      <c r="AC862" s="46" t="str">
        <f aca="false">IF($C862="","",IF($S862="Converted","7 Certification / Enterprise opportunity",IF($S862="Application Started","7 Certification / Enterprise opportunity",IF($S862="Meeting Booked","6 Meeting / Application",IF(OR($S862="Interested",$S862="Info Requested"),"5 Interested",IF(OR($S862="Declined",$S862="Not Relevant"),"0 Closed - no",IF($R862="Yes","4 Contacted",IF($N862="Yes","2 Engaged",IF($M862="Yes","1 Awareness",IF($AA862&gt;=60,"3 Qualified","1 Awareness"))))))))))</f>
        <v/>
      </c>
    </row>
    <row r="863" customFormat="false" ht="30" hidden="false" customHeight="true" outlineLevel="0" collapsed="false">
      <c r="A863" s="36"/>
      <c r="B863" s="37"/>
      <c r="C863" s="37"/>
      <c r="D863" s="37"/>
      <c r="E863" s="37"/>
      <c r="F863" s="37"/>
      <c r="G863" s="37"/>
      <c r="H863" s="37"/>
      <c r="I863" s="37"/>
      <c r="J863" s="47"/>
      <c r="K863" s="41" t="str">
        <f aca="false">IF(J863="","",IF(J863&gt;=8,"Yes","Check"))</f>
        <v/>
      </c>
      <c r="L863" s="38"/>
      <c r="M863" s="47"/>
      <c r="N863" s="47"/>
      <c r="O863" s="37"/>
      <c r="P863" s="38"/>
      <c r="Q863" s="42" t="str">
        <f aca="false">IF(P863="","",LEN(P863))</f>
        <v/>
      </c>
      <c r="R863" s="47"/>
      <c r="S863" s="37"/>
      <c r="T863" s="38"/>
      <c r="U863" s="43" t="str">
        <f aca="false">IF(OR(R863&lt;&gt;"Yes",A863=""),"",A863+4)</f>
        <v/>
      </c>
      <c r="V863" s="47"/>
      <c r="W863" s="38"/>
      <c r="X863" s="38"/>
      <c r="Y863" s="44"/>
      <c r="Z863" s="44"/>
      <c r="AA863" s="45" t="str">
        <f aca="false">IF(AND($Y863="",$Z863=""),"",ROUND(IFERROR(VALUE(LEFT($Y863,1)),0)*12+IFERROR(VALUE(LEFT($Z863,1)),0)*8,0))</f>
        <v/>
      </c>
      <c r="AB863" s="45" t="str">
        <f aca="false">IF($AA863="","",IF($AA863&gt;=80,"A - call first",IF($AA863&gt;=60,"B - worth pursuing",IF($AA863&gt;=40,"C - nurture","D - do not spend time here"))))</f>
        <v/>
      </c>
      <c r="AC863" s="46" t="str">
        <f aca="false">IF($C863="","",IF($S863="Converted","7 Certification / Enterprise opportunity",IF($S863="Application Started","7 Certification / Enterprise opportunity",IF($S863="Meeting Booked","6 Meeting / Application",IF(OR($S863="Interested",$S863="Info Requested"),"5 Interested",IF(OR($S863="Declined",$S863="Not Relevant"),"0 Closed - no",IF($R863="Yes","4 Contacted",IF($N863="Yes","2 Engaged",IF($M863="Yes","1 Awareness",IF($AA863&gt;=60,"3 Qualified","1 Awareness"))))))))))</f>
        <v/>
      </c>
    </row>
    <row r="864" customFormat="false" ht="30" hidden="false" customHeight="true" outlineLevel="0" collapsed="false">
      <c r="A864" s="36"/>
      <c r="B864" s="37"/>
      <c r="C864" s="37"/>
      <c r="D864" s="37"/>
      <c r="E864" s="37"/>
      <c r="F864" s="37"/>
      <c r="G864" s="37"/>
      <c r="H864" s="37"/>
      <c r="I864" s="37"/>
      <c r="J864" s="47"/>
      <c r="K864" s="41" t="str">
        <f aca="false">IF(J864="","",IF(J864&gt;=8,"Yes","Check"))</f>
        <v/>
      </c>
      <c r="L864" s="38"/>
      <c r="M864" s="47"/>
      <c r="N864" s="47"/>
      <c r="O864" s="37"/>
      <c r="P864" s="38"/>
      <c r="Q864" s="42" t="str">
        <f aca="false">IF(P864="","",LEN(P864))</f>
        <v/>
      </c>
      <c r="R864" s="47"/>
      <c r="S864" s="37"/>
      <c r="T864" s="38"/>
      <c r="U864" s="43" t="str">
        <f aca="false">IF(OR(R864&lt;&gt;"Yes",A864=""),"",A864+4)</f>
        <v/>
      </c>
      <c r="V864" s="47"/>
      <c r="W864" s="38"/>
      <c r="X864" s="38"/>
      <c r="Y864" s="44"/>
      <c r="Z864" s="44"/>
      <c r="AA864" s="45" t="str">
        <f aca="false">IF(AND($Y864="",$Z864=""),"",ROUND(IFERROR(VALUE(LEFT($Y864,1)),0)*12+IFERROR(VALUE(LEFT($Z864,1)),0)*8,0))</f>
        <v/>
      </c>
      <c r="AB864" s="45" t="str">
        <f aca="false">IF($AA864="","",IF($AA864&gt;=80,"A - call first",IF($AA864&gt;=60,"B - worth pursuing",IF($AA864&gt;=40,"C - nurture","D - do not spend time here"))))</f>
        <v/>
      </c>
      <c r="AC864" s="46" t="str">
        <f aca="false">IF($C864="","",IF($S864="Converted","7 Certification / Enterprise opportunity",IF($S864="Application Started","7 Certification / Enterprise opportunity",IF($S864="Meeting Booked","6 Meeting / Application",IF(OR($S864="Interested",$S864="Info Requested"),"5 Interested",IF(OR($S864="Declined",$S864="Not Relevant"),"0 Closed - no",IF($R864="Yes","4 Contacted",IF($N864="Yes","2 Engaged",IF($M864="Yes","1 Awareness",IF($AA864&gt;=60,"3 Qualified","1 Awareness"))))))))))</f>
        <v/>
      </c>
    </row>
    <row r="865" customFormat="false" ht="30" hidden="false" customHeight="true" outlineLevel="0" collapsed="false">
      <c r="A865" s="36"/>
      <c r="B865" s="37"/>
      <c r="C865" s="37"/>
      <c r="D865" s="37"/>
      <c r="E865" s="37"/>
      <c r="F865" s="37"/>
      <c r="G865" s="37"/>
      <c r="H865" s="37"/>
      <c r="I865" s="37"/>
      <c r="J865" s="47"/>
      <c r="K865" s="41" t="str">
        <f aca="false">IF(J865="","",IF(J865&gt;=8,"Yes","Check"))</f>
        <v/>
      </c>
      <c r="L865" s="38"/>
      <c r="M865" s="47"/>
      <c r="N865" s="47"/>
      <c r="O865" s="37"/>
      <c r="P865" s="38"/>
      <c r="Q865" s="42" t="str">
        <f aca="false">IF(P865="","",LEN(P865))</f>
        <v/>
      </c>
      <c r="R865" s="47"/>
      <c r="S865" s="37"/>
      <c r="T865" s="38"/>
      <c r="U865" s="43" t="str">
        <f aca="false">IF(OR(R865&lt;&gt;"Yes",A865=""),"",A865+4)</f>
        <v/>
      </c>
      <c r="V865" s="47"/>
      <c r="W865" s="38"/>
      <c r="X865" s="38"/>
      <c r="Y865" s="44"/>
      <c r="Z865" s="44"/>
      <c r="AA865" s="45" t="str">
        <f aca="false">IF(AND($Y865="",$Z865=""),"",ROUND(IFERROR(VALUE(LEFT($Y865,1)),0)*12+IFERROR(VALUE(LEFT($Z865,1)),0)*8,0))</f>
        <v/>
      </c>
      <c r="AB865" s="45" t="str">
        <f aca="false">IF($AA865="","",IF($AA865&gt;=80,"A - call first",IF($AA865&gt;=60,"B - worth pursuing",IF($AA865&gt;=40,"C - nurture","D - do not spend time here"))))</f>
        <v/>
      </c>
      <c r="AC865" s="46" t="str">
        <f aca="false">IF($C865="","",IF($S865="Converted","7 Certification / Enterprise opportunity",IF($S865="Application Started","7 Certification / Enterprise opportunity",IF($S865="Meeting Booked","6 Meeting / Application",IF(OR($S865="Interested",$S865="Info Requested"),"5 Interested",IF(OR($S865="Declined",$S865="Not Relevant"),"0 Closed - no",IF($R865="Yes","4 Contacted",IF($N865="Yes","2 Engaged",IF($M865="Yes","1 Awareness",IF($AA865&gt;=60,"3 Qualified","1 Awareness"))))))))))</f>
        <v/>
      </c>
    </row>
    <row r="866" customFormat="false" ht="30" hidden="false" customHeight="true" outlineLevel="0" collapsed="false">
      <c r="A866" s="36"/>
      <c r="B866" s="37"/>
      <c r="C866" s="37"/>
      <c r="D866" s="37"/>
      <c r="E866" s="37"/>
      <c r="F866" s="37"/>
      <c r="G866" s="37"/>
      <c r="H866" s="37"/>
      <c r="I866" s="37"/>
      <c r="J866" s="47"/>
      <c r="K866" s="41" t="str">
        <f aca="false">IF(J866="","",IF(J866&gt;=8,"Yes","Check"))</f>
        <v/>
      </c>
      <c r="L866" s="38"/>
      <c r="M866" s="47"/>
      <c r="N866" s="47"/>
      <c r="O866" s="37"/>
      <c r="P866" s="38"/>
      <c r="Q866" s="42" t="str">
        <f aca="false">IF(P866="","",LEN(P866))</f>
        <v/>
      </c>
      <c r="R866" s="47"/>
      <c r="S866" s="37"/>
      <c r="T866" s="38"/>
      <c r="U866" s="43" t="str">
        <f aca="false">IF(OR(R866&lt;&gt;"Yes",A866=""),"",A866+4)</f>
        <v/>
      </c>
      <c r="V866" s="47"/>
      <c r="W866" s="38"/>
      <c r="X866" s="38"/>
      <c r="Y866" s="44"/>
      <c r="Z866" s="44"/>
      <c r="AA866" s="45" t="str">
        <f aca="false">IF(AND($Y866="",$Z866=""),"",ROUND(IFERROR(VALUE(LEFT($Y866,1)),0)*12+IFERROR(VALUE(LEFT($Z866,1)),0)*8,0))</f>
        <v/>
      </c>
      <c r="AB866" s="45" t="str">
        <f aca="false">IF($AA866="","",IF($AA866&gt;=80,"A - call first",IF($AA866&gt;=60,"B - worth pursuing",IF($AA866&gt;=40,"C - nurture","D - do not spend time here"))))</f>
        <v/>
      </c>
      <c r="AC866" s="46" t="str">
        <f aca="false">IF($C866="","",IF($S866="Converted","7 Certification / Enterprise opportunity",IF($S866="Application Started","7 Certification / Enterprise opportunity",IF($S866="Meeting Booked","6 Meeting / Application",IF(OR($S866="Interested",$S866="Info Requested"),"5 Interested",IF(OR($S866="Declined",$S866="Not Relevant"),"0 Closed - no",IF($R866="Yes","4 Contacted",IF($N866="Yes","2 Engaged",IF($M866="Yes","1 Awareness",IF($AA866&gt;=60,"3 Qualified","1 Awareness"))))))))))</f>
        <v/>
      </c>
    </row>
    <row r="867" customFormat="false" ht="30" hidden="false" customHeight="true" outlineLevel="0" collapsed="false">
      <c r="A867" s="36"/>
      <c r="B867" s="37"/>
      <c r="C867" s="37"/>
      <c r="D867" s="37"/>
      <c r="E867" s="37"/>
      <c r="F867" s="37"/>
      <c r="G867" s="37"/>
      <c r="H867" s="37"/>
      <c r="I867" s="37"/>
      <c r="J867" s="47"/>
      <c r="K867" s="41" t="str">
        <f aca="false">IF(J867="","",IF(J867&gt;=8,"Yes","Check"))</f>
        <v/>
      </c>
      <c r="L867" s="38"/>
      <c r="M867" s="47"/>
      <c r="N867" s="47"/>
      <c r="O867" s="37"/>
      <c r="P867" s="38"/>
      <c r="Q867" s="42" t="str">
        <f aca="false">IF(P867="","",LEN(P867))</f>
        <v/>
      </c>
      <c r="R867" s="47"/>
      <c r="S867" s="37"/>
      <c r="T867" s="38"/>
      <c r="U867" s="43" t="str">
        <f aca="false">IF(OR(R867&lt;&gt;"Yes",A867=""),"",A867+4)</f>
        <v/>
      </c>
      <c r="V867" s="47"/>
      <c r="W867" s="38"/>
      <c r="X867" s="38"/>
      <c r="Y867" s="44"/>
      <c r="Z867" s="44"/>
      <c r="AA867" s="45" t="str">
        <f aca="false">IF(AND($Y867="",$Z867=""),"",ROUND(IFERROR(VALUE(LEFT($Y867,1)),0)*12+IFERROR(VALUE(LEFT($Z867,1)),0)*8,0))</f>
        <v/>
      </c>
      <c r="AB867" s="45" t="str">
        <f aca="false">IF($AA867="","",IF($AA867&gt;=80,"A - call first",IF($AA867&gt;=60,"B - worth pursuing",IF($AA867&gt;=40,"C - nurture","D - do not spend time here"))))</f>
        <v/>
      </c>
      <c r="AC867" s="46" t="str">
        <f aca="false">IF($C867="","",IF($S867="Converted","7 Certification / Enterprise opportunity",IF($S867="Application Started","7 Certification / Enterprise opportunity",IF($S867="Meeting Booked","6 Meeting / Application",IF(OR($S867="Interested",$S867="Info Requested"),"5 Interested",IF(OR($S867="Declined",$S867="Not Relevant"),"0 Closed - no",IF($R867="Yes","4 Contacted",IF($N867="Yes","2 Engaged",IF($M867="Yes","1 Awareness",IF($AA867&gt;=60,"3 Qualified","1 Awareness"))))))))))</f>
        <v/>
      </c>
    </row>
    <row r="868" customFormat="false" ht="30" hidden="false" customHeight="true" outlineLevel="0" collapsed="false">
      <c r="A868" s="36"/>
      <c r="B868" s="37"/>
      <c r="C868" s="37"/>
      <c r="D868" s="37"/>
      <c r="E868" s="37"/>
      <c r="F868" s="37"/>
      <c r="G868" s="37"/>
      <c r="H868" s="37"/>
      <c r="I868" s="37"/>
      <c r="J868" s="47"/>
      <c r="K868" s="41" t="str">
        <f aca="false">IF(J868="","",IF(J868&gt;=8,"Yes","Check"))</f>
        <v/>
      </c>
      <c r="L868" s="38"/>
      <c r="M868" s="47"/>
      <c r="N868" s="47"/>
      <c r="O868" s="37"/>
      <c r="P868" s="38"/>
      <c r="Q868" s="42" t="str">
        <f aca="false">IF(P868="","",LEN(P868))</f>
        <v/>
      </c>
      <c r="R868" s="47"/>
      <c r="S868" s="37"/>
      <c r="T868" s="38"/>
      <c r="U868" s="43" t="str">
        <f aca="false">IF(OR(R868&lt;&gt;"Yes",A868=""),"",A868+4)</f>
        <v/>
      </c>
      <c r="V868" s="47"/>
      <c r="W868" s="38"/>
      <c r="X868" s="38"/>
      <c r="Y868" s="44"/>
      <c r="Z868" s="44"/>
      <c r="AA868" s="45" t="str">
        <f aca="false">IF(AND($Y868="",$Z868=""),"",ROUND(IFERROR(VALUE(LEFT($Y868,1)),0)*12+IFERROR(VALUE(LEFT($Z868,1)),0)*8,0))</f>
        <v/>
      </c>
      <c r="AB868" s="45" t="str">
        <f aca="false">IF($AA868="","",IF($AA868&gt;=80,"A - call first",IF($AA868&gt;=60,"B - worth pursuing",IF($AA868&gt;=40,"C - nurture","D - do not spend time here"))))</f>
        <v/>
      </c>
      <c r="AC868" s="46" t="str">
        <f aca="false">IF($C868="","",IF($S868="Converted","7 Certification / Enterprise opportunity",IF($S868="Application Started","7 Certification / Enterprise opportunity",IF($S868="Meeting Booked","6 Meeting / Application",IF(OR($S868="Interested",$S868="Info Requested"),"5 Interested",IF(OR($S868="Declined",$S868="Not Relevant"),"0 Closed - no",IF($R868="Yes","4 Contacted",IF($N868="Yes","2 Engaged",IF($M868="Yes","1 Awareness",IF($AA868&gt;=60,"3 Qualified","1 Awareness"))))))))))</f>
        <v/>
      </c>
    </row>
    <row r="869" customFormat="false" ht="30" hidden="false" customHeight="true" outlineLevel="0" collapsed="false">
      <c r="A869" s="36"/>
      <c r="B869" s="37"/>
      <c r="C869" s="37"/>
      <c r="D869" s="37"/>
      <c r="E869" s="37"/>
      <c r="F869" s="37"/>
      <c r="G869" s="37"/>
      <c r="H869" s="37"/>
      <c r="I869" s="37"/>
      <c r="J869" s="47"/>
      <c r="K869" s="41" t="str">
        <f aca="false">IF(J869="","",IF(J869&gt;=8,"Yes","Check"))</f>
        <v/>
      </c>
      <c r="L869" s="38"/>
      <c r="M869" s="47"/>
      <c r="N869" s="47"/>
      <c r="O869" s="37"/>
      <c r="P869" s="38"/>
      <c r="Q869" s="42" t="str">
        <f aca="false">IF(P869="","",LEN(P869))</f>
        <v/>
      </c>
      <c r="R869" s="47"/>
      <c r="S869" s="37"/>
      <c r="T869" s="38"/>
      <c r="U869" s="43" t="str">
        <f aca="false">IF(OR(R869&lt;&gt;"Yes",A869=""),"",A869+4)</f>
        <v/>
      </c>
      <c r="V869" s="47"/>
      <c r="W869" s="38"/>
      <c r="X869" s="38"/>
      <c r="Y869" s="44"/>
      <c r="Z869" s="44"/>
      <c r="AA869" s="45" t="str">
        <f aca="false">IF(AND($Y869="",$Z869=""),"",ROUND(IFERROR(VALUE(LEFT($Y869,1)),0)*12+IFERROR(VALUE(LEFT($Z869,1)),0)*8,0))</f>
        <v/>
      </c>
      <c r="AB869" s="45" t="str">
        <f aca="false">IF($AA869="","",IF($AA869&gt;=80,"A - call first",IF($AA869&gt;=60,"B - worth pursuing",IF($AA869&gt;=40,"C - nurture","D - do not spend time here"))))</f>
        <v/>
      </c>
      <c r="AC869" s="46" t="str">
        <f aca="false">IF($C869="","",IF($S869="Converted","7 Certification / Enterprise opportunity",IF($S869="Application Started","7 Certification / Enterprise opportunity",IF($S869="Meeting Booked","6 Meeting / Application",IF(OR($S869="Interested",$S869="Info Requested"),"5 Interested",IF(OR($S869="Declined",$S869="Not Relevant"),"0 Closed - no",IF($R869="Yes","4 Contacted",IF($N869="Yes","2 Engaged",IF($M869="Yes","1 Awareness",IF($AA869&gt;=60,"3 Qualified","1 Awareness"))))))))))</f>
        <v/>
      </c>
    </row>
    <row r="870" customFormat="false" ht="30" hidden="false" customHeight="true" outlineLevel="0" collapsed="false">
      <c r="A870" s="36"/>
      <c r="B870" s="37"/>
      <c r="C870" s="37"/>
      <c r="D870" s="37"/>
      <c r="E870" s="37"/>
      <c r="F870" s="37"/>
      <c r="G870" s="37"/>
      <c r="H870" s="37"/>
      <c r="I870" s="37"/>
      <c r="J870" s="47"/>
      <c r="K870" s="41" t="str">
        <f aca="false">IF(J870="","",IF(J870&gt;=8,"Yes","Check"))</f>
        <v/>
      </c>
      <c r="L870" s="38"/>
      <c r="M870" s="47"/>
      <c r="N870" s="47"/>
      <c r="O870" s="37"/>
      <c r="P870" s="38"/>
      <c r="Q870" s="42" t="str">
        <f aca="false">IF(P870="","",LEN(P870))</f>
        <v/>
      </c>
      <c r="R870" s="47"/>
      <c r="S870" s="37"/>
      <c r="T870" s="38"/>
      <c r="U870" s="43" t="str">
        <f aca="false">IF(OR(R870&lt;&gt;"Yes",A870=""),"",A870+4)</f>
        <v/>
      </c>
      <c r="V870" s="47"/>
      <c r="W870" s="38"/>
      <c r="X870" s="38"/>
      <c r="Y870" s="44"/>
      <c r="Z870" s="44"/>
      <c r="AA870" s="45" t="str">
        <f aca="false">IF(AND($Y870="",$Z870=""),"",ROUND(IFERROR(VALUE(LEFT($Y870,1)),0)*12+IFERROR(VALUE(LEFT($Z870,1)),0)*8,0))</f>
        <v/>
      </c>
      <c r="AB870" s="45" t="str">
        <f aca="false">IF($AA870="","",IF($AA870&gt;=80,"A - call first",IF($AA870&gt;=60,"B - worth pursuing",IF($AA870&gt;=40,"C - nurture","D - do not spend time here"))))</f>
        <v/>
      </c>
      <c r="AC870" s="46" t="str">
        <f aca="false">IF($C870="","",IF($S870="Converted","7 Certification / Enterprise opportunity",IF($S870="Application Started","7 Certification / Enterprise opportunity",IF($S870="Meeting Booked","6 Meeting / Application",IF(OR($S870="Interested",$S870="Info Requested"),"5 Interested",IF(OR($S870="Declined",$S870="Not Relevant"),"0 Closed - no",IF($R870="Yes","4 Contacted",IF($N870="Yes","2 Engaged",IF($M870="Yes","1 Awareness",IF($AA870&gt;=60,"3 Qualified","1 Awareness"))))))))))</f>
        <v/>
      </c>
    </row>
    <row r="871" customFormat="false" ht="30" hidden="false" customHeight="true" outlineLevel="0" collapsed="false">
      <c r="A871" s="36"/>
      <c r="B871" s="37"/>
      <c r="C871" s="37"/>
      <c r="D871" s="37"/>
      <c r="E871" s="37"/>
      <c r="F871" s="37"/>
      <c r="G871" s="37"/>
      <c r="H871" s="37"/>
      <c r="I871" s="37"/>
      <c r="J871" s="47"/>
      <c r="K871" s="41" t="str">
        <f aca="false">IF(J871="","",IF(J871&gt;=8,"Yes","Check"))</f>
        <v/>
      </c>
      <c r="L871" s="38"/>
      <c r="M871" s="47"/>
      <c r="N871" s="47"/>
      <c r="O871" s="37"/>
      <c r="P871" s="38"/>
      <c r="Q871" s="42" t="str">
        <f aca="false">IF(P871="","",LEN(P871))</f>
        <v/>
      </c>
      <c r="R871" s="47"/>
      <c r="S871" s="37"/>
      <c r="T871" s="38"/>
      <c r="U871" s="43" t="str">
        <f aca="false">IF(OR(R871&lt;&gt;"Yes",A871=""),"",A871+4)</f>
        <v/>
      </c>
      <c r="V871" s="47"/>
      <c r="W871" s="38"/>
      <c r="X871" s="38"/>
      <c r="Y871" s="44"/>
      <c r="Z871" s="44"/>
      <c r="AA871" s="45" t="str">
        <f aca="false">IF(AND($Y871="",$Z871=""),"",ROUND(IFERROR(VALUE(LEFT($Y871,1)),0)*12+IFERROR(VALUE(LEFT($Z871,1)),0)*8,0))</f>
        <v/>
      </c>
      <c r="AB871" s="45" t="str">
        <f aca="false">IF($AA871="","",IF($AA871&gt;=80,"A - call first",IF($AA871&gt;=60,"B - worth pursuing",IF($AA871&gt;=40,"C - nurture","D - do not spend time here"))))</f>
        <v/>
      </c>
      <c r="AC871" s="46" t="str">
        <f aca="false">IF($C871="","",IF($S871="Converted","7 Certification / Enterprise opportunity",IF($S871="Application Started","7 Certification / Enterprise opportunity",IF($S871="Meeting Booked","6 Meeting / Application",IF(OR($S871="Interested",$S871="Info Requested"),"5 Interested",IF(OR($S871="Declined",$S871="Not Relevant"),"0 Closed - no",IF($R871="Yes","4 Contacted",IF($N871="Yes","2 Engaged",IF($M871="Yes","1 Awareness",IF($AA871&gt;=60,"3 Qualified","1 Awareness"))))))))))</f>
        <v/>
      </c>
    </row>
    <row r="872" customFormat="false" ht="30" hidden="false" customHeight="true" outlineLevel="0" collapsed="false">
      <c r="A872" s="36"/>
      <c r="B872" s="37"/>
      <c r="C872" s="37"/>
      <c r="D872" s="37"/>
      <c r="E872" s="37"/>
      <c r="F872" s="37"/>
      <c r="G872" s="37"/>
      <c r="H872" s="37"/>
      <c r="I872" s="37"/>
      <c r="J872" s="47"/>
      <c r="K872" s="41" t="str">
        <f aca="false">IF(J872="","",IF(J872&gt;=8,"Yes","Check"))</f>
        <v/>
      </c>
      <c r="L872" s="38"/>
      <c r="M872" s="47"/>
      <c r="N872" s="47"/>
      <c r="O872" s="37"/>
      <c r="P872" s="38"/>
      <c r="Q872" s="42" t="str">
        <f aca="false">IF(P872="","",LEN(P872))</f>
        <v/>
      </c>
      <c r="R872" s="47"/>
      <c r="S872" s="37"/>
      <c r="T872" s="38"/>
      <c r="U872" s="43" t="str">
        <f aca="false">IF(OR(R872&lt;&gt;"Yes",A872=""),"",A872+4)</f>
        <v/>
      </c>
      <c r="V872" s="47"/>
      <c r="W872" s="38"/>
      <c r="X872" s="38"/>
      <c r="Y872" s="44"/>
      <c r="Z872" s="44"/>
      <c r="AA872" s="45" t="str">
        <f aca="false">IF(AND($Y872="",$Z872=""),"",ROUND(IFERROR(VALUE(LEFT($Y872,1)),0)*12+IFERROR(VALUE(LEFT($Z872,1)),0)*8,0))</f>
        <v/>
      </c>
      <c r="AB872" s="45" t="str">
        <f aca="false">IF($AA872="","",IF($AA872&gt;=80,"A - call first",IF($AA872&gt;=60,"B - worth pursuing",IF($AA872&gt;=40,"C - nurture","D - do not spend time here"))))</f>
        <v/>
      </c>
      <c r="AC872" s="46" t="str">
        <f aca="false">IF($C872="","",IF($S872="Converted","7 Certification / Enterprise opportunity",IF($S872="Application Started","7 Certification / Enterprise opportunity",IF($S872="Meeting Booked","6 Meeting / Application",IF(OR($S872="Interested",$S872="Info Requested"),"5 Interested",IF(OR($S872="Declined",$S872="Not Relevant"),"0 Closed - no",IF($R872="Yes","4 Contacted",IF($N872="Yes","2 Engaged",IF($M872="Yes","1 Awareness",IF($AA872&gt;=60,"3 Qualified","1 Awareness"))))))))))</f>
        <v/>
      </c>
    </row>
    <row r="873" customFormat="false" ht="30" hidden="false" customHeight="true" outlineLevel="0" collapsed="false">
      <c r="A873" s="36"/>
      <c r="B873" s="37"/>
      <c r="C873" s="37"/>
      <c r="D873" s="37"/>
      <c r="E873" s="37"/>
      <c r="F873" s="37"/>
      <c r="G873" s="37"/>
      <c r="H873" s="37"/>
      <c r="I873" s="37"/>
      <c r="J873" s="47"/>
      <c r="K873" s="41" t="str">
        <f aca="false">IF(J873="","",IF(J873&gt;=8,"Yes","Check"))</f>
        <v/>
      </c>
      <c r="L873" s="38"/>
      <c r="M873" s="47"/>
      <c r="N873" s="47"/>
      <c r="O873" s="37"/>
      <c r="P873" s="38"/>
      <c r="Q873" s="42" t="str">
        <f aca="false">IF(P873="","",LEN(P873))</f>
        <v/>
      </c>
      <c r="R873" s="47"/>
      <c r="S873" s="37"/>
      <c r="T873" s="38"/>
      <c r="U873" s="43" t="str">
        <f aca="false">IF(OR(R873&lt;&gt;"Yes",A873=""),"",A873+4)</f>
        <v/>
      </c>
      <c r="V873" s="47"/>
      <c r="W873" s="38"/>
      <c r="X873" s="38"/>
      <c r="Y873" s="44"/>
      <c r="Z873" s="44"/>
      <c r="AA873" s="45" t="str">
        <f aca="false">IF(AND($Y873="",$Z873=""),"",ROUND(IFERROR(VALUE(LEFT($Y873,1)),0)*12+IFERROR(VALUE(LEFT($Z873,1)),0)*8,0))</f>
        <v/>
      </c>
      <c r="AB873" s="45" t="str">
        <f aca="false">IF($AA873="","",IF($AA873&gt;=80,"A - call first",IF($AA873&gt;=60,"B - worth pursuing",IF($AA873&gt;=40,"C - nurture","D - do not spend time here"))))</f>
        <v/>
      </c>
      <c r="AC873" s="46" t="str">
        <f aca="false">IF($C873="","",IF($S873="Converted","7 Certification / Enterprise opportunity",IF($S873="Application Started","7 Certification / Enterprise opportunity",IF($S873="Meeting Booked","6 Meeting / Application",IF(OR($S873="Interested",$S873="Info Requested"),"5 Interested",IF(OR($S873="Declined",$S873="Not Relevant"),"0 Closed - no",IF($R873="Yes","4 Contacted",IF($N873="Yes","2 Engaged",IF($M873="Yes","1 Awareness",IF($AA873&gt;=60,"3 Qualified","1 Awareness"))))))))))</f>
        <v/>
      </c>
    </row>
    <row r="874" customFormat="false" ht="30" hidden="false" customHeight="true" outlineLevel="0" collapsed="false">
      <c r="A874" s="36"/>
      <c r="B874" s="37"/>
      <c r="C874" s="37"/>
      <c r="D874" s="37"/>
      <c r="E874" s="37"/>
      <c r="F874" s="37"/>
      <c r="G874" s="37"/>
      <c r="H874" s="37"/>
      <c r="I874" s="37"/>
      <c r="J874" s="47"/>
      <c r="K874" s="41" t="str">
        <f aca="false">IF(J874="","",IF(J874&gt;=8,"Yes","Check"))</f>
        <v/>
      </c>
      <c r="L874" s="38"/>
      <c r="M874" s="47"/>
      <c r="N874" s="47"/>
      <c r="O874" s="37"/>
      <c r="P874" s="38"/>
      <c r="Q874" s="42" t="str">
        <f aca="false">IF(P874="","",LEN(P874))</f>
        <v/>
      </c>
      <c r="R874" s="47"/>
      <c r="S874" s="37"/>
      <c r="T874" s="38"/>
      <c r="U874" s="43" t="str">
        <f aca="false">IF(OR(R874&lt;&gt;"Yes",A874=""),"",A874+4)</f>
        <v/>
      </c>
      <c r="V874" s="47"/>
      <c r="W874" s="38"/>
      <c r="X874" s="38"/>
      <c r="Y874" s="44"/>
      <c r="Z874" s="44"/>
      <c r="AA874" s="45" t="str">
        <f aca="false">IF(AND($Y874="",$Z874=""),"",ROUND(IFERROR(VALUE(LEFT($Y874,1)),0)*12+IFERROR(VALUE(LEFT($Z874,1)),0)*8,0))</f>
        <v/>
      </c>
      <c r="AB874" s="45" t="str">
        <f aca="false">IF($AA874="","",IF($AA874&gt;=80,"A - call first",IF($AA874&gt;=60,"B - worth pursuing",IF($AA874&gt;=40,"C - nurture","D - do not spend time here"))))</f>
        <v/>
      </c>
      <c r="AC874" s="46" t="str">
        <f aca="false">IF($C874="","",IF($S874="Converted","7 Certification / Enterprise opportunity",IF($S874="Application Started","7 Certification / Enterprise opportunity",IF($S874="Meeting Booked","6 Meeting / Application",IF(OR($S874="Interested",$S874="Info Requested"),"5 Interested",IF(OR($S874="Declined",$S874="Not Relevant"),"0 Closed - no",IF($R874="Yes","4 Contacted",IF($N874="Yes","2 Engaged",IF($M874="Yes","1 Awareness",IF($AA874&gt;=60,"3 Qualified","1 Awareness"))))))))))</f>
        <v/>
      </c>
    </row>
    <row r="875" customFormat="false" ht="30" hidden="false" customHeight="true" outlineLevel="0" collapsed="false">
      <c r="A875" s="36"/>
      <c r="B875" s="37"/>
      <c r="C875" s="37"/>
      <c r="D875" s="37"/>
      <c r="E875" s="37"/>
      <c r="F875" s="37"/>
      <c r="G875" s="37"/>
      <c r="H875" s="37"/>
      <c r="I875" s="37"/>
      <c r="J875" s="47"/>
      <c r="K875" s="41" t="str">
        <f aca="false">IF(J875="","",IF(J875&gt;=8,"Yes","Check"))</f>
        <v/>
      </c>
      <c r="L875" s="38"/>
      <c r="M875" s="47"/>
      <c r="N875" s="47"/>
      <c r="O875" s="37"/>
      <c r="P875" s="38"/>
      <c r="Q875" s="42" t="str">
        <f aca="false">IF(P875="","",LEN(P875))</f>
        <v/>
      </c>
      <c r="R875" s="47"/>
      <c r="S875" s="37"/>
      <c r="T875" s="38"/>
      <c r="U875" s="43" t="str">
        <f aca="false">IF(OR(R875&lt;&gt;"Yes",A875=""),"",A875+4)</f>
        <v/>
      </c>
      <c r="V875" s="47"/>
      <c r="W875" s="38"/>
      <c r="X875" s="38"/>
      <c r="Y875" s="44"/>
      <c r="Z875" s="44"/>
      <c r="AA875" s="45" t="str">
        <f aca="false">IF(AND($Y875="",$Z875=""),"",ROUND(IFERROR(VALUE(LEFT($Y875,1)),0)*12+IFERROR(VALUE(LEFT($Z875,1)),0)*8,0))</f>
        <v/>
      </c>
      <c r="AB875" s="45" t="str">
        <f aca="false">IF($AA875="","",IF($AA875&gt;=80,"A - call first",IF($AA875&gt;=60,"B - worth pursuing",IF($AA875&gt;=40,"C - nurture","D - do not spend time here"))))</f>
        <v/>
      </c>
      <c r="AC875" s="46" t="str">
        <f aca="false">IF($C875="","",IF($S875="Converted","7 Certification / Enterprise opportunity",IF($S875="Application Started","7 Certification / Enterprise opportunity",IF($S875="Meeting Booked","6 Meeting / Application",IF(OR($S875="Interested",$S875="Info Requested"),"5 Interested",IF(OR($S875="Declined",$S875="Not Relevant"),"0 Closed - no",IF($R875="Yes","4 Contacted",IF($N875="Yes","2 Engaged",IF($M875="Yes","1 Awareness",IF($AA875&gt;=60,"3 Qualified","1 Awareness"))))))))))</f>
        <v/>
      </c>
    </row>
    <row r="876" customFormat="false" ht="30" hidden="false" customHeight="true" outlineLevel="0" collapsed="false">
      <c r="A876" s="36"/>
      <c r="B876" s="37"/>
      <c r="C876" s="37"/>
      <c r="D876" s="37"/>
      <c r="E876" s="37"/>
      <c r="F876" s="37"/>
      <c r="G876" s="37"/>
      <c r="H876" s="37"/>
      <c r="I876" s="37"/>
      <c r="J876" s="47"/>
      <c r="K876" s="41" t="str">
        <f aca="false">IF(J876="","",IF(J876&gt;=8,"Yes","Check"))</f>
        <v/>
      </c>
      <c r="L876" s="38"/>
      <c r="M876" s="47"/>
      <c r="N876" s="47"/>
      <c r="O876" s="37"/>
      <c r="P876" s="38"/>
      <c r="Q876" s="42" t="str">
        <f aca="false">IF(P876="","",LEN(P876))</f>
        <v/>
      </c>
      <c r="R876" s="47"/>
      <c r="S876" s="37"/>
      <c r="T876" s="38"/>
      <c r="U876" s="43" t="str">
        <f aca="false">IF(OR(R876&lt;&gt;"Yes",A876=""),"",A876+4)</f>
        <v/>
      </c>
      <c r="V876" s="47"/>
      <c r="W876" s="38"/>
      <c r="X876" s="38"/>
      <c r="Y876" s="44"/>
      <c r="Z876" s="44"/>
      <c r="AA876" s="45" t="str">
        <f aca="false">IF(AND($Y876="",$Z876=""),"",ROUND(IFERROR(VALUE(LEFT($Y876,1)),0)*12+IFERROR(VALUE(LEFT($Z876,1)),0)*8,0))</f>
        <v/>
      </c>
      <c r="AB876" s="45" t="str">
        <f aca="false">IF($AA876="","",IF($AA876&gt;=80,"A - call first",IF($AA876&gt;=60,"B - worth pursuing",IF($AA876&gt;=40,"C - nurture","D - do not spend time here"))))</f>
        <v/>
      </c>
      <c r="AC876" s="46" t="str">
        <f aca="false">IF($C876="","",IF($S876="Converted","7 Certification / Enterprise opportunity",IF($S876="Application Started","7 Certification / Enterprise opportunity",IF($S876="Meeting Booked","6 Meeting / Application",IF(OR($S876="Interested",$S876="Info Requested"),"5 Interested",IF(OR($S876="Declined",$S876="Not Relevant"),"0 Closed - no",IF($R876="Yes","4 Contacted",IF($N876="Yes","2 Engaged",IF($M876="Yes","1 Awareness",IF($AA876&gt;=60,"3 Qualified","1 Awareness"))))))))))</f>
        <v/>
      </c>
    </row>
    <row r="877" customFormat="false" ht="30" hidden="false" customHeight="true" outlineLevel="0" collapsed="false">
      <c r="A877" s="36"/>
      <c r="B877" s="37"/>
      <c r="C877" s="37"/>
      <c r="D877" s="37"/>
      <c r="E877" s="37"/>
      <c r="F877" s="37"/>
      <c r="G877" s="37"/>
      <c r="H877" s="37"/>
      <c r="I877" s="37"/>
      <c r="J877" s="47"/>
      <c r="K877" s="41" t="str">
        <f aca="false">IF(J877="","",IF(J877&gt;=8,"Yes","Check"))</f>
        <v/>
      </c>
      <c r="L877" s="38"/>
      <c r="M877" s="47"/>
      <c r="N877" s="47"/>
      <c r="O877" s="37"/>
      <c r="P877" s="38"/>
      <c r="Q877" s="42" t="str">
        <f aca="false">IF(P877="","",LEN(P877))</f>
        <v/>
      </c>
      <c r="R877" s="47"/>
      <c r="S877" s="37"/>
      <c r="T877" s="38"/>
      <c r="U877" s="43" t="str">
        <f aca="false">IF(OR(R877&lt;&gt;"Yes",A877=""),"",A877+4)</f>
        <v/>
      </c>
      <c r="V877" s="47"/>
      <c r="W877" s="38"/>
      <c r="X877" s="38"/>
      <c r="Y877" s="44"/>
      <c r="Z877" s="44"/>
      <c r="AA877" s="45" t="str">
        <f aca="false">IF(AND($Y877="",$Z877=""),"",ROUND(IFERROR(VALUE(LEFT($Y877,1)),0)*12+IFERROR(VALUE(LEFT($Z877,1)),0)*8,0))</f>
        <v/>
      </c>
      <c r="AB877" s="45" t="str">
        <f aca="false">IF($AA877="","",IF($AA877&gt;=80,"A - call first",IF($AA877&gt;=60,"B - worth pursuing",IF($AA877&gt;=40,"C - nurture","D - do not spend time here"))))</f>
        <v/>
      </c>
      <c r="AC877" s="46" t="str">
        <f aca="false">IF($C877="","",IF($S877="Converted","7 Certification / Enterprise opportunity",IF($S877="Application Started","7 Certification / Enterprise opportunity",IF($S877="Meeting Booked","6 Meeting / Application",IF(OR($S877="Interested",$S877="Info Requested"),"5 Interested",IF(OR($S877="Declined",$S877="Not Relevant"),"0 Closed - no",IF($R877="Yes","4 Contacted",IF($N877="Yes","2 Engaged",IF($M877="Yes","1 Awareness",IF($AA877&gt;=60,"3 Qualified","1 Awareness"))))))))))</f>
        <v/>
      </c>
    </row>
    <row r="878" customFormat="false" ht="30" hidden="false" customHeight="true" outlineLevel="0" collapsed="false">
      <c r="A878" s="36"/>
      <c r="B878" s="37"/>
      <c r="C878" s="37"/>
      <c r="D878" s="37"/>
      <c r="E878" s="37"/>
      <c r="F878" s="37"/>
      <c r="G878" s="37"/>
      <c r="H878" s="37"/>
      <c r="I878" s="37"/>
      <c r="J878" s="47"/>
      <c r="K878" s="41" t="str">
        <f aca="false">IF(J878="","",IF(J878&gt;=8,"Yes","Check"))</f>
        <v/>
      </c>
      <c r="L878" s="38"/>
      <c r="M878" s="47"/>
      <c r="N878" s="47"/>
      <c r="O878" s="37"/>
      <c r="P878" s="38"/>
      <c r="Q878" s="42" t="str">
        <f aca="false">IF(P878="","",LEN(P878))</f>
        <v/>
      </c>
      <c r="R878" s="47"/>
      <c r="S878" s="37"/>
      <c r="T878" s="38"/>
      <c r="U878" s="43" t="str">
        <f aca="false">IF(OR(R878&lt;&gt;"Yes",A878=""),"",A878+4)</f>
        <v/>
      </c>
      <c r="V878" s="47"/>
      <c r="W878" s="38"/>
      <c r="X878" s="38"/>
      <c r="Y878" s="44"/>
      <c r="Z878" s="44"/>
      <c r="AA878" s="45" t="str">
        <f aca="false">IF(AND($Y878="",$Z878=""),"",ROUND(IFERROR(VALUE(LEFT($Y878,1)),0)*12+IFERROR(VALUE(LEFT($Z878,1)),0)*8,0))</f>
        <v/>
      </c>
      <c r="AB878" s="45" t="str">
        <f aca="false">IF($AA878="","",IF($AA878&gt;=80,"A - call first",IF($AA878&gt;=60,"B - worth pursuing",IF($AA878&gt;=40,"C - nurture","D - do not spend time here"))))</f>
        <v/>
      </c>
      <c r="AC878" s="46" t="str">
        <f aca="false">IF($C878="","",IF($S878="Converted","7 Certification / Enterprise opportunity",IF($S878="Application Started","7 Certification / Enterprise opportunity",IF($S878="Meeting Booked","6 Meeting / Application",IF(OR($S878="Interested",$S878="Info Requested"),"5 Interested",IF(OR($S878="Declined",$S878="Not Relevant"),"0 Closed - no",IF($R878="Yes","4 Contacted",IF($N878="Yes","2 Engaged",IF($M878="Yes","1 Awareness",IF($AA878&gt;=60,"3 Qualified","1 Awareness"))))))))))</f>
        <v/>
      </c>
    </row>
    <row r="879" customFormat="false" ht="30" hidden="false" customHeight="true" outlineLevel="0" collapsed="false">
      <c r="A879" s="36"/>
      <c r="B879" s="37"/>
      <c r="C879" s="37"/>
      <c r="D879" s="37"/>
      <c r="E879" s="37"/>
      <c r="F879" s="37"/>
      <c r="G879" s="37"/>
      <c r="H879" s="37"/>
      <c r="I879" s="37"/>
      <c r="J879" s="47"/>
      <c r="K879" s="41" t="str">
        <f aca="false">IF(J879="","",IF(J879&gt;=8,"Yes","Check"))</f>
        <v/>
      </c>
      <c r="L879" s="38"/>
      <c r="M879" s="47"/>
      <c r="N879" s="47"/>
      <c r="O879" s="37"/>
      <c r="P879" s="38"/>
      <c r="Q879" s="42" t="str">
        <f aca="false">IF(P879="","",LEN(P879))</f>
        <v/>
      </c>
      <c r="R879" s="47"/>
      <c r="S879" s="37"/>
      <c r="T879" s="38"/>
      <c r="U879" s="43" t="str">
        <f aca="false">IF(OR(R879&lt;&gt;"Yes",A879=""),"",A879+4)</f>
        <v/>
      </c>
      <c r="V879" s="47"/>
      <c r="W879" s="38"/>
      <c r="X879" s="38"/>
      <c r="Y879" s="44"/>
      <c r="Z879" s="44"/>
      <c r="AA879" s="45" t="str">
        <f aca="false">IF(AND($Y879="",$Z879=""),"",ROUND(IFERROR(VALUE(LEFT($Y879,1)),0)*12+IFERROR(VALUE(LEFT($Z879,1)),0)*8,0))</f>
        <v/>
      </c>
      <c r="AB879" s="45" t="str">
        <f aca="false">IF($AA879="","",IF($AA879&gt;=80,"A - call first",IF($AA879&gt;=60,"B - worth pursuing",IF($AA879&gt;=40,"C - nurture","D - do not spend time here"))))</f>
        <v/>
      </c>
      <c r="AC879" s="46" t="str">
        <f aca="false">IF($C879="","",IF($S879="Converted","7 Certification / Enterprise opportunity",IF($S879="Application Started","7 Certification / Enterprise opportunity",IF($S879="Meeting Booked","6 Meeting / Application",IF(OR($S879="Interested",$S879="Info Requested"),"5 Interested",IF(OR($S879="Declined",$S879="Not Relevant"),"0 Closed - no",IF($R879="Yes","4 Contacted",IF($N879="Yes","2 Engaged",IF($M879="Yes","1 Awareness",IF($AA879&gt;=60,"3 Qualified","1 Awareness"))))))))))</f>
        <v/>
      </c>
    </row>
    <row r="880" customFormat="false" ht="30" hidden="false" customHeight="true" outlineLevel="0" collapsed="false">
      <c r="A880" s="36"/>
      <c r="B880" s="37"/>
      <c r="C880" s="37"/>
      <c r="D880" s="37"/>
      <c r="E880" s="37"/>
      <c r="F880" s="37"/>
      <c r="G880" s="37"/>
      <c r="H880" s="37"/>
      <c r="I880" s="37"/>
      <c r="J880" s="47"/>
      <c r="K880" s="41" t="str">
        <f aca="false">IF(J880="","",IF(J880&gt;=8,"Yes","Check"))</f>
        <v/>
      </c>
      <c r="L880" s="38"/>
      <c r="M880" s="47"/>
      <c r="N880" s="47"/>
      <c r="O880" s="37"/>
      <c r="P880" s="38"/>
      <c r="Q880" s="42" t="str">
        <f aca="false">IF(P880="","",LEN(P880))</f>
        <v/>
      </c>
      <c r="R880" s="47"/>
      <c r="S880" s="37"/>
      <c r="T880" s="38"/>
      <c r="U880" s="43" t="str">
        <f aca="false">IF(OR(R880&lt;&gt;"Yes",A880=""),"",A880+4)</f>
        <v/>
      </c>
      <c r="V880" s="47"/>
      <c r="W880" s="38"/>
      <c r="X880" s="38"/>
      <c r="Y880" s="44"/>
      <c r="Z880" s="44"/>
      <c r="AA880" s="45" t="str">
        <f aca="false">IF(AND($Y880="",$Z880=""),"",ROUND(IFERROR(VALUE(LEFT($Y880,1)),0)*12+IFERROR(VALUE(LEFT($Z880,1)),0)*8,0))</f>
        <v/>
      </c>
      <c r="AB880" s="45" t="str">
        <f aca="false">IF($AA880="","",IF($AA880&gt;=80,"A - call first",IF($AA880&gt;=60,"B - worth pursuing",IF($AA880&gt;=40,"C - nurture","D - do not spend time here"))))</f>
        <v/>
      </c>
      <c r="AC880" s="46" t="str">
        <f aca="false">IF($C880="","",IF($S880="Converted","7 Certification / Enterprise opportunity",IF($S880="Application Started","7 Certification / Enterprise opportunity",IF($S880="Meeting Booked","6 Meeting / Application",IF(OR($S880="Interested",$S880="Info Requested"),"5 Interested",IF(OR($S880="Declined",$S880="Not Relevant"),"0 Closed - no",IF($R880="Yes","4 Contacted",IF($N880="Yes","2 Engaged",IF($M880="Yes","1 Awareness",IF($AA880&gt;=60,"3 Qualified","1 Awareness"))))))))))</f>
        <v/>
      </c>
    </row>
    <row r="881" customFormat="false" ht="30" hidden="false" customHeight="true" outlineLevel="0" collapsed="false">
      <c r="A881" s="36"/>
      <c r="B881" s="37"/>
      <c r="C881" s="37"/>
      <c r="D881" s="37"/>
      <c r="E881" s="37"/>
      <c r="F881" s="37"/>
      <c r="G881" s="37"/>
      <c r="H881" s="37"/>
      <c r="I881" s="37"/>
      <c r="J881" s="47"/>
      <c r="K881" s="41" t="str">
        <f aca="false">IF(J881="","",IF(J881&gt;=8,"Yes","Check"))</f>
        <v/>
      </c>
      <c r="L881" s="38"/>
      <c r="M881" s="47"/>
      <c r="N881" s="47"/>
      <c r="O881" s="37"/>
      <c r="P881" s="38"/>
      <c r="Q881" s="42" t="str">
        <f aca="false">IF(P881="","",LEN(P881))</f>
        <v/>
      </c>
      <c r="R881" s="47"/>
      <c r="S881" s="37"/>
      <c r="T881" s="38"/>
      <c r="U881" s="43" t="str">
        <f aca="false">IF(OR(R881&lt;&gt;"Yes",A881=""),"",A881+4)</f>
        <v/>
      </c>
      <c r="V881" s="47"/>
      <c r="W881" s="38"/>
      <c r="X881" s="38"/>
      <c r="Y881" s="44"/>
      <c r="Z881" s="44"/>
      <c r="AA881" s="45" t="str">
        <f aca="false">IF(AND($Y881="",$Z881=""),"",ROUND(IFERROR(VALUE(LEFT($Y881,1)),0)*12+IFERROR(VALUE(LEFT($Z881,1)),0)*8,0))</f>
        <v/>
      </c>
      <c r="AB881" s="45" t="str">
        <f aca="false">IF($AA881="","",IF($AA881&gt;=80,"A - call first",IF($AA881&gt;=60,"B - worth pursuing",IF($AA881&gt;=40,"C - nurture","D - do not spend time here"))))</f>
        <v/>
      </c>
      <c r="AC881" s="46" t="str">
        <f aca="false">IF($C881="","",IF($S881="Converted","7 Certification / Enterprise opportunity",IF($S881="Application Started","7 Certification / Enterprise opportunity",IF($S881="Meeting Booked","6 Meeting / Application",IF(OR($S881="Interested",$S881="Info Requested"),"5 Interested",IF(OR($S881="Declined",$S881="Not Relevant"),"0 Closed - no",IF($R881="Yes","4 Contacted",IF($N881="Yes","2 Engaged",IF($M881="Yes","1 Awareness",IF($AA881&gt;=60,"3 Qualified","1 Awareness"))))))))))</f>
        <v/>
      </c>
    </row>
    <row r="882" customFormat="false" ht="30" hidden="false" customHeight="true" outlineLevel="0" collapsed="false">
      <c r="A882" s="36"/>
      <c r="B882" s="37"/>
      <c r="C882" s="37"/>
      <c r="D882" s="37"/>
      <c r="E882" s="37"/>
      <c r="F882" s="37"/>
      <c r="G882" s="37"/>
      <c r="H882" s="37"/>
      <c r="I882" s="37"/>
      <c r="J882" s="47"/>
      <c r="K882" s="41" t="str">
        <f aca="false">IF(J882="","",IF(J882&gt;=8,"Yes","Check"))</f>
        <v/>
      </c>
      <c r="L882" s="38"/>
      <c r="M882" s="47"/>
      <c r="N882" s="47"/>
      <c r="O882" s="37"/>
      <c r="P882" s="38"/>
      <c r="Q882" s="42" t="str">
        <f aca="false">IF(P882="","",LEN(P882))</f>
        <v/>
      </c>
      <c r="R882" s="47"/>
      <c r="S882" s="37"/>
      <c r="T882" s="38"/>
      <c r="U882" s="43" t="str">
        <f aca="false">IF(OR(R882&lt;&gt;"Yes",A882=""),"",A882+4)</f>
        <v/>
      </c>
      <c r="V882" s="47"/>
      <c r="W882" s="38"/>
      <c r="X882" s="38"/>
      <c r="Y882" s="44"/>
      <c r="Z882" s="44"/>
      <c r="AA882" s="45" t="str">
        <f aca="false">IF(AND($Y882="",$Z882=""),"",ROUND(IFERROR(VALUE(LEFT($Y882,1)),0)*12+IFERROR(VALUE(LEFT($Z882,1)),0)*8,0))</f>
        <v/>
      </c>
      <c r="AB882" s="45" t="str">
        <f aca="false">IF($AA882="","",IF($AA882&gt;=80,"A - call first",IF($AA882&gt;=60,"B - worth pursuing",IF($AA882&gt;=40,"C - nurture","D - do not spend time here"))))</f>
        <v/>
      </c>
      <c r="AC882" s="46" t="str">
        <f aca="false">IF($C882="","",IF($S882="Converted","7 Certification / Enterprise opportunity",IF($S882="Application Started","7 Certification / Enterprise opportunity",IF($S882="Meeting Booked","6 Meeting / Application",IF(OR($S882="Interested",$S882="Info Requested"),"5 Interested",IF(OR($S882="Declined",$S882="Not Relevant"),"0 Closed - no",IF($R882="Yes","4 Contacted",IF($N882="Yes","2 Engaged",IF($M882="Yes","1 Awareness",IF($AA882&gt;=60,"3 Qualified","1 Awareness"))))))))))</f>
        <v/>
      </c>
    </row>
    <row r="883" customFormat="false" ht="30" hidden="false" customHeight="true" outlineLevel="0" collapsed="false">
      <c r="A883" s="36"/>
      <c r="B883" s="37"/>
      <c r="C883" s="37"/>
      <c r="D883" s="37"/>
      <c r="E883" s="37"/>
      <c r="F883" s="37"/>
      <c r="G883" s="37"/>
      <c r="H883" s="37"/>
      <c r="I883" s="37"/>
      <c r="J883" s="47"/>
      <c r="K883" s="41" t="str">
        <f aca="false">IF(J883="","",IF(J883&gt;=8,"Yes","Check"))</f>
        <v/>
      </c>
      <c r="L883" s="38"/>
      <c r="M883" s="47"/>
      <c r="N883" s="47"/>
      <c r="O883" s="37"/>
      <c r="P883" s="38"/>
      <c r="Q883" s="42" t="str">
        <f aca="false">IF(P883="","",LEN(P883))</f>
        <v/>
      </c>
      <c r="R883" s="47"/>
      <c r="S883" s="37"/>
      <c r="T883" s="38"/>
      <c r="U883" s="43" t="str">
        <f aca="false">IF(OR(R883&lt;&gt;"Yes",A883=""),"",A883+4)</f>
        <v/>
      </c>
      <c r="V883" s="47"/>
      <c r="W883" s="38"/>
      <c r="X883" s="38"/>
      <c r="Y883" s="44"/>
      <c r="Z883" s="44"/>
      <c r="AA883" s="45" t="str">
        <f aca="false">IF(AND($Y883="",$Z883=""),"",ROUND(IFERROR(VALUE(LEFT($Y883,1)),0)*12+IFERROR(VALUE(LEFT($Z883,1)),0)*8,0))</f>
        <v/>
      </c>
      <c r="AB883" s="45" t="str">
        <f aca="false">IF($AA883="","",IF($AA883&gt;=80,"A - call first",IF($AA883&gt;=60,"B - worth pursuing",IF($AA883&gt;=40,"C - nurture","D - do not spend time here"))))</f>
        <v/>
      </c>
      <c r="AC883" s="46" t="str">
        <f aca="false">IF($C883="","",IF($S883="Converted","7 Certification / Enterprise opportunity",IF($S883="Application Started","7 Certification / Enterprise opportunity",IF($S883="Meeting Booked","6 Meeting / Application",IF(OR($S883="Interested",$S883="Info Requested"),"5 Interested",IF(OR($S883="Declined",$S883="Not Relevant"),"0 Closed - no",IF($R883="Yes","4 Contacted",IF($N883="Yes","2 Engaged",IF($M883="Yes","1 Awareness",IF($AA883&gt;=60,"3 Qualified","1 Awareness"))))))))))</f>
        <v/>
      </c>
    </row>
    <row r="884" customFormat="false" ht="30" hidden="false" customHeight="true" outlineLevel="0" collapsed="false">
      <c r="A884" s="36"/>
      <c r="B884" s="37"/>
      <c r="C884" s="37"/>
      <c r="D884" s="37"/>
      <c r="E884" s="37"/>
      <c r="F884" s="37"/>
      <c r="G884" s="37"/>
      <c r="H884" s="37"/>
      <c r="I884" s="37"/>
      <c r="J884" s="47"/>
      <c r="K884" s="41" t="str">
        <f aca="false">IF(J884="","",IF(J884&gt;=8,"Yes","Check"))</f>
        <v/>
      </c>
      <c r="L884" s="38"/>
      <c r="M884" s="47"/>
      <c r="N884" s="47"/>
      <c r="O884" s="37"/>
      <c r="P884" s="38"/>
      <c r="Q884" s="42" t="str">
        <f aca="false">IF(P884="","",LEN(P884))</f>
        <v/>
      </c>
      <c r="R884" s="47"/>
      <c r="S884" s="37"/>
      <c r="T884" s="38"/>
      <c r="U884" s="43" t="str">
        <f aca="false">IF(OR(R884&lt;&gt;"Yes",A884=""),"",A884+4)</f>
        <v/>
      </c>
      <c r="V884" s="47"/>
      <c r="W884" s="38"/>
      <c r="X884" s="38"/>
      <c r="Y884" s="44"/>
      <c r="Z884" s="44"/>
      <c r="AA884" s="45" t="str">
        <f aca="false">IF(AND($Y884="",$Z884=""),"",ROUND(IFERROR(VALUE(LEFT($Y884,1)),0)*12+IFERROR(VALUE(LEFT($Z884,1)),0)*8,0))</f>
        <v/>
      </c>
      <c r="AB884" s="45" t="str">
        <f aca="false">IF($AA884="","",IF($AA884&gt;=80,"A - call first",IF($AA884&gt;=60,"B - worth pursuing",IF($AA884&gt;=40,"C - nurture","D - do not spend time here"))))</f>
        <v/>
      </c>
      <c r="AC884" s="46" t="str">
        <f aca="false">IF($C884="","",IF($S884="Converted","7 Certification / Enterprise opportunity",IF($S884="Application Started","7 Certification / Enterprise opportunity",IF($S884="Meeting Booked","6 Meeting / Application",IF(OR($S884="Interested",$S884="Info Requested"),"5 Interested",IF(OR($S884="Declined",$S884="Not Relevant"),"0 Closed - no",IF($R884="Yes","4 Contacted",IF($N884="Yes","2 Engaged",IF($M884="Yes","1 Awareness",IF($AA884&gt;=60,"3 Qualified","1 Awareness"))))))))))</f>
        <v/>
      </c>
    </row>
    <row r="885" customFormat="false" ht="30" hidden="false" customHeight="true" outlineLevel="0" collapsed="false">
      <c r="A885" s="36"/>
      <c r="B885" s="37"/>
      <c r="C885" s="37"/>
      <c r="D885" s="37"/>
      <c r="E885" s="37"/>
      <c r="F885" s="37"/>
      <c r="G885" s="37"/>
      <c r="H885" s="37"/>
      <c r="I885" s="37"/>
      <c r="J885" s="47"/>
      <c r="K885" s="41" t="str">
        <f aca="false">IF(J885="","",IF(J885&gt;=8,"Yes","Check"))</f>
        <v/>
      </c>
      <c r="L885" s="38"/>
      <c r="M885" s="47"/>
      <c r="N885" s="47"/>
      <c r="O885" s="37"/>
      <c r="P885" s="38"/>
      <c r="Q885" s="42" t="str">
        <f aca="false">IF(P885="","",LEN(P885))</f>
        <v/>
      </c>
      <c r="R885" s="47"/>
      <c r="S885" s="37"/>
      <c r="T885" s="38"/>
      <c r="U885" s="43" t="str">
        <f aca="false">IF(OR(R885&lt;&gt;"Yes",A885=""),"",A885+4)</f>
        <v/>
      </c>
      <c r="V885" s="47"/>
      <c r="W885" s="38"/>
      <c r="X885" s="38"/>
      <c r="Y885" s="44"/>
      <c r="Z885" s="44"/>
      <c r="AA885" s="45" t="str">
        <f aca="false">IF(AND($Y885="",$Z885=""),"",ROUND(IFERROR(VALUE(LEFT($Y885,1)),0)*12+IFERROR(VALUE(LEFT($Z885,1)),0)*8,0))</f>
        <v/>
      </c>
      <c r="AB885" s="45" t="str">
        <f aca="false">IF($AA885="","",IF($AA885&gt;=80,"A - call first",IF($AA885&gt;=60,"B - worth pursuing",IF($AA885&gt;=40,"C - nurture","D - do not spend time here"))))</f>
        <v/>
      </c>
      <c r="AC885" s="46" t="str">
        <f aca="false">IF($C885="","",IF($S885="Converted","7 Certification / Enterprise opportunity",IF($S885="Application Started","7 Certification / Enterprise opportunity",IF($S885="Meeting Booked","6 Meeting / Application",IF(OR($S885="Interested",$S885="Info Requested"),"5 Interested",IF(OR($S885="Declined",$S885="Not Relevant"),"0 Closed - no",IF($R885="Yes","4 Contacted",IF($N885="Yes","2 Engaged",IF($M885="Yes","1 Awareness",IF($AA885&gt;=60,"3 Qualified","1 Awareness"))))))))))</f>
        <v/>
      </c>
    </row>
    <row r="886" customFormat="false" ht="30" hidden="false" customHeight="true" outlineLevel="0" collapsed="false">
      <c r="A886" s="36"/>
      <c r="B886" s="37"/>
      <c r="C886" s="37"/>
      <c r="D886" s="37"/>
      <c r="E886" s="37"/>
      <c r="F886" s="37"/>
      <c r="G886" s="37"/>
      <c r="H886" s="37"/>
      <c r="I886" s="37"/>
      <c r="J886" s="47"/>
      <c r="K886" s="41" t="str">
        <f aca="false">IF(J886="","",IF(J886&gt;=8,"Yes","Check"))</f>
        <v/>
      </c>
      <c r="L886" s="38"/>
      <c r="M886" s="47"/>
      <c r="N886" s="47"/>
      <c r="O886" s="37"/>
      <c r="P886" s="38"/>
      <c r="Q886" s="42" t="str">
        <f aca="false">IF(P886="","",LEN(P886))</f>
        <v/>
      </c>
      <c r="R886" s="47"/>
      <c r="S886" s="37"/>
      <c r="T886" s="38"/>
      <c r="U886" s="43" t="str">
        <f aca="false">IF(OR(R886&lt;&gt;"Yes",A886=""),"",A886+4)</f>
        <v/>
      </c>
      <c r="V886" s="47"/>
      <c r="W886" s="38"/>
      <c r="X886" s="38"/>
      <c r="Y886" s="44"/>
      <c r="Z886" s="44"/>
      <c r="AA886" s="45" t="str">
        <f aca="false">IF(AND($Y886="",$Z886=""),"",ROUND(IFERROR(VALUE(LEFT($Y886,1)),0)*12+IFERROR(VALUE(LEFT($Z886,1)),0)*8,0))</f>
        <v/>
      </c>
      <c r="AB886" s="45" t="str">
        <f aca="false">IF($AA886="","",IF($AA886&gt;=80,"A - call first",IF($AA886&gt;=60,"B - worth pursuing",IF($AA886&gt;=40,"C - nurture","D - do not spend time here"))))</f>
        <v/>
      </c>
      <c r="AC886" s="46" t="str">
        <f aca="false">IF($C886="","",IF($S886="Converted","7 Certification / Enterprise opportunity",IF($S886="Application Started","7 Certification / Enterprise opportunity",IF($S886="Meeting Booked","6 Meeting / Application",IF(OR($S886="Interested",$S886="Info Requested"),"5 Interested",IF(OR($S886="Declined",$S886="Not Relevant"),"0 Closed - no",IF($R886="Yes","4 Contacted",IF($N886="Yes","2 Engaged",IF($M886="Yes","1 Awareness",IF($AA886&gt;=60,"3 Qualified","1 Awareness"))))))))))</f>
        <v/>
      </c>
    </row>
    <row r="887" customFormat="false" ht="30" hidden="false" customHeight="true" outlineLevel="0" collapsed="false">
      <c r="A887" s="36"/>
      <c r="B887" s="37"/>
      <c r="C887" s="37"/>
      <c r="D887" s="37"/>
      <c r="E887" s="37"/>
      <c r="F887" s="37"/>
      <c r="G887" s="37"/>
      <c r="H887" s="37"/>
      <c r="I887" s="37"/>
      <c r="J887" s="47"/>
      <c r="K887" s="41" t="str">
        <f aca="false">IF(J887="","",IF(J887&gt;=8,"Yes","Check"))</f>
        <v/>
      </c>
      <c r="L887" s="38"/>
      <c r="M887" s="47"/>
      <c r="N887" s="47"/>
      <c r="O887" s="37"/>
      <c r="P887" s="38"/>
      <c r="Q887" s="42" t="str">
        <f aca="false">IF(P887="","",LEN(P887))</f>
        <v/>
      </c>
      <c r="R887" s="47"/>
      <c r="S887" s="37"/>
      <c r="T887" s="38"/>
      <c r="U887" s="43" t="str">
        <f aca="false">IF(OR(R887&lt;&gt;"Yes",A887=""),"",A887+4)</f>
        <v/>
      </c>
      <c r="V887" s="47"/>
      <c r="W887" s="38"/>
      <c r="X887" s="38"/>
      <c r="Y887" s="44"/>
      <c r="Z887" s="44"/>
      <c r="AA887" s="45" t="str">
        <f aca="false">IF(AND($Y887="",$Z887=""),"",ROUND(IFERROR(VALUE(LEFT($Y887,1)),0)*12+IFERROR(VALUE(LEFT($Z887,1)),0)*8,0))</f>
        <v/>
      </c>
      <c r="AB887" s="45" t="str">
        <f aca="false">IF($AA887="","",IF($AA887&gt;=80,"A - call first",IF($AA887&gt;=60,"B - worth pursuing",IF($AA887&gt;=40,"C - nurture","D - do not spend time here"))))</f>
        <v/>
      </c>
      <c r="AC887" s="46" t="str">
        <f aca="false">IF($C887="","",IF($S887="Converted","7 Certification / Enterprise opportunity",IF($S887="Application Started","7 Certification / Enterprise opportunity",IF($S887="Meeting Booked","6 Meeting / Application",IF(OR($S887="Interested",$S887="Info Requested"),"5 Interested",IF(OR($S887="Declined",$S887="Not Relevant"),"0 Closed - no",IF($R887="Yes","4 Contacted",IF($N887="Yes","2 Engaged",IF($M887="Yes","1 Awareness",IF($AA887&gt;=60,"3 Qualified","1 Awareness"))))))))))</f>
        <v/>
      </c>
    </row>
    <row r="888" customFormat="false" ht="30" hidden="false" customHeight="true" outlineLevel="0" collapsed="false">
      <c r="A888" s="36"/>
      <c r="B888" s="37"/>
      <c r="C888" s="37"/>
      <c r="D888" s="37"/>
      <c r="E888" s="37"/>
      <c r="F888" s="37"/>
      <c r="G888" s="37"/>
      <c r="H888" s="37"/>
      <c r="I888" s="37"/>
      <c r="J888" s="47"/>
      <c r="K888" s="41" t="str">
        <f aca="false">IF(J888="","",IF(J888&gt;=8,"Yes","Check"))</f>
        <v/>
      </c>
      <c r="L888" s="38"/>
      <c r="M888" s="47"/>
      <c r="N888" s="47"/>
      <c r="O888" s="37"/>
      <c r="P888" s="38"/>
      <c r="Q888" s="42" t="str">
        <f aca="false">IF(P888="","",LEN(P888))</f>
        <v/>
      </c>
      <c r="R888" s="47"/>
      <c r="S888" s="37"/>
      <c r="T888" s="38"/>
      <c r="U888" s="43" t="str">
        <f aca="false">IF(OR(R888&lt;&gt;"Yes",A888=""),"",A888+4)</f>
        <v/>
      </c>
      <c r="V888" s="47"/>
      <c r="W888" s="38"/>
      <c r="X888" s="38"/>
      <c r="Y888" s="44"/>
      <c r="Z888" s="44"/>
      <c r="AA888" s="45" t="str">
        <f aca="false">IF(AND($Y888="",$Z888=""),"",ROUND(IFERROR(VALUE(LEFT($Y888,1)),0)*12+IFERROR(VALUE(LEFT($Z888,1)),0)*8,0))</f>
        <v/>
      </c>
      <c r="AB888" s="45" t="str">
        <f aca="false">IF($AA888="","",IF($AA888&gt;=80,"A - call first",IF($AA888&gt;=60,"B - worth pursuing",IF($AA888&gt;=40,"C - nurture","D - do not spend time here"))))</f>
        <v/>
      </c>
      <c r="AC888" s="46" t="str">
        <f aca="false">IF($C888="","",IF($S888="Converted","7 Certification / Enterprise opportunity",IF($S888="Application Started","7 Certification / Enterprise opportunity",IF($S888="Meeting Booked","6 Meeting / Application",IF(OR($S888="Interested",$S888="Info Requested"),"5 Interested",IF(OR($S888="Declined",$S888="Not Relevant"),"0 Closed - no",IF($R888="Yes","4 Contacted",IF($N888="Yes","2 Engaged",IF($M888="Yes","1 Awareness",IF($AA888&gt;=60,"3 Qualified","1 Awareness"))))))))))</f>
        <v/>
      </c>
    </row>
    <row r="889" customFormat="false" ht="30" hidden="false" customHeight="true" outlineLevel="0" collapsed="false">
      <c r="A889" s="36"/>
      <c r="B889" s="37"/>
      <c r="C889" s="37"/>
      <c r="D889" s="37"/>
      <c r="E889" s="37"/>
      <c r="F889" s="37"/>
      <c r="G889" s="37"/>
      <c r="H889" s="37"/>
      <c r="I889" s="37"/>
      <c r="J889" s="47"/>
      <c r="K889" s="41" t="str">
        <f aca="false">IF(J889="","",IF(J889&gt;=8,"Yes","Check"))</f>
        <v/>
      </c>
      <c r="L889" s="38"/>
      <c r="M889" s="47"/>
      <c r="N889" s="47"/>
      <c r="O889" s="37"/>
      <c r="P889" s="38"/>
      <c r="Q889" s="42" t="str">
        <f aca="false">IF(P889="","",LEN(P889))</f>
        <v/>
      </c>
      <c r="R889" s="47"/>
      <c r="S889" s="37"/>
      <c r="T889" s="38"/>
      <c r="U889" s="43" t="str">
        <f aca="false">IF(OR(R889&lt;&gt;"Yes",A889=""),"",A889+4)</f>
        <v/>
      </c>
      <c r="V889" s="47"/>
      <c r="W889" s="38"/>
      <c r="X889" s="38"/>
      <c r="Y889" s="44"/>
      <c r="Z889" s="44"/>
      <c r="AA889" s="45" t="str">
        <f aca="false">IF(AND($Y889="",$Z889=""),"",ROUND(IFERROR(VALUE(LEFT($Y889,1)),0)*12+IFERROR(VALUE(LEFT($Z889,1)),0)*8,0))</f>
        <v/>
      </c>
      <c r="AB889" s="45" t="str">
        <f aca="false">IF($AA889="","",IF($AA889&gt;=80,"A - call first",IF($AA889&gt;=60,"B - worth pursuing",IF($AA889&gt;=40,"C - nurture","D - do not spend time here"))))</f>
        <v/>
      </c>
      <c r="AC889" s="46" t="str">
        <f aca="false">IF($C889="","",IF($S889="Converted","7 Certification / Enterprise opportunity",IF($S889="Application Started","7 Certification / Enterprise opportunity",IF($S889="Meeting Booked","6 Meeting / Application",IF(OR($S889="Interested",$S889="Info Requested"),"5 Interested",IF(OR($S889="Declined",$S889="Not Relevant"),"0 Closed - no",IF($R889="Yes","4 Contacted",IF($N889="Yes","2 Engaged",IF($M889="Yes","1 Awareness",IF($AA889&gt;=60,"3 Qualified","1 Awareness"))))))))))</f>
        <v/>
      </c>
    </row>
    <row r="890" customFormat="false" ht="30" hidden="false" customHeight="true" outlineLevel="0" collapsed="false">
      <c r="A890" s="36"/>
      <c r="B890" s="37"/>
      <c r="C890" s="37"/>
      <c r="D890" s="37"/>
      <c r="E890" s="37"/>
      <c r="F890" s="37"/>
      <c r="G890" s="37"/>
      <c r="H890" s="37"/>
      <c r="I890" s="37"/>
      <c r="J890" s="47"/>
      <c r="K890" s="41" t="str">
        <f aca="false">IF(J890="","",IF(J890&gt;=8,"Yes","Check"))</f>
        <v/>
      </c>
      <c r="L890" s="38"/>
      <c r="M890" s="47"/>
      <c r="N890" s="47"/>
      <c r="O890" s="37"/>
      <c r="P890" s="38"/>
      <c r="Q890" s="42" t="str">
        <f aca="false">IF(P890="","",LEN(P890))</f>
        <v/>
      </c>
      <c r="R890" s="47"/>
      <c r="S890" s="37"/>
      <c r="T890" s="38"/>
      <c r="U890" s="43" t="str">
        <f aca="false">IF(OR(R890&lt;&gt;"Yes",A890=""),"",A890+4)</f>
        <v/>
      </c>
      <c r="V890" s="47"/>
      <c r="W890" s="38"/>
      <c r="X890" s="38"/>
      <c r="Y890" s="44"/>
      <c r="Z890" s="44"/>
      <c r="AA890" s="45" t="str">
        <f aca="false">IF(AND($Y890="",$Z890=""),"",ROUND(IFERROR(VALUE(LEFT($Y890,1)),0)*12+IFERROR(VALUE(LEFT($Z890,1)),0)*8,0))</f>
        <v/>
      </c>
      <c r="AB890" s="45" t="str">
        <f aca="false">IF($AA890="","",IF($AA890&gt;=80,"A - call first",IF($AA890&gt;=60,"B - worth pursuing",IF($AA890&gt;=40,"C - nurture","D - do not spend time here"))))</f>
        <v/>
      </c>
      <c r="AC890" s="46" t="str">
        <f aca="false">IF($C890="","",IF($S890="Converted","7 Certification / Enterprise opportunity",IF($S890="Application Started","7 Certification / Enterprise opportunity",IF($S890="Meeting Booked","6 Meeting / Application",IF(OR($S890="Interested",$S890="Info Requested"),"5 Interested",IF(OR($S890="Declined",$S890="Not Relevant"),"0 Closed - no",IF($R890="Yes","4 Contacted",IF($N890="Yes","2 Engaged",IF($M890="Yes","1 Awareness",IF($AA890&gt;=60,"3 Qualified","1 Awareness"))))))))))</f>
        <v/>
      </c>
    </row>
    <row r="891" customFormat="false" ht="30" hidden="false" customHeight="true" outlineLevel="0" collapsed="false">
      <c r="A891" s="36"/>
      <c r="B891" s="37"/>
      <c r="C891" s="37"/>
      <c r="D891" s="37"/>
      <c r="E891" s="37"/>
      <c r="F891" s="37"/>
      <c r="G891" s="37"/>
      <c r="H891" s="37"/>
      <c r="I891" s="37"/>
      <c r="J891" s="47"/>
      <c r="K891" s="41" t="str">
        <f aca="false">IF(J891="","",IF(J891&gt;=8,"Yes","Check"))</f>
        <v/>
      </c>
      <c r="L891" s="38"/>
      <c r="M891" s="47"/>
      <c r="N891" s="47"/>
      <c r="O891" s="37"/>
      <c r="P891" s="38"/>
      <c r="Q891" s="42" t="str">
        <f aca="false">IF(P891="","",LEN(P891))</f>
        <v/>
      </c>
      <c r="R891" s="47"/>
      <c r="S891" s="37"/>
      <c r="T891" s="38"/>
      <c r="U891" s="43" t="str">
        <f aca="false">IF(OR(R891&lt;&gt;"Yes",A891=""),"",A891+4)</f>
        <v/>
      </c>
      <c r="V891" s="47"/>
      <c r="W891" s="38"/>
      <c r="X891" s="38"/>
      <c r="Y891" s="44"/>
      <c r="Z891" s="44"/>
      <c r="AA891" s="45" t="str">
        <f aca="false">IF(AND($Y891="",$Z891=""),"",ROUND(IFERROR(VALUE(LEFT($Y891,1)),0)*12+IFERROR(VALUE(LEFT($Z891,1)),0)*8,0))</f>
        <v/>
      </c>
      <c r="AB891" s="45" t="str">
        <f aca="false">IF($AA891="","",IF($AA891&gt;=80,"A - call first",IF($AA891&gt;=60,"B - worth pursuing",IF($AA891&gt;=40,"C - nurture","D - do not spend time here"))))</f>
        <v/>
      </c>
      <c r="AC891" s="46" t="str">
        <f aca="false">IF($C891="","",IF($S891="Converted","7 Certification / Enterprise opportunity",IF($S891="Application Started","7 Certification / Enterprise opportunity",IF($S891="Meeting Booked","6 Meeting / Application",IF(OR($S891="Interested",$S891="Info Requested"),"5 Interested",IF(OR($S891="Declined",$S891="Not Relevant"),"0 Closed - no",IF($R891="Yes","4 Contacted",IF($N891="Yes","2 Engaged",IF($M891="Yes","1 Awareness",IF($AA891&gt;=60,"3 Qualified","1 Awareness"))))))))))</f>
        <v/>
      </c>
    </row>
    <row r="892" customFormat="false" ht="30" hidden="false" customHeight="true" outlineLevel="0" collapsed="false">
      <c r="A892" s="36"/>
      <c r="B892" s="37"/>
      <c r="C892" s="37"/>
      <c r="D892" s="37"/>
      <c r="E892" s="37"/>
      <c r="F892" s="37"/>
      <c r="G892" s="37"/>
      <c r="H892" s="37"/>
      <c r="I892" s="37"/>
      <c r="J892" s="47"/>
      <c r="K892" s="41" t="str">
        <f aca="false">IF(J892="","",IF(J892&gt;=8,"Yes","Check"))</f>
        <v/>
      </c>
      <c r="L892" s="38"/>
      <c r="M892" s="47"/>
      <c r="N892" s="47"/>
      <c r="O892" s="37"/>
      <c r="P892" s="38"/>
      <c r="Q892" s="42" t="str">
        <f aca="false">IF(P892="","",LEN(P892))</f>
        <v/>
      </c>
      <c r="R892" s="47"/>
      <c r="S892" s="37"/>
      <c r="T892" s="38"/>
      <c r="U892" s="43" t="str">
        <f aca="false">IF(OR(R892&lt;&gt;"Yes",A892=""),"",A892+4)</f>
        <v/>
      </c>
      <c r="V892" s="47"/>
      <c r="W892" s="38"/>
      <c r="X892" s="38"/>
      <c r="Y892" s="44"/>
      <c r="Z892" s="44"/>
      <c r="AA892" s="45" t="str">
        <f aca="false">IF(AND($Y892="",$Z892=""),"",ROUND(IFERROR(VALUE(LEFT($Y892,1)),0)*12+IFERROR(VALUE(LEFT($Z892,1)),0)*8,0))</f>
        <v/>
      </c>
      <c r="AB892" s="45" t="str">
        <f aca="false">IF($AA892="","",IF($AA892&gt;=80,"A - call first",IF($AA892&gt;=60,"B - worth pursuing",IF($AA892&gt;=40,"C - nurture","D - do not spend time here"))))</f>
        <v/>
      </c>
      <c r="AC892" s="46" t="str">
        <f aca="false">IF($C892="","",IF($S892="Converted","7 Certification / Enterprise opportunity",IF($S892="Application Started","7 Certification / Enterprise opportunity",IF($S892="Meeting Booked","6 Meeting / Application",IF(OR($S892="Interested",$S892="Info Requested"),"5 Interested",IF(OR($S892="Declined",$S892="Not Relevant"),"0 Closed - no",IF($R892="Yes","4 Contacted",IF($N892="Yes","2 Engaged",IF($M892="Yes","1 Awareness",IF($AA892&gt;=60,"3 Qualified","1 Awareness"))))))))))</f>
        <v/>
      </c>
    </row>
    <row r="893" customFormat="false" ht="30" hidden="false" customHeight="true" outlineLevel="0" collapsed="false">
      <c r="A893" s="36"/>
      <c r="B893" s="37"/>
      <c r="C893" s="37"/>
      <c r="D893" s="37"/>
      <c r="E893" s="37"/>
      <c r="F893" s="37"/>
      <c r="G893" s="37"/>
      <c r="H893" s="37"/>
      <c r="I893" s="37"/>
      <c r="J893" s="47"/>
      <c r="K893" s="41" t="str">
        <f aca="false">IF(J893="","",IF(J893&gt;=8,"Yes","Check"))</f>
        <v/>
      </c>
      <c r="L893" s="38"/>
      <c r="M893" s="47"/>
      <c r="N893" s="47"/>
      <c r="O893" s="37"/>
      <c r="P893" s="38"/>
      <c r="Q893" s="42" t="str">
        <f aca="false">IF(P893="","",LEN(P893))</f>
        <v/>
      </c>
      <c r="R893" s="47"/>
      <c r="S893" s="37"/>
      <c r="T893" s="38"/>
      <c r="U893" s="43" t="str">
        <f aca="false">IF(OR(R893&lt;&gt;"Yes",A893=""),"",A893+4)</f>
        <v/>
      </c>
      <c r="V893" s="47"/>
      <c r="W893" s="38"/>
      <c r="X893" s="38"/>
      <c r="Y893" s="44"/>
      <c r="Z893" s="44"/>
      <c r="AA893" s="45" t="str">
        <f aca="false">IF(AND($Y893="",$Z893=""),"",ROUND(IFERROR(VALUE(LEFT($Y893,1)),0)*12+IFERROR(VALUE(LEFT($Z893,1)),0)*8,0))</f>
        <v/>
      </c>
      <c r="AB893" s="45" t="str">
        <f aca="false">IF($AA893="","",IF($AA893&gt;=80,"A - call first",IF($AA893&gt;=60,"B - worth pursuing",IF($AA893&gt;=40,"C - nurture","D - do not spend time here"))))</f>
        <v/>
      </c>
      <c r="AC893" s="46" t="str">
        <f aca="false">IF($C893="","",IF($S893="Converted","7 Certification / Enterprise opportunity",IF($S893="Application Started","7 Certification / Enterprise opportunity",IF($S893="Meeting Booked","6 Meeting / Application",IF(OR($S893="Interested",$S893="Info Requested"),"5 Interested",IF(OR($S893="Declined",$S893="Not Relevant"),"0 Closed - no",IF($R893="Yes","4 Contacted",IF($N893="Yes","2 Engaged",IF($M893="Yes","1 Awareness",IF($AA893&gt;=60,"3 Qualified","1 Awareness"))))))))))</f>
        <v/>
      </c>
    </row>
    <row r="894" customFormat="false" ht="30" hidden="false" customHeight="true" outlineLevel="0" collapsed="false">
      <c r="A894" s="36"/>
      <c r="B894" s="37"/>
      <c r="C894" s="37"/>
      <c r="D894" s="37"/>
      <c r="E894" s="37"/>
      <c r="F894" s="37"/>
      <c r="G894" s="37"/>
      <c r="H894" s="37"/>
      <c r="I894" s="37"/>
      <c r="J894" s="47"/>
      <c r="K894" s="41" t="str">
        <f aca="false">IF(J894="","",IF(J894&gt;=8,"Yes","Check"))</f>
        <v/>
      </c>
      <c r="L894" s="38"/>
      <c r="M894" s="47"/>
      <c r="N894" s="47"/>
      <c r="O894" s="37"/>
      <c r="P894" s="38"/>
      <c r="Q894" s="42" t="str">
        <f aca="false">IF(P894="","",LEN(P894))</f>
        <v/>
      </c>
      <c r="R894" s="47"/>
      <c r="S894" s="37"/>
      <c r="T894" s="38"/>
      <c r="U894" s="43" t="str">
        <f aca="false">IF(OR(R894&lt;&gt;"Yes",A894=""),"",A894+4)</f>
        <v/>
      </c>
      <c r="V894" s="47"/>
      <c r="W894" s="38"/>
      <c r="X894" s="38"/>
      <c r="Y894" s="44"/>
      <c r="Z894" s="44"/>
      <c r="AA894" s="45" t="str">
        <f aca="false">IF(AND($Y894="",$Z894=""),"",ROUND(IFERROR(VALUE(LEFT($Y894,1)),0)*12+IFERROR(VALUE(LEFT($Z894,1)),0)*8,0))</f>
        <v/>
      </c>
      <c r="AB894" s="45" t="str">
        <f aca="false">IF($AA894="","",IF($AA894&gt;=80,"A - call first",IF($AA894&gt;=60,"B - worth pursuing",IF($AA894&gt;=40,"C - nurture","D - do not spend time here"))))</f>
        <v/>
      </c>
      <c r="AC894" s="46" t="str">
        <f aca="false">IF($C894="","",IF($S894="Converted","7 Certification / Enterprise opportunity",IF($S894="Application Started","7 Certification / Enterprise opportunity",IF($S894="Meeting Booked","6 Meeting / Application",IF(OR($S894="Interested",$S894="Info Requested"),"5 Interested",IF(OR($S894="Declined",$S894="Not Relevant"),"0 Closed - no",IF($R894="Yes","4 Contacted",IF($N894="Yes","2 Engaged",IF($M894="Yes","1 Awareness",IF($AA894&gt;=60,"3 Qualified","1 Awareness"))))))))))</f>
        <v/>
      </c>
    </row>
    <row r="895" customFormat="false" ht="30" hidden="false" customHeight="true" outlineLevel="0" collapsed="false">
      <c r="A895" s="36"/>
      <c r="B895" s="37"/>
      <c r="C895" s="37"/>
      <c r="D895" s="37"/>
      <c r="E895" s="37"/>
      <c r="F895" s="37"/>
      <c r="G895" s="37"/>
      <c r="H895" s="37"/>
      <c r="I895" s="37"/>
      <c r="J895" s="47"/>
      <c r="K895" s="41" t="str">
        <f aca="false">IF(J895="","",IF(J895&gt;=8,"Yes","Check"))</f>
        <v/>
      </c>
      <c r="L895" s="38"/>
      <c r="M895" s="47"/>
      <c r="N895" s="47"/>
      <c r="O895" s="37"/>
      <c r="P895" s="38"/>
      <c r="Q895" s="42" t="str">
        <f aca="false">IF(P895="","",LEN(P895))</f>
        <v/>
      </c>
      <c r="R895" s="47"/>
      <c r="S895" s="37"/>
      <c r="T895" s="38"/>
      <c r="U895" s="43" t="str">
        <f aca="false">IF(OR(R895&lt;&gt;"Yes",A895=""),"",A895+4)</f>
        <v/>
      </c>
      <c r="V895" s="47"/>
      <c r="W895" s="38"/>
      <c r="X895" s="38"/>
      <c r="Y895" s="44"/>
      <c r="Z895" s="44"/>
      <c r="AA895" s="45" t="str">
        <f aca="false">IF(AND($Y895="",$Z895=""),"",ROUND(IFERROR(VALUE(LEFT($Y895,1)),0)*12+IFERROR(VALUE(LEFT($Z895,1)),0)*8,0))</f>
        <v/>
      </c>
      <c r="AB895" s="45" t="str">
        <f aca="false">IF($AA895="","",IF($AA895&gt;=80,"A - call first",IF($AA895&gt;=60,"B - worth pursuing",IF($AA895&gt;=40,"C - nurture","D - do not spend time here"))))</f>
        <v/>
      </c>
      <c r="AC895" s="46" t="str">
        <f aca="false">IF($C895="","",IF($S895="Converted","7 Certification / Enterprise opportunity",IF($S895="Application Started","7 Certification / Enterprise opportunity",IF($S895="Meeting Booked","6 Meeting / Application",IF(OR($S895="Interested",$S895="Info Requested"),"5 Interested",IF(OR($S895="Declined",$S895="Not Relevant"),"0 Closed - no",IF($R895="Yes","4 Contacted",IF($N895="Yes","2 Engaged",IF($M895="Yes","1 Awareness",IF($AA895&gt;=60,"3 Qualified","1 Awareness"))))))))))</f>
        <v/>
      </c>
    </row>
    <row r="896" customFormat="false" ht="30" hidden="false" customHeight="true" outlineLevel="0" collapsed="false">
      <c r="A896" s="36"/>
      <c r="B896" s="37"/>
      <c r="C896" s="37"/>
      <c r="D896" s="37"/>
      <c r="E896" s="37"/>
      <c r="F896" s="37"/>
      <c r="G896" s="37"/>
      <c r="H896" s="37"/>
      <c r="I896" s="37"/>
      <c r="J896" s="47"/>
      <c r="K896" s="41" t="str">
        <f aca="false">IF(J896="","",IF(J896&gt;=8,"Yes","Check"))</f>
        <v/>
      </c>
      <c r="L896" s="38"/>
      <c r="M896" s="47"/>
      <c r="N896" s="47"/>
      <c r="O896" s="37"/>
      <c r="P896" s="38"/>
      <c r="Q896" s="42" t="str">
        <f aca="false">IF(P896="","",LEN(P896))</f>
        <v/>
      </c>
      <c r="R896" s="47"/>
      <c r="S896" s="37"/>
      <c r="T896" s="38"/>
      <c r="U896" s="43" t="str">
        <f aca="false">IF(OR(R896&lt;&gt;"Yes",A896=""),"",A896+4)</f>
        <v/>
      </c>
      <c r="V896" s="47"/>
      <c r="W896" s="38"/>
      <c r="X896" s="38"/>
      <c r="Y896" s="44"/>
      <c r="Z896" s="44"/>
      <c r="AA896" s="45" t="str">
        <f aca="false">IF(AND($Y896="",$Z896=""),"",ROUND(IFERROR(VALUE(LEFT($Y896,1)),0)*12+IFERROR(VALUE(LEFT($Z896,1)),0)*8,0))</f>
        <v/>
      </c>
      <c r="AB896" s="45" t="str">
        <f aca="false">IF($AA896="","",IF($AA896&gt;=80,"A - call first",IF($AA896&gt;=60,"B - worth pursuing",IF($AA896&gt;=40,"C - nurture","D - do not spend time here"))))</f>
        <v/>
      </c>
      <c r="AC896" s="46" t="str">
        <f aca="false">IF($C896="","",IF($S896="Converted","7 Certification / Enterprise opportunity",IF($S896="Application Started","7 Certification / Enterprise opportunity",IF($S896="Meeting Booked","6 Meeting / Application",IF(OR($S896="Interested",$S896="Info Requested"),"5 Interested",IF(OR($S896="Declined",$S896="Not Relevant"),"0 Closed - no",IF($R896="Yes","4 Contacted",IF($N896="Yes","2 Engaged",IF($M896="Yes","1 Awareness",IF($AA896&gt;=60,"3 Qualified","1 Awareness"))))))))))</f>
        <v/>
      </c>
    </row>
    <row r="897" customFormat="false" ht="30" hidden="false" customHeight="true" outlineLevel="0" collapsed="false">
      <c r="A897" s="36"/>
      <c r="B897" s="37"/>
      <c r="C897" s="37"/>
      <c r="D897" s="37"/>
      <c r="E897" s="37"/>
      <c r="F897" s="37"/>
      <c r="G897" s="37"/>
      <c r="H897" s="37"/>
      <c r="I897" s="37"/>
      <c r="J897" s="47"/>
      <c r="K897" s="41" t="str">
        <f aca="false">IF(J897="","",IF(J897&gt;=8,"Yes","Check"))</f>
        <v/>
      </c>
      <c r="L897" s="38"/>
      <c r="M897" s="47"/>
      <c r="N897" s="47"/>
      <c r="O897" s="37"/>
      <c r="P897" s="38"/>
      <c r="Q897" s="42" t="str">
        <f aca="false">IF(P897="","",LEN(P897))</f>
        <v/>
      </c>
      <c r="R897" s="47"/>
      <c r="S897" s="37"/>
      <c r="T897" s="38"/>
      <c r="U897" s="43" t="str">
        <f aca="false">IF(OR(R897&lt;&gt;"Yes",A897=""),"",A897+4)</f>
        <v/>
      </c>
      <c r="V897" s="47"/>
      <c r="W897" s="38"/>
      <c r="X897" s="38"/>
      <c r="Y897" s="44"/>
      <c r="Z897" s="44"/>
      <c r="AA897" s="45" t="str">
        <f aca="false">IF(AND($Y897="",$Z897=""),"",ROUND(IFERROR(VALUE(LEFT($Y897,1)),0)*12+IFERROR(VALUE(LEFT($Z897,1)),0)*8,0))</f>
        <v/>
      </c>
      <c r="AB897" s="45" t="str">
        <f aca="false">IF($AA897="","",IF($AA897&gt;=80,"A - call first",IF($AA897&gt;=60,"B - worth pursuing",IF($AA897&gt;=40,"C - nurture","D - do not spend time here"))))</f>
        <v/>
      </c>
      <c r="AC897" s="46" t="str">
        <f aca="false">IF($C897="","",IF($S897="Converted","7 Certification / Enterprise opportunity",IF($S897="Application Started","7 Certification / Enterprise opportunity",IF($S897="Meeting Booked","6 Meeting / Application",IF(OR($S897="Interested",$S897="Info Requested"),"5 Interested",IF(OR($S897="Declined",$S897="Not Relevant"),"0 Closed - no",IF($R897="Yes","4 Contacted",IF($N897="Yes","2 Engaged",IF($M897="Yes","1 Awareness",IF($AA897&gt;=60,"3 Qualified","1 Awareness"))))))))))</f>
        <v/>
      </c>
    </row>
    <row r="898" customFormat="false" ht="30" hidden="false" customHeight="true" outlineLevel="0" collapsed="false">
      <c r="A898" s="36"/>
      <c r="B898" s="37"/>
      <c r="C898" s="37"/>
      <c r="D898" s="37"/>
      <c r="E898" s="37"/>
      <c r="F898" s="37"/>
      <c r="G898" s="37"/>
      <c r="H898" s="37"/>
      <c r="I898" s="37"/>
      <c r="J898" s="47"/>
      <c r="K898" s="41" t="str">
        <f aca="false">IF(J898="","",IF(J898&gt;=8,"Yes","Check"))</f>
        <v/>
      </c>
      <c r="L898" s="38"/>
      <c r="M898" s="47"/>
      <c r="N898" s="47"/>
      <c r="O898" s="37"/>
      <c r="P898" s="38"/>
      <c r="Q898" s="42" t="str">
        <f aca="false">IF(P898="","",LEN(P898))</f>
        <v/>
      </c>
      <c r="R898" s="47"/>
      <c r="S898" s="37"/>
      <c r="T898" s="38"/>
      <c r="U898" s="43" t="str">
        <f aca="false">IF(OR(R898&lt;&gt;"Yes",A898=""),"",A898+4)</f>
        <v/>
      </c>
      <c r="V898" s="47"/>
      <c r="W898" s="38"/>
      <c r="X898" s="38"/>
      <c r="Y898" s="44"/>
      <c r="Z898" s="44"/>
      <c r="AA898" s="45" t="str">
        <f aca="false">IF(AND($Y898="",$Z898=""),"",ROUND(IFERROR(VALUE(LEFT($Y898,1)),0)*12+IFERROR(VALUE(LEFT($Z898,1)),0)*8,0))</f>
        <v/>
      </c>
      <c r="AB898" s="45" t="str">
        <f aca="false">IF($AA898="","",IF($AA898&gt;=80,"A - call first",IF($AA898&gt;=60,"B - worth pursuing",IF($AA898&gt;=40,"C - nurture","D - do not spend time here"))))</f>
        <v/>
      </c>
      <c r="AC898" s="46" t="str">
        <f aca="false">IF($C898="","",IF($S898="Converted","7 Certification / Enterprise opportunity",IF($S898="Application Started","7 Certification / Enterprise opportunity",IF($S898="Meeting Booked","6 Meeting / Application",IF(OR($S898="Interested",$S898="Info Requested"),"5 Interested",IF(OR($S898="Declined",$S898="Not Relevant"),"0 Closed - no",IF($R898="Yes","4 Contacted",IF($N898="Yes","2 Engaged",IF($M898="Yes","1 Awareness",IF($AA898&gt;=60,"3 Qualified","1 Awareness"))))))))))</f>
        <v/>
      </c>
    </row>
    <row r="899" customFormat="false" ht="30" hidden="false" customHeight="true" outlineLevel="0" collapsed="false">
      <c r="A899" s="36"/>
      <c r="B899" s="37"/>
      <c r="C899" s="37"/>
      <c r="D899" s="37"/>
      <c r="E899" s="37"/>
      <c r="F899" s="37"/>
      <c r="G899" s="37"/>
      <c r="H899" s="37"/>
      <c r="I899" s="37"/>
      <c r="J899" s="47"/>
      <c r="K899" s="41" t="str">
        <f aca="false">IF(J899="","",IF(J899&gt;=8,"Yes","Check"))</f>
        <v/>
      </c>
      <c r="L899" s="38"/>
      <c r="M899" s="47"/>
      <c r="N899" s="47"/>
      <c r="O899" s="37"/>
      <c r="P899" s="38"/>
      <c r="Q899" s="42" t="str">
        <f aca="false">IF(P899="","",LEN(P899))</f>
        <v/>
      </c>
      <c r="R899" s="47"/>
      <c r="S899" s="37"/>
      <c r="T899" s="38"/>
      <c r="U899" s="43" t="str">
        <f aca="false">IF(OR(R899&lt;&gt;"Yes",A899=""),"",A899+4)</f>
        <v/>
      </c>
      <c r="V899" s="47"/>
      <c r="W899" s="38"/>
      <c r="X899" s="38"/>
      <c r="Y899" s="44"/>
      <c r="Z899" s="44"/>
      <c r="AA899" s="45" t="str">
        <f aca="false">IF(AND($Y899="",$Z899=""),"",ROUND(IFERROR(VALUE(LEFT($Y899,1)),0)*12+IFERROR(VALUE(LEFT($Z899,1)),0)*8,0))</f>
        <v/>
      </c>
      <c r="AB899" s="45" t="str">
        <f aca="false">IF($AA899="","",IF($AA899&gt;=80,"A - call first",IF($AA899&gt;=60,"B - worth pursuing",IF($AA899&gt;=40,"C - nurture","D - do not spend time here"))))</f>
        <v/>
      </c>
      <c r="AC899" s="46" t="str">
        <f aca="false">IF($C899="","",IF($S899="Converted","7 Certification / Enterprise opportunity",IF($S899="Application Started","7 Certification / Enterprise opportunity",IF($S899="Meeting Booked","6 Meeting / Application",IF(OR($S899="Interested",$S899="Info Requested"),"5 Interested",IF(OR($S899="Declined",$S899="Not Relevant"),"0 Closed - no",IF($R899="Yes","4 Contacted",IF($N899="Yes","2 Engaged",IF($M899="Yes","1 Awareness",IF($AA899&gt;=60,"3 Qualified","1 Awareness"))))))))))</f>
        <v/>
      </c>
    </row>
    <row r="900" customFormat="false" ht="30" hidden="false" customHeight="true" outlineLevel="0" collapsed="false">
      <c r="A900" s="36"/>
      <c r="B900" s="37"/>
      <c r="C900" s="37"/>
      <c r="D900" s="37"/>
      <c r="E900" s="37"/>
      <c r="F900" s="37"/>
      <c r="G900" s="37"/>
      <c r="H900" s="37"/>
      <c r="I900" s="37"/>
      <c r="J900" s="47"/>
      <c r="K900" s="41" t="str">
        <f aca="false">IF(J900="","",IF(J900&gt;=8,"Yes","Check"))</f>
        <v/>
      </c>
      <c r="L900" s="38"/>
      <c r="M900" s="47"/>
      <c r="N900" s="47"/>
      <c r="O900" s="37"/>
      <c r="P900" s="38"/>
      <c r="Q900" s="42" t="str">
        <f aca="false">IF(P900="","",LEN(P900))</f>
        <v/>
      </c>
      <c r="R900" s="47"/>
      <c r="S900" s="37"/>
      <c r="T900" s="38"/>
      <c r="U900" s="43" t="str">
        <f aca="false">IF(OR(R900&lt;&gt;"Yes",A900=""),"",A900+4)</f>
        <v/>
      </c>
      <c r="V900" s="47"/>
      <c r="W900" s="38"/>
      <c r="X900" s="38"/>
      <c r="Y900" s="44"/>
      <c r="Z900" s="44"/>
      <c r="AA900" s="45" t="str">
        <f aca="false">IF(AND($Y900="",$Z900=""),"",ROUND(IFERROR(VALUE(LEFT($Y900,1)),0)*12+IFERROR(VALUE(LEFT($Z900,1)),0)*8,0))</f>
        <v/>
      </c>
      <c r="AB900" s="45" t="str">
        <f aca="false">IF($AA900="","",IF($AA900&gt;=80,"A - call first",IF($AA900&gt;=60,"B - worth pursuing",IF($AA900&gt;=40,"C - nurture","D - do not spend time here"))))</f>
        <v/>
      </c>
      <c r="AC900" s="46" t="str">
        <f aca="false">IF($C900="","",IF($S900="Converted","7 Certification / Enterprise opportunity",IF($S900="Application Started","7 Certification / Enterprise opportunity",IF($S900="Meeting Booked","6 Meeting / Application",IF(OR($S900="Interested",$S900="Info Requested"),"5 Interested",IF(OR($S900="Declined",$S900="Not Relevant"),"0 Closed - no",IF($R900="Yes","4 Contacted",IF($N900="Yes","2 Engaged",IF($M900="Yes","1 Awareness",IF($AA900&gt;=60,"3 Qualified","1 Awareness"))))))))))</f>
        <v/>
      </c>
    </row>
    <row r="901" customFormat="false" ht="30" hidden="false" customHeight="true" outlineLevel="0" collapsed="false">
      <c r="A901" s="36"/>
      <c r="B901" s="37"/>
      <c r="C901" s="37"/>
      <c r="D901" s="37"/>
      <c r="E901" s="37"/>
      <c r="F901" s="37"/>
      <c r="G901" s="37"/>
      <c r="H901" s="37"/>
      <c r="I901" s="37"/>
      <c r="J901" s="47"/>
      <c r="K901" s="41" t="str">
        <f aca="false">IF(J901="","",IF(J901&gt;=8,"Yes","Check"))</f>
        <v/>
      </c>
      <c r="L901" s="38"/>
      <c r="M901" s="47"/>
      <c r="N901" s="47"/>
      <c r="O901" s="37"/>
      <c r="P901" s="38"/>
      <c r="Q901" s="42" t="str">
        <f aca="false">IF(P901="","",LEN(P901))</f>
        <v/>
      </c>
      <c r="R901" s="47"/>
      <c r="S901" s="37"/>
      <c r="T901" s="38"/>
      <c r="U901" s="43" t="str">
        <f aca="false">IF(OR(R901&lt;&gt;"Yes",A901=""),"",A901+4)</f>
        <v/>
      </c>
      <c r="V901" s="47"/>
      <c r="W901" s="38"/>
      <c r="X901" s="38"/>
      <c r="Y901" s="44"/>
      <c r="Z901" s="44"/>
      <c r="AA901" s="45" t="str">
        <f aca="false">IF(AND($Y901="",$Z901=""),"",ROUND(IFERROR(VALUE(LEFT($Y901,1)),0)*12+IFERROR(VALUE(LEFT($Z901,1)),0)*8,0))</f>
        <v/>
      </c>
      <c r="AB901" s="45" t="str">
        <f aca="false">IF($AA901="","",IF($AA901&gt;=80,"A - call first",IF($AA901&gt;=60,"B - worth pursuing",IF($AA901&gt;=40,"C - nurture","D - do not spend time here"))))</f>
        <v/>
      </c>
      <c r="AC901" s="46" t="str">
        <f aca="false">IF($C901="","",IF($S901="Converted","7 Certification / Enterprise opportunity",IF($S901="Application Started","7 Certification / Enterprise opportunity",IF($S901="Meeting Booked","6 Meeting / Application",IF(OR($S901="Interested",$S901="Info Requested"),"5 Interested",IF(OR($S901="Declined",$S901="Not Relevant"),"0 Closed - no",IF($R901="Yes","4 Contacted",IF($N901="Yes","2 Engaged",IF($M901="Yes","1 Awareness",IF($AA901&gt;=60,"3 Qualified","1 Awareness"))))))))))</f>
        <v/>
      </c>
    </row>
    <row r="902" customFormat="false" ht="30" hidden="false" customHeight="true" outlineLevel="0" collapsed="false">
      <c r="A902" s="36"/>
      <c r="B902" s="37"/>
      <c r="C902" s="37"/>
      <c r="D902" s="37"/>
      <c r="E902" s="37"/>
      <c r="F902" s="37"/>
      <c r="G902" s="37"/>
      <c r="H902" s="37"/>
      <c r="I902" s="37"/>
      <c r="J902" s="47"/>
      <c r="K902" s="41" t="str">
        <f aca="false">IF(J902="","",IF(J902&gt;=8,"Yes","Check"))</f>
        <v/>
      </c>
      <c r="L902" s="38"/>
      <c r="M902" s="47"/>
      <c r="N902" s="47"/>
      <c r="O902" s="37"/>
      <c r="P902" s="38"/>
      <c r="Q902" s="42" t="str">
        <f aca="false">IF(P902="","",LEN(P902))</f>
        <v/>
      </c>
      <c r="R902" s="47"/>
      <c r="S902" s="37"/>
      <c r="T902" s="38"/>
      <c r="U902" s="43" t="str">
        <f aca="false">IF(OR(R902&lt;&gt;"Yes",A902=""),"",A902+4)</f>
        <v/>
      </c>
      <c r="V902" s="47"/>
      <c r="W902" s="38"/>
      <c r="X902" s="38"/>
      <c r="Y902" s="44"/>
      <c r="Z902" s="44"/>
      <c r="AA902" s="45" t="str">
        <f aca="false">IF(AND($Y902="",$Z902=""),"",ROUND(IFERROR(VALUE(LEFT($Y902,1)),0)*12+IFERROR(VALUE(LEFT($Z902,1)),0)*8,0))</f>
        <v/>
      </c>
      <c r="AB902" s="45" t="str">
        <f aca="false">IF($AA902="","",IF($AA902&gt;=80,"A - call first",IF($AA902&gt;=60,"B - worth pursuing",IF($AA902&gt;=40,"C - nurture","D - do not spend time here"))))</f>
        <v/>
      </c>
      <c r="AC902" s="46" t="str">
        <f aca="false">IF($C902="","",IF($S902="Converted","7 Certification / Enterprise opportunity",IF($S902="Application Started","7 Certification / Enterprise opportunity",IF($S902="Meeting Booked","6 Meeting / Application",IF(OR($S902="Interested",$S902="Info Requested"),"5 Interested",IF(OR($S902="Declined",$S902="Not Relevant"),"0 Closed - no",IF($R902="Yes","4 Contacted",IF($N902="Yes","2 Engaged",IF($M902="Yes","1 Awareness",IF($AA902&gt;=60,"3 Qualified","1 Awareness"))))))))))</f>
        <v/>
      </c>
    </row>
    <row r="903" customFormat="false" ht="30" hidden="false" customHeight="true" outlineLevel="0" collapsed="false">
      <c r="A903" s="36"/>
      <c r="B903" s="37"/>
      <c r="C903" s="37"/>
      <c r="D903" s="37"/>
      <c r="E903" s="37"/>
      <c r="F903" s="37"/>
      <c r="G903" s="37"/>
      <c r="H903" s="37"/>
      <c r="I903" s="37"/>
      <c r="J903" s="47"/>
      <c r="K903" s="41" t="str">
        <f aca="false">IF(J903="","",IF(J903&gt;=8,"Yes","Check"))</f>
        <v/>
      </c>
      <c r="L903" s="38"/>
      <c r="M903" s="47"/>
      <c r="N903" s="47"/>
      <c r="O903" s="37"/>
      <c r="P903" s="38"/>
      <c r="Q903" s="42" t="str">
        <f aca="false">IF(P903="","",LEN(P903))</f>
        <v/>
      </c>
      <c r="R903" s="47"/>
      <c r="S903" s="37"/>
      <c r="T903" s="38"/>
      <c r="U903" s="43" t="str">
        <f aca="false">IF(OR(R903&lt;&gt;"Yes",A903=""),"",A903+4)</f>
        <v/>
      </c>
      <c r="V903" s="47"/>
      <c r="W903" s="38"/>
      <c r="X903" s="38"/>
      <c r="Y903" s="44"/>
      <c r="Z903" s="44"/>
      <c r="AA903" s="45" t="str">
        <f aca="false">IF(AND($Y903="",$Z903=""),"",ROUND(IFERROR(VALUE(LEFT($Y903,1)),0)*12+IFERROR(VALUE(LEFT($Z903,1)),0)*8,0))</f>
        <v/>
      </c>
      <c r="AB903" s="45" t="str">
        <f aca="false">IF($AA903="","",IF($AA903&gt;=80,"A - call first",IF($AA903&gt;=60,"B - worth pursuing",IF($AA903&gt;=40,"C - nurture","D - do not spend time here"))))</f>
        <v/>
      </c>
      <c r="AC903" s="46" t="str">
        <f aca="false">IF($C903="","",IF($S903="Converted","7 Certification / Enterprise opportunity",IF($S903="Application Started","7 Certification / Enterprise opportunity",IF($S903="Meeting Booked","6 Meeting / Application",IF(OR($S903="Interested",$S903="Info Requested"),"5 Interested",IF(OR($S903="Declined",$S903="Not Relevant"),"0 Closed - no",IF($R903="Yes","4 Contacted",IF($N903="Yes","2 Engaged",IF($M903="Yes","1 Awareness",IF($AA903&gt;=60,"3 Qualified","1 Awareness"))))))))))</f>
        <v/>
      </c>
    </row>
    <row r="904" customFormat="false" ht="30" hidden="false" customHeight="true" outlineLevel="0" collapsed="false">
      <c r="A904" s="36"/>
      <c r="B904" s="37"/>
      <c r="C904" s="37"/>
      <c r="D904" s="37"/>
      <c r="E904" s="37"/>
      <c r="F904" s="37"/>
      <c r="G904" s="37"/>
      <c r="H904" s="37"/>
      <c r="I904" s="37"/>
      <c r="J904" s="47"/>
      <c r="K904" s="41" t="str">
        <f aca="false">IF(J904="","",IF(J904&gt;=8,"Yes","Check"))</f>
        <v/>
      </c>
      <c r="L904" s="38"/>
      <c r="M904" s="47"/>
      <c r="N904" s="47"/>
      <c r="O904" s="37"/>
      <c r="P904" s="38"/>
      <c r="Q904" s="42" t="str">
        <f aca="false">IF(P904="","",LEN(P904))</f>
        <v/>
      </c>
      <c r="R904" s="47"/>
      <c r="S904" s="37"/>
      <c r="T904" s="38"/>
      <c r="U904" s="43" t="str">
        <f aca="false">IF(OR(R904&lt;&gt;"Yes",A904=""),"",A904+4)</f>
        <v/>
      </c>
      <c r="V904" s="47"/>
      <c r="W904" s="38"/>
      <c r="X904" s="38"/>
      <c r="Y904" s="44"/>
      <c r="Z904" s="44"/>
      <c r="AA904" s="45" t="str">
        <f aca="false">IF(AND($Y904="",$Z904=""),"",ROUND(IFERROR(VALUE(LEFT($Y904,1)),0)*12+IFERROR(VALUE(LEFT($Z904,1)),0)*8,0))</f>
        <v/>
      </c>
      <c r="AB904" s="45" t="str">
        <f aca="false">IF($AA904="","",IF($AA904&gt;=80,"A - call first",IF($AA904&gt;=60,"B - worth pursuing",IF($AA904&gt;=40,"C - nurture","D - do not spend time here"))))</f>
        <v/>
      </c>
      <c r="AC904" s="46" t="str">
        <f aca="false">IF($C904="","",IF($S904="Converted","7 Certification / Enterprise opportunity",IF($S904="Application Started","7 Certification / Enterprise opportunity",IF($S904="Meeting Booked","6 Meeting / Application",IF(OR($S904="Interested",$S904="Info Requested"),"5 Interested",IF(OR($S904="Declined",$S904="Not Relevant"),"0 Closed - no",IF($R904="Yes","4 Contacted",IF($N904="Yes","2 Engaged",IF($M904="Yes","1 Awareness",IF($AA904&gt;=60,"3 Qualified","1 Awareness"))))))))))</f>
        <v/>
      </c>
    </row>
    <row r="905" customFormat="false" ht="30" hidden="false" customHeight="true" outlineLevel="0" collapsed="false">
      <c r="A905" s="36"/>
      <c r="B905" s="37"/>
      <c r="C905" s="37"/>
      <c r="D905" s="37"/>
      <c r="E905" s="37"/>
      <c r="F905" s="37"/>
      <c r="G905" s="37"/>
      <c r="H905" s="37"/>
      <c r="I905" s="37"/>
      <c r="J905" s="47"/>
      <c r="K905" s="41" t="str">
        <f aca="false">IF(J905="","",IF(J905&gt;=8,"Yes","Check"))</f>
        <v/>
      </c>
      <c r="L905" s="38"/>
      <c r="M905" s="47"/>
      <c r="N905" s="47"/>
      <c r="O905" s="37"/>
      <c r="P905" s="38"/>
      <c r="Q905" s="42" t="str">
        <f aca="false">IF(P905="","",LEN(P905))</f>
        <v/>
      </c>
      <c r="R905" s="47"/>
      <c r="S905" s="37"/>
      <c r="T905" s="38"/>
      <c r="U905" s="43" t="str">
        <f aca="false">IF(OR(R905&lt;&gt;"Yes",A905=""),"",A905+4)</f>
        <v/>
      </c>
      <c r="V905" s="47"/>
      <c r="W905" s="38"/>
      <c r="X905" s="38"/>
      <c r="Y905" s="44"/>
      <c r="Z905" s="44"/>
      <c r="AA905" s="45" t="str">
        <f aca="false">IF(AND($Y905="",$Z905=""),"",ROUND(IFERROR(VALUE(LEFT($Y905,1)),0)*12+IFERROR(VALUE(LEFT($Z905,1)),0)*8,0))</f>
        <v/>
      </c>
      <c r="AB905" s="45" t="str">
        <f aca="false">IF($AA905="","",IF($AA905&gt;=80,"A - call first",IF($AA905&gt;=60,"B - worth pursuing",IF($AA905&gt;=40,"C - nurture","D - do not spend time here"))))</f>
        <v/>
      </c>
      <c r="AC905" s="46" t="str">
        <f aca="false">IF($C905="","",IF($S905="Converted","7 Certification / Enterprise opportunity",IF($S905="Application Started","7 Certification / Enterprise opportunity",IF($S905="Meeting Booked","6 Meeting / Application",IF(OR($S905="Interested",$S905="Info Requested"),"5 Interested",IF(OR($S905="Declined",$S905="Not Relevant"),"0 Closed - no",IF($R905="Yes","4 Contacted",IF($N905="Yes","2 Engaged",IF($M905="Yes","1 Awareness",IF($AA905&gt;=60,"3 Qualified","1 Awareness"))))))))))</f>
        <v/>
      </c>
    </row>
    <row r="906" customFormat="false" ht="30" hidden="false" customHeight="true" outlineLevel="0" collapsed="false">
      <c r="A906" s="36"/>
      <c r="B906" s="37"/>
      <c r="C906" s="37"/>
      <c r="D906" s="37"/>
      <c r="E906" s="37"/>
      <c r="F906" s="37"/>
      <c r="G906" s="37"/>
      <c r="H906" s="37"/>
      <c r="I906" s="37"/>
      <c r="J906" s="47"/>
      <c r="K906" s="41" t="str">
        <f aca="false">IF(J906="","",IF(J906&gt;=8,"Yes","Check"))</f>
        <v/>
      </c>
      <c r="L906" s="38"/>
      <c r="M906" s="47"/>
      <c r="N906" s="47"/>
      <c r="O906" s="37"/>
      <c r="P906" s="38"/>
      <c r="Q906" s="42" t="str">
        <f aca="false">IF(P906="","",LEN(P906))</f>
        <v/>
      </c>
      <c r="R906" s="47"/>
      <c r="S906" s="37"/>
      <c r="T906" s="38"/>
      <c r="U906" s="43" t="str">
        <f aca="false">IF(OR(R906&lt;&gt;"Yes",A906=""),"",A906+4)</f>
        <v/>
      </c>
      <c r="V906" s="47"/>
      <c r="W906" s="38"/>
      <c r="X906" s="38"/>
      <c r="Y906" s="44"/>
      <c r="Z906" s="44"/>
      <c r="AA906" s="45" t="str">
        <f aca="false">IF(AND($Y906="",$Z906=""),"",ROUND(IFERROR(VALUE(LEFT($Y906,1)),0)*12+IFERROR(VALUE(LEFT($Z906,1)),0)*8,0))</f>
        <v/>
      </c>
      <c r="AB906" s="45" t="str">
        <f aca="false">IF($AA906="","",IF($AA906&gt;=80,"A - call first",IF($AA906&gt;=60,"B - worth pursuing",IF($AA906&gt;=40,"C - nurture","D - do not spend time here"))))</f>
        <v/>
      </c>
      <c r="AC906" s="46" t="str">
        <f aca="false">IF($C906="","",IF($S906="Converted","7 Certification / Enterprise opportunity",IF($S906="Application Started","7 Certification / Enterprise opportunity",IF($S906="Meeting Booked","6 Meeting / Application",IF(OR($S906="Interested",$S906="Info Requested"),"5 Interested",IF(OR($S906="Declined",$S906="Not Relevant"),"0 Closed - no",IF($R906="Yes","4 Contacted",IF($N906="Yes","2 Engaged",IF($M906="Yes","1 Awareness",IF($AA906&gt;=60,"3 Qualified","1 Awareness"))))))))))</f>
        <v/>
      </c>
    </row>
    <row r="907" customFormat="false" ht="30" hidden="false" customHeight="true" outlineLevel="0" collapsed="false">
      <c r="A907" s="36"/>
      <c r="B907" s="37"/>
      <c r="C907" s="37"/>
      <c r="D907" s="37"/>
      <c r="E907" s="37"/>
      <c r="F907" s="37"/>
      <c r="G907" s="37"/>
      <c r="H907" s="37"/>
      <c r="I907" s="37"/>
      <c r="J907" s="47"/>
      <c r="K907" s="41" t="str">
        <f aca="false">IF(J907="","",IF(J907&gt;=8,"Yes","Check"))</f>
        <v/>
      </c>
      <c r="L907" s="38"/>
      <c r="M907" s="47"/>
      <c r="N907" s="47"/>
      <c r="O907" s="37"/>
      <c r="P907" s="38"/>
      <c r="Q907" s="42" t="str">
        <f aca="false">IF(P907="","",LEN(P907))</f>
        <v/>
      </c>
      <c r="R907" s="47"/>
      <c r="S907" s="37"/>
      <c r="T907" s="38"/>
      <c r="U907" s="43" t="str">
        <f aca="false">IF(OR(R907&lt;&gt;"Yes",A907=""),"",A907+4)</f>
        <v/>
      </c>
      <c r="V907" s="47"/>
      <c r="W907" s="38"/>
      <c r="X907" s="38"/>
      <c r="Y907" s="44"/>
      <c r="Z907" s="44"/>
      <c r="AA907" s="45" t="str">
        <f aca="false">IF(AND($Y907="",$Z907=""),"",ROUND(IFERROR(VALUE(LEFT($Y907,1)),0)*12+IFERROR(VALUE(LEFT($Z907,1)),0)*8,0))</f>
        <v/>
      </c>
      <c r="AB907" s="45" t="str">
        <f aca="false">IF($AA907="","",IF($AA907&gt;=80,"A - call first",IF($AA907&gt;=60,"B - worth pursuing",IF($AA907&gt;=40,"C - nurture","D - do not spend time here"))))</f>
        <v/>
      </c>
      <c r="AC907" s="46" t="str">
        <f aca="false">IF($C907="","",IF($S907="Converted","7 Certification / Enterprise opportunity",IF($S907="Application Started","7 Certification / Enterprise opportunity",IF($S907="Meeting Booked","6 Meeting / Application",IF(OR($S907="Interested",$S907="Info Requested"),"5 Interested",IF(OR($S907="Declined",$S907="Not Relevant"),"0 Closed - no",IF($R907="Yes","4 Contacted",IF($N907="Yes","2 Engaged",IF($M907="Yes","1 Awareness",IF($AA907&gt;=60,"3 Qualified","1 Awareness"))))))))))</f>
        <v/>
      </c>
    </row>
    <row r="908" customFormat="false" ht="30" hidden="false" customHeight="true" outlineLevel="0" collapsed="false">
      <c r="A908" s="36"/>
      <c r="B908" s="37"/>
      <c r="C908" s="37"/>
      <c r="D908" s="37"/>
      <c r="E908" s="37"/>
      <c r="F908" s="37"/>
      <c r="G908" s="37"/>
      <c r="H908" s="37"/>
      <c r="I908" s="37"/>
      <c r="J908" s="47"/>
      <c r="K908" s="41" t="str">
        <f aca="false">IF(J908="","",IF(J908&gt;=8,"Yes","Check"))</f>
        <v/>
      </c>
      <c r="L908" s="38"/>
      <c r="M908" s="47"/>
      <c r="N908" s="47"/>
      <c r="O908" s="37"/>
      <c r="P908" s="38"/>
      <c r="Q908" s="42" t="str">
        <f aca="false">IF(P908="","",LEN(P908))</f>
        <v/>
      </c>
      <c r="R908" s="47"/>
      <c r="S908" s="37"/>
      <c r="T908" s="38"/>
      <c r="U908" s="43" t="str">
        <f aca="false">IF(OR(R908&lt;&gt;"Yes",A908=""),"",A908+4)</f>
        <v/>
      </c>
      <c r="V908" s="47"/>
      <c r="W908" s="38"/>
      <c r="X908" s="38"/>
      <c r="Y908" s="44"/>
      <c r="Z908" s="44"/>
      <c r="AA908" s="45" t="str">
        <f aca="false">IF(AND($Y908="",$Z908=""),"",ROUND(IFERROR(VALUE(LEFT($Y908,1)),0)*12+IFERROR(VALUE(LEFT($Z908,1)),0)*8,0))</f>
        <v/>
      </c>
      <c r="AB908" s="45" t="str">
        <f aca="false">IF($AA908="","",IF($AA908&gt;=80,"A - call first",IF($AA908&gt;=60,"B - worth pursuing",IF($AA908&gt;=40,"C - nurture","D - do not spend time here"))))</f>
        <v/>
      </c>
      <c r="AC908" s="46" t="str">
        <f aca="false">IF($C908="","",IF($S908="Converted","7 Certification / Enterprise opportunity",IF($S908="Application Started","7 Certification / Enterprise opportunity",IF($S908="Meeting Booked","6 Meeting / Application",IF(OR($S908="Interested",$S908="Info Requested"),"5 Interested",IF(OR($S908="Declined",$S908="Not Relevant"),"0 Closed - no",IF($R908="Yes","4 Contacted",IF($N908="Yes","2 Engaged",IF($M908="Yes","1 Awareness",IF($AA908&gt;=60,"3 Qualified","1 Awareness"))))))))))</f>
        <v/>
      </c>
    </row>
    <row r="909" customFormat="false" ht="30" hidden="false" customHeight="true" outlineLevel="0" collapsed="false">
      <c r="A909" s="36"/>
      <c r="B909" s="37"/>
      <c r="C909" s="37"/>
      <c r="D909" s="37"/>
      <c r="E909" s="37"/>
      <c r="F909" s="37"/>
      <c r="G909" s="37"/>
      <c r="H909" s="37"/>
      <c r="I909" s="37"/>
      <c r="J909" s="47"/>
      <c r="K909" s="41" t="str">
        <f aca="false">IF(J909="","",IF(J909&gt;=8,"Yes","Check"))</f>
        <v/>
      </c>
      <c r="L909" s="38"/>
      <c r="M909" s="47"/>
      <c r="N909" s="47"/>
      <c r="O909" s="37"/>
      <c r="P909" s="38"/>
      <c r="Q909" s="42" t="str">
        <f aca="false">IF(P909="","",LEN(P909))</f>
        <v/>
      </c>
      <c r="R909" s="47"/>
      <c r="S909" s="37"/>
      <c r="T909" s="38"/>
      <c r="U909" s="43" t="str">
        <f aca="false">IF(OR(R909&lt;&gt;"Yes",A909=""),"",A909+4)</f>
        <v/>
      </c>
      <c r="V909" s="47"/>
      <c r="W909" s="38"/>
      <c r="X909" s="38"/>
      <c r="Y909" s="44"/>
      <c r="Z909" s="44"/>
      <c r="AA909" s="45" t="str">
        <f aca="false">IF(AND($Y909="",$Z909=""),"",ROUND(IFERROR(VALUE(LEFT($Y909,1)),0)*12+IFERROR(VALUE(LEFT($Z909,1)),0)*8,0))</f>
        <v/>
      </c>
      <c r="AB909" s="45" t="str">
        <f aca="false">IF($AA909="","",IF($AA909&gt;=80,"A - call first",IF($AA909&gt;=60,"B - worth pursuing",IF($AA909&gt;=40,"C - nurture","D - do not spend time here"))))</f>
        <v/>
      </c>
      <c r="AC909" s="46" t="str">
        <f aca="false">IF($C909="","",IF($S909="Converted","7 Certification / Enterprise opportunity",IF($S909="Application Started","7 Certification / Enterprise opportunity",IF($S909="Meeting Booked","6 Meeting / Application",IF(OR($S909="Interested",$S909="Info Requested"),"5 Interested",IF(OR($S909="Declined",$S909="Not Relevant"),"0 Closed - no",IF($R909="Yes","4 Contacted",IF($N909="Yes","2 Engaged",IF($M909="Yes","1 Awareness",IF($AA909&gt;=60,"3 Qualified","1 Awareness"))))))))))</f>
        <v/>
      </c>
    </row>
    <row r="910" customFormat="false" ht="30" hidden="false" customHeight="true" outlineLevel="0" collapsed="false">
      <c r="A910" s="36"/>
      <c r="B910" s="37"/>
      <c r="C910" s="37"/>
      <c r="D910" s="37"/>
      <c r="E910" s="37"/>
      <c r="F910" s="37"/>
      <c r="G910" s="37"/>
      <c r="H910" s="37"/>
      <c r="I910" s="37"/>
      <c r="J910" s="47"/>
      <c r="K910" s="41" t="str">
        <f aca="false">IF(J910="","",IF(J910&gt;=8,"Yes","Check"))</f>
        <v/>
      </c>
      <c r="L910" s="38"/>
      <c r="M910" s="47"/>
      <c r="N910" s="47"/>
      <c r="O910" s="37"/>
      <c r="P910" s="38"/>
      <c r="Q910" s="42" t="str">
        <f aca="false">IF(P910="","",LEN(P910))</f>
        <v/>
      </c>
      <c r="R910" s="47"/>
      <c r="S910" s="37"/>
      <c r="T910" s="38"/>
      <c r="U910" s="43" t="str">
        <f aca="false">IF(OR(R910&lt;&gt;"Yes",A910=""),"",A910+4)</f>
        <v/>
      </c>
      <c r="V910" s="47"/>
      <c r="W910" s="38"/>
      <c r="X910" s="38"/>
      <c r="Y910" s="44"/>
      <c r="Z910" s="44"/>
      <c r="AA910" s="45" t="str">
        <f aca="false">IF(AND($Y910="",$Z910=""),"",ROUND(IFERROR(VALUE(LEFT($Y910,1)),0)*12+IFERROR(VALUE(LEFT($Z910,1)),0)*8,0))</f>
        <v/>
      </c>
      <c r="AB910" s="45" t="str">
        <f aca="false">IF($AA910="","",IF($AA910&gt;=80,"A - call first",IF($AA910&gt;=60,"B - worth pursuing",IF($AA910&gt;=40,"C - nurture","D - do not spend time here"))))</f>
        <v/>
      </c>
      <c r="AC910" s="46" t="str">
        <f aca="false">IF($C910="","",IF($S910="Converted","7 Certification / Enterprise opportunity",IF($S910="Application Started","7 Certification / Enterprise opportunity",IF($S910="Meeting Booked","6 Meeting / Application",IF(OR($S910="Interested",$S910="Info Requested"),"5 Interested",IF(OR($S910="Declined",$S910="Not Relevant"),"0 Closed - no",IF($R910="Yes","4 Contacted",IF($N910="Yes","2 Engaged",IF($M910="Yes","1 Awareness",IF($AA910&gt;=60,"3 Qualified","1 Awareness"))))))))))</f>
        <v/>
      </c>
    </row>
    <row r="911" customFormat="false" ht="30" hidden="false" customHeight="true" outlineLevel="0" collapsed="false">
      <c r="A911" s="36"/>
      <c r="B911" s="37"/>
      <c r="C911" s="37"/>
      <c r="D911" s="37"/>
      <c r="E911" s="37"/>
      <c r="F911" s="37"/>
      <c r="G911" s="37"/>
      <c r="H911" s="37"/>
      <c r="I911" s="37"/>
      <c r="J911" s="47"/>
      <c r="K911" s="41" t="str">
        <f aca="false">IF(J911="","",IF(J911&gt;=8,"Yes","Check"))</f>
        <v/>
      </c>
      <c r="L911" s="38"/>
      <c r="M911" s="47"/>
      <c r="N911" s="47"/>
      <c r="O911" s="37"/>
      <c r="P911" s="38"/>
      <c r="Q911" s="42" t="str">
        <f aca="false">IF(P911="","",LEN(P911))</f>
        <v/>
      </c>
      <c r="R911" s="47"/>
      <c r="S911" s="37"/>
      <c r="T911" s="38"/>
      <c r="U911" s="43" t="str">
        <f aca="false">IF(OR(R911&lt;&gt;"Yes",A911=""),"",A911+4)</f>
        <v/>
      </c>
      <c r="V911" s="47"/>
      <c r="W911" s="38"/>
      <c r="X911" s="38"/>
      <c r="Y911" s="44"/>
      <c r="Z911" s="44"/>
      <c r="AA911" s="45" t="str">
        <f aca="false">IF(AND($Y911="",$Z911=""),"",ROUND(IFERROR(VALUE(LEFT($Y911,1)),0)*12+IFERROR(VALUE(LEFT($Z911,1)),0)*8,0))</f>
        <v/>
      </c>
      <c r="AB911" s="45" t="str">
        <f aca="false">IF($AA911="","",IF($AA911&gt;=80,"A - call first",IF($AA911&gt;=60,"B - worth pursuing",IF($AA911&gt;=40,"C - nurture","D - do not spend time here"))))</f>
        <v/>
      </c>
      <c r="AC911" s="46" t="str">
        <f aca="false">IF($C911="","",IF($S911="Converted","7 Certification / Enterprise opportunity",IF($S911="Application Started","7 Certification / Enterprise opportunity",IF($S911="Meeting Booked","6 Meeting / Application",IF(OR($S911="Interested",$S911="Info Requested"),"5 Interested",IF(OR($S911="Declined",$S911="Not Relevant"),"0 Closed - no",IF($R911="Yes","4 Contacted",IF($N911="Yes","2 Engaged",IF($M911="Yes","1 Awareness",IF($AA911&gt;=60,"3 Qualified","1 Awareness"))))))))))</f>
        <v/>
      </c>
    </row>
    <row r="912" customFormat="false" ht="30" hidden="false" customHeight="true" outlineLevel="0" collapsed="false">
      <c r="A912" s="36"/>
      <c r="B912" s="37"/>
      <c r="C912" s="37"/>
      <c r="D912" s="37"/>
      <c r="E912" s="37"/>
      <c r="F912" s="37"/>
      <c r="G912" s="37"/>
      <c r="H912" s="37"/>
      <c r="I912" s="37"/>
      <c r="J912" s="47"/>
      <c r="K912" s="41" t="str">
        <f aca="false">IF(J912="","",IF(J912&gt;=8,"Yes","Check"))</f>
        <v/>
      </c>
      <c r="L912" s="38"/>
      <c r="M912" s="47"/>
      <c r="N912" s="47"/>
      <c r="O912" s="37"/>
      <c r="P912" s="38"/>
      <c r="Q912" s="42" t="str">
        <f aca="false">IF(P912="","",LEN(P912))</f>
        <v/>
      </c>
      <c r="R912" s="47"/>
      <c r="S912" s="37"/>
      <c r="T912" s="38"/>
      <c r="U912" s="43" t="str">
        <f aca="false">IF(OR(R912&lt;&gt;"Yes",A912=""),"",A912+4)</f>
        <v/>
      </c>
      <c r="V912" s="47"/>
      <c r="W912" s="38"/>
      <c r="X912" s="38"/>
      <c r="Y912" s="44"/>
      <c r="Z912" s="44"/>
      <c r="AA912" s="45" t="str">
        <f aca="false">IF(AND($Y912="",$Z912=""),"",ROUND(IFERROR(VALUE(LEFT($Y912,1)),0)*12+IFERROR(VALUE(LEFT($Z912,1)),0)*8,0))</f>
        <v/>
      </c>
      <c r="AB912" s="45" t="str">
        <f aca="false">IF($AA912="","",IF($AA912&gt;=80,"A - call first",IF($AA912&gt;=60,"B - worth pursuing",IF($AA912&gt;=40,"C - nurture","D - do not spend time here"))))</f>
        <v/>
      </c>
      <c r="AC912" s="46" t="str">
        <f aca="false">IF($C912="","",IF($S912="Converted","7 Certification / Enterprise opportunity",IF($S912="Application Started","7 Certification / Enterprise opportunity",IF($S912="Meeting Booked","6 Meeting / Application",IF(OR($S912="Interested",$S912="Info Requested"),"5 Interested",IF(OR($S912="Declined",$S912="Not Relevant"),"0 Closed - no",IF($R912="Yes","4 Contacted",IF($N912="Yes","2 Engaged",IF($M912="Yes","1 Awareness",IF($AA912&gt;=60,"3 Qualified","1 Awareness"))))))))))</f>
        <v/>
      </c>
    </row>
    <row r="913" customFormat="false" ht="30" hidden="false" customHeight="true" outlineLevel="0" collapsed="false">
      <c r="A913" s="36"/>
      <c r="B913" s="37"/>
      <c r="C913" s="37"/>
      <c r="D913" s="37"/>
      <c r="E913" s="37"/>
      <c r="F913" s="37"/>
      <c r="G913" s="37"/>
      <c r="H913" s="37"/>
      <c r="I913" s="37"/>
      <c r="J913" s="47"/>
      <c r="K913" s="41" t="str">
        <f aca="false">IF(J913="","",IF(J913&gt;=8,"Yes","Check"))</f>
        <v/>
      </c>
      <c r="L913" s="38"/>
      <c r="M913" s="47"/>
      <c r="N913" s="47"/>
      <c r="O913" s="37"/>
      <c r="P913" s="38"/>
      <c r="Q913" s="42" t="str">
        <f aca="false">IF(P913="","",LEN(P913))</f>
        <v/>
      </c>
      <c r="R913" s="47"/>
      <c r="S913" s="37"/>
      <c r="T913" s="38"/>
      <c r="U913" s="43" t="str">
        <f aca="false">IF(OR(R913&lt;&gt;"Yes",A913=""),"",A913+4)</f>
        <v/>
      </c>
      <c r="V913" s="47"/>
      <c r="W913" s="38"/>
      <c r="X913" s="38"/>
      <c r="Y913" s="44"/>
      <c r="Z913" s="44"/>
      <c r="AA913" s="45" t="str">
        <f aca="false">IF(AND($Y913="",$Z913=""),"",ROUND(IFERROR(VALUE(LEFT($Y913,1)),0)*12+IFERROR(VALUE(LEFT($Z913,1)),0)*8,0))</f>
        <v/>
      </c>
      <c r="AB913" s="45" t="str">
        <f aca="false">IF($AA913="","",IF($AA913&gt;=80,"A - call first",IF($AA913&gt;=60,"B - worth pursuing",IF($AA913&gt;=40,"C - nurture","D - do not spend time here"))))</f>
        <v/>
      </c>
      <c r="AC913" s="46" t="str">
        <f aca="false">IF($C913="","",IF($S913="Converted","7 Certification / Enterprise opportunity",IF($S913="Application Started","7 Certification / Enterprise opportunity",IF($S913="Meeting Booked","6 Meeting / Application",IF(OR($S913="Interested",$S913="Info Requested"),"5 Interested",IF(OR($S913="Declined",$S913="Not Relevant"),"0 Closed - no",IF($R913="Yes","4 Contacted",IF($N913="Yes","2 Engaged",IF($M913="Yes","1 Awareness",IF($AA913&gt;=60,"3 Qualified","1 Awareness"))))))))))</f>
        <v/>
      </c>
    </row>
    <row r="914" customFormat="false" ht="30" hidden="false" customHeight="true" outlineLevel="0" collapsed="false">
      <c r="A914" s="36"/>
      <c r="B914" s="37"/>
      <c r="C914" s="37"/>
      <c r="D914" s="37"/>
      <c r="E914" s="37"/>
      <c r="F914" s="37"/>
      <c r="G914" s="37"/>
      <c r="H914" s="37"/>
      <c r="I914" s="37"/>
      <c r="J914" s="47"/>
      <c r="K914" s="41" t="str">
        <f aca="false">IF(J914="","",IF(J914&gt;=8,"Yes","Check"))</f>
        <v/>
      </c>
      <c r="L914" s="38"/>
      <c r="M914" s="47"/>
      <c r="N914" s="47"/>
      <c r="O914" s="37"/>
      <c r="P914" s="38"/>
      <c r="Q914" s="42" t="str">
        <f aca="false">IF(P914="","",LEN(P914))</f>
        <v/>
      </c>
      <c r="R914" s="47"/>
      <c r="S914" s="37"/>
      <c r="T914" s="38"/>
      <c r="U914" s="43" t="str">
        <f aca="false">IF(OR(R914&lt;&gt;"Yes",A914=""),"",A914+4)</f>
        <v/>
      </c>
      <c r="V914" s="47"/>
      <c r="W914" s="38"/>
      <c r="X914" s="38"/>
      <c r="Y914" s="44"/>
      <c r="Z914" s="44"/>
      <c r="AA914" s="45" t="str">
        <f aca="false">IF(AND($Y914="",$Z914=""),"",ROUND(IFERROR(VALUE(LEFT($Y914,1)),0)*12+IFERROR(VALUE(LEFT($Z914,1)),0)*8,0))</f>
        <v/>
      </c>
      <c r="AB914" s="45" t="str">
        <f aca="false">IF($AA914="","",IF($AA914&gt;=80,"A - call first",IF($AA914&gt;=60,"B - worth pursuing",IF($AA914&gt;=40,"C - nurture","D - do not spend time here"))))</f>
        <v/>
      </c>
      <c r="AC914" s="46" t="str">
        <f aca="false">IF($C914="","",IF($S914="Converted","7 Certification / Enterprise opportunity",IF($S914="Application Started","7 Certification / Enterprise opportunity",IF($S914="Meeting Booked","6 Meeting / Application",IF(OR($S914="Interested",$S914="Info Requested"),"5 Interested",IF(OR($S914="Declined",$S914="Not Relevant"),"0 Closed - no",IF($R914="Yes","4 Contacted",IF($N914="Yes","2 Engaged",IF($M914="Yes","1 Awareness",IF($AA914&gt;=60,"3 Qualified","1 Awareness"))))))))))</f>
        <v/>
      </c>
    </row>
    <row r="915" customFormat="false" ht="30" hidden="false" customHeight="true" outlineLevel="0" collapsed="false">
      <c r="A915" s="36"/>
      <c r="B915" s="37"/>
      <c r="C915" s="37"/>
      <c r="D915" s="37"/>
      <c r="E915" s="37"/>
      <c r="F915" s="37"/>
      <c r="G915" s="37"/>
      <c r="H915" s="37"/>
      <c r="I915" s="37"/>
      <c r="J915" s="47"/>
      <c r="K915" s="41" t="str">
        <f aca="false">IF(J915="","",IF(J915&gt;=8,"Yes","Check"))</f>
        <v/>
      </c>
      <c r="L915" s="38"/>
      <c r="M915" s="47"/>
      <c r="N915" s="47"/>
      <c r="O915" s="37"/>
      <c r="P915" s="38"/>
      <c r="Q915" s="42" t="str">
        <f aca="false">IF(P915="","",LEN(P915))</f>
        <v/>
      </c>
      <c r="R915" s="47"/>
      <c r="S915" s="37"/>
      <c r="T915" s="38"/>
      <c r="U915" s="43" t="str">
        <f aca="false">IF(OR(R915&lt;&gt;"Yes",A915=""),"",A915+4)</f>
        <v/>
      </c>
      <c r="V915" s="47"/>
      <c r="W915" s="38"/>
      <c r="X915" s="38"/>
      <c r="Y915" s="44"/>
      <c r="Z915" s="44"/>
      <c r="AA915" s="45" t="str">
        <f aca="false">IF(AND($Y915="",$Z915=""),"",ROUND(IFERROR(VALUE(LEFT($Y915,1)),0)*12+IFERROR(VALUE(LEFT($Z915,1)),0)*8,0))</f>
        <v/>
      </c>
      <c r="AB915" s="45" t="str">
        <f aca="false">IF($AA915="","",IF($AA915&gt;=80,"A - call first",IF($AA915&gt;=60,"B - worth pursuing",IF($AA915&gt;=40,"C - nurture","D - do not spend time here"))))</f>
        <v/>
      </c>
      <c r="AC915" s="46" t="str">
        <f aca="false">IF($C915="","",IF($S915="Converted","7 Certification / Enterprise opportunity",IF($S915="Application Started","7 Certification / Enterprise opportunity",IF($S915="Meeting Booked","6 Meeting / Application",IF(OR($S915="Interested",$S915="Info Requested"),"5 Interested",IF(OR($S915="Declined",$S915="Not Relevant"),"0 Closed - no",IF($R915="Yes","4 Contacted",IF($N915="Yes","2 Engaged",IF($M915="Yes","1 Awareness",IF($AA915&gt;=60,"3 Qualified","1 Awareness"))))))))))</f>
        <v/>
      </c>
    </row>
    <row r="916" customFormat="false" ht="30" hidden="false" customHeight="true" outlineLevel="0" collapsed="false">
      <c r="A916" s="36"/>
      <c r="B916" s="37"/>
      <c r="C916" s="37"/>
      <c r="D916" s="37"/>
      <c r="E916" s="37"/>
      <c r="F916" s="37"/>
      <c r="G916" s="37"/>
      <c r="H916" s="37"/>
      <c r="I916" s="37"/>
      <c r="J916" s="47"/>
      <c r="K916" s="41" t="str">
        <f aca="false">IF(J916="","",IF(J916&gt;=8,"Yes","Check"))</f>
        <v/>
      </c>
      <c r="L916" s="38"/>
      <c r="M916" s="47"/>
      <c r="N916" s="47"/>
      <c r="O916" s="37"/>
      <c r="P916" s="38"/>
      <c r="Q916" s="42" t="str">
        <f aca="false">IF(P916="","",LEN(P916))</f>
        <v/>
      </c>
      <c r="R916" s="47"/>
      <c r="S916" s="37"/>
      <c r="T916" s="38"/>
      <c r="U916" s="43" t="str">
        <f aca="false">IF(OR(R916&lt;&gt;"Yes",A916=""),"",A916+4)</f>
        <v/>
      </c>
      <c r="V916" s="47"/>
      <c r="W916" s="38"/>
      <c r="X916" s="38"/>
      <c r="Y916" s="44"/>
      <c r="Z916" s="44"/>
      <c r="AA916" s="45" t="str">
        <f aca="false">IF(AND($Y916="",$Z916=""),"",ROUND(IFERROR(VALUE(LEFT($Y916,1)),0)*12+IFERROR(VALUE(LEFT($Z916,1)),0)*8,0))</f>
        <v/>
      </c>
      <c r="AB916" s="45" t="str">
        <f aca="false">IF($AA916="","",IF($AA916&gt;=80,"A - call first",IF($AA916&gt;=60,"B - worth pursuing",IF($AA916&gt;=40,"C - nurture","D - do not spend time here"))))</f>
        <v/>
      </c>
      <c r="AC916" s="46" t="str">
        <f aca="false">IF($C916="","",IF($S916="Converted","7 Certification / Enterprise opportunity",IF($S916="Application Started","7 Certification / Enterprise opportunity",IF($S916="Meeting Booked","6 Meeting / Application",IF(OR($S916="Interested",$S916="Info Requested"),"5 Interested",IF(OR($S916="Declined",$S916="Not Relevant"),"0 Closed - no",IF($R916="Yes","4 Contacted",IF($N916="Yes","2 Engaged",IF($M916="Yes","1 Awareness",IF($AA916&gt;=60,"3 Qualified","1 Awareness"))))))))))</f>
        <v/>
      </c>
    </row>
    <row r="917" customFormat="false" ht="30" hidden="false" customHeight="true" outlineLevel="0" collapsed="false">
      <c r="A917" s="36"/>
      <c r="B917" s="37"/>
      <c r="C917" s="37"/>
      <c r="D917" s="37"/>
      <c r="E917" s="37"/>
      <c r="F917" s="37"/>
      <c r="G917" s="37"/>
      <c r="H917" s="37"/>
      <c r="I917" s="37"/>
      <c r="J917" s="47"/>
      <c r="K917" s="41" t="str">
        <f aca="false">IF(J917="","",IF(J917&gt;=8,"Yes","Check"))</f>
        <v/>
      </c>
      <c r="L917" s="38"/>
      <c r="M917" s="47"/>
      <c r="N917" s="47"/>
      <c r="O917" s="37"/>
      <c r="P917" s="38"/>
      <c r="Q917" s="42" t="str">
        <f aca="false">IF(P917="","",LEN(P917))</f>
        <v/>
      </c>
      <c r="R917" s="47"/>
      <c r="S917" s="37"/>
      <c r="T917" s="38"/>
      <c r="U917" s="43" t="str">
        <f aca="false">IF(OR(R917&lt;&gt;"Yes",A917=""),"",A917+4)</f>
        <v/>
      </c>
      <c r="V917" s="47"/>
      <c r="W917" s="38"/>
      <c r="X917" s="38"/>
      <c r="Y917" s="44"/>
      <c r="Z917" s="44"/>
      <c r="AA917" s="45" t="str">
        <f aca="false">IF(AND($Y917="",$Z917=""),"",ROUND(IFERROR(VALUE(LEFT($Y917,1)),0)*12+IFERROR(VALUE(LEFT($Z917,1)),0)*8,0))</f>
        <v/>
      </c>
      <c r="AB917" s="45" t="str">
        <f aca="false">IF($AA917="","",IF($AA917&gt;=80,"A - call first",IF($AA917&gt;=60,"B - worth pursuing",IF($AA917&gt;=40,"C - nurture","D - do not spend time here"))))</f>
        <v/>
      </c>
      <c r="AC917" s="46" t="str">
        <f aca="false">IF($C917="","",IF($S917="Converted","7 Certification / Enterprise opportunity",IF($S917="Application Started","7 Certification / Enterprise opportunity",IF($S917="Meeting Booked","6 Meeting / Application",IF(OR($S917="Interested",$S917="Info Requested"),"5 Interested",IF(OR($S917="Declined",$S917="Not Relevant"),"0 Closed - no",IF($R917="Yes","4 Contacted",IF($N917="Yes","2 Engaged",IF($M917="Yes","1 Awareness",IF($AA917&gt;=60,"3 Qualified","1 Awareness"))))))))))</f>
        <v/>
      </c>
    </row>
    <row r="918" customFormat="false" ht="30" hidden="false" customHeight="true" outlineLevel="0" collapsed="false">
      <c r="A918" s="36"/>
      <c r="B918" s="37"/>
      <c r="C918" s="37"/>
      <c r="D918" s="37"/>
      <c r="E918" s="37"/>
      <c r="F918" s="37"/>
      <c r="G918" s="37"/>
      <c r="H918" s="37"/>
      <c r="I918" s="37"/>
      <c r="J918" s="47"/>
      <c r="K918" s="41" t="str">
        <f aca="false">IF(J918="","",IF(J918&gt;=8,"Yes","Check"))</f>
        <v/>
      </c>
      <c r="L918" s="38"/>
      <c r="M918" s="47"/>
      <c r="N918" s="47"/>
      <c r="O918" s="37"/>
      <c r="P918" s="38"/>
      <c r="Q918" s="42" t="str">
        <f aca="false">IF(P918="","",LEN(P918))</f>
        <v/>
      </c>
      <c r="R918" s="47"/>
      <c r="S918" s="37"/>
      <c r="T918" s="38"/>
      <c r="U918" s="43" t="str">
        <f aca="false">IF(OR(R918&lt;&gt;"Yes",A918=""),"",A918+4)</f>
        <v/>
      </c>
      <c r="V918" s="47"/>
      <c r="W918" s="38"/>
      <c r="X918" s="38"/>
      <c r="Y918" s="44"/>
      <c r="Z918" s="44"/>
      <c r="AA918" s="45" t="str">
        <f aca="false">IF(AND($Y918="",$Z918=""),"",ROUND(IFERROR(VALUE(LEFT($Y918,1)),0)*12+IFERROR(VALUE(LEFT($Z918,1)),0)*8,0))</f>
        <v/>
      </c>
      <c r="AB918" s="45" t="str">
        <f aca="false">IF($AA918="","",IF($AA918&gt;=80,"A - call first",IF($AA918&gt;=60,"B - worth pursuing",IF($AA918&gt;=40,"C - nurture","D - do not spend time here"))))</f>
        <v/>
      </c>
      <c r="AC918" s="46" t="str">
        <f aca="false">IF($C918="","",IF($S918="Converted","7 Certification / Enterprise opportunity",IF($S918="Application Started","7 Certification / Enterprise opportunity",IF($S918="Meeting Booked","6 Meeting / Application",IF(OR($S918="Interested",$S918="Info Requested"),"5 Interested",IF(OR($S918="Declined",$S918="Not Relevant"),"0 Closed - no",IF($R918="Yes","4 Contacted",IF($N918="Yes","2 Engaged",IF($M918="Yes","1 Awareness",IF($AA918&gt;=60,"3 Qualified","1 Awareness"))))))))))</f>
        <v/>
      </c>
    </row>
    <row r="919" customFormat="false" ht="30" hidden="false" customHeight="true" outlineLevel="0" collapsed="false">
      <c r="A919" s="36"/>
      <c r="B919" s="37"/>
      <c r="C919" s="37"/>
      <c r="D919" s="37"/>
      <c r="E919" s="37"/>
      <c r="F919" s="37"/>
      <c r="G919" s="37"/>
      <c r="H919" s="37"/>
      <c r="I919" s="37"/>
      <c r="J919" s="47"/>
      <c r="K919" s="41" t="str">
        <f aca="false">IF(J919="","",IF(J919&gt;=8,"Yes","Check"))</f>
        <v/>
      </c>
      <c r="L919" s="38"/>
      <c r="M919" s="47"/>
      <c r="N919" s="47"/>
      <c r="O919" s="37"/>
      <c r="P919" s="38"/>
      <c r="Q919" s="42" t="str">
        <f aca="false">IF(P919="","",LEN(P919))</f>
        <v/>
      </c>
      <c r="R919" s="47"/>
      <c r="S919" s="37"/>
      <c r="T919" s="38"/>
      <c r="U919" s="43" t="str">
        <f aca="false">IF(OR(R919&lt;&gt;"Yes",A919=""),"",A919+4)</f>
        <v/>
      </c>
      <c r="V919" s="47"/>
      <c r="W919" s="38"/>
      <c r="X919" s="38"/>
      <c r="Y919" s="44"/>
      <c r="Z919" s="44"/>
      <c r="AA919" s="45" t="str">
        <f aca="false">IF(AND($Y919="",$Z919=""),"",ROUND(IFERROR(VALUE(LEFT($Y919,1)),0)*12+IFERROR(VALUE(LEFT($Z919,1)),0)*8,0))</f>
        <v/>
      </c>
      <c r="AB919" s="45" t="str">
        <f aca="false">IF($AA919="","",IF($AA919&gt;=80,"A - call first",IF($AA919&gt;=60,"B - worth pursuing",IF($AA919&gt;=40,"C - nurture","D - do not spend time here"))))</f>
        <v/>
      </c>
      <c r="AC919" s="46" t="str">
        <f aca="false">IF($C919="","",IF($S919="Converted","7 Certification / Enterprise opportunity",IF($S919="Application Started","7 Certification / Enterprise opportunity",IF($S919="Meeting Booked","6 Meeting / Application",IF(OR($S919="Interested",$S919="Info Requested"),"5 Interested",IF(OR($S919="Declined",$S919="Not Relevant"),"0 Closed - no",IF($R919="Yes","4 Contacted",IF($N919="Yes","2 Engaged",IF($M919="Yes","1 Awareness",IF($AA919&gt;=60,"3 Qualified","1 Awareness"))))))))))</f>
        <v/>
      </c>
    </row>
    <row r="920" customFormat="false" ht="30" hidden="false" customHeight="true" outlineLevel="0" collapsed="false">
      <c r="A920" s="36"/>
      <c r="B920" s="37"/>
      <c r="C920" s="37"/>
      <c r="D920" s="37"/>
      <c r="E920" s="37"/>
      <c r="F920" s="37"/>
      <c r="G920" s="37"/>
      <c r="H920" s="37"/>
      <c r="I920" s="37"/>
      <c r="J920" s="47"/>
      <c r="K920" s="41" t="str">
        <f aca="false">IF(J920="","",IF(J920&gt;=8,"Yes","Check"))</f>
        <v/>
      </c>
      <c r="L920" s="38"/>
      <c r="M920" s="47"/>
      <c r="N920" s="47"/>
      <c r="O920" s="37"/>
      <c r="P920" s="38"/>
      <c r="Q920" s="42" t="str">
        <f aca="false">IF(P920="","",LEN(P920))</f>
        <v/>
      </c>
      <c r="R920" s="47"/>
      <c r="S920" s="37"/>
      <c r="T920" s="38"/>
      <c r="U920" s="43" t="str">
        <f aca="false">IF(OR(R920&lt;&gt;"Yes",A920=""),"",A920+4)</f>
        <v/>
      </c>
      <c r="V920" s="47"/>
      <c r="W920" s="38"/>
      <c r="X920" s="38"/>
      <c r="Y920" s="44"/>
      <c r="Z920" s="44"/>
      <c r="AA920" s="45" t="str">
        <f aca="false">IF(AND($Y920="",$Z920=""),"",ROUND(IFERROR(VALUE(LEFT($Y920,1)),0)*12+IFERROR(VALUE(LEFT($Z920,1)),0)*8,0))</f>
        <v/>
      </c>
      <c r="AB920" s="45" t="str">
        <f aca="false">IF($AA920="","",IF($AA920&gt;=80,"A - call first",IF($AA920&gt;=60,"B - worth pursuing",IF($AA920&gt;=40,"C - nurture","D - do not spend time here"))))</f>
        <v/>
      </c>
      <c r="AC920" s="46" t="str">
        <f aca="false">IF($C920="","",IF($S920="Converted","7 Certification / Enterprise opportunity",IF($S920="Application Started","7 Certification / Enterprise opportunity",IF($S920="Meeting Booked","6 Meeting / Application",IF(OR($S920="Interested",$S920="Info Requested"),"5 Interested",IF(OR($S920="Declined",$S920="Not Relevant"),"0 Closed - no",IF($R920="Yes","4 Contacted",IF($N920="Yes","2 Engaged",IF($M920="Yes","1 Awareness",IF($AA920&gt;=60,"3 Qualified","1 Awareness"))))))))))</f>
        <v/>
      </c>
    </row>
    <row r="921" customFormat="false" ht="30" hidden="false" customHeight="true" outlineLevel="0" collapsed="false">
      <c r="A921" s="36"/>
      <c r="B921" s="37"/>
      <c r="C921" s="37"/>
      <c r="D921" s="37"/>
      <c r="E921" s="37"/>
      <c r="F921" s="37"/>
      <c r="G921" s="37"/>
      <c r="H921" s="37"/>
      <c r="I921" s="37"/>
      <c r="J921" s="47"/>
      <c r="K921" s="41" t="str">
        <f aca="false">IF(J921="","",IF(J921&gt;=8,"Yes","Check"))</f>
        <v/>
      </c>
      <c r="L921" s="38"/>
      <c r="M921" s="47"/>
      <c r="N921" s="47"/>
      <c r="O921" s="37"/>
      <c r="P921" s="38"/>
      <c r="Q921" s="42" t="str">
        <f aca="false">IF(P921="","",LEN(P921))</f>
        <v/>
      </c>
      <c r="R921" s="47"/>
      <c r="S921" s="37"/>
      <c r="T921" s="38"/>
      <c r="U921" s="43" t="str">
        <f aca="false">IF(OR(R921&lt;&gt;"Yes",A921=""),"",A921+4)</f>
        <v/>
      </c>
      <c r="V921" s="47"/>
      <c r="W921" s="38"/>
      <c r="X921" s="38"/>
      <c r="Y921" s="44"/>
      <c r="Z921" s="44"/>
      <c r="AA921" s="45" t="str">
        <f aca="false">IF(AND($Y921="",$Z921=""),"",ROUND(IFERROR(VALUE(LEFT($Y921,1)),0)*12+IFERROR(VALUE(LEFT($Z921,1)),0)*8,0))</f>
        <v/>
      </c>
      <c r="AB921" s="45" t="str">
        <f aca="false">IF($AA921="","",IF($AA921&gt;=80,"A - call first",IF($AA921&gt;=60,"B - worth pursuing",IF($AA921&gt;=40,"C - nurture","D - do not spend time here"))))</f>
        <v/>
      </c>
      <c r="AC921" s="46" t="str">
        <f aca="false">IF($C921="","",IF($S921="Converted","7 Certification / Enterprise opportunity",IF($S921="Application Started","7 Certification / Enterprise opportunity",IF($S921="Meeting Booked","6 Meeting / Application",IF(OR($S921="Interested",$S921="Info Requested"),"5 Interested",IF(OR($S921="Declined",$S921="Not Relevant"),"0 Closed - no",IF($R921="Yes","4 Contacted",IF($N921="Yes","2 Engaged",IF($M921="Yes","1 Awareness",IF($AA921&gt;=60,"3 Qualified","1 Awareness"))))))))))</f>
        <v/>
      </c>
    </row>
    <row r="922" customFormat="false" ht="30" hidden="false" customHeight="true" outlineLevel="0" collapsed="false">
      <c r="A922" s="36"/>
      <c r="B922" s="37"/>
      <c r="C922" s="37"/>
      <c r="D922" s="37"/>
      <c r="E922" s="37"/>
      <c r="F922" s="37"/>
      <c r="G922" s="37"/>
      <c r="H922" s="37"/>
      <c r="I922" s="37"/>
      <c r="J922" s="47"/>
      <c r="K922" s="41" t="str">
        <f aca="false">IF(J922="","",IF(J922&gt;=8,"Yes","Check"))</f>
        <v/>
      </c>
      <c r="L922" s="38"/>
      <c r="M922" s="47"/>
      <c r="N922" s="47"/>
      <c r="O922" s="37"/>
      <c r="P922" s="38"/>
      <c r="Q922" s="42" t="str">
        <f aca="false">IF(P922="","",LEN(P922))</f>
        <v/>
      </c>
      <c r="R922" s="47"/>
      <c r="S922" s="37"/>
      <c r="T922" s="38"/>
      <c r="U922" s="43" t="str">
        <f aca="false">IF(OR(R922&lt;&gt;"Yes",A922=""),"",A922+4)</f>
        <v/>
      </c>
      <c r="V922" s="47"/>
      <c r="W922" s="38"/>
      <c r="X922" s="38"/>
      <c r="Y922" s="44"/>
      <c r="Z922" s="44"/>
      <c r="AA922" s="45" t="str">
        <f aca="false">IF(AND($Y922="",$Z922=""),"",ROUND(IFERROR(VALUE(LEFT($Y922,1)),0)*12+IFERROR(VALUE(LEFT($Z922,1)),0)*8,0))</f>
        <v/>
      </c>
      <c r="AB922" s="45" t="str">
        <f aca="false">IF($AA922="","",IF($AA922&gt;=80,"A - call first",IF($AA922&gt;=60,"B - worth pursuing",IF($AA922&gt;=40,"C - nurture","D - do not spend time here"))))</f>
        <v/>
      </c>
      <c r="AC922" s="46" t="str">
        <f aca="false">IF($C922="","",IF($S922="Converted","7 Certification / Enterprise opportunity",IF($S922="Application Started","7 Certification / Enterprise opportunity",IF($S922="Meeting Booked","6 Meeting / Application",IF(OR($S922="Interested",$S922="Info Requested"),"5 Interested",IF(OR($S922="Declined",$S922="Not Relevant"),"0 Closed - no",IF($R922="Yes","4 Contacted",IF($N922="Yes","2 Engaged",IF($M922="Yes","1 Awareness",IF($AA922&gt;=60,"3 Qualified","1 Awareness"))))))))))</f>
        <v/>
      </c>
    </row>
    <row r="923" customFormat="false" ht="30" hidden="false" customHeight="true" outlineLevel="0" collapsed="false">
      <c r="A923" s="36"/>
      <c r="B923" s="37"/>
      <c r="C923" s="37"/>
      <c r="D923" s="37"/>
      <c r="E923" s="37"/>
      <c r="F923" s="37"/>
      <c r="G923" s="37"/>
      <c r="H923" s="37"/>
      <c r="I923" s="37"/>
      <c r="J923" s="47"/>
      <c r="K923" s="41" t="str">
        <f aca="false">IF(J923="","",IF(J923&gt;=8,"Yes","Check"))</f>
        <v/>
      </c>
      <c r="L923" s="38"/>
      <c r="M923" s="47"/>
      <c r="N923" s="47"/>
      <c r="O923" s="37"/>
      <c r="P923" s="38"/>
      <c r="Q923" s="42" t="str">
        <f aca="false">IF(P923="","",LEN(P923))</f>
        <v/>
      </c>
      <c r="R923" s="47"/>
      <c r="S923" s="37"/>
      <c r="T923" s="38"/>
      <c r="U923" s="43" t="str">
        <f aca="false">IF(OR(R923&lt;&gt;"Yes",A923=""),"",A923+4)</f>
        <v/>
      </c>
      <c r="V923" s="47"/>
      <c r="W923" s="38"/>
      <c r="X923" s="38"/>
      <c r="Y923" s="44"/>
      <c r="Z923" s="44"/>
      <c r="AA923" s="45" t="str">
        <f aca="false">IF(AND($Y923="",$Z923=""),"",ROUND(IFERROR(VALUE(LEFT($Y923,1)),0)*12+IFERROR(VALUE(LEFT($Z923,1)),0)*8,0))</f>
        <v/>
      </c>
      <c r="AB923" s="45" t="str">
        <f aca="false">IF($AA923="","",IF($AA923&gt;=80,"A - call first",IF($AA923&gt;=60,"B - worth pursuing",IF($AA923&gt;=40,"C - nurture","D - do not spend time here"))))</f>
        <v/>
      </c>
      <c r="AC923" s="46" t="str">
        <f aca="false">IF($C923="","",IF($S923="Converted","7 Certification / Enterprise opportunity",IF($S923="Application Started","7 Certification / Enterprise opportunity",IF($S923="Meeting Booked","6 Meeting / Application",IF(OR($S923="Interested",$S923="Info Requested"),"5 Interested",IF(OR($S923="Declined",$S923="Not Relevant"),"0 Closed - no",IF($R923="Yes","4 Contacted",IF($N923="Yes","2 Engaged",IF($M923="Yes","1 Awareness",IF($AA923&gt;=60,"3 Qualified","1 Awareness"))))))))))</f>
        <v/>
      </c>
    </row>
    <row r="924" customFormat="false" ht="30" hidden="false" customHeight="true" outlineLevel="0" collapsed="false">
      <c r="A924" s="36"/>
      <c r="B924" s="37"/>
      <c r="C924" s="37"/>
      <c r="D924" s="37"/>
      <c r="E924" s="37"/>
      <c r="F924" s="37"/>
      <c r="G924" s="37"/>
      <c r="H924" s="37"/>
      <c r="I924" s="37"/>
      <c r="J924" s="47"/>
      <c r="K924" s="41" t="str">
        <f aca="false">IF(J924="","",IF(J924&gt;=8,"Yes","Check"))</f>
        <v/>
      </c>
      <c r="L924" s="38"/>
      <c r="M924" s="47"/>
      <c r="N924" s="47"/>
      <c r="O924" s="37"/>
      <c r="P924" s="38"/>
      <c r="Q924" s="42" t="str">
        <f aca="false">IF(P924="","",LEN(P924))</f>
        <v/>
      </c>
      <c r="R924" s="47"/>
      <c r="S924" s="37"/>
      <c r="T924" s="38"/>
      <c r="U924" s="43" t="str">
        <f aca="false">IF(OR(R924&lt;&gt;"Yes",A924=""),"",A924+4)</f>
        <v/>
      </c>
      <c r="V924" s="47"/>
      <c r="W924" s="38"/>
      <c r="X924" s="38"/>
      <c r="Y924" s="44"/>
      <c r="Z924" s="44"/>
      <c r="AA924" s="45" t="str">
        <f aca="false">IF(AND($Y924="",$Z924=""),"",ROUND(IFERROR(VALUE(LEFT($Y924,1)),0)*12+IFERROR(VALUE(LEFT($Z924,1)),0)*8,0))</f>
        <v/>
      </c>
      <c r="AB924" s="45" t="str">
        <f aca="false">IF($AA924="","",IF($AA924&gt;=80,"A - call first",IF($AA924&gt;=60,"B - worth pursuing",IF($AA924&gt;=40,"C - nurture","D - do not spend time here"))))</f>
        <v/>
      </c>
      <c r="AC924" s="46" t="str">
        <f aca="false">IF($C924="","",IF($S924="Converted","7 Certification / Enterprise opportunity",IF($S924="Application Started","7 Certification / Enterprise opportunity",IF($S924="Meeting Booked","6 Meeting / Application",IF(OR($S924="Interested",$S924="Info Requested"),"5 Interested",IF(OR($S924="Declined",$S924="Not Relevant"),"0 Closed - no",IF($R924="Yes","4 Contacted",IF($N924="Yes","2 Engaged",IF($M924="Yes","1 Awareness",IF($AA924&gt;=60,"3 Qualified","1 Awareness"))))))))))</f>
        <v/>
      </c>
    </row>
    <row r="925" customFormat="false" ht="30" hidden="false" customHeight="true" outlineLevel="0" collapsed="false">
      <c r="A925" s="36"/>
      <c r="B925" s="37"/>
      <c r="C925" s="37"/>
      <c r="D925" s="37"/>
      <c r="E925" s="37"/>
      <c r="F925" s="37"/>
      <c r="G925" s="37"/>
      <c r="H925" s="37"/>
      <c r="I925" s="37"/>
      <c r="J925" s="47"/>
      <c r="K925" s="41" t="str">
        <f aca="false">IF(J925="","",IF(J925&gt;=8,"Yes","Check"))</f>
        <v/>
      </c>
      <c r="L925" s="38"/>
      <c r="M925" s="47"/>
      <c r="N925" s="47"/>
      <c r="O925" s="37"/>
      <c r="P925" s="38"/>
      <c r="Q925" s="42" t="str">
        <f aca="false">IF(P925="","",LEN(P925))</f>
        <v/>
      </c>
      <c r="R925" s="47"/>
      <c r="S925" s="37"/>
      <c r="T925" s="38"/>
      <c r="U925" s="43" t="str">
        <f aca="false">IF(OR(R925&lt;&gt;"Yes",A925=""),"",A925+4)</f>
        <v/>
      </c>
      <c r="V925" s="47"/>
      <c r="W925" s="38"/>
      <c r="X925" s="38"/>
      <c r="Y925" s="44"/>
      <c r="Z925" s="44"/>
      <c r="AA925" s="45" t="str">
        <f aca="false">IF(AND($Y925="",$Z925=""),"",ROUND(IFERROR(VALUE(LEFT($Y925,1)),0)*12+IFERROR(VALUE(LEFT($Z925,1)),0)*8,0))</f>
        <v/>
      </c>
      <c r="AB925" s="45" t="str">
        <f aca="false">IF($AA925="","",IF($AA925&gt;=80,"A - call first",IF($AA925&gt;=60,"B - worth pursuing",IF($AA925&gt;=40,"C - nurture","D - do not spend time here"))))</f>
        <v/>
      </c>
      <c r="AC925" s="46" t="str">
        <f aca="false">IF($C925="","",IF($S925="Converted","7 Certification / Enterprise opportunity",IF($S925="Application Started","7 Certification / Enterprise opportunity",IF($S925="Meeting Booked","6 Meeting / Application",IF(OR($S925="Interested",$S925="Info Requested"),"5 Interested",IF(OR($S925="Declined",$S925="Not Relevant"),"0 Closed - no",IF($R925="Yes","4 Contacted",IF($N925="Yes","2 Engaged",IF($M925="Yes","1 Awareness",IF($AA925&gt;=60,"3 Qualified","1 Awareness"))))))))))</f>
        <v/>
      </c>
    </row>
    <row r="926" customFormat="false" ht="30" hidden="false" customHeight="true" outlineLevel="0" collapsed="false">
      <c r="A926" s="36"/>
      <c r="B926" s="37"/>
      <c r="C926" s="37"/>
      <c r="D926" s="37"/>
      <c r="E926" s="37"/>
      <c r="F926" s="37"/>
      <c r="G926" s="37"/>
      <c r="H926" s="37"/>
      <c r="I926" s="37"/>
      <c r="J926" s="47"/>
      <c r="K926" s="41" t="str">
        <f aca="false">IF(J926="","",IF(J926&gt;=8,"Yes","Check"))</f>
        <v/>
      </c>
      <c r="L926" s="38"/>
      <c r="M926" s="47"/>
      <c r="N926" s="47"/>
      <c r="O926" s="37"/>
      <c r="P926" s="38"/>
      <c r="Q926" s="42" t="str">
        <f aca="false">IF(P926="","",LEN(P926))</f>
        <v/>
      </c>
      <c r="R926" s="47"/>
      <c r="S926" s="37"/>
      <c r="T926" s="38"/>
      <c r="U926" s="43" t="str">
        <f aca="false">IF(OR(R926&lt;&gt;"Yes",A926=""),"",A926+4)</f>
        <v/>
      </c>
      <c r="V926" s="47"/>
      <c r="W926" s="38"/>
      <c r="X926" s="38"/>
      <c r="Y926" s="44"/>
      <c r="Z926" s="44"/>
      <c r="AA926" s="45" t="str">
        <f aca="false">IF(AND($Y926="",$Z926=""),"",ROUND(IFERROR(VALUE(LEFT($Y926,1)),0)*12+IFERROR(VALUE(LEFT($Z926,1)),0)*8,0))</f>
        <v/>
      </c>
      <c r="AB926" s="45" t="str">
        <f aca="false">IF($AA926="","",IF($AA926&gt;=80,"A - call first",IF($AA926&gt;=60,"B - worth pursuing",IF($AA926&gt;=40,"C - nurture","D - do not spend time here"))))</f>
        <v/>
      </c>
      <c r="AC926" s="46" t="str">
        <f aca="false">IF($C926="","",IF($S926="Converted","7 Certification / Enterprise opportunity",IF($S926="Application Started","7 Certification / Enterprise opportunity",IF($S926="Meeting Booked","6 Meeting / Application",IF(OR($S926="Interested",$S926="Info Requested"),"5 Interested",IF(OR($S926="Declined",$S926="Not Relevant"),"0 Closed - no",IF($R926="Yes","4 Contacted",IF($N926="Yes","2 Engaged",IF($M926="Yes","1 Awareness",IF($AA926&gt;=60,"3 Qualified","1 Awareness"))))))))))</f>
        <v/>
      </c>
    </row>
    <row r="927" customFormat="false" ht="30" hidden="false" customHeight="true" outlineLevel="0" collapsed="false">
      <c r="A927" s="36"/>
      <c r="B927" s="37"/>
      <c r="C927" s="37"/>
      <c r="D927" s="37"/>
      <c r="E927" s="37"/>
      <c r="F927" s="37"/>
      <c r="G927" s="37"/>
      <c r="H927" s="37"/>
      <c r="I927" s="37"/>
      <c r="J927" s="47"/>
      <c r="K927" s="41" t="str">
        <f aca="false">IF(J927="","",IF(J927&gt;=8,"Yes","Check"))</f>
        <v/>
      </c>
      <c r="L927" s="38"/>
      <c r="M927" s="47"/>
      <c r="N927" s="47"/>
      <c r="O927" s="37"/>
      <c r="P927" s="38"/>
      <c r="Q927" s="42" t="str">
        <f aca="false">IF(P927="","",LEN(P927))</f>
        <v/>
      </c>
      <c r="R927" s="47"/>
      <c r="S927" s="37"/>
      <c r="T927" s="38"/>
      <c r="U927" s="43" t="str">
        <f aca="false">IF(OR(R927&lt;&gt;"Yes",A927=""),"",A927+4)</f>
        <v/>
      </c>
      <c r="V927" s="47"/>
      <c r="W927" s="38"/>
      <c r="X927" s="38"/>
      <c r="Y927" s="44"/>
      <c r="Z927" s="44"/>
      <c r="AA927" s="45" t="str">
        <f aca="false">IF(AND($Y927="",$Z927=""),"",ROUND(IFERROR(VALUE(LEFT($Y927,1)),0)*12+IFERROR(VALUE(LEFT($Z927,1)),0)*8,0))</f>
        <v/>
      </c>
      <c r="AB927" s="45" t="str">
        <f aca="false">IF($AA927="","",IF($AA927&gt;=80,"A - call first",IF($AA927&gt;=60,"B - worth pursuing",IF($AA927&gt;=40,"C - nurture","D - do not spend time here"))))</f>
        <v/>
      </c>
      <c r="AC927" s="46" t="str">
        <f aca="false">IF($C927="","",IF($S927="Converted","7 Certification / Enterprise opportunity",IF($S927="Application Started","7 Certification / Enterprise opportunity",IF($S927="Meeting Booked","6 Meeting / Application",IF(OR($S927="Interested",$S927="Info Requested"),"5 Interested",IF(OR($S927="Declined",$S927="Not Relevant"),"0 Closed - no",IF($R927="Yes","4 Contacted",IF($N927="Yes","2 Engaged",IF($M927="Yes","1 Awareness",IF($AA927&gt;=60,"3 Qualified","1 Awareness"))))))))))</f>
        <v/>
      </c>
    </row>
    <row r="928" customFormat="false" ht="30" hidden="false" customHeight="true" outlineLevel="0" collapsed="false">
      <c r="A928" s="36"/>
      <c r="B928" s="37"/>
      <c r="C928" s="37"/>
      <c r="D928" s="37"/>
      <c r="E928" s="37"/>
      <c r="F928" s="37"/>
      <c r="G928" s="37"/>
      <c r="H928" s="37"/>
      <c r="I928" s="37"/>
      <c r="J928" s="47"/>
      <c r="K928" s="41" t="str">
        <f aca="false">IF(J928="","",IF(J928&gt;=8,"Yes","Check"))</f>
        <v/>
      </c>
      <c r="L928" s="38"/>
      <c r="M928" s="47"/>
      <c r="N928" s="47"/>
      <c r="O928" s="37"/>
      <c r="P928" s="38"/>
      <c r="Q928" s="42" t="str">
        <f aca="false">IF(P928="","",LEN(P928))</f>
        <v/>
      </c>
      <c r="R928" s="47"/>
      <c r="S928" s="37"/>
      <c r="T928" s="38"/>
      <c r="U928" s="43" t="str">
        <f aca="false">IF(OR(R928&lt;&gt;"Yes",A928=""),"",A928+4)</f>
        <v/>
      </c>
      <c r="V928" s="47"/>
      <c r="W928" s="38"/>
      <c r="X928" s="38"/>
      <c r="Y928" s="44"/>
      <c r="Z928" s="44"/>
      <c r="AA928" s="45" t="str">
        <f aca="false">IF(AND($Y928="",$Z928=""),"",ROUND(IFERROR(VALUE(LEFT($Y928,1)),0)*12+IFERROR(VALUE(LEFT($Z928,1)),0)*8,0))</f>
        <v/>
      </c>
      <c r="AB928" s="45" t="str">
        <f aca="false">IF($AA928="","",IF($AA928&gt;=80,"A - call first",IF($AA928&gt;=60,"B - worth pursuing",IF($AA928&gt;=40,"C - nurture","D - do not spend time here"))))</f>
        <v/>
      </c>
      <c r="AC928" s="46" t="str">
        <f aca="false">IF($C928="","",IF($S928="Converted","7 Certification / Enterprise opportunity",IF($S928="Application Started","7 Certification / Enterprise opportunity",IF($S928="Meeting Booked","6 Meeting / Application",IF(OR($S928="Interested",$S928="Info Requested"),"5 Interested",IF(OR($S928="Declined",$S928="Not Relevant"),"0 Closed - no",IF($R928="Yes","4 Contacted",IF($N928="Yes","2 Engaged",IF($M928="Yes","1 Awareness",IF($AA928&gt;=60,"3 Qualified","1 Awareness"))))))))))</f>
        <v/>
      </c>
    </row>
    <row r="929" customFormat="false" ht="30" hidden="false" customHeight="true" outlineLevel="0" collapsed="false">
      <c r="A929" s="36"/>
      <c r="B929" s="37"/>
      <c r="C929" s="37"/>
      <c r="D929" s="37"/>
      <c r="E929" s="37"/>
      <c r="F929" s="37"/>
      <c r="G929" s="37"/>
      <c r="H929" s="37"/>
      <c r="I929" s="37"/>
      <c r="J929" s="47"/>
      <c r="K929" s="41" t="str">
        <f aca="false">IF(J929="","",IF(J929&gt;=8,"Yes","Check"))</f>
        <v/>
      </c>
      <c r="L929" s="38"/>
      <c r="M929" s="47"/>
      <c r="N929" s="47"/>
      <c r="O929" s="37"/>
      <c r="P929" s="38"/>
      <c r="Q929" s="42" t="str">
        <f aca="false">IF(P929="","",LEN(P929))</f>
        <v/>
      </c>
      <c r="R929" s="47"/>
      <c r="S929" s="37"/>
      <c r="T929" s="38"/>
      <c r="U929" s="43" t="str">
        <f aca="false">IF(OR(R929&lt;&gt;"Yes",A929=""),"",A929+4)</f>
        <v/>
      </c>
      <c r="V929" s="47"/>
      <c r="W929" s="38"/>
      <c r="X929" s="38"/>
      <c r="Y929" s="44"/>
      <c r="Z929" s="44"/>
      <c r="AA929" s="45" t="str">
        <f aca="false">IF(AND($Y929="",$Z929=""),"",ROUND(IFERROR(VALUE(LEFT($Y929,1)),0)*12+IFERROR(VALUE(LEFT($Z929,1)),0)*8,0))</f>
        <v/>
      </c>
      <c r="AB929" s="45" t="str">
        <f aca="false">IF($AA929="","",IF($AA929&gt;=80,"A - call first",IF($AA929&gt;=60,"B - worth pursuing",IF($AA929&gt;=40,"C - nurture","D - do not spend time here"))))</f>
        <v/>
      </c>
      <c r="AC929" s="46" t="str">
        <f aca="false">IF($C929="","",IF($S929="Converted","7 Certification / Enterprise opportunity",IF($S929="Application Started","7 Certification / Enterprise opportunity",IF($S929="Meeting Booked","6 Meeting / Application",IF(OR($S929="Interested",$S929="Info Requested"),"5 Interested",IF(OR($S929="Declined",$S929="Not Relevant"),"0 Closed - no",IF($R929="Yes","4 Contacted",IF($N929="Yes","2 Engaged",IF($M929="Yes","1 Awareness",IF($AA929&gt;=60,"3 Qualified","1 Awareness"))))))))))</f>
        <v/>
      </c>
    </row>
    <row r="930" customFormat="false" ht="30" hidden="false" customHeight="true" outlineLevel="0" collapsed="false">
      <c r="A930" s="36"/>
      <c r="B930" s="37"/>
      <c r="C930" s="37"/>
      <c r="D930" s="37"/>
      <c r="E930" s="37"/>
      <c r="F930" s="37"/>
      <c r="G930" s="37"/>
      <c r="H930" s="37"/>
      <c r="I930" s="37"/>
      <c r="J930" s="47"/>
      <c r="K930" s="41" t="str">
        <f aca="false">IF(J930="","",IF(J930&gt;=8,"Yes","Check"))</f>
        <v/>
      </c>
      <c r="L930" s="38"/>
      <c r="M930" s="47"/>
      <c r="N930" s="47"/>
      <c r="O930" s="37"/>
      <c r="P930" s="38"/>
      <c r="Q930" s="42" t="str">
        <f aca="false">IF(P930="","",LEN(P930))</f>
        <v/>
      </c>
      <c r="R930" s="47"/>
      <c r="S930" s="37"/>
      <c r="T930" s="38"/>
      <c r="U930" s="43" t="str">
        <f aca="false">IF(OR(R930&lt;&gt;"Yes",A930=""),"",A930+4)</f>
        <v/>
      </c>
      <c r="V930" s="47"/>
      <c r="W930" s="38"/>
      <c r="X930" s="38"/>
      <c r="Y930" s="44"/>
      <c r="Z930" s="44"/>
      <c r="AA930" s="45" t="str">
        <f aca="false">IF(AND($Y930="",$Z930=""),"",ROUND(IFERROR(VALUE(LEFT($Y930,1)),0)*12+IFERROR(VALUE(LEFT($Z930,1)),0)*8,0))</f>
        <v/>
      </c>
      <c r="AB930" s="45" t="str">
        <f aca="false">IF($AA930="","",IF($AA930&gt;=80,"A - call first",IF($AA930&gt;=60,"B - worth pursuing",IF($AA930&gt;=40,"C - nurture","D - do not spend time here"))))</f>
        <v/>
      </c>
      <c r="AC930" s="46" t="str">
        <f aca="false">IF($C930="","",IF($S930="Converted","7 Certification / Enterprise opportunity",IF($S930="Application Started","7 Certification / Enterprise opportunity",IF($S930="Meeting Booked","6 Meeting / Application",IF(OR($S930="Interested",$S930="Info Requested"),"5 Interested",IF(OR($S930="Declined",$S930="Not Relevant"),"0 Closed - no",IF($R930="Yes","4 Contacted",IF($N930="Yes","2 Engaged",IF($M930="Yes","1 Awareness",IF($AA930&gt;=60,"3 Qualified","1 Awareness"))))))))))</f>
        <v/>
      </c>
    </row>
    <row r="931" customFormat="false" ht="30" hidden="false" customHeight="true" outlineLevel="0" collapsed="false">
      <c r="A931" s="36"/>
      <c r="B931" s="37"/>
      <c r="C931" s="37"/>
      <c r="D931" s="37"/>
      <c r="E931" s="37"/>
      <c r="F931" s="37"/>
      <c r="G931" s="37"/>
      <c r="H931" s="37"/>
      <c r="I931" s="37"/>
      <c r="J931" s="47"/>
      <c r="K931" s="41" t="str">
        <f aca="false">IF(J931="","",IF(J931&gt;=8,"Yes","Check"))</f>
        <v/>
      </c>
      <c r="L931" s="38"/>
      <c r="M931" s="47"/>
      <c r="N931" s="47"/>
      <c r="O931" s="37"/>
      <c r="P931" s="38"/>
      <c r="Q931" s="42" t="str">
        <f aca="false">IF(P931="","",LEN(P931))</f>
        <v/>
      </c>
      <c r="R931" s="47"/>
      <c r="S931" s="37"/>
      <c r="T931" s="38"/>
      <c r="U931" s="43" t="str">
        <f aca="false">IF(OR(R931&lt;&gt;"Yes",A931=""),"",A931+4)</f>
        <v/>
      </c>
      <c r="V931" s="47"/>
      <c r="W931" s="38"/>
      <c r="X931" s="38"/>
      <c r="Y931" s="44"/>
      <c r="Z931" s="44"/>
      <c r="AA931" s="45" t="str">
        <f aca="false">IF(AND($Y931="",$Z931=""),"",ROUND(IFERROR(VALUE(LEFT($Y931,1)),0)*12+IFERROR(VALUE(LEFT($Z931,1)),0)*8,0))</f>
        <v/>
      </c>
      <c r="AB931" s="45" t="str">
        <f aca="false">IF($AA931="","",IF($AA931&gt;=80,"A - call first",IF($AA931&gt;=60,"B - worth pursuing",IF($AA931&gt;=40,"C - nurture","D - do not spend time here"))))</f>
        <v/>
      </c>
      <c r="AC931" s="46" t="str">
        <f aca="false">IF($C931="","",IF($S931="Converted","7 Certification / Enterprise opportunity",IF($S931="Application Started","7 Certification / Enterprise opportunity",IF($S931="Meeting Booked","6 Meeting / Application",IF(OR($S931="Interested",$S931="Info Requested"),"5 Interested",IF(OR($S931="Declined",$S931="Not Relevant"),"0 Closed - no",IF($R931="Yes","4 Contacted",IF($N931="Yes","2 Engaged",IF($M931="Yes","1 Awareness",IF($AA931&gt;=60,"3 Qualified","1 Awareness"))))))))))</f>
        <v/>
      </c>
    </row>
    <row r="932" customFormat="false" ht="30" hidden="false" customHeight="true" outlineLevel="0" collapsed="false">
      <c r="A932" s="36"/>
      <c r="B932" s="37"/>
      <c r="C932" s="37"/>
      <c r="D932" s="37"/>
      <c r="E932" s="37"/>
      <c r="F932" s="37"/>
      <c r="G932" s="37"/>
      <c r="H932" s="37"/>
      <c r="I932" s="37"/>
      <c r="J932" s="47"/>
      <c r="K932" s="41" t="str">
        <f aca="false">IF(J932="","",IF(J932&gt;=8,"Yes","Check"))</f>
        <v/>
      </c>
      <c r="L932" s="38"/>
      <c r="M932" s="47"/>
      <c r="N932" s="47"/>
      <c r="O932" s="37"/>
      <c r="P932" s="38"/>
      <c r="Q932" s="42" t="str">
        <f aca="false">IF(P932="","",LEN(P932))</f>
        <v/>
      </c>
      <c r="R932" s="47"/>
      <c r="S932" s="37"/>
      <c r="T932" s="38"/>
      <c r="U932" s="43" t="str">
        <f aca="false">IF(OR(R932&lt;&gt;"Yes",A932=""),"",A932+4)</f>
        <v/>
      </c>
      <c r="V932" s="47"/>
      <c r="W932" s="38"/>
      <c r="X932" s="38"/>
      <c r="Y932" s="44"/>
      <c r="Z932" s="44"/>
      <c r="AA932" s="45" t="str">
        <f aca="false">IF(AND($Y932="",$Z932=""),"",ROUND(IFERROR(VALUE(LEFT($Y932,1)),0)*12+IFERROR(VALUE(LEFT($Z932,1)),0)*8,0))</f>
        <v/>
      </c>
      <c r="AB932" s="45" t="str">
        <f aca="false">IF($AA932="","",IF($AA932&gt;=80,"A - call first",IF($AA932&gt;=60,"B - worth pursuing",IF($AA932&gt;=40,"C - nurture","D - do not spend time here"))))</f>
        <v/>
      </c>
      <c r="AC932" s="46" t="str">
        <f aca="false">IF($C932="","",IF($S932="Converted","7 Certification / Enterprise opportunity",IF($S932="Application Started","7 Certification / Enterprise opportunity",IF($S932="Meeting Booked","6 Meeting / Application",IF(OR($S932="Interested",$S932="Info Requested"),"5 Interested",IF(OR($S932="Declined",$S932="Not Relevant"),"0 Closed - no",IF($R932="Yes","4 Contacted",IF($N932="Yes","2 Engaged",IF($M932="Yes","1 Awareness",IF($AA932&gt;=60,"3 Qualified","1 Awareness"))))))))))</f>
        <v/>
      </c>
    </row>
    <row r="933" customFormat="false" ht="30" hidden="false" customHeight="true" outlineLevel="0" collapsed="false">
      <c r="A933" s="36"/>
      <c r="B933" s="37"/>
      <c r="C933" s="37"/>
      <c r="D933" s="37"/>
      <c r="E933" s="37"/>
      <c r="F933" s="37"/>
      <c r="G933" s="37"/>
      <c r="H933" s="37"/>
      <c r="I933" s="37"/>
      <c r="J933" s="47"/>
      <c r="K933" s="41" t="str">
        <f aca="false">IF(J933="","",IF(J933&gt;=8,"Yes","Check"))</f>
        <v/>
      </c>
      <c r="L933" s="38"/>
      <c r="M933" s="47"/>
      <c r="N933" s="47"/>
      <c r="O933" s="37"/>
      <c r="P933" s="38"/>
      <c r="Q933" s="42" t="str">
        <f aca="false">IF(P933="","",LEN(P933))</f>
        <v/>
      </c>
      <c r="R933" s="47"/>
      <c r="S933" s="37"/>
      <c r="T933" s="38"/>
      <c r="U933" s="43" t="str">
        <f aca="false">IF(OR(R933&lt;&gt;"Yes",A933=""),"",A933+4)</f>
        <v/>
      </c>
      <c r="V933" s="47"/>
      <c r="W933" s="38"/>
      <c r="X933" s="38"/>
      <c r="Y933" s="44"/>
      <c r="Z933" s="44"/>
      <c r="AA933" s="45" t="str">
        <f aca="false">IF(AND($Y933="",$Z933=""),"",ROUND(IFERROR(VALUE(LEFT($Y933,1)),0)*12+IFERROR(VALUE(LEFT($Z933,1)),0)*8,0))</f>
        <v/>
      </c>
      <c r="AB933" s="45" t="str">
        <f aca="false">IF($AA933="","",IF($AA933&gt;=80,"A - call first",IF($AA933&gt;=60,"B - worth pursuing",IF($AA933&gt;=40,"C - nurture","D - do not spend time here"))))</f>
        <v/>
      </c>
      <c r="AC933" s="46" t="str">
        <f aca="false">IF($C933="","",IF($S933="Converted","7 Certification / Enterprise opportunity",IF($S933="Application Started","7 Certification / Enterprise opportunity",IF($S933="Meeting Booked","6 Meeting / Application",IF(OR($S933="Interested",$S933="Info Requested"),"5 Interested",IF(OR($S933="Declined",$S933="Not Relevant"),"0 Closed - no",IF($R933="Yes","4 Contacted",IF($N933="Yes","2 Engaged",IF($M933="Yes","1 Awareness",IF($AA933&gt;=60,"3 Qualified","1 Awareness"))))))))))</f>
        <v/>
      </c>
    </row>
    <row r="934" customFormat="false" ht="30" hidden="false" customHeight="true" outlineLevel="0" collapsed="false">
      <c r="A934" s="36"/>
      <c r="B934" s="37"/>
      <c r="C934" s="37"/>
      <c r="D934" s="37"/>
      <c r="E934" s="37"/>
      <c r="F934" s="37"/>
      <c r="G934" s="37"/>
      <c r="H934" s="37"/>
      <c r="I934" s="37"/>
      <c r="J934" s="47"/>
      <c r="K934" s="41" t="str">
        <f aca="false">IF(J934="","",IF(J934&gt;=8,"Yes","Check"))</f>
        <v/>
      </c>
      <c r="L934" s="38"/>
      <c r="M934" s="47"/>
      <c r="N934" s="47"/>
      <c r="O934" s="37"/>
      <c r="P934" s="38"/>
      <c r="Q934" s="42" t="str">
        <f aca="false">IF(P934="","",LEN(P934))</f>
        <v/>
      </c>
      <c r="R934" s="47"/>
      <c r="S934" s="37"/>
      <c r="T934" s="38"/>
      <c r="U934" s="43" t="str">
        <f aca="false">IF(OR(R934&lt;&gt;"Yes",A934=""),"",A934+4)</f>
        <v/>
      </c>
      <c r="V934" s="47"/>
      <c r="W934" s="38"/>
      <c r="X934" s="38"/>
      <c r="Y934" s="44"/>
      <c r="Z934" s="44"/>
      <c r="AA934" s="45" t="str">
        <f aca="false">IF(AND($Y934="",$Z934=""),"",ROUND(IFERROR(VALUE(LEFT($Y934,1)),0)*12+IFERROR(VALUE(LEFT($Z934,1)),0)*8,0))</f>
        <v/>
      </c>
      <c r="AB934" s="45" t="str">
        <f aca="false">IF($AA934="","",IF($AA934&gt;=80,"A - call first",IF($AA934&gt;=60,"B - worth pursuing",IF($AA934&gt;=40,"C - nurture","D - do not spend time here"))))</f>
        <v/>
      </c>
      <c r="AC934" s="46" t="str">
        <f aca="false">IF($C934="","",IF($S934="Converted","7 Certification / Enterprise opportunity",IF($S934="Application Started","7 Certification / Enterprise opportunity",IF($S934="Meeting Booked","6 Meeting / Application",IF(OR($S934="Interested",$S934="Info Requested"),"5 Interested",IF(OR($S934="Declined",$S934="Not Relevant"),"0 Closed - no",IF($R934="Yes","4 Contacted",IF($N934="Yes","2 Engaged",IF($M934="Yes","1 Awareness",IF($AA934&gt;=60,"3 Qualified","1 Awareness"))))))))))</f>
        <v/>
      </c>
    </row>
    <row r="935" customFormat="false" ht="30" hidden="false" customHeight="true" outlineLevel="0" collapsed="false">
      <c r="A935" s="36"/>
      <c r="B935" s="37"/>
      <c r="C935" s="37"/>
      <c r="D935" s="37"/>
      <c r="E935" s="37"/>
      <c r="F935" s="37"/>
      <c r="G935" s="37"/>
      <c r="H935" s="37"/>
      <c r="I935" s="37"/>
      <c r="J935" s="47"/>
      <c r="K935" s="41" t="str">
        <f aca="false">IF(J935="","",IF(J935&gt;=8,"Yes","Check"))</f>
        <v/>
      </c>
      <c r="L935" s="38"/>
      <c r="M935" s="47"/>
      <c r="N935" s="47"/>
      <c r="O935" s="37"/>
      <c r="P935" s="38"/>
      <c r="Q935" s="42" t="str">
        <f aca="false">IF(P935="","",LEN(P935))</f>
        <v/>
      </c>
      <c r="R935" s="47"/>
      <c r="S935" s="37"/>
      <c r="T935" s="38"/>
      <c r="U935" s="43" t="str">
        <f aca="false">IF(OR(R935&lt;&gt;"Yes",A935=""),"",A935+4)</f>
        <v/>
      </c>
      <c r="V935" s="47"/>
      <c r="W935" s="38"/>
      <c r="X935" s="38"/>
      <c r="Y935" s="44"/>
      <c r="Z935" s="44"/>
      <c r="AA935" s="45" t="str">
        <f aca="false">IF(AND($Y935="",$Z935=""),"",ROUND(IFERROR(VALUE(LEFT($Y935,1)),0)*12+IFERROR(VALUE(LEFT($Z935,1)),0)*8,0))</f>
        <v/>
      </c>
      <c r="AB935" s="45" t="str">
        <f aca="false">IF($AA935="","",IF($AA935&gt;=80,"A - call first",IF($AA935&gt;=60,"B - worth pursuing",IF($AA935&gt;=40,"C - nurture","D - do not spend time here"))))</f>
        <v/>
      </c>
      <c r="AC935" s="46" t="str">
        <f aca="false">IF($C935="","",IF($S935="Converted","7 Certification / Enterprise opportunity",IF($S935="Application Started","7 Certification / Enterprise opportunity",IF($S935="Meeting Booked","6 Meeting / Application",IF(OR($S935="Interested",$S935="Info Requested"),"5 Interested",IF(OR($S935="Declined",$S935="Not Relevant"),"0 Closed - no",IF($R935="Yes","4 Contacted",IF($N935="Yes","2 Engaged",IF($M935="Yes","1 Awareness",IF($AA935&gt;=60,"3 Qualified","1 Awareness"))))))))))</f>
        <v/>
      </c>
    </row>
    <row r="936" customFormat="false" ht="30" hidden="false" customHeight="true" outlineLevel="0" collapsed="false">
      <c r="A936" s="36"/>
      <c r="B936" s="37"/>
      <c r="C936" s="37"/>
      <c r="D936" s="37"/>
      <c r="E936" s="37"/>
      <c r="F936" s="37"/>
      <c r="G936" s="37"/>
      <c r="H936" s="37"/>
      <c r="I936" s="37"/>
      <c r="J936" s="47"/>
      <c r="K936" s="41" t="str">
        <f aca="false">IF(J936="","",IF(J936&gt;=8,"Yes","Check"))</f>
        <v/>
      </c>
      <c r="L936" s="38"/>
      <c r="M936" s="47"/>
      <c r="N936" s="47"/>
      <c r="O936" s="37"/>
      <c r="P936" s="38"/>
      <c r="Q936" s="42" t="str">
        <f aca="false">IF(P936="","",LEN(P936))</f>
        <v/>
      </c>
      <c r="R936" s="47"/>
      <c r="S936" s="37"/>
      <c r="T936" s="38"/>
      <c r="U936" s="43" t="str">
        <f aca="false">IF(OR(R936&lt;&gt;"Yes",A936=""),"",A936+4)</f>
        <v/>
      </c>
      <c r="V936" s="47"/>
      <c r="W936" s="38"/>
      <c r="X936" s="38"/>
      <c r="Y936" s="44"/>
      <c r="Z936" s="44"/>
      <c r="AA936" s="45" t="str">
        <f aca="false">IF(AND($Y936="",$Z936=""),"",ROUND(IFERROR(VALUE(LEFT($Y936,1)),0)*12+IFERROR(VALUE(LEFT($Z936,1)),0)*8,0))</f>
        <v/>
      </c>
      <c r="AB936" s="45" t="str">
        <f aca="false">IF($AA936="","",IF($AA936&gt;=80,"A - call first",IF($AA936&gt;=60,"B - worth pursuing",IF($AA936&gt;=40,"C - nurture","D - do not spend time here"))))</f>
        <v/>
      </c>
      <c r="AC936" s="46" t="str">
        <f aca="false">IF($C936="","",IF($S936="Converted","7 Certification / Enterprise opportunity",IF($S936="Application Started","7 Certification / Enterprise opportunity",IF($S936="Meeting Booked","6 Meeting / Application",IF(OR($S936="Interested",$S936="Info Requested"),"5 Interested",IF(OR($S936="Declined",$S936="Not Relevant"),"0 Closed - no",IF($R936="Yes","4 Contacted",IF($N936="Yes","2 Engaged",IF($M936="Yes","1 Awareness",IF($AA936&gt;=60,"3 Qualified","1 Awareness"))))))))))</f>
        <v/>
      </c>
    </row>
    <row r="937" customFormat="false" ht="30" hidden="false" customHeight="true" outlineLevel="0" collapsed="false">
      <c r="A937" s="36"/>
      <c r="B937" s="37"/>
      <c r="C937" s="37"/>
      <c r="D937" s="37"/>
      <c r="E937" s="37"/>
      <c r="F937" s="37"/>
      <c r="G937" s="37"/>
      <c r="H937" s="37"/>
      <c r="I937" s="37"/>
      <c r="J937" s="47"/>
      <c r="K937" s="41" t="str">
        <f aca="false">IF(J937="","",IF(J937&gt;=8,"Yes","Check"))</f>
        <v/>
      </c>
      <c r="L937" s="38"/>
      <c r="M937" s="47"/>
      <c r="N937" s="47"/>
      <c r="O937" s="37"/>
      <c r="P937" s="38"/>
      <c r="Q937" s="42" t="str">
        <f aca="false">IF(P937="","",LEN(P937))</f>
        <v/>
      </c>
      <c r="R937" s="47"/>
      <c r="S937" s="37"/>
      <c r="T937" s="38"/>
      <c r="U937" s="43" t="str">
        <f aca="false">IF(OR(R937&lt;&gt;"Yes",A937=""),"",A937+4)</f>
        <v/>
      </c>
      <c r="V937" s="47"/>
      <c r="W937" s="38"/>
      <c r="X937" s="38"/>
      <c r="Y937" s="44"/>
      <c r="Z937" s="44"/>
      <c r="AA937" s="45" t="str">
        <f aca="false">IF(AND($Y937="",$Z937=""),"",ROUND(IFERROR(VALUE(LEFT($Y937,1)),0)*12+IFERROR(VALUE(LEFT($Z937,1)),0)*8,0))</f>
        <v/>
      </c>
      <c r="AB937" s="45" t="str">
        <f aca="false">IF($AA937="","",IF($AA937&gt;=80,"A - call first",IF($AA937&gt;=60,"B - worth pursuing",IF($AA937&gt;=40,"C - nurture","D - do not spend time here"))))</f>
        <v/>
      </c>
      <c r="AC937" s="46" t="str">
        <f aca="false">IF($C937="","",IF($S937="Converted","7 Certification / Enterprise opportunity",IF($S937="Application Started","7 Certification / Enterprise opportunity",IF($S937="Meeting Booked","6 Meeting / Application",IF(OR($S937="Interested",$S937="Info Requested"),"5 Interested",IF(OR($S937="Declined",$S937="Not Relevant"),"0 Closed - no",IF($R937="Yes","4 Contacted",IF($N937="Yes","2 Engaged",IF($M937="Yes","1 Awareness",IF($AA937&gt;=60,"3 Qualified","1 Awareness"))))))))))</f>
        <v/>
      </c>
    </row>
    <row r="938" customFormat="false" ht="30" hidden="false" customHeight="true" outlineLevel="0" collapsed="false">
      <c r="A938" s="36"/>
      <c r="B938" s="37"/>
      <c r="C938" s="37"/>
      <c r="D938" s="37"/>
      <c r="E938" s="37"/>
      <c r="F938" s="37"/>
      <c r="G938" s="37"/>
      <c r="H938" s="37"/>
      <c r="I938" s="37"/>
      <c r="J938" s="47"/>
      <c r="K938" s="41" t="str">
        <f aca="false">IF(J938="","",IF(J938&gt;=8,"Yes","Check"))</f>
        <v/>
      </c>
      <c r="L938" s="38"/>
      <c r="M938" s="47"/>
      <c r="N938" s="47"/>
      <c r="O938" s="37"/>
      <c r="P938" s="38"/>
      <c r="Q938" s="42" t="str">
        <f aca="false">IF(P938="","",LEN(P938))</f>
        <v/>
      </c>
      <c r="R938" s="47"/>
      <c r="S938" s="37"/>
      <c r="T938" s="38"/>
      <c r="U938" s="43" t="str">
        <f aca="false">IF(OR(R938&lt;&gt;"Yes",A938=""),"",A938+4)</f>
        <v/>
      </c>
      <c r="V938" s="47"/>
      <c r="W938" s="38"/>
      <c r="X938" s="38"/>
      <c r="Y938" s="44"/>
      <c r="Z938" s="44"/>
      <c r="AA938" s="45" t="str">
        <f aca="false">IF(AND($Y938="",$Z938=""),"",ROUND(IFERROR(VALUE(LEFT($Y938,1)),0)*12+IFERROR(VALUE(LEFT($Z938,1)),0)*8,0))</f>
        <v/>
      </c>
      <c r="AB938" s="45" t="str">
        <f aca="false">IF($AA938="","",IF($AA938&gt;=80,"A - call first",IF($AA938&gt;=60,"B - worth pursuing",IF($AA938&gt;=40,"C - nurture","D - do not spend time here"))))</f>
        <v/>
      </c>
      <c r="AC938" s="46" t="str">
        <f aca="false">IF($C938="","",IF($S938="Converted","7 Certification / Enterprise opportunity",IF($S938="Application Started","7 Certification / Enterprise opportunity",IF($S938="Meeting Booked","6 Meeting / Application",IF(OR($S938="Interested",$S938="Info Requested"),"5 Interested",IF(OR($S938="Declined",$S938="Not Relevant"),"0 Closed - no",IF($R938="Yes","4 Contacted",IF($N938="Yes","2 Engaged",IF($M938="Yes","1 Awareness",IF($AA938&gt;=60,"3 Qualified","1 Awareness"))))))))))</f>
        <v/>
      </c>
    </row>
    <row r="939" customFormat="false" ht="30" hidden="false" customHeight="true" outlineLevel="0" collapsed="false">
      <c r="A939" s="36"/>
      <c r="B939" s="37"/>
      <c r="C939" s="37"/>
      <c r="D939" s="37"/>
      <c r="E939" s="37"/>
      <c r="F939" s="37"/>
      <c r="G939" s="37"/>
      <c r="H939" s="37"/>
      <c r="I939" s="37"/>
      <c r="J939" s="47"/>
      <c r="K939" s="41" t="str">
        <f aca="false">IF(J939="","",IF(J939&gt;=8,"Yes","Check"))</f>
        <v/>
      </c>
      <c r="L939" s="38"/>
      <c r="M939" s="47"/>
      <c r="N939" s="47"/>
      <c r="O939" s="37"/>
      <c r="P939" s="38"/>
      <c r="Q939" s="42" t="str">
        <f aca="false">IF(P939="","",LEN(P939))</f>
        <v/>
      </c>
      <c r="R939" s="47"/>
      <c r="S939" s="37"/>
      <c r="T939" s="38"/>
      <c r="U939" s="43" t="str">
        <f aca="false">IF(OR(R939&lt;&gt;"Yes",A939=""),"",A939+4)</f>
        <v/>
      </c>
      <c r="V939" s="47"/>
      <c r="W939" s="38"/>
      <c r="X939" s="38"/>
      <c r="Y939" s="44"/>
      <c r="Z939" s="44"/>
      <c r="AA939" s="45" t="str">
        <f aca="false">IF(AND($Y939="",$Z939=""),"",ROUND(IFERROR(VALUE(LEFT($Y939,1)),0)*12+IFERROR(VALUE(LEFT($Z939,1)),0)*8,0))</f>
        <v/>
      </c>
      <c r="AB939" s="45" t="str">
        <f aca="false">IF($AA939="","",IF($AA939&gt;=80,"A - call first",IF($AA939&gt;=60,"B - worth pursuing",IF($AA939&gt;=40,"C - nurture","D - do not spend time here"))))</f>
        <v/>
      </c>
      <c r="AC939" s="46" t="str">
        <f aca="false">IF($C939="","",IF($S939="Converted","7 Certification / Enterprise opportunity",IF($S939="Application Started","7 Certification / Enterprise opportunity",IF($S939="Meeting Booked","6 Meeting / Application",IF(OR($S939="Interested",$S939="Info Requested"),"5 Interested",IF(OR($S939="Declined",$S939="Not Relevant"),"0 Closed - no",IF($R939="Yes","4 Contacted",IF($N939="Yes","2 Engaged",IF($M939="Yes","1 Awareness",IF($AA939&gt;=60,"3 Qualified","1 Awareness"))))))))))</f>
        <v/>
      </c>
    </row>
    <row r="940" customFormat="false" ht="30" hidden="false" customHeight="true" outlineLevel="0" collapsed="false">
      <c r="A940" s="36"/>
      <c r="B940" s="37"/>
      <c r="C940" s="37"/>
      <c r="D940" s="37"/>
      <c r="E940" s="37"/>
      <c r="F940" s="37"/>
      <c r="G940" s="37"/>
      <c r="H940" s="37"/>
      <c r="I940" s="37"/>
      <c r="J940" s="47"/>
      <c r="K940" s="41" t="str">
        <f aca="false">IF(J940="","",IF(J940&gt;=8,"Yes","Check"))</f>
        <v/>
      </c>
      <c r="L940" s="38"/>
      <c r="M940" s="47"/>
      <c r="N940" s="47"/>
      <c r="O940" s="37"/>
      <c r="P940" s="38"/>
      <c r="Q940" s="42" t="str">
        <f aca="false">IF(P940="","",LEN(P940))</f>
        <v/>
      </c>
      <c r="R940" s="47"/>
      <c r="S940" s="37"/>
      <c r="T940" s="38"/>
      <c r="U940" s="43" t="str">
        <f aca="false">IF(OR(R940&lt;&gt;"Yes",A940=""),"",A940+4)</f>
        <v/>
      </c>
      <c r="V940" s="47"/>
      <c r="W940" s="38"/>
      <c r="X940" s="38"/>
      <c r="Y940" s="44"/>
      <c r="Z940" s="44"/>
      <c r="AA940" s="45" t="str">
        <f aca="false">IF(AND($Y940="",$Z940=""),"",ROUND(IFERROR(VALUE(LEFT($Y940,1)),0)*12+IFERROR(VALUE(LEFT($Z940,1)),0)*8,0))</f>
        <v/>
      </c>
      <c r="AB940" s="45" t="str">
        <f aca="false">IF($AA940="","",IF($AA940&gt;=80,"A - call first",IF($AA940&gt;=60,"B - worth pursuing",IF($AA940&gt;=40,"C - nurture","D - do not spend time here"))))</f>
        <v/>
      </c>
      <c r="AC940" s="46" t="str">
        <f aca="false">IF($C940="","",IF($S940="Converted","7 Certification / Enterprise opportunity",IF($S940="Application Started","7 Certification / Enterprise opportunity",IF($S940="Meeting Booked","6 Meeting / Application",IF(OR($S940="Interested",$S940="Info Requested"),"5 Interested",IF(OR($S940="Declined",$S940="Not Relevant"),"0 Closed - no",IF($R940="Yes","4 Contacted",IF($N940="Yes","2 Engaged",IF($M940="Yes","1 Awareness",IF($AA940&gt;=60,"3 Qualified","1 Awareness"))))))))))</f>
        <v/>
      </c>
    </row>
    <row r="941" customFormat="false" ht="30" hidden="false" customHeight="true" outlineLevel="0" collapsed="false">
      <c r="A941" s="36"/>
      <c r="B941" s="37"/>
      <c r="C941" s="37"/>
      <c r="D941" s="37"/>
      <c r="E941" s="37"/>
      <c r="F941" s="37"/>
      <c r="G941" s="37"/>
      <c r="H941" s="37"/>
      <c r="I941" s="37"/>
      <c r="J941" s="47"/>
      <c r="K941" s="41" t="str">
        <f aca="false">IF(J941="","",IF(J941&gt;=8,"Yes","Check"))</f>
        <v/>
      </c>
      <c r="L941" s="38"/>
      <c r="M941" s="47"/>
      <c r="N941" s="47"/>
      <c r="O941" s="37"/>
      <c r="P941" s="38"/>
      <c r="Q941" s="42" t="str">
        <f aca="false">IF(P941="","",LEN(P941))</f>
        <v/>
      </c>
      <c r="R941" s="47"/>
      <c r="S941" s="37"/>
      <c r="T941" s="38"/>
      <c r="U941" s="43" t="str">
        <f aca="false">IF(OR(R941&lt;&gt;"Yes",A941=""),"",A941+4)</f>
        <v/>
      </c>
      <c r="V941" s="47"/>
      <c r="W941" s="38"/>
      <c r="X941" s="38"/>
      <c r="Y941" s="44"/>
      <c r="Z941" s="44"/>
      <c r="AA941" s="45" t="str">
        <f aca="false">IF(AND($Y941="",$Z941=""),"",ROUND(IFERROR(VALUE(LEFT($Y941,1)),0)*12+IFERROR(VALUE(LEFT($Z941,1)),0)*8,0))</f>
        <v/>
      </c>
      <c r="AB941" s="45" t="str">
        <f aca="false">IF($AA941="","",IF($AA941&gt;=80,"A - call first",IF($AA941&gt;=60,"B - worth pursuing",IF($AA941&gt;=40,"C - nurture","D - do not spend time here"))))</f>
        <v/>
      </c>
      <c r="AC941" s="46" t="str">
        <f aca="false">IF($C941="","",IF($S941="Converted","7 Certification / Enterprise opportunity",IF($S941="Application Started","7 Certification / Enterprise opportunity",IF($S941="Meeting Booked","6 Meeting / Application",IF(OR($S941="Interested",$S941="Info Requested"),"5 Interested",IF(OR($S941="Declined",$S941="Not Relevant"),"0 Closed - no",IF($R941="Yes","4 Contacted",IF($N941="Yes","2 Engaged",IF($M941="Yes","1 Awareness",IF($AA941&gt;=60,"3 Qualified","1 Awareness"))))))))))</f>
        <v/>
      </c>
    </row>
    <row r="942" customFormat="false" ht="30" hidden="false" customHeight="true" outlineLevel="0" collapsed="false">
      <c r="A942" s="36"/>
      <c r="B942" s="37"/>
      <c r="C942" s="37"/>
      <c r="D942" s="37"/>
      <c r="E942" s="37"/>
      <c r="F942" s="37"/>
      <c r="G942" s="37"/>
      <c r="H942" s="37"/>
      <c r="I942" s="37"/>
      <c r="J942" s="47"/>
      <c r="K942" s="41" t="str">
        <f aca="false">IF(J942="","",IF(J942&gt;=8,"Yes","Check"))</f>
        <v/>
      </c>
      <c r="L942" s="38"/>
      <c r="M942" s="47"/>
      <c r="N942" s="47"/>
      <c r="O942" s="37"/>
      <c r="P942" s="38"/>
      <c r="Q942" s="42" t="str">
        <f aca="false">IF(P942="","",LEN(P942))</f>
        <v/>
      </c>
      <c r="R942" s="47"/>
      <c r="S942" s="37"/>
      <c r="T942" s="38"/>
      <c r="U942" s="43" t="str">
        <f aca="false">IF(OR(R942&lt;&gt;"Yes",A942=""),"",A942+4)</f>
        <v/>
      </c>
      <c r="V942" s="47"/>
      <c r="W942" s="38"/>
      <c r="X942" s="38"/>
      <c r="Y942" s="44"/>
      <c r="Z942" s="44"/>
      <c r="AA942" s="45" t="str">
        <f aca="false">IF(AND($Y942="",$Z942=""),"",ROUND(IFERROR(VALUE(LEFT($Y942,1)),0)*12+IFERROR(VALUE(LEFT($Z942,1)),0)*8,0))</f>
        <v/>
      </c>
      <c r="AB942" s="45" t="str">
        <f aca="false">IF($AA942="","",IF($AA942&gt;=80,"A - call first",IF($AA942&gt;=60,"B - worth pursuing",IF($AA942&gt;=40,"C - nurture","D - do not spend time here"))))</f>
        <v/>
      </c>
      <c r="AC942" s="46" t="str">
        <f aca="false">IF($C942="","",IF($S942="Converted","7 Certification / Enterprise opportunity",IF($S942="Application Started","7 Certification / Enterprise opportunity",IF($S942="Meeting Booked","6 Meeting / Application",IF(OR($S942="Interested",$S942="Info Requested"),"5 Interested",IF(OR($S942="Declined",$S942="Not Relevant"),"0 Closed - no",IF($R942="Yes","4 Contacted",IF($N942="Yes","2 Engaged",IF($M942="Yes","1 Awareness",IF($AA942&gt;=60,"3 Qualified","1 Awareness"))))))))))</f>
        <v/>
      </c>
    </row>
    <row r="943" customFormat="false" ht="30" hidden="false" customHeight="true" outlineLevel="0" collapsed="false">
      <c r="A943" s="36"/>
      <c r="B943" s="37"/>
      <c r="C943" s="37"/>
      <c r="D943" s="37"/>
      <c r="E943" s="37"/>
      <c r="F943" s="37"/>
      <c r="G943" s="37"/>
      <c r="H943" s="37"/>
      <c r="I943" s="37"/>
      <c r="J943" s="47"/>
      <c r="K943" s="41" t="str">
        <f aca="false">IF(J943="","",IF(J943&gt;=8,"Yes","Check"))</f>
        <v/>
      </c>
      <c r="L943" s="38"/>
      <c r="M943" s="47"/>
      <c r="N943" s="47"/>
      <c r="O943" s="37"/>
      <c r="P943" s="38"/>
      <c r="Q943" s="42" t="str">
        <f aca="false">IF(P943="","",LEN(P943))</f>
        <v/>
      </c>
      <c r="R943" s="47"/>
      <c r="S943" s="37"/>
      <c r="T943" s="38"/>
      <c r="U943" s="43" t="str">
        <f aca="false">IF(OR(R943&lt;&gt;"Yes",A943=""),"",A943+4)</f>
        <v/>
      </c>
      <c r="V943" s="47"/>
      <c r="W943" s="38"/>
      <c r="X943" s="38"/>
      <c r="Y943" s="44"/>
      <c r="Z943" s="44"/>
      <c r="AA943" s="45" t="str">
        <f aca="false">IF(AND($Y943="",$Z943=""),"",ROUND(IFERROR(VALUE(LEFT($Y943,1)),0)*12+IFERROR(VALUE(LEFT($Z943,1)),0)*8,0))</f>
        <v/>
      </c>
      <c r="AB943" s="45" t="str">
        <f aca="false">IF($AA943="","",IF($AA943&gt;=80,"A - call first",IF($AA943&gt;=60,"B - worth pursuing",IF($AA943&gt;=40,"C - nurture","D - do not spend time here"))))</f>
        <v/>
      </c>
      <c r="AC943" s="46" t="str">
        <f aca="false">IF($C943="","",IF($S943="Converted","7 Certification / Enterprise opportunity",IF($S943="Application Started","7 Certification / Enterprise opportunity",IF($S943="Meeting Booked","6 Meeting / Application",IF(OR($S943="Interested",$S943="Info Requested"),"5 Interested",IF(OR($S943="Declined",$S943="Not Relevant"),"0 Closed - no",IF($R943="Yes","4 Contacted",IF($N943="Yes","2 Engaged",IF($M943="Yes","1 Awareness",IF($AA943&gt;=60,"3 Qualified","1 Awareness"))))))))))</f>
        <v/>
      </c>
    </row>
    <row r="944" customFormat="false" ht="30" hidden="false" customHeight="true" outlineLevel="0" collapsed="false">
      <c r="A944" s="36"/>
      <c r="B944" s="37"/>
      <c r="C944" s="37"/>
      <c r="D944" s="37"/>
      <c r="E944" s="37"/>
      <c r="F944" s="37"/>
      <c r="G944" s="37"/>
      <c r="H944" s="37"/>
      <c r="I944" s="37"/>
      <c r="J944" s="47"/>
      <c r="K944" s="41" t="str">
        <f aca="false">IF(J944="","",IF(J944&gt;=8,"Yes","Check"))</f>
        <v/>
      </c>
      <c r="L944" s="38"/>
      <c r="M944" s="47"/>
      <c r="N944" s="47"/>
      <c r="O944" s="37"/>
      <c r="P944" s="38"/>
      <c r="Q944" s="42" t="str">
        <f aca="false">IF(P944="","",LEN(P944))</f>
        <v/>
      </c>
      <c r="R944" s="47"/>
      <c r="S944" s="37"/>
      <c r="T944" s="38"/>
      <c r="U944" s="43" t="str">
        <f aca="false">IF(OR(R944&lt;&gt;"Yes",A944=""),"",A944+4)</f>
        <v/>
      </c>
      <c r="V944" s="47"/>
      <c r="W944" s="38"/>
      <c r="X944" s="38"/>
      <c r="Y944" s="44"/>
      <c r="Z944" s="44"/>
      <c r="AA944" s="45" t="str">
        <f aca="false">IF(AND($Y944="",$Z944=""),"",ROUND(IFERROR(VALUE(LEFT($Y944,1)),0)*12+IFERROR(VALUE(LEFT($Z944,1)),0)*8,0))</f>
        <v/>
      </c>
      <c r="AB944" s="45" t="str">
        <f aca="false">IF($AA944="","",IF($AA944&gt;=80,"A - call first",IF($AA944&gt;=60,"B - worth pursuing",IF($AA944&gt;=40,"C - nurture","D - do not spend time here"))))</f>
        <v/>
      </c>
      <c r="AC944" s="46" t="str">
        <f aca="false">IF($C944="","",IF($S944="Converted","7 Certification / Enterprise opportunity",IF($S944="Application Started","7 Certification / Enterprise opportunity",IF($S944="Meeting Booked","6 Meeting / Application",IF(OR($S944="Interested",$S944="Info Requested"),"5 Interested",IF(OR($S944="Declined",$S944="Not Relevant"),"0 Closed - no",IF($R944="Yes","4 Contacted",IF($N944="Yes","2 Engaged",IF($M944="Yes","1 Awareness",IF($AA944&gt;=60,"3 Qualified","1 Awareness"))))))))))</f>
        <v/>
      </c>
    </row>
    <row r="945" customFormat="false" ht="30" hidden="false" customHeight="true" outlineLevel="0" collapsed="false">
      <c r="A945" s="36"/>
      <c r="B945" s="37"/>
      <c r="C945" s="37"/>
      <c r="D945" s="37"/>
      <c r="E945" s="37"/>
      <c r="F945" s="37"/>
      <c r="G945" s="37"/>
      <c r="H945" s="37"/>
      <c r="I945" s="37"/>
      <c r="J945" s="47"/>
      <c r="K945" s="41" t="str">
        <f aca="false">IF(J945="","",IF(J945&gt;=8,"Yes","Check"))</f>
        <v/>
      </c>
      <c r="L945" s="38"/>
      <c r="M945" s="47"/>
      <c r="N945" s="47"/>
      <c r="O945" s="37"/>
      <c r="P945" s="38"/>
      <c r="Q945" s="42" t="str">
        <f aca="false">IF(P945="","",LEN(P945))</f>
        <v/>
      </c>
      <c r="R945" s="47"/>
      <c r="S945" s="37"/>
      <c r="T945" s="38"/>
      <c r="U945" s="43" t="str">
        <f aca="false">IF(OR(R945&lt;&gt;"Yes",A945=""),"",A945+4)</f>
        <v/>
      </c>
      <c r="V945" s="47"/>
      <c r="W945" s="38"/>
      <c r="X945" s="38"/>
      <c r="Y945" s="44"/>
      <c r="Z945" s="44"/>
      <c r="AA945" s="45" t="str">
        <f aca="false">IF(AND($Y945="",$Z945=""),"",ROUND(IFERROR(VALUE(LEFT($Y945,1)),0)*12+IFERROR(VALUE(LEFT($Z945,1)),0)*8,0))</f>
        <v/>
      </c>
      <c r="AB945" s="45" t="str">
        <f aca="false">IF($AA945="","",IF($AA945&gt;=80,"A - call first",IF($AA945&gt;=60,"B - worth pursuing",IF($AA945&gt;=40,"C - nurture","D - do not spend time here"))))</f>
        <v/>
      </c>
      <c r="AC945" s="46" t="str">
        <f aca="false">IF($C945="","",IF($S945="Converted","7 Certification / Enterprise opportunity",IF($S945="Application Started","7 Certification / Enterprise opportunity",IF($S945="Meeting Booked","6 Meeting / Application",IF(OR($S945="Interested",$S945="Info Requested"),"5 Interested",IF(OR($S945="Declined",$S945="Not Relevant"),"0 Closed - no",IF($R945="Yes","4 Contacted",IF($N945="Yes","2 Engaged",IF($M945="Yes","1 Awareness",IF($AA945&gt;=60,"3 Qualified","1 Awareness"))))))))))</f>
        <v/>
      </c>
    </row>
    <row r="946" customFormat="false" ht="30" hidden="false" customHeight="true" outlineLevel="0" collapsed="false">
      <c r="A946" s="36"/>
      <c r="B946" s="37"/>
      <c r="C946" s="37"/>
      <c r="D946" s="37"/>
      <c r="E946" s="37"/>
      <c r="F946" s="37"/>
      <c r="G946" s="37"/>
      <c r="H946" s="37"/>
      <c r="I946" s="37"/>
      <c r="J946" s="47"/>
      <c r="K946" s="41" t="str">
        <f aca="false">IF(J946="","",IF(J946&gt;=8,"Yes","Check"))</f>
        <v/>
      </c>
      <c r="L946" s="38"/>
      <c r="M946" s="47"/>
      <c r="N946" s="47"/>
      <c r="O946" s="37"/>
      <c r="P946" s="38"/>
      <c r="Q946" s="42" t="str">
        <f aca="false">IF(P946="","",LEN(P946))</f>
        <v/>
      </c>
      <c r="R946" s="47"/>
      <c r="S946" s="37"/>
      <c r="T946" s="38"/>
      <c r="U946" s="43" t="str">
        <f aca="false">IF(OR(R946&lt;&gt;"Yes",A946=""),"",A946+4)</f>
        <v/>
      </c>
      <c r="V946" s="47"/>
      <c r="W946" s="38"/>
      <c r="X946" s="38"/>
      <c r="Y946" s="44"/>
      <c r="Z946" s="44"/>
      <c r="AA946" s="45" t="str">
        <f aca="false">IF(AND($Y946="",$Z946=""),"",ROUND(IFERROR(VALUE(LEFT($Y946,1)),0)*12+IFERROR(VALUE(LEFT($Z946,1)),0)*8,0))</f>
        <v/>
      </c>
      <c r="AB946" s="45" t="str">
        <f aca="false">IF($AA946="","",IF($AA946&gt;=80,"A - call first",IF($AA946&gt;=60,"B - worth pursuing",IF($AA946&gt;=40,"C - nurture","D - do not spend time here"))))</f>
        <v/>
      </c>
      <c r="AC946" s="46" t="str">
        <f aca="false">IF($C946="","",IF($S946="Converted","7 Certification / Enterprise opportunity",IF($S946="Application Started","7 Certification / Enterprise opportunity",IF($S946="Meeting Booked","6 Meeting / Application",IF(OR($S946="Interested",$S946="Info Requested"),"5 Interested",IF(OR($S946="Declined",$S946="Not Relevant"),"0 Closed - no",IF($R946="Yes","4 Contacted",IF($N946="Yes","2 Engaged",IF($M946="Yes","1 Awareness",IF($AA946&gt;=60,"3 Qualified","1 Awareness"))))))))))</f>
        <v/>
      </c>
    </row>
    <row r="947" customFormat="false" ht="30" hidden="false" customHeight="true" outlineLevel="0" collapsed="false">
      <c r="A947" s="36"/>
      <c r="B947" s="37"/>
      <c r="C947" s="37"/>
      <c r="D947" s="37"/>
      <c r="E947" s="37"/>
      <c r="F947" s="37"/>
      <c r="G947" s="37"/>
      <c r="H947" s="37"/>
      <c r="I947" s="37"/>
      <c r="J947" s="47"/>
      <c r="K947" s="41" t="str">
        <f aca="false">IF(J947="","",IF(J947&gt;=8,"Yes","Check"))</f>
        <v/>
      </c>
      <c r="L947" s="38"/>
      <c r="M947" s="47"/>
      <c r="N947" s="47"/>
      <c r="O947" s="37"/>
      <c r="P947" s="38"/>
      <c r="Q947" s="42" t="str">
        <f aca="false">IF(P947="","",LEN(P947))</f>
        <v/>
      </c>
      <c r="R947" s="47"/>
      <c r="S947" s="37"/>
      <c r="T947" s="38"/>
      <c r="U947" s="43" t="str">
        <f aca="false">IF(OR(R947&lt;&gt;"Yes",A947=""),"",A947+4)</f>
        <v/>
      </c>
      <c r="V947" s="47"/>
      <c r="W947" s="38"/>
      <c r="X947" s="38"/>
      <c r="Y947" s="44"/>
      <c r="Z947" s="44"/>
      <c r="AA947" s="45" t="str">
        <f aca="false">IF(AND($Y947="",$Z947=""),"",ROUND(IFERROR(VALUE(LEFT($Y947,1)),0)*12+IFERROR(VALUE(LEFT($Z947,1)),0)*8,0))</f>
        <v/>
      </c>
      <c r="AB947" s="45" t="str">
        <f aca="false">IF($AA947="","",IF($AA947&gt;=80,"A - call first",IF($AA947&gt;=60,"B - worth pursuing",IF($AA947&gt;=40,"C - nurture","D - do not spend time here"))))</f>
        <v/>
      </c>
      <c r="AC947" s="46" t="str">
        <f aca="false">IF($C947="","",IF($S947="Converted","7 Certification / Enterprise opportunity",IF($S947="Application Started","7 Certification / Enterprise opportunity",IF($S947="Meeting Booked","6 Meeting / Application",IF(OR($S947="Interested",$S947="Info Requested"),"5 Interested",IF(OR($S947="Declined",$S947="Not Relevant"),"0 Closed - no",IF($R947="Yes","4 Contacted",IF($N947="Yes","2 Engaged",IF($M947="Yes","1 Awareness",IF($AA947&gt;=60,"3 Qualified","1 Awareness"))))))))))</f>
        <v/>
      </c>
    </row>
    <row r="948" customFormat="false" ht="30" hidden="false" customHeight="true" outlineLevel="0" collapsed="false">
      <c r="A948" s="36"/>
      <c r="B948" s="37"/>
      <c r="C948" s="37"/>
      <c r="D948" s="37"/>
      <c r="E948" s="37"/>
      <c r="F948" s="37"/>
      <c r="G948" s="37"/>
      <c r="H948" s="37"/>
      <c r="I948" s="37"/>
      <c r="J948" s="47"/>
      <c r="K948" s="41" t="str">
        <f aca="false">IF(J948="","",IF(J948&gt;=8,"Yes","Check"))</f>
        <v/>
      </c>
      <c r="L948" s="38"/>
      <c r="M948" s="47"/>
      <c r="N948" s="47"/>
      <c r="O948" s="37"/>
      <c r="P948" s="38"/>
      <c r="Q948" s="42" t="str">
        <f aca="false">IF(P948="","",LEN(P948))</f>
        <v/>
      </c>
      <c r="R948" s="47"/>
      <c r="S948" s="37"/>
      <c r="T948" s="38"/>
      <c r="U948" s="43" t="str">
        <f aca="false">IF(OR(R948&lt;&gt;"Yes",A948=""),"",A948+4)</f>
        <v/>
      </c>
      <c r="V948" s="47"/>
      <c r="W948" s="38"/>
      <c r="X948" s="38"/>
      <c r="Y948" s="44"/>
      <c r="Z948" s="44"/>
      <c r="AA948" s="45" t="str">
        <f aca="false">IF(AND($Y948="",$Z948=""),"",ROUND(IFERROR(VALUE(LEFT($Y948,1)),0)*12+IFERROR(VALUE(LEFT($Z948,1)),0)*8,0))</f>
        <v/>
      </c>
      <c r="AB948" s="45" t="str">
        <f aca="false">IF($AA948="","",IF($AA948&gt;=80,"A - call first",IF($AA948&gt;=60,"B - worth pursuing",IF($AA948&gt;=40,"C - nurture","D - do not spend time here"))))</f>
        <v/>
      </c>
      <c r="AC948" s="46" t="str">
        <f aca="false">IF($C948="","",IF($S948="Converted","7 Certification / Enterprise opportunity",IF($S948="Application Started","7 Certification / Enterprise opportunity",IF($S948="Meeting Booked","6 Meeting / Application",IF(OR($S948="Interested",$S948="Info Requested"),"5 Interested",IF(OR($S948="Declined",$S948="Not Relevant"),"0 Closed - no",IF($R948="Yes","4 Contacted",IF($N948="Yes","2 Engaged",IF($M948="Yes","1 Awareness",IF($AA948&gt;=60,"3 Qualified","1 Awareness"))))))))))</f>
        <v/>
      </c>
    </row>
    <row r="949" customFormat="false" ht="30" hidden="false" customHeight="true" outlineLevel="0" collapsed="false">
      <c r="A949" s="36"/>
      <c r="B949" s="37"/>
      <c r="C949" s="37"/>
      <c r="D949" s="37"/>
      <c r="E949" s="37"/>
      <c r="F949" s="37"/>
      <c r="G949" s="37"/>
      <c r="H949" s="37"/>
      <c r="I949" s="37"/>
      <c r="J949" s="47"/>
      <c r="K949" s="41" t="str">
        <f aca="false">IF(J949="","",IF(J949&gt;=8,"Yes","Check"))</f>
        <v/>
      </c>
      <c r="L949" s="38"/>
      <c r="M949" s="47"/>
      <c r="N949" s="47"/>
      <c r="O949" s="37"/>
      <c r="P949" s="38"/>
      <c r="Q949" s="42" t="str">
        <f aca="false">IF(P949="","",LEN(P949))</f>
        <v/>
      </c>
      <c r="R949" s="47"/>
      <c r="S949" s="37"/>
      <c r="T949" s="38"/>
      <c r="U949" s="43" t="str">
        <f aca="false">IF(OR(R949&lt;&gt;"Yes",A949=""),"",A949+4)</f>
        <v/>
      </c>
      <c r="V949" s="47"/>
      <c r="W949" s="38"/>
      <c r="X949" s="38"/>
      <c r="Y949" s="44"/>
      <c r="Z949" s="44"/>
      <c r="AA949" s="45" t="str">
        <f aca="false">IF(AND($Y949="",$Z949=""),"",ROUND(IFERROR(VALUE(LEFT($Y949,1)),0)*12+IFERROR(VALUE(LEFT($Z949,1)),0)*8,0))</f>
        <v/>
      </c>
      <c r="AB949" s="45" t="str">
        <f aca="false">IF($AA949="","",IF($AA949&gt;=80,"A - call first",IF($AA949&gt;=60,"B - worth pursuing",IF($AA949&gt;=40,"C - nurture","D - do not spend time here"))))</f>
        <v/>
      </c>
      <c r="AC949" s="46" t="str">
        <f aca="false">IF($C949="","",IF($S949="Converted","7 Certification / Enterprise opportunity",IF($S949="Application Started","7 Certification / Enterprise opportunity",IF($S949="Meeting Booked","6 Meeting / Application",IF(OR($S949="Interested",$S949="Info Requested"),"5 Interested",IF(OR($S949="Declined",$S949="Not Relevant"),"0 Closed - no",IF($R949="Yes","4 Contacted",IF($N949="Yes","2 Engaged",IF($M949="Yes","1 Awareness",IF($AA949&gt;=60,"3 Qualified","1 Awareness"))))))))))</f>
        <v/>
      </c>
    </row>
    <row r="950" customFormat="false" ht="30" hidden="false" customHeight="true" outlineLevel="0" collapsed="false">
      <c r="A950" s="36"/>
      <c r="B950" s="37"/>
      <c r="C950" s="37"/>
      <c r="D950" s="37"/>
      <c r="E950" s="37"/>
      <c r="F950" s="37"/>
      <c r="G950" s="37"/>
      <c r="H950" s="37"/>
      <c r="I950" s="37"/>
      <c r="J950" s="47"/>
      <c r="K950" s="41" t="str">
        <f aca="false">IF(J950="","",IF(J950&gt;=8,"Yes","Check"))</f>
        <v/>
      </c>
      <c r="L950" s="38"/>
      <c r="M950" s="47"/>
      <c r="N950" s="47"/>
      <c r="O950" s="37"/>
      <c r="P950" s="38"/>
      <c r="Q950" s="42" t="str">
        <f aca="false">IF(P950="","",LEN(P950))</f>
        <v/>
      </c>
      <c r="R950" s="47"/>
      <c r="S950" s="37"/>
      <c r="T950" s="38"/>
      <c r="U950" s="43" t="str">
        <f aca="false">IF(OR(R950&lt;&gt;"Yes",A950=""),"",A950+4)</f>
        <v/>
      </c>
      <c r="V950" s="47"/>
      <c r="W950" s="38"/>
      <c r="X950" s="38"/>
      <c r="Y950" s="44"/>
      <c r="Z950" s="44"/>
      <c r="AA950" s="45" t="str">
        <f aca="false">IF(AND($Y950="",$Z950=""),"",ROUND(IFERROR(VALUE(LEFT($Y950,1)),0)*12+IFERROR(VALUE(LEFT($Z950,1)),0)*8,0))</f>
        <v/>
      </c>
      <c r="AB950" s="45" t="str">
        <f aca="false">IF($AA950="","",IF($AA950&gt;=80,"A - call first",IF($AA950&gt;=60,"B - worth pursuing",IF($AA950&gt;=40,"C - nurture","D - do not spend time here"))))</f>
        <v/>
      </c>
      <c r="AC950" s="46" t="str">
        <f aca="false">IF($C950="","",IF($S950="Converted","7 Certification / Enterprise opportunity",IF($S950="Application Started","7 Certification / Enterprise opportunity",IF($S950="Meeting Booked","6 Meeting / Application",IF(OR($S950="Interested",$S950="Info Requested"),"5 Interested",IF(OR($S950="Declined",$S950="Not Relevant"),"0 Closed - no",IF($R950="Yes","4 Contacted",IF($N950="Yes","2 Engaged",IF($M950="Yes","1 Awareness",IF($AA950&gt;=60,"3 Qualified","1 Awareness"))))))))))</f>
        <v/>
      </c>
    </row>
    <row r="951" customFormat="false" ht="30" hidden="false" customHeight="true" outlineLevel="0" collapsed="false">
      <c r="A951" s="36"/>
      <c r="B951" s="37"/>
      <c r="C951" s="37"/>
      <c r="D951" s="37"/>
      <c r="E951" s="37"/>
      <c r="F951" s="37"/>
      <c r="G951" s="37"/>
      <c r="H951" s="37"/>
      <c r="I951" s="37"/>
      <c r="J951" s="47"/>
      <c r="K951" s="41" t="str">
        <f aca="false">IF(J951="","",IF(J951&gt;=8,"Yes","Check"))</f>
        <v/>
      </c>
      <c r="L951" s="38"/>
      <c r="M951" s="47"/>
      <c r="N951" s="47"/>
      <c r="O951" s="37"/>
      <c r="P951" s="38"/>
      <c r="Q951" s="42" t="str">
        <f aca="false">IF(P951="","",LEN(P951))</f>
        <v/>
      </c>
      <c r="R951" s="47"/>
      <c r="S951" s="37"/>
      <c r="T951" s="38"/>
      <c r="U951" s="43" t="str">
        <f aca="false">IF(OR(R951&lt;&gt;"Yes",A951=""),"",A951+4)</f>
        <v/>
      </c>
      <c r="V951" s="47"/>
      <c r="W951" s="38"/>
      <c r="X951" s="38"/>
      <c r="Y951" s="44"/>
      <c r="Z951" s="44"/>
      <c r="AA951" s="45" t="str">
        <f aca="false">IF(AND($Y951="",$Z951=""),"",ROUND(IFERROR(VALUE(LEFT($Y951,1)),0)*12+IFERROR(VALUE(LEFT($Z951,1)),0)*8,0))</f>
        <v/>
      </c>
      <c r="AB951" s="45" t="str">
        <f aca="false">IF($AA951="","",IF($AA951&gt;=80,"A - call first",IF($AA951&gt;=60,"B - worth pursuing",IF($AA951&gt;=40,"C - nurture","D - do not spend time here"))))</f>
        <v/>
      </c>
      <c r="AC951" s="46" t="str">
        <f aca="false">IF($C951="","",IF($S951="Converted","7 Certification / Enterprise opportunity",IF($S951="Application Started","7 Certification / Enterprise opportunity",IF($S951="Meeting Booked","6 Meeting / Application",IF(OR($S951="Interested",$S951="Info Requested"),"5 Interested",IF(OR($S951="Declined",$S951="Not Relevant"),"0 Closed - no",IF($R951="Yes","4 Contacted",IF($N951="Yes","2 Engaged",IF($M951="Yes","1 Awareness",IF($AA951&gt;=60,"3 Qualified","1 Awareness"))))))))))</f>
        <v/>
      </c>
    </row>
    <row r="952" customFormat="false" ht="30" hidden="false" customHeight="true" outlineLevel="0" collapsed="false">
      <c r="A952" s="36"/>
      <c r="B952" s="37"/>
      <c r="C952" s="37"/>
      <c r="D952" s="37"/>
      <c r="E952" s="37"/>
      <c r="F952" s="37"/>
      <c r="G952" s="37"/>
      <c r="H952" s="37"/>
      <c r="I952" s="37"/>
      <c r="J952" s="47"/>
      <c r="K952" s="41" t="str">
        <f aca="false">IF(J952="","",IF(J952&gt;=8,"Yes","Check"))</f>
        <v/>
      </c>
      <c r="L952" s="38"/>
      <c r="M952" s="47"/>
      <c r="N952" s="47"/>
      <c r="O952" s="37"/>
      <c r="P952" s="38"/>
      <c r="Q952" s="42" t="str">
        <f aca="false">IF(P952="","",LEN(P952))</f>
        <v/>
      </c>
      <c r="R952" s="47"/>
      <c r="S952" s="37"/>
      <c r="T952" s="38"/>
      <c r="U952" s="43" t="str">
        <f aca="false">IF(OR(R952&lt;&gt;"Yes",A952=""),"",A952+4)</f>
        <v/>
      </c>
      <c r="V952" s="47"/>
      <c r="W952" s="38"/>
      <c r="X952" s="38"/>
      <c r="Y952" s="44"/>
      <c r="Z952" s="44"/>
      <c r="AA952" s="45" t="str">
        <f aca="false">IF(AND($Y952="",$Z952=""),"",ROUND(IFERROR(VALUE(LEFT($Y952,1)),0)*12+IFERROR(VALUE(LEFT($Z952,1)),0)*8,0))</f>
        <v/>
      </c>
      <c r="AB952" s="45" t="str">
        <f aca="false">IF($AA952="","",IF($AA952&gt;=80,"A - call first",IF($AA952&gt;=60,"B - worth pursuing",IF($AA952&gt;=40,"C - nurture","D - do not spend time here"))))</f>
        <v/>
      </c>
      <c r="AC952" s="46" t="str">
        <f aca="false">IF($C952="","",IF($S952="Converted","7 Certification / Enterprise opportunity",IF($S952="Application Started","7 Certification / Enterprise opportunity",IF($S952="Meeting Booked","6 Meeting / Application",IF(OR($S952="Interested",$S952="Info Requested"),"5 Interested",IF(OR($S952="Declined",$S952="Not Relevant"),"0 Closed - no",IF($R952="Yes","4 Contacted",IF($N952="Yes","2 Engaged",IF($M952="Yes","1 Awareness",IF($AA952&gt;=60,"3 Qualified","1 Awareness"))))))))))</f>
        <v/>
      </c>
    </row>
    <row r="953" customFormat="false" ht="30" hidden="false" customHeight="true" outlineLevel="0" collapsed="false">
      <c r="A953" s="36"/>
      <c r="B953" s="37"/>
      <c r="C953" s="37"/>
      <c r="D953" s="37"/>
      <c r="E953" s="37"/>
      <c r="F953" s="37"/>
      <c r="G953" s="37"/>
      <c r="H953" s="37"/>
      <c r="I953" s="37"/>
      <c r="J953" s="47"/>
      <c r="K953" s="41" t="str">
        <f aca="false">IF(J953="","",IF(J953&gt;=8,"Yes","Check"))</f>
        <v/>
      </c>
      <c r="L953" s="38"/>
      <c r="M953" s="47"/>
      <c r="N953" s="47"/>
      <c r="O953" s="37"/>
      <c r="P953" s="38"/>
      <c r="Q953" s="42" t="str">
        <f aca="false">IF(P953="","",LEN(P953))</f>
        <v/>
      </c>
      <c r="R953" s="47"/>
      <c r="S953" s="37"/>
      <c r="T953" s="38"/>
      <c r="U953" s="43" t="str">
        <f aca="false">IF(OR(R953&lt;&gt;"Yes",A953=""),"",A953+4)</f>
        <v/>
      </c>
      <c r="V953" s="47"/>
      <c r="W953" s="38"/>
      <c r="X953" s="38"/>
      <c r="Y953" s="44"/>
      <c r="Z953" s="44"/>
      <c r="AA953" s="45" t="str">
        <f aca="false">IF(AND($Y953="",$Z953=""),"",ROUND(IFERROR(VALUE(LEFT($Y953,1)),0)*12+IFERROR(VALUE(LEFT($Z953,1)),0)*8,0))</f>
        <v/>
      </c>
      <c r="AB953" s="45" t="str">
        <f aca="false">IF($AA953="","",IF($AA953&gt;=80,"A - call first",IF($AA953&gt;=60,"B - worth pursuing",IF($AA953&gt;=40,"C - nurture","D - do not spend time here"))))</f>
        <v/>
      </c>
      <c r="AC953" s="46" t="str">
        <f aca="false">IF($C953="","",IF($S953="Converted","7 Certification / Enterprise opportunity",IF($S953="Application Started","7 Certification / Enterprise opportunity",IF($S953="Meeting Booked","6 Meeting / Application",IF(OR($S953="Interested",$S953="Info Requested"),"5 Interested",IF(OR($S953="Declined",$S953="Not Relevant"),"0 Closed - no",IF($R953="Yes","4 Contacted",IF($N953="Yes","2 Engaged",IF($M953="Yes","1 Awareness",IF($AA953&gt;=60,"3 Qualified","1 Awareness"))))))))))</f>
        <v/>
      </c>
    </row>
    <row r="954" customFormat="false" ht="30" hidden="false" customHeight="true" outlineLevel="0" collapsed="false">
      <c r="A954" s="36"/>
      <c r="B954" s="37"/>
      <c r="C954" s="37"/>
      <c r="D954" s="37"/>
      <c r="E954" s="37"/>
      <c r="F954" s="37"/>
      <c r="G954" s="37"/>
      <c r="H954" s="37"/>
      <c r="I954" s="37"/>
      <c r="J954" s="47"/>
      <c r="K954" s="41" t="str">
        <f aca="false">IF(J954="","",IF(J954&gt;=8,"Yes","Check"))</f>
        <v/>
      </c>
      <c r="L954" s="38"/>
      <c r="M954" s="47"/>
      <c r="N954" s="47"/>
      <c r="O954" s="37"/>
      <c r="P954" s="38"/>
      <c r="Q954" s="42" t="str">
        <f aca="false">IF(P954="","",LEN(P954))</f>
        <v/>
      </c>
      <c r="R954" s="47"/>
      <c r="S954" s="37"/>
      <c r="T954" s="38"/>
      <c r="U954" s="43" t="str">
        <f aca="false">IF(OR(R954&lt;&gt;"Yes",A954=""),"",A954+4)</f>
        <v/>
      </c>
      <c r="V954" s="47"/>
      <c r="W954" s="38"/>
      <c r="X954" s="38"/>
      <c r="Y954" s="44"/>
      <c r="Z954" s="44"/>
      <c r="AA954" s="45" t="str">
        <f aca="false">IF(AND($Y954="",$Z954=""),"",ROUND(IFERROR(VALUE(LEFT($Y954,1)),0)*12+IFERROR(VALUE(LEFT($Z954,1)),0)*8,0))</f>
        <v/>
      </c>
      <c r="AB954" s="45" t="str">
        <f aca="false">IF($AA954="","",IF($AA954&gt;=80,"A - call first",IF($AA954&gt;=60,"B - worth pursuing",IF($AA954&gt;=40,"C - nurture","D - do not spend time here"))))</f>
        <v/>
      </c>
      <c r="AC954" s="46" t="str">
        <f aca="false">IF($C954="","",IF($S954="Converted","7 Certification / Enterprise opportunity",IF($S954="Application Started","7 Certification / Enterprise opportunity",IF($S954="Meeting Booked","6 Meeting / Application",IF(OR($S954="Interested",$S954="Info Requested"),"5 Interested",IF(OR($S954="Declined",$S954="Not Relevant"),"0 Closed - no",IF($R954="Yes","4 Contacted",IF($N954="Yes","2 Engaged",IF($M954="Yes","1 Awareness",IF($AA954&gt;=60,"3 Qualified","1 Awareness"))))))))))</f>
        <v/>
      </c>
    </row>
    <row r="955" customFormat="false" ht="30" hidden="false" customHeight="true" outlineLevel="0" collapsed="false">
      <c r="A955" s="36"/>
      <c r="B955" s="37"/>
      <c r="C955" s="37"/>
      <c r="D955" s="37"/>
      <c r="E955" s="37"/>
      <c r="F955" s="37"/>
      <c r="G955" s="37"/>
      <c r="H955" s="37"/>
      <c r="I955" s="37"/>
      <c r="J955" s="47"/>
      <c r="K955" s="41" t="str">
        <f aca="false">IF(J955="","",IF(J955&gt;=8,"Yes","Check"))</f>
        <v/>
      </c>
      <c r="L955" s="38"/>
      <c r="M955" s="47"/>
      <c r="N955" s="47"/>
      <c r="O955" s="37"/>
      <c r="P955" s="38"/>
      <c r="Q955" s="42" t="str">
        <f aca="false">IF(P955="","",LEN(P955))</f>
        <v/>
      </c>
      <c r="R955" s="47"/>
      <c r="S955" s="37"/>
      <c r="T955" s="38"/>
      <c r="U955" s="43" t="str">
        <f aca="false">IF(OR(R955&lt;&gt;"Yes",A955=""),"",A955+4)</f>
        <v/>
      </c>
      <c r="V955" s="47"/>
      <c r="W955" s="38"/>
      <c r="X955" s="38"/>
      <c r="Y955" s="44"/>
      <c r="Z955" s="44"/>
      <c r="AA955" s="45" t="str">
        <f aca="false">IF(AND($Y955="",$Z955=""),"",ROUND(IFERROR(VALUE(LEFT($Y955,1)),0)*12+IFERROR(VALUE(LEFT($Z955,1)),0)*8,0))</f>
        <v/>
      </c>
      <c r="AB955" s="45" t="str">
        <f aca="false">IF($AA955="","",IF($AA955&gt;=80,"A - call first",IF($AA955&gt;=60,"B - worth pursuing",IF($AA955&gt;=40,"C - nurture","D - do not spend time here"))))</f>
        <v/>
      </c>
      <c r="AC955" s="46" t="str">
        <f aca="false">IF($C955="","",IF($S955="Converted","7 Certification / Enterprise opportunity",IF($S955="Application Started","7 Certification / Enterprise opportunity",IF($S955="Meeting Booked","6 Meeting / Application",IF(OR($S955="Interested",$S955="Info Requested"),"5 Interested",IF(OR($S955="Declined",$S955="Not Relevant"),"0 Closed - no",IF($R955="Yes","4 Contacted",IF($N955="Yes","2 Engaged",IF($M955="Yes","1 Awareness",IF($AA955&gt;=60,"3 Qualified","1 Awareness"))))))))))</f>
        <v/>
      </c>
    </row>
    <row r="956" customFormat="false" ht="30" hidden="false" customHeight="true" outlineLevel="0" collapsed="false">
      <c r="A956" s="36"/>
      <c r="B956" s="37"/>
      <c r="C956" s="37"/>
      <c r="D956" s="37"/>
      <c r="E956" s="37"/>
      <c r="F956" s="37"/>
      <c r="G956" s="37"/>
      <c r="H956" s="37"/>
      <c r="I956" s="37"/>
      <c r="J956" s="47"/>
      <c r="K956" s="41" t="str">
        <f aca="false">IF(J956="","",IF(J956&gt;=8,"Yes","Check"))</f>
        <v/>
      </c>
      <c r="L956" s="38"/>
      <c r="M956" s="47"/>
      <c r="N956" s="47"/>
      <c r="O956" s="37"/>
      <c r="P956" s="38"/>
      <c r="Q956" s="42" t="str">
        <f aca="false">IF(P956="","",LEN(P956))</f>
        <v/>
      </c>
      <c r="R956" s="47"/>
      <c r="S956" s="37"/>
      <c r="T956" s="38"/>
      <c r="U956" s="43" t="str">
        <f aca="false">IF(OR(R956&lt;&gt;"Yes",A956=""),"",A956+4)</f>
        <v/>
      </c>
      <c r="V956" s="47"/>
      <c r="W956" s="38"/>
      <c r="X956" s="38"/>
      <c r="Y956" s="44"/>
      <c r="Z956" s="44"/>
      <c r="AA956" s="45" t="str">
        <f aca="false">IF(AND($Y956="",$Z956=""),"",ROUND(IFERROR(VALUE(LEFT($Y956,1)),0)*12+IFERROR(VALUE(LEFT($Z956,1)),0)*8,0))</f>
        <v/>
      </c>
      <c r="AB956" s="45" t="str">
        <f aca="false">IF($AA956="","",IF($AA956&gt;=80,"A - call first",IF($AA956&gt;=60,"B - worth pursuing",IF($AA956&gt;=40,"C - nurture","D - do not spend time here"))))</f>
        <v/>
      </c>
      <c r="AC956" s="46" t="str">
        <f aca="false">IF($C956="","",IF($S956="Converted","7 Certification / Enterprise opportunity",IF($S956="Application Started","7 Certification / Enterprise opportunity",IF($S956="Meeting Booked","6 Meeting / Application",IF(OR($S956="Interested",$S956="Info Requested"),"5 Interested",IF(OR($S956="Declined",$S956="Not Relevant"),"0 Closed - no",IF($R956="Yes","4 Contacted",IF($N956="Yes","2 Engaged",IF($M956="Yes","1 Awareness",IF($AA956&gt;=60,"3 Qualified","1 Awareness"))))))))))</f>
        <v/>
      </c>
    </row>
    <row r="957" customFormat="false" ht="30" hidden="false" customHeight="true" outlineLevel="0" collapsed="false">
      <c r="A957" s="36"/>
      <c r="B957" s="37"/>
      <c r="C957" s="37"/>
      <c r="D957" s="37"/>
      <c r="E957" s="37"/>
      <c r="F957" s="37"/>
      <c r="G957" s="37"/>
      <c r="H957" s="37"/>
      <c r="I957" s="37"/>
      <c r="J957" s="47"/>
      <c r="K957" s="41" t="str">
        <f aca="false">IF(J957="","",IF(J957&gt;=8,"Yes","Check"))</f>
        <v/>
      </c>
      <c r="L957" s="38"/>
      <c r="M957" s="47"/>
      <c r="N957" s="47"/>
      <c r="O957" s="37"/>
      <c r="P957" s="38"/>
      <c r="Q957" s="42" t="str">
        <f aca="false">IF(P957="","",LEN(P957))</f>
        <v/>
      </c>
      <c r="R957" s="47"/>
      <c r="S957" s="37"/>
      <c r="T957" s="38"/>
      <c r="U957" s="43" t="str">
        <f aca="false">IF(OR(R957&lt;&gt;"Yes",A957=""),"",A957+4)</f>
        <v/>
      </c>
      <c r="V957" s="47"/>
      <c r="W957" s="38"/>
      <c r="X957" s="38"/>
      <c r="Y957" s="44"/>
      <c r="Z957" s="44"/>
      <c r="AA957" s="45" t="str">
        <f aca="false">IF(AND($Y957="",$Z957=""),"",ROUND(IFERROR(VALUE(LEFT($Y957,1)),0)*12+IFERROR(VALUE(LEFT($Z957,1)),0)*8,0))</f>
        <v/>
      </c>
      <c r="AB957" s="45" t="str">
        <f aca="false">IF($AA957="","",IF($AA957&gt;=80,"A - call first",IF($AA957&gt;=60,"B - worth pursuing",IF($AA957&gt;=40,"C - nurture","D - do not spend time here"))))</f>
        <v/>
      </c>
      <c r="AC957" s="46" t="str">
        <f aca="false">IF($C957="","",IF($S957="Converted","7 Certification / Enterprise opportunity",IF($S957="Application Started","7 Certification / Enterprise opportunity",IF($S957="Meeting Booked","6 Meeting / Application",IF(OR($S957="Interested",$S957="Info Requested"),"5 Interested",IF(OR($S957="Declined",$S957="Not Relevant"),"0 Closed - no",IF($R957="Yes","4 Contacted",IF($N957="Yes","2 Engaged",IF($M957="Yes","1 Awareness",IF($AA957&gt;=60,"3 Qualified","1 Awareness"))))))))))</f>
        <v/>
      </c>
    </row>
    <row r="958" customFormat="false" ht="30" hidden="false" customHeight="true" outlineLevel="0" collapsed="false">
      <c r="A958" s="36"/>
      <c r="B958" s="37"/>
      <c r="C958" s="37"/>
      <c r="D958" s="37"/>
      <c r="E958" s="37"/>
      <c r="F958" s="37"/>
      <c r="G958" s="37"/>
      <c r="H958" s="37"/>
      <c r="I958" s="37"/>
      <c r="J958" s="47"/>
      <c r="K958" s="41" t="str">
        <f aca="false">IF(J958="","",IF(J958&gt;=8,"Yes","Check"))</f>
        <v/>
      </c>
      <c r="L958" s="38"/>
      <c r="M958" s="47"/>
      <c r="N958" s="47"/>
      <c r="O958" s="37"/>
      <c r="P958" s="38"/>
      <c r="Q958" s="42" t="str">
        <f aca="false">IF(P958="","",LEN(P958))</f>
        <v/>
      </c>
      <c r="R958" s="47"/>
      <c r="S958" s="37"/>
      <c r="T958" s="38"/>
      <c r="U958" s="43" t="str">
        <f aca="false">IF(OR(R958&lt;&gt;"Yes",A958=""),"",A958+4)</f>
        <v/>
      </c>
      <c r="V958" s="47"/>
      <c r="W958" s="38"/>
      <c r="X958" s="38"/>
      <c r="Y958" s="44"/>
      <c r="Z958" s="44"/>
      <c r="AA958" s="45" t="str">
        <f aca="false">IF(AND($Y958="",$Z958=""),"",ROUND(IFERROR(VALUE(LEFT($Y958,1)),0)*12+IFERROR(VALUE(LEFT($Z958,1)),0)*8,0))</f>
        <v/>
      </c>
      <c r="AB958" s="45" t="str">
        <f aca="false">IF($AA958="","",IF($AA958&gt;=80,"A - call first",IF($AA958&gt;=60,"B - worth pursuing",IF($AA958&gt;=40,"C - nurture","D - do not spend time here"))))</f>
        <v/>
      </c>
      <c r="AC958" s="46" t="str">
        <f aca="false">IF($C958="","",IF($S958="Converted","7 Certification / Enterprise opportunity",IF($S958="Application Started","7 Certification / Enterprise opportunity",IF($S958="Meeting Booked","6 Meeting / Application",IF(OR($S958="Interested",$S958="Info Requested"),"5 Interested",IF(OR($S958="Declined",$S958="Not Relevant"),"0 Closed - no",IF($R958="Yes","4 Contacted",IF($N958="Yes","2 Engaged",IF($M958="Yes","1 Awareness",IF($AA958&gt;=60,"3 Qualified","1 Awareness"))))))))))</f>
        <v/>
      </c>
    </row>
    <row r="959" customFormat="false" ht="30" hidden="false" customHeight="true" outlineLevel="0" collapsed="false">
      <c r="A959" s="36"/>
      <c r="B959" s="37"/>
      <c r="C959" s="37"/>
      <c r="D959" s="37"/>
      <c r="E959" s="37"/>
      <c r="F959" s="37"/>
      <c r="G959" s="37"/>
      <c r="H959" s="37"/>
      <c r="I959" s="37"/>
      <c r="J959" s="47"/>
      <c r="K959" s="41" t="str">
        <f aca="false">IF(J959="","",IF(J959&gt;=8,"Yes","Check"))</f>
        <v/>
      </c>
      <c r="L959" s="38"/>
      <c r="M959" s="47"/>
      <c r="N959" s="47"/>
      <c r="O959" s="37"/>
      <c r="P959" s="38"/>
      <c r="Q959" s="42" t="str">
        <f aca="false">IF(P959="","",LEN(P959))</f>
        <v/>
      </c>
      <c r="R959" s="47"/>
      <c r="S959" s="37"/>
      <c r="T959" s="38"/>
      <c r="U959" s="43" t="str">
        <f aca="false">IF(OR(R959&lt;&gt;"Yes",A959=""),"",A959+4)</f>
        <v/>
      </c>
      <c r="V959" s="47"/>
      <c r="W959" s="38"/>
      <c r="X959" s="38"/>
      <c r="Y959" s="44"/>
      <c r="Z959" s="44"/>
      <c r="AA959" s="45" t="str">
        <f aca="false">IF(AND($Y959="",$Z959=""),"",ROUND(IFERROR(VALUE(LEFT($Y959,1)),0)*12+IFERROR(VALUE(LEFT($Z959,1)),0)*8,0))</f>
        <v/>
      </c>
      <c r="AB959" s="45" t="str">
        <f aca="false">IF($AA959="","",IF($AA959&gt;=80,"A - call first",IF($AA959&gt;=60,"B - worth pursuing",IF($AA959&gt;=40,"C - nurture","D - do not spend time here"))))</f>
        <v/>
      </c>
      <c r="AC959" s="46" t="str">
        <f aca="false">IF($C959="","",IF($S959="Converted","7 Certification / Enterprise opportunity",IF($S959="Application Started","7 Certification / Enterprise opportunity",IF($S959="Meeting Booked","6 Meeting / Application",IF(OR($S959="Interested",$S959="Info Requested"),"5 Interested",IF(OR($S959="Declined",$S959="Not Relevant"),"0 Closed - no",IF($R959="Yes","4 Contacted",IF($N959="Yes","2 Engaged",IF($M959="Yes","1 Awareness",IF($AA959&gt;=60,"3 Qualified","1 Awareness"))))))))))</f>
        <v/>
      </c>
    </row>
    <row r="960" customFormat="false" ht="30" hidden="false" customHeight="true" outlineLevel="0" collapsed="false">
      <c r="A960" s="36"/>
      <c r="B960" s="37"/>
      <c r="C960" s="37"/>
      <c r="D960" s="37"/>
      <c r="E960" s="37"/>
      <c r="F960" s="37"/>
      <c r="G960" s="37"/>
      <c r="H960" s="37"/>
      <c r="I960" s="37"/>
      <c r="J960" s="47"/>
      <c r="K960" s="41" t="str">
        <f aca="false">IF(J960="","",IF(J960&gt;=8,"Yes","Check"))</f>
        <v/>
      </c>
      <c r="L960" s="38"/>
      <c r="M960" s="47"/>
      <c r="N960" s="47"/>
      <c r="O960" s="37"/>
      <c r="P960" s="38"/>
      <c r="Q960" s="42" t="str">
        <f aca="false">IF(P960="","",LEN(P960))</f>
        <v/>
      </c>
      <c r="R960" s="47"/>
      <c r="S960" s="37"/>
      <c r="T960" s="38"/>
      <c r="U960" s="43" t="str">
        <f aca="false">IF(OR(R960&lt;&gt;"Yes",A960=""),"",A960+4)</f>
        <v/>
      </c>
      <c r="V960" s="47"/>
      <c r="W960" s="38"/>
      <c r="X960" s="38"/>
      <c r="Y960" s="44"/>
      <c r="Z960" s="44"/>
      <c r="AA960" s="45" t="str">
        <f aca="false">IF(AND($Y960="",$Z960=""),"",ROUND(IFERROR(VALUE(LEFT($Y960,1)),0)*12+IFERROR(VALUE(LEFT($Z960,1)),0)*8,0))</f>
        <v/>
      </c>
      <c r="AB960" s="45" t="str">
        <f aca="false">IF($AA960="","",IF($AA960&gt;=80,"A - call first",IF($AA960&gt;=60,"B - worth pursuing",IF($AA960&gt;=40,"C - nurture","D - do not spend time here"))))</f>
        <v/>
      </c>
      <c r="AC960" s="46" t="str">
        <f aca="false">IF($C960="","",IF($S960="Converted","7 Certification / Enterprise opportunity",IF($S960="Application Started","7 Certification / Enterprise opportunity",IF($S960="Meeting Booked","6 Meeting / Application",IF(OR($S960="Interested",$S960="Info Requested"),"5 Interested",IF(OR($S960="Declined",$S960="Not Relevant"),"0 Closed - no",IF($R960="Yes","4 Contacted",IF($N960="Yes","2 Engaged",IF($M960="Yes","1 Awareness",IF($AA960&gt;=60,"3 Qualified","1 Awareness"))))))))))</f>
        <v/>
      </c>
    </row>
    <row r="961" customFormat="false" ht="30" hidden="false" customHeight="true" outlineLevel="0" collapsed="false">
      <c r="A961" s="36"/>
      <c r="B961" s="37"/>
      <c r="C961" s="37"/>
      <c r="D961" s="37"/>
      <c r="E961" s="37"/>
      <c r="F961" s="37"/>
      <c r="G961" s="37"/>
      <c r="H961" s="37"/>
      <c r="I961" s="37"/>
      <c r="J961" s="47"/>
      <c r="K961" s="41" t="str">
        <f aca="false">IF(J961="","",IF(J961&gt;=8,"Yes","Check"))</f>
        <v/>
      </c>
      <c r="L961" s="38"/>
      <c r="M961" s="47"/>
      <c r="N961" s="47"/>
      <c r="O961" s="37"/>
      <c r="P961" s="38"/>
      <c r="Q961" s="42" t="str">
        <f aca="false">IF(P961="","",LEN(P961))</f>
        <v/>
      </c>
      <c r="R961" s="47"/>
      <c r="S961" s="37"/>
      <c r="T961" s="38"/>
      <c r="U961" s="43" t="str">
        <f aca="false">IF(OR(R961&lt;&gt;"Yes",A961=""),"",A961+4)</f>
        <v/>
      </c>
      <c r="V961" s="47"/>
      <c r="W961" s="38"/>
      <c r="X961" s="38"/>
      <c r="Y961" s="44"/>
      <c r="Z961" s="44"/>
      <c r="AA961" s="45" t="str">
        <f aca="false">IF(AND($Y961="",$Z961=""),"",ROUND(IFERROR(VALUE(LEFT($Y961,1)),0)*12+IFERROR(VALUE(LEFT($Z961,1)),0)*8,0))</f>
        <v/>
      </c>
      <c r="AB961" s="45" t="str">
        <f aca="false">IF($AA961="","",IF($AA961&gt;=80,"A - call first",IF($AA961&gt;=60,"B - worth pursuing",IF($AA961&gt;=40,"C - nurture","D - do not spend time here"))))</f>
        <v/>
      </c>
      <c r="AC961" s="46" t="str">
        <f aca="false">IF($C961="","",IF($S961="Converted","7 Certification / Enterprise opportunity",IF($S961="Application Started","7 Certification / Enterprise opportunity",IF($S961="Meeting Booked","6 Meeting / Application",IF(OR($S961="Interested",$S961="Info Requested"),"5 Interested",IF(OR($S961="Declined",$S961="Not Relevant"),"0 Closed - no",IF($R961="Yes","4 Contacted",IF($N961="Yes","2 Engaged",IF($M961="Yes","1 Awareness",IF($AA961&gt;=60,"3 Qualified","1 Awareness"))))))))))</f>
        <v/>
      </c>
    </row>
    <row r="962" customFormat="false" ht="30" hidden="false" customHeight="true" outlineLevel="0" collapsed="false">
      <c r="A962" s="36"/>
      <c r="B962" s="37"/>
      <c r="C962" s="37"/>
      <c r="D962" s="37"/>
      <c r="E962" s="37"/>
      <c r="F962" s="37"/>
      <c r="G962" s="37"/>
      <c r="H962" s="37"/>
      <c r="I962" s="37"/>
      <c r="J962" s="47"/>
      <c r="K962" s="41" t="str">
        <f aca="false">IF(J962="","",IF(J962&gt;=8,"Yes","Check"))</f>
        <v/>
      </c>
      <c r="L962" s="38"/>
      <c r="M962" s="47"/>
      <c r="N962" s="47"/>
      <c r="O962" s="37"/>
      <c r="P962" s="38"/>
      <c r="Q962" s="42" t="str">
        <f aca="false">IF(P962="","",LEN(P962))</f>
        <v/>
      </c>
      <c r="R962" s="47"/>
      <c r="S962" s="37"/>
      <c r="T962" s="38"/>
      <c r="U962" s="43" t="str">
        <f aca="false">IF(OR(R962&lt;&gt;"Yes",A962=""),"",A962+4)</f>
        <v/>
      </c>
      <c r="V962" s="47"/>
      <c r="W962" s="38"/>
      <c r="X962" s="38"/>
      <c r="Y962" s="44"/>
      <c r="Z962" s="44"/>
      <c r="AA962" s="45" t="str">
        <f aca="false">IF(AND($Y962="",$Z962=""),"",ROUND(IFERROR(VALUE(LEFT($Y962,1)),0)*12+IFERROR(VALUE(LEFT($Z962,1)),0)*8,0))</f>
        <v/>
      </c>
      <c r="AB962" s="45" t="str">
        <f aca="false">IF($AA962="","",IF($AA962&gt;=80,"A - call first",IF($AA962&gt;=60,"B - worth pursuing",IF($AA962&gt;=40,"C - nurture","D - do not spend time here"))))</f>
        <v/>
      </c>
      <c r="AC962" s="46" t="str">
        <f aca="false">IF($C962="","",IF($S962="Converted","7 Certification / Enterprise opportunity",IF($S962="Application Started","7 Certification / Enterprise opportunity",IF($S962="Meeting Booked","6 Meeting / Application",IF(OR($S962="Interested",$S962="Info Requested"),"5 Interested",IF(OR($S962="Declined",$S962="Not Relevant"),"0 Closed - no",IF($R962="Yes","4 Contacted",IF($N962="Yes","2 Engaged",IF($M962="Yes","1 Awareness",IF($AA962&gt;=60,"3 Qualified","1 Awareness"))))))))))</f>
        <v/>
      </c>
    </row>
    <row r="963" customFormat="false" ht="30" hidden="false" customHeight="true" outlineLevel="0" collapsed="false">
      <c r="A963" s="36"/>
      <c r="B963" s="37"/>
      <c r="C963" s="37"/>
      <c r="D963" s="37"/>
      <c r="E963" s="37"/>
      <c r="F963" s="37"/>
      <c r="G963" s="37"/>
      <c r="H963" s="37"/>
      <c r="I963" s="37"/>
      <c r="J963" s="47"/>
      <c r="K963" s="41" t="str">
        <f aca="false">IF(J963="","",IF(J963&gt;=8,"Yes","Check"))</f>
        <v/>
      </c>
      <c r="L963" s="38"/>
      <c r="M963" s="47"/>
      <c r="N963" s="47"/>
      <c r="O963" s="37"/>
      <c r="P963" s="38"/>
      <c r="Q963" s="42" t="str">
        <f aca="false">IF(P963="","",LEN(P963))</f>
        <v/>
      </c>
      <c r="R963" s="47"/>
      <c r="S963" s="37"/>
      <c r="T963" s="38"/>
      <c r="U963" s="43" t="str">
        <f aca="false">IF(OR(R963&lt;&gt;"Yes",A963=""),"",A963+4)</f>
        <v/>
      </c>
      <c r="V963" s="47"/>
      <c r="W963" s="38"/>
      <c r="X963" s="38"/>
      <c r="Y963" s="44"/>
      <c r="Z963" s="44"/>
      <c r="AA963" s="45" t="str">
        <f aca="false">IF(AND($Y963="",$Z963=""),"",ROUND(IFERROR(VALUE(LEFT($Y963,1)),0)*12+IFERROR(VALUE(LEFT($Z963,1)),0)*8,0))</f>
        <v/>
      </c>
      <c r="AB963" s="45" t="str">
        <f aca="false">IF($AA963="","",IF($AA963&gt;=80,"A - call first",IF($AA963&gt;=60,"B - worth pursuing",IF($AA963&gt;=40,"C - nurture","D - do not spend time here"))))</f>
        <v/>
      </c>
      <c r="AC963" s="46" t="str">
        <f aca="false">IF($C963="","",IF($S963="Converted","7 Certification / Enterprise opportunity",IF($S963="Application Started","7 Certification / Enterprise opportunity",IF($S963="Meeting Booked","6 Meeting / Application",IF(OR($S963="Interested",$S963="Info Requested"),"5 Interested",IF(OR($S963="Declined",$S963="Not Relevant"),"0 Closed - no",IF($R963="Yes","4 Contacted",IF($N963="Yes","2 Engaged",IF($M963="Yes","1 Awareness",IF($AA963&gt;=60,"3 Qualified","1 Awareness"))))))))))</f>
        <v/>
      </c>
    </row>
    <row r="964" customFormat="false" ht="30" hidden="false" customHeight="true" outlineLevel="0" collapsed="false">
      <c r="A964" s="36"/>
      <c r="B964" s="37"/>
      <c r="C964" s="37"/>
      <c r="D964" s="37"/>
      <c r="E964" s="37"/>
      <c r="F964" s="37"/>
      <c r="G964" s="37"/>
      <c r="H964" s="37"/>
      <c r="I964" s="37"/>
      <c r="J964" s="47"/>
      <c r="K964" s="41" t="str">
        <f aca="false">IF(J964="","",IF(J964&gt;=8,"Yes","Check"))</f>
        <v/>
      </c>
      <c r="L964" s="38"/>
      <c r="M964" s="47"/>
      <c r="N964" s="47"/>
      <c r="O964" s="37"/>
      <c r="P964" s="38"/>
      <c r="Q964" s="42" t="str">
        <f aca="false">IF(P964="","",LEN(P964))</f>
        <v/>
      </c>
      <c r="R964" s="47"/>
      <c r="S964" s="37"/>
      <c r="T964" s="38"/>
      <c r="U964" s="43" t="str">
        <f aca="false">IF(OR(R964&lt;&gt;"Yes",A964=""),"",A964+4)</f>
        <v/>
      </c>
      <c r="V964" s="47"/>
      <c r="W964" s="38"/>
      <c r="X964" s="38"/>
      <c r="Y964" s="44"/>
      <c r="Z964" s="44"/>
      <c r="AA964" s="45" t="str">
        <f aca="false">IF(AND($Y964="",$Z964=""),"",ROUND(IFERROR(VALUE(LEFT($Y964,1)),0)*12+IFERROR(VALUE(LEFT($Z964,1)),0)*8,0))</f>
        <v/>
      </c>
      <c r="AB964" s="45" t="str">
        <f aca="false">IF($AA964="","",IF($AA964&gt;=80,"A - call first",IF($AA964&gt;=60,"B - worth pursuing",IF($AA964&gt;=40,"C - nurture","D - do not spend time here"))))</f>
        <v/>
      </c>
      <c r="AC964" s="46" t="str">
        <f aca="false">IF($C964="","",IF($S964="Converted","7 Certification / Enterprise opportunity",IF($S964="Application Started","7 Certification / Enterprise opportunity",IF($S964="Meeting Booked","6 Meeting / Application",IF(OR($S964="Interested",$S964="Info Requested"),"5 Interested",IF(OR($S964="Declined",$S964="Not Relevant"),"0 Closed - no",IF($R964="Yes","4 Contacted",IF($N964="Yes","2 Engaged",IF($M964="Yes","1 Awareness",IF($AA964&gt;=60,"3 Qualified","1 Awareness"))))))))))</f>
        <v/>
      </c>
    </row>
    <row r="965" customFormat="false" ht="30" hidden="false" customHeight="true" outlineLevel="0" collapsed="false">
      <c r="A965" s="36"/>
      <c r="B965" s="37"/>
      <c r="C965" s="37"/>
      <c r="D965" s="37"/>
      <c r="E965" s="37"/>
      <c r="F965" s="37"/>
      <c r="G965" s="37"/>
      <c r="H965" s="37"/>
      <c r="I965" s="37"/>
      <c r="J965" s="47"/>
      <c r="K965" s="41" t="str">
        <f aca="false">IF(J965="","",IF(J965&gt;=8,"Yes","Check"))</f>
        <v/>
      </c>
      <c r="L965" s="38"/>
      <c r="M965" s="47"/>
      <c r="N965" s="47"/>
      <c r="O965" s="37"/>
      <c r="P965" s="38"/>
      <c r="Q965" s="42" t="str">
        <f aca="false">IF(P965="","",LEN(P965))</f>
        <v/>
      </c>
      <c r="R965" s="47"/>
      <c r="S965" s="37"/>
      <c r="T965" s="38"/>
      <c r="U965" s="43" t="str">
        <f aca="false">IF(OR(R965&lt;&gt;"Yes",A965=""),"",A965+4)</f>
        <v/>
      </c>
      <c r="V965" s="47"/>
      <c r="W965" s="38"/>
      <c r="X965" s="38"/>
      <c r="Y965" s="44"/>
      <c r="Z965" s="44"/>
      <c r="AA965" s="45" t="str">
        <f aca="false">IF(AND($Y965="",$Z965=""),"",ROUND(IFERROR(VALUE(LEFT($Y965,1)),0)*12+IFERROR(VALUE(LEFT($Z965,1)),0)*8,0))</f>
        <v/>
      </c>
      <c r="AB965" s="45" t="str">
        <f aca="false">IF($AA965="","",IF($AA965&gt;=80,"A - call first",IF($AA965&gt;=60,"B - worth pursuing",IF($AA965&gt;=40,"C - nurture","D - do not spend time here"))))</f>
        <v/>
      </c>
      <c r="AC965" s="46" t="str">
        <f aca="false">IF($C965="","",IF($S965="Converted","7 Certification / Enterprise opportunity",IF($S965="Application Started","7 Certification / Enterprise opportunity",IF($S965="Meeting Booked","6 Meeting / Application",IF(OR($S965="Interested",$S965="Info Requested"),"5 Interested",IF(OR($S965="Declined",$S965="Not Relevant"),"0 Closed - no",IF($R965="Yes","4 Contacted",IF($N965="Yes","2 Engaged",IF($M965="Yes","1 Awareness",IF($AA965&gt;=60,"3 Qualified","1 Awareness"))))))))))</f>
        <v/>
      </c>
    </row>
    <row r="966" customFormat="false" ht="30" hidden="false" customHeight="true" outlineLevel="0" collapsed="false">
      <c r="A966" s="36"/>
      <c r="B966" s="37"/>
      <c r="C966" s="37"/>
      <c r="D966" s="37"/>
      <c r="E966" s="37"/>
      <c r="F966" s="37"/>
      <c r="G966" s="37"/>
      <c r="H966" s="37"/>
      <c r="I966" s="37"/>
      <c r="J966" s="47"/>
      <c r="K966" s="41" t="str">
        <f aca="false">IF(J966="","",IF(J966&gt;=8,"Yes","Check"))</f>
        <v/>
      </c>
      <c r="L966" s="38"/>
      <c r="M966" s="47"/>
      <c r="N966" s="47"/>
      <c r="O966" s="37"/>
      <c r="P966" s="38"/>
      <c r="Q966" s="42" t="str">
        <f aca="false">IF(P966="","",LEN(P966))</f>
        <v/>
      </c>
      <c r="R966" s="47"/>
      <c r="S966" s="37"/>
      <c r="T966" s="38"/>
      <c r="U966" s="43" t="str">
        <f aca="false">IF(OR(R966&lt;&gt;"Yes",A966=""),"",A966+4)</f>
        <v/>
      </c>
      <c r="V966" s="47"/>
      <c r="W966" s="38"/>
      <c r="X966" s="38"/>
      <c r="Y966" s="44"/>
      <c r="Z966" s="44"/>
      <c r="AA966" s="45" t="str">
        <f aca="false">IF(AND($Y966="",$Z966=""),"",ROUND(IFERROR(VALUE(LEFT($Y966,1)),0)*12+IFERROR(VALUE(LEFT($Z966,1)),0)*8,0))</f>
        <v/>
      </c>
      <c r="AB966" s="45" t="str">
        <f aca="false">IF($AA966="","",IF($AA966&gt;=80,"A - call first",IF($AA966&gt;=60,"B - worth pursuing",IF($AA966&gt;=40,"C - nurture","D - do not spend time here"))))</f>
        <v/>
      </c>
      <c r="AC966" s="46" t="str">
        <f aca="false">IF($C966="","",IF($S966="Converted","7 Certification / Enterprise opportunity",IF($S966="Application Started","7 Certification / Enterprise opportunity",IF($S966="Meeting Booked","6 Meeting / Application",IF(OR($S966="Interested",$S966="Info Requested"),"5 Interested",IF(OR($S966="Declined",$S966="Not Relevant"),"0 Closed - no",IF($R966="Yes","4 Contacted",IF($N966="Yes","2 Engaged",IF($M966="Yes","1 Awareness",IF($AA966&gt;=60,"3 Qualified","1 Awareness"))))))))))</f>
        <v/>
      </c>
    </row>
    <row r="967" customFormat="false" ht="30" hidden="false" customHeight="true" outlineLevel="0" collapsed="false">
      <c r="A967" s="36"/>
      <c r="B967" s="37"/>
      <c r="C967" s="37"/>
      <c r="D967" s="37"/>
      <c r="E967" s="37"/>
      <c r="F967" s="37"/>
      <c r="G967" s="37"/>
      <c r="H967" s="37"/>
      <c r="I967" s="37"/>
      <c r="J967" s="47"/>
      <c r="K967" s="41" t="str">
        <f aca="false">IF(J967="","",IF(J967&gt;=8,"Yes","Check"))</f>
        <v/>
      </c>
      <c r="L967" s="38"/>
      <c r="M967" s="47"/>
      <c r="N967" s="47"/>
      <c r="O967" s="37"/>
      <c r="P967" s="38"/>
      <c r="Q967" s="42" t="str">
        <f aca="false">IF(P967="","",LEN(P967))</f>
        <v/>
      </c>
      <c r="R967" s="47"/>
      <c r="S967" s="37"/>
      <c r="T967" s="38"/>
      <c r="U967" s="43" t="str">
        <f aca="false">IF(OR(R967&lt;&gt;"Yes",A967=""),"",A967+4)</f>
        <v/>
      </c>
      <c r="V967" s="47"/>
      <c r="W967" s="38"/>
      <c r="X967" s="38"/>
      <c r="Y967" s="44"/>
      <c r="Z967" s="44"/>
      <c r="AA967" s="45" t="str">
        <f aca="false">IF(AND($Y967="",$Z967=""),"",ROUND(IFERROR(VALUE(LEFT($Y967,1)),0)*12+IFERROR(VALUE(LEFT($Z967,1)),0)*8,0))</f>
        <v/>
      </c>
      <c r="AB967" s="45" t="str">
        <f aca="false">IF($AA967="","",IF($AA967&gt;=80,"A - call first",IF($AA967&gt;=60,"B - worth pursuing",IF($AA967&gt;=40,"C - nurture","D - do not spend time here"))))</f>
        <v/>
      </c>
      <c r="AC967" s="46" t="str">
        <f aca="false">IF($C967="","",IF($S967="Converted","7 Certification / Enterprise opportunity",IF($S967="Application Started","7 Certification / Enterprise opportunity",IF($S967="Meeting Booked","6 Meeting / Application",IF(OR($S967="Interested",$S967="Info Requested"),"5 Interested",IF(OR($S967="Declined",$S967="Not Relevant"),"0 Closed - no",IF($R967="Yes","4 Contacted",IF($N967="Yes","2 Engaged",IF($M967="Yes","1 Awareness",IF($AA967&gt;=60,"3 Qualified","1 Awareness"))))))))))</f>
        <v/>
      </c>
    </row>
    <row r="968" customFormat="false" ht="30" hidden="false" customHeight="true" outlineLevel="0" collapsed="false">
      <c r="A968" s="36"/>
      <c r="B968" s="37"/>
      <c r="C968" s="37"/>
      <c r="D968" s="37"/>
      <c r="E968" s="37"/>
      <c r="F968" s="37"/>
      <c r="G968" s="37"/>
      <c r="H968" s="37"/>
      <c r="I968" s="37"/>
      <c r="J968" s="47"/>
      <c r="K968" s="41" t="str">
        <f aca="false">IF(J968="","",IF(J968&gt;=8,"Yes","Check"))</f>
        <v/>
      </c>
      <c r="L968" s="38"/>
      <c r="M968" s="47"/>
      <c r="N968" s="47"/>
      <c r="O968" s="37"/>
      <c r="P968" s="38"/>
      <c r="Q968" s="42" t="str">
        <f aca="false">IF(P968="","",LEN(P968))</f>
        <v/>
      </c>
      <c r="R968" s="47"/>
      <c r="S968" s="37"/>
      <c r="T968" s="38"/>
      <c r="U968" s="43" t="str">
        <f aca="false">IF(OR(R968&lt;&gt;"Yes",A968=""),"",A968+4)</f>
        <v/>
      </c>
      <c r="V968" s="47"/>
      <c r="W968" s="38"/>
      <c r="X968" s="38"/>
      <c r="Y968" s="44"/>
      <c r="Z968" s="44"/>
      <c r="AA968" s="45" t="str">
        <f aca="false">IF(AND($Y968="",$Z968=""),"",ROUND(IFERROR(VALUE(LEFT($Y968,1)),0)*12+IFERROR(VALUE(LEFT($Z968,1)),0)*8,0))</f>
        <v/>
      </c>
      <c r="AB968" s="45" t="str">
        <f aca="false">IF($AA968="","",IF($AA968&gt;=80,"A - call first",IF($AA968&gt;=60,"B - worth pursuing",IF($AA968&gt;=40,"C - nurture","D - do not spend time here"))))</f>
        <v/>
      </c>
      <c r="AC968" s="46" t="str">
        <f aca="false">IF($C968="","",IF($S968="Converted","7 Certification / Enterprise opportunity",IF($S968="Application Started","7 Certification / Enterprise opportunity",IF($S968="Meeting Booked","6 Meeting / Application",IF(OR($S968="Interested",$S968="Info Requested"),"5 Interested",IF(OR($S968="Declined",$S968="Not Relevant"),"0 Closed - no",IF($R968="Yes","4 Contacted",IF($N968="Yes","2 Engaged",IF($M968="Yes","1 Awareness",IF($AA968&gt;=60,"3 Qualified","1 Awareness"))))))))))</f>
        <v/>
      </c>
    </row>
    <row r="969" customFormat="false" ht="30" hidden="false" customHeight="true" outlineLevel="0" collapsed="false">
      <c r="A969" s="36"/>
      <c r="B969" s="37"/>
      <c r="C969" s="37"/>
      <c r="D969" s="37"/>
      <c r="E969" s="37"/>
      <c r="F969" s="37"/>
      <c r="G969" s="37"/>
      <c r="H969" s="37"/>
      <c r="I969" s="37"/>
      <c r="J969" s="47"/>
      <c r="K969" s="41" t="str">
        <f aca="false">IF(J969="","",IF(J969&gt;=8,"Yes","Check"))</f>
        <v/>
      </c>
      <c r="L969" s="38"/>
      <c r="M969" s="47"/>
      <c r="N969" s="47"/>
      <c r="O969" s="37"/>
      <c r="P969" s="38"/>
      <c r="Q969" s="42" t="str">
        <f aca="false">IF(P969="","",LEN(P969))</f>
        <v/>
      </c>
      <c r="R969" s="47"/>
      <c r="S969" s="37"/>
      <c r="T969" s="38"/>
      <c r="U969" s="43" t="str">
        <f aca="false">IF(OR(R969&lt;&gt;"Yes",A969=""),"",A969+4)</f>
        <v/>
      </c>
      <c r="V969" s="47"/>
      <c r="W969" s="38"/>
      <c r="X969" s="38"/>
      <c r="Y969" s="44"/>
      <c r="Z969" s="44"/>
      <c r="AA969" s="45" t="str">
        <f aca="false">IF(AND($Y969="",$Z969=""),"",ROUND(IFERROR(VALUE(LEFT($Y969,1)),0)*12+IFERROR(VALUE(LEFT($Z969,1)),0)*8,0))</f>
        <v/>
      </c>
      <c r="AB969" s="45" t="str">
        <f aca="false">IF($AA969="","",IF($AA969&gt;=80,"A - call first",IF($AA969&gt;=60,"B - worth pursuing",IF($AA969&gt;=40,"C - nurture","D - do not spend time here"))))</f>
        <v/>
      </c>
      <c r="AC969" s="46" t="str">
        <f aca="false">IF($C969="","",IF($S969="Converted","7 Certification / Enterprise opportunity",IF($S969="Application Started","7 Certification / Enterprise opportunity",IF($S969="Meeting Booked","6 Meeting / Application",IF(OR($S969="Interested",$S969="Info Requested"),"5 Interested",IF(OR($S969="Declined",$S969="Not Relevant"),"0 Closed - no",IF($R969="Yes","4 Contacted",IF($N969="Yes","2 Engaged",IF($M969="Yes","1 Awareness",IF($AA969&gt;=60,"3 Qualified","1 Awareness"))))))))))</f>
        <v/>
      </c>
    </row>
    <row r="970" customFormat="false" ht="30" hidden="false" customHeight="true" outlineLevel="0" collapsed="false">
      <c r="A970" s="36"/>
      <c r="B970" s="37"/>
      <c r="C970" s="37"/>
      <c r="D970" s="37"/>
      <c r="E970" s="37"/>
      <c r="F970" s="37"/>
      <c r="G970" s="37"/>
      <c r="H970" s="37"/>
      <c r="I970" s="37"/>
      <c r="J970" s="47"/>
      <c r="K970" s="41" t="str">
        <f aca="false">IF(J970="","",IF(J970&gt;=8,"Yes","Check"))</f>
        <v/>
      </c>
      <c r="L970" s="38"/>
      <c r="M970" s="47"/>
      <c r="N970" s="47"/>
      <c r="O970" s="37"/>
      <c r="P970" s="38"/>
      <c r="Q970" s="42" t="str">
        <f aca="false">IF(P970="","",LEN(P970))</f>
        <v/>
      </c>
      <c r="R970" s="47"/>
      <c r="S970" s="37"/>
      <c r="T970" s="38"/>
      <c r="U970" s="43" t="str">
        <f aca="false">IF(OR(R970&lt;&gt;"Yes",A970=""),"",A970+4)</f>
        <v/>
      </c>
      <c r="V970" s="47"/>
      <c r="W970" s="38"/>
      <c r="X970" s="38"/>
      <c r="Y970" s="44"/>
      <c r="Z970" s="44"/>
      <c r="AA970" s="45" t="str">
        <f aca="false">IF(AND($Y970="",$Z970=""),"",ROUND(IFERROR(VALUE(LEFT($Y970,1)),0)*12+IFERROR(VALUE(LEFT($Z970,1)),0)*8,0))</f>
        <v/>
      </c>
      <c r="AB970" s="45" t="str">
        <f aca="false">IF($AA970="","",IF($AA970&gt;=80,"A - call first",IF($AA970&gt;=60,"B - worth pursuing",IF($AA970&gt;=40,"C - nurture","D - do not spend time here"))))</f>
        <v/>
      </c>
      <c r="AC970" s="46" t="str">
        <f aca="false">IF($C970="","",IF($S970="Converted","7 Certification / Enterprise opportunity",IF($S970="Application Started","7 Certification / Enterprise opportunity",IF($S970="Meeting Booked","6 Meeting / Application",IF(OR($S970="Interested",$S970="Info Requested"),"5 Interested",IF(OR($S970="Declined",$S970="Not Relevant"),"0 Closed - no",IF($R970="Yes","4 Contacted",IF($N970="Yes","2 Engaged",IF($M970="Yes","1 Awareness",IF($AA970&gt;=60,"3 Qualified","1 Awareness"))))))))))</f>
        <v/>
      </c>
    </row>
    <row r="971" customFormat="false" ht="30" hidden="false" customHeight="true" outlineLevel="0" collapsed="false">
      <c r="A971" s="36"/>
      <c r="B971" s="37"/>
      <c r="C971" s="37"/>
      <c r="D971" s="37"/>
      <c r="E971" s="37"/>
      <c r="F971" s="37"/>
      <c r="G971" s="37"/>
      <c r="H971" s="37"/>
      <c r="I971" s="37"/>
      <c r="J971" s="47"/>
      <c r="K971" s="41" t="str">
        <f aca="false">IF(J971="","",IF(J971&gt;=8,"Yes","Check"))</f>
        <v/>
      </c>
      <c r="L971" s="38"/>
      <c r="M971" s="47"/>
      <c r="N971" s="47"/>
      <c r="O971" s="37"/>
      <c r="P971" s="38"/>
      <c r="Q971" s="42" t="str">
        <f aca="false">IF(P971="","",LEN(P971))</f>
        <v/>
      </c>
      <c r="R971" s="47"/>
      <c r="S971" s="37"/>
      <c r="T971" s="38"/>
      <c r="U971" s="43" t="str">
        <f aca="false">IF(OR(R971&lt;&gt;"Yes",A971=""),"",A971+4)</f>
        <v/>
      </c>
      <c r="V971" s="47"/>
      <c r="W971" s="38"/>
      <c r="X971" s="38"/>
      <c r="Y971" s="44"/>
      <c r="Z971" s="44"/>
      <c r="AA971" s="45" t="str">
        <f aca="false">IF(AND($Y971="",$Z971=""),"",ROUND(IFERROR(VALUE(LEFT($Y971,1)),0)*12+IFERROR(VALUE(LEFT($Z971,1)),0)*8,0))</f>
        <v/>
      </c>
      <c r="AB971" s="45" t="str">
        <f aca="false">IF($AA971="","",IF($AA971&gt;=80,"A - call first",IF($AA971&gt;=60,"B - worth pursuing",IF($AA971&gt;=40,"C - nurture","D - do not spend time here"))))</f>
        <v/>
      </c>
      <c r="AC971" s="46" t="str">
        <f aca="false">IF($C971="","",IF($S971="Converted","7 Certification / Enterprise opportunity",IF($S971="Application Started","7 Certification / Enterprise opportunity",IF($S971="Meeting Booked","6 Meeting / Application",IF(OR($S971="Interested",$S971="Info Requested"),"5 Interested",IF(OR($S971="Declined",$S971="Not Relevant"),"0 Closed - no",IF($R971="Yes","4 Contacted",IF($N971="Yes","2 Engaged",IF($M971="Yes","1 Awareness",IF($AA971&gt;=60,"3 Qualified","1 Awareness"))))))))))</f>
        <v/>
      </c>
    </row>
    <row r="972" customFormat="false" ht="30" hidden="false" customHeight="true" outlineLevel="0" collapsed="false">
      <c r="A972" s="36"/>
      <c r="B972" s="37"/>
      <c r="C972" s="37"/>
      <c r="D972" s="37"/>
      <c r="E972" s="37"/>
      <c r="F972" s="37"/>
      <c r="G972" s="37"/>
      <c r="H972" s="37"/>
      <c r="I972" s="37"/>
      <c r="J972" s="47"/>
      <c r="K972" s="41" t="str">
        <f aca="false">IF(J972="","",IF(J972&gt;=8,"Yes","Check"))</f>
        <v/>
      </c>
      <c r="L972" s="38"/>
      <c r="M972" s="47"/>
      <c r="N972" s="47"/>
      <c r="O972" s="37"/>
      <c r="P972" s="38"/>
      <c r="Q972" s="42" t="str">
        <f aca="false">IF(P972="","",LEN(P972))</f>
        <v/>
      </c>
      <c r="R972" s="47"/>
      <c r="S972" s="37"/>
      <c r="T972" s="38"/>
      <c r="U972" s="43" t="str">
        <f aca="false">IF(OR(R972&lt;&gt;"Yes",A972=""),"",A972+4)</f>
        <v/>
      </c>
      <c r="V972" s="47"/>
      <c r="W972" s="38"/>
      <c r="X972" s="38"/>
      <c r="Y972" s="44"/>
      <c r="Z972" s="44"/>
      <c r="AA972" s="45" t="str">
        <f aca="false">IF(AND($Y972="",$Z972=""),"",ROUND(IFERROR(VALUE(LEFT($Y972,1)),0)*12+IFERROR(VALUE(LEFT($Z972,1)),0)*8,0))</f>
        <v/>
      </c>
      <c r="AB972" s="45" t="str">
        <f aca="false">IF($AA972="","",IF($AA972&gt;=80,"A - call first",IF($AA972&gt;=60,"B - worth pursuing",IF($AA972&gt;=40,"C - nurture","D - do not spend time here"))))</f>
        <v/>
      </c>
      <c r="AC972" s="46" t="str">
        <f aca="false">IF($C972="","",IF($S972="Converted","7 Certification / Enterprise opportunity",IF($S972="Application Started","7 Certification / Enterprise opportunity",IF($S972="Meeting Booked","6 Meeting / Application",IF(OR($S972="Interested",$S972="Info Requested"),"5 Interested",IF(OR($S972="Declined",$S972="Not Relevant"),"0 Closed - no",IF($R972="Yes","4 Contacted",IF($N972="Yes","2 Engaged",IF($M972="Yes","1 Awareness",IF($AA972&gt;=60,"3 Qualified","1 Awareness"))))))))))</f>
        <v/>
      </c>
    </row>
    <row r="973" customFormat="false" ht="30" hidden="false" customHeight="true" outlineLevel="0" collapsed="false">
      <c r="A973" s="36"/>
      <c r="B973" s="37"/>
      <c r="C973" s="37"/>
      <c r="D973" s="37"/>
      <c r="E973" s="37"/>
      <c r="F973" s="37"/>
      <c r="G973" s="37"/>
      <c r="H973" s="37"/>
      <c r="I973" s="37"/>
      <c r="J973" s="47"/>
      <c r="K973" s="41" t="str">
        <f aca="false">IF(J973="","",IF(J973&gt;=8,"Yes","Check"))</f>
        <v/>
      </c>
      <c r="L973" s="38"/>
      <c r="M973" s="47"/>
      <c r="N973" s="47"/>
      <c r="O973" s="37"/>
      <c r="P973" s="38"/>
      <c r="Q973" s="42" t="str">
        <f aca="false">IF(P973="","",LEN(P973))</f>
        <v/>
      </c>
      <c r="R973" s="47"/>
      <c r="S973" s="37"/>
      <c r="T973" s="38"/>
      <c r="U973" s="43" t="str">
        <f aca="false">IF(OR(R973&lt;&gt;"Yes",A973=""),"",A973+4)</f>
        <v/>
      </c>
      <c r="V973" s="47"/>
      <c r="W973" s="38"/>
      <c r="X973" s="38"/>
      <c r="Y973" s="44"/>
      <c r="Z973" s="44"/>
      <c r="AA973" s="45" t="str">
        <f aca="false">IF(AND($Y973="",$Z973=""),"",ROUND(IFERROR(VALUE(LEFT($Y973,1)),0)*12+IFERROR(VALUE(LEFT($Z973,1)),0)*8,0))</f>
        <v/>
      </c>
      <c r="AB973" s="45" t="str">
        <f aca="false">IF($AA973="","",IF($AA973&gt;=80,"A - call first",IF($AA973&gt;=60,"B - worth pursuing",IF($AA973&gt;=40,"C - nurture","D - do not spend time here"))))</f>
        <v/>
      </c>
      <c r="AC973" s="46" t="str">
        <f aca="false">IF($C973="","",IF($S973="Converted","7 Certification / Enterprise opportunity",IF($S973="Application Started","7 Certification / Enterprise opportunity",IF($S973="Meeting Booked","6 Meeting / Application",IF(OR($S973="Interested",$S973="Info Requested"),"5 Interested",IF(OR($S973="Declined",$S973="Not Relevant"),"0 Closed - no",IF($R973="Yes","4 Contacted",IF($N973="Yes","2 Engaged",IF($M973="Yes","1 Awareness",IF($AA973&gt;=60,"3 Qualified","1 Awareness"))))))))))</f>
        <v/>
      </c>
    </row>
    <row r="974" customFormat="false" ht="30" hidden="false" customHeight="true" outlineLevel="0" collapsed="false">
      <c r="A974" s="36"/>
      <c r="B974" s="37"/>
      <c r="C974" s="37"/>
      <c r="D974" s="37"/>
      <c r="E974" s="37"/>
      <c r="F974" s="37"/>
      <c r="G974" s="37"/>
      <c r="H974" s="37"/>
      <c r="I974" s="37"/>
      <c r="J974" s="47"/>
      <c r="K974" s="41" t="str">
        <f aca="false">IF(J974="","",IF(J974&gt;=8,"Yes","Check"))</f>
        <v/>
      </c>
      <c r="L974" s="38"/>
      <c r="M974" s="47"/>
      <c r="N974" s="47"/>
      <c r="O974" s="37"/>
      <c r="P974" s="38"/>
      <c r="Q974" s="42" t="str">
        <f aca="false">IF(P974="","",LEN(P974))</f>
        <v/>
      </c>
      <c r="R974" s="47"/>
      <c r="S974" s="37"/>
      <c r="T974" s="38"/>
      <c r="U974" s="43" t="str">
        <f aca="false">IF(OR(R974&lt;&gt;"Yes",A974=""),"",A974+4)</f>
        <v/>
      </c>
      <c r="V974" s="47"/>
      <c r="W974" s="38"/>
      <c r="X974" s="38"/>
      <c r="Y974" s="44"/>
      <c r="Z974" s="44"/>
      <c r="AA974" s="45" t="str">
        <f aca="false">IF(AND($Y974="",$Z974=""),"",ROUND(IFERROR(VALUE(LEFT($Y974,1)),0)*12+IFERROR(VALUE(LEFT($Z974,1)),0)*8,0))</f>
        <v/>
      </c>
      <c r="AB974" s="45" t="str">
        <f aca="false">IF($AA974="","",IF($AA974&gt;=80,"A - call first",IF($AA974&gt;=60,"B - worth pursuing",IF($AA974&gt;=40,"C - nurture","D - do not spend time here"))))</f>
        <v/>
      </c>
      <c r="AC974" s="46" t="str">
        <f aca="false">IF($C974="","",IF($S974="Converted","7 Certification / Enterprise opportunity",IF($S974="Application Started","7 Certification / Enterprise opportunity",IF($S974="Meeting Booked","6 Meeting / Application",IF(OR($S974="Interested",$S974="Info Requested"),"5 Interested",IF(OR($S974="Declined",$S974="Not Relevant"),"0 Closed - no",IF($R974="Yes","4 Contacted",IF($N974="Yes","2 Engaged",IF($M974="Yes","1 Awareness",IF($AA974&gt;=60,"3 Qualified","1 Awareness"))))))))))</f>
        <v/>
      </c>
    </row>
    <row r="975" customFormat="false" ht="30" hidden="false" customHeight="true" outlineLevel="0" collapsed="false">
      <c r="A975" s="36"/>
      <c r="B975" s="37"/>
      <c r="C975" s="37"/>
      <c r="D975" s="37"/>
      <c r="E975" s="37"/>
      <c r="F975" s="37"/>
      <c r="G975" s="37"/>
      <c r="H975" s="37"/>
      <c r="I975" s="37"/>
      <c r="J975" s="47"/>
      <c r="K975" s="41" t="str">
        <f aca="false">IF(J975="","",IF(J975&gt;=8,"Yes","Check"))</f>
        <v/>
      </c>
      <c r="L975" s="38"/>
      <c r="M975" s="47"/>
      <c r="N975" s="47"/>
      <c r="O975" s="37"/>
      <c r="P975" s="38"/>
      <c r="Q975" s="42" t="str">
        <f aca="false">IF(P975="","",LEN(P975))</f>
        <v/>
      </c>
      <c r="R975" s="47"/>
      <c r="S975" s="37"/>
      <c r="T975" s="38"/>
      <c r="U975" s="43" t="str">
        <f aca="false">IF(OR(R975&lt;&gt;"Yes",A975=""),"",A975+4)</f>
        <v/>
      </c>
      <c r="V975" s="47"/>
      <c r="W975" s="38"/>
      <c r="X975" s="38"/>
      <c r="Y975" s="44"/>
      <c r="Z975" s="44"/>
      <c r="AA975" s="45" t="str">
        <f aca="false">IF(AND($Y975="",$Z975=""),"",ROUND(IFERROR(VALUE(LEFT($Y975,1)),0)*12+IFERROR(VALUE(LEFT($Z975,1)),0)*8,0))</f>
        <v/>
      </c>
      <c r="AB975" s="45" t="str">
        <f aca="false">IF($AA975="","",IF($AA975&gt;=80,"A - call first",IF($AA975&gt;=60,"B - worth pursuing",IF($AA975&gt;=40,"C - nurture","D - do not spend time here"))))</f>
        <v/>
      </c>
      <c r="AC975" s="46" t="str">
        <f aca="false">IF($C975="","",IF($S975="Converted","7 Certification / Enterprise opportunity",IF($S975="Application Started","7 Certification / Enterprise opportunity",IF($S975="Meeting Booked","6 Meeting / Application",IF(OR($S975="Interested",$S975="Info Requested"),"5 Interested",IF(OR($S975="Declined",$S975="Not Relevant"),"0 Closed - no",IF($R975="Yes","4 Contacted",IF($N975="Yes","2 Engaged",IF($M975="Yes","1 Awareness",IF($AA975&gt;=60,"3 Qualified","1 Awareness"))))))))))</f>
        <v/>
      </c>
    </row>
    <row r="976" customFormat="false" ht="30" hidden="false" customHeight="true" outlineLevel="0" collapsed="false">
      <c r="A976" s="36"/>
      <c r="B976" s="37"/>
      <c r="C976" s="37"/>
      <c r="D976" s="37"/>
      <c r="E976" s="37"/>
      <c r="F976" s="37"/>
      <c r="G976" s="37"/>
      <c r="H976" s="37"/>
      <c r="I976" s="37"/>
      <c r="J976" s="47"/>
      <c r="K976" s="41" t="str">
        <f aca="false">IF(J976="","",IF(J976&gt;=8,"Yes","Check"))</f>
        <v/>
      </c>
      <c r="L976" s="38"/>
      <c r="M976" s="47"/>
      <c r="N976" s="47"/>
      <c r="O976" s="37"/>
      <c r="P976" s="38"/>
      <c r="Q976" s="42" t="str">
        <f aca="false">IF(P976="","",LEN(P976))</f>
        <v/>
      </c>
      <c r="R976" s="47"/>
      <c r="S976" s="37"/>
      <c r="T976" s="38"/>
      <c r="U976" s="43" t="str">
        <f aca="false">IF(OR(R976&lt;&gt;"Yes",A976=""),"",A976+4)</f>
        <v/>
      </c>
      <c r="V976" s="47"/>
      <c r="W976" s="38"/>
      <c r="X976" s="38"/>
      <c r="Y976" s="44"/>
      <c r="Z976" s="44"/>
      <c r="AA976" s="45" t="str">
        <f aca="false">IF(AND($Y976="",$Z976=""),"",ROUND(IFERROR(VALUE(LEFT($Y976,1)),0)*12+IFERROR(VALUE(LEFT($Z976,1)),0)*8,0))</f>
        <v/>
      </c>
      <c r="AB976" s="45" t="str">
        <f aca="false">IF($AA976="","",IF($AA976&gt;=80,"A - call first",IF($AA976&gt;=60,"B - worth pursuing",IF($AA976&gt;=40,"C - nurture","D - do not spend time here"))))</f>
        <v/>
      </c>
      <c r="AC976" s="46" t="str">
        <f aca="false">IF($C976="","",IF($S976="Converted","7 Certification / Enterprise opportunity",IF($S976="Application Started","7 Certification / Enterprise opportunity",IF($S976="Meeting Booked","6 Meeting / Application",IF(OR($S976="Interested",$S976="Info Requested"),"5 Interested",IF(OR($S976="Declined",$S976="Not Relevant"),"0 Closed - no",IF($R976="Yes","4 Contacted",IF($N976="Yes","2 Engaged",IF($M976="Yes","1 Awareness",IF($AA976&gt;=60,"3 Qualified","1 Awareness"))))))))))</f>
        <v/>
      </c>
    </row>
    <row r="977" customFormat="false" ht="30" hidden="false" customHeight="true" outlineLevel="0" collapsed="false">
      <c r="A977" s="36"/>
      <c r="B977" s="37"/>
      <c r="C977" s="37"/>
      <c r="D977" s="37"/>
      <c r="E977" s="37"/>
      <c r="F977" s="37"/>
      <c r="G977" s="37"/>
      <c r="H977" s="37"/>
      <c r="I977" s="37"/>
      <c r="J977" s="47"/>
      <c r="K977" s="41" t="str">
        <f aca="false">IF(J977="","",IF(J977&gt;=8,"Yes","Check"))</f>
        <v/>
      </c>
      <c r="L977" s="38"/>
      <c r="M977" s="47"/>
      <c r="N977" s="47"/>
      <c r="O977" s="37"/>
      <c r="P977" s="38"/>
      <c r="Q977" s="42" t="str">
        <f aca="false">IF(P977="","",LEN(P977))</f>
        <v/>
      </c>
      <c r="R977" s="47"/>
      <c r="S977" s="37"/>
      <c r="T977" s="38"/>
      <c r="U977" s="43" t="str">
        <f aca="false">IF(OR(R977&lt;&gt;"Yes",A977=""),"",A977+4)</f>
        <v/>
      </c>
      <c r="V977" s="47"/>
      <c r="W977" s="38"/>
      <c r="X977" s="38"/>
      <c r="Y977" s="44"/>
      <c r="Z977" s="44"/>
      <c r="AA977" s="45" t="str">
        <f aca="false">IF(AND($Y977="",$Z977=""),"",ROUND(IFERROR(VALUE(LEFT($Y977,1)),0)*12+IFERROR(VALUE(LEFT($Z977,1)),0)*8,0))</f>
        <v/>
      </c>
      <c r="AB977" s="45" t="str">
        <f aca="false">IF($AA977="","",IF($AA977&gt;=80,"A - call first",IF($AA977&gt;=60,"B - worth pursuing",IF($AA977&gt;=40,"C - nurture","D - do not spend time here"))))</f>
        <v/>
      </c>
      <c r="AC977" s="46" t="str">
        <f aca="false">IF($C977="","",IF($S977="Converted","7 Certification / Enterprise opportunity",IF($S977="Application Started","7 Certification / Enterprise opportunity",IF($S977="Meeting Booked","6 Meeting / Application",IF(OR($S977="Interested",$S977="Info Requested"),"5 Interested",IF(OR($S977="Declined",$S977="Not Relevant"),"0 Closed - no",IF($R977="Yes","4 Contacted",IF($N977="Yes","2 Engaged",IF($M977="Yes","1 Awareness",IF($AA977&gt;=60,"3 Qualified","1 Awareness"))))))))))</f>
        <v/>
      </c>
    </row>
    <row r="978" customFormat="false" ht="30" hidden="false" customHeight="true" outlineLevel="0" collapsed="false">
      <c r="A978" s="36"/>
      <c r="B978" s="37"/>
      <c r="C978" s="37"/>
      <c r="D978" s="37"/>
      <c r="E978" s="37"/>
      <c r="F978" s="37"/>
      <c r="G978" s="37"/>
      <c r="H978" s="37"/>
      <c r="I978" s="37"/>
      <c r="J978" s="47"/>
      <c r="K978" s="41" t="str">
        <f aca="false">IF(J978="","",IF(J978&gt;=8,"Yes","Check"))</f>
        <v/>
      </c>
      <c r="L978" s="38"/>
      <c r="M978" s="47"/>
      <c r="N978" s="47"/>
      <c r="O978" s="37"/>
      <c r="P978" s="38"/>
      <c r="Q978" s="42" t="str">
        <f aca="false">IF(P978="","",LEN(P978))</f>
        <v/>
      </c>
      <c r="R978" s="47"/>
      <c r="S978" s="37"/>
      <c r="T978" s="38"/>
      <c r="U978" s="43" t="str">
        <f aca="false">IF(OR(R978&lt;&gt;"Yes",A978=""),"",A978+4)</f>
        <v/>
      </c>
      <c r="V978" s="47"/>
      <c r="W978" s="38"/>
      <c r="X978" s="38"/>
      <c r="Y978" s="44"/>
      <c r="Z978" s="44"/>
      <c r="AA978" s="45" t="str">
        <f aca="false">IF(AND($Y978="",$Z978=""),"",ROUND(IFERROR(VALUE(LEFT($Y978,1)),0)*12+IFERROR(VALUE(LEFT($Z978,1)),0)*8,0))</f>
        <v/>
      </c>
      <c r="AB978" s="45" t="str">
        <f aca="false">IF($AA978="","",IF($AA978&gt;=80,"A - call first",IF($AA978&gt;=60,"B - worth pursuing",IF($AA978&gt;=40,"C - nurture","D - do not spend time here"))))</f>
        <v/>
      </c>
      <c r="AC978" s="46" t="str">
        <f aca="false">IF($C978="","",IF($S978="Converted","7 Certification / Enterprise opportunity",IF($S978="Application Started","7 Certification / Enterprise opportunity",IF($S978="Meeting Booked","6 Meeting / Application",IF(OR($S978="Interested",$S978="Info Requested"),"5 Interested",IF(OR($S978="Declined",$S978="Not Relevant"),"0 Closed - no",IF($R978="Yes","4 Contacted",IF($N978="Yes","2 Engaged",IF($M978="Yes","1 Awareness",IF($AA978&gt;=60,"3 Qualified","1 Awareness"))))))))))</f>
        <v/>
      </c>
    </row>
    <row r="979" customFormat="false" ht="30" hidden="false" customHeight="true" outlineLevel="0" collapsed="false">
      <c r="A979" s="36"/>
      <c r="B979" s="37"/>
      <c r="C979" s="37"/>
      <c r="D979" s="37"/>
      <c r="E979" s="37"/>
      <c r="F979" s="37"/>
      <c r="G979" s="37"/>
      <c r="H979" s="37"/>
      <c r="I979" s="37"/>
      <c r="J979" s="47"/>
      <c r="K979" s="41" t="str">
        <f aca="false">IF(J979="","",IF(J979&gt;=8,"Yes","Check"))</f>
        <v/>
      </c>
      <c r="L979" s="38"/>
      <c r="M979" s="47"/>
      <c r="N979" s="47"/>
      <c r="O979" s="37"/>
      <c r="P979" s="38"/>
      <c r="Q979" s="42" t="str">
        <f aca="false">IF(P979="","",LEN(P979))</f>
        <v/>
      </c>
      <c r="R979" s="47"/>
      <c r="S979" s="37"/>
      <c r="T979" s="38"/>
      <c r="U979" s="43" t="str">
        <f aca="false">IF(OR(R979&lt;&gt;"Yes",A979=""),"",A979+4)</f>
        <v/>
      </c>
      <c r="V979" s="47"/>
      <c r="W979" s="38"/>
      <c r="X979" s="38"/>
      <c r="Y979" s="44"/>
      <c r="Z979" s="44"/>
      <c r="AA979" s="45" t="str">
        <f aca="false">IF(AND($Y979="",$Z979=""),"",ROUND(IFERROR(VALUE(LEFT($Y979,1)),0)*12+IFERROR(VALUE(LEFT($Z979,1)),0)*8,0))</f>
        <v/>
      </c>
      <c r="AB979" s="45" t="str">
        <f aca="false">IF($AA979="","",IF($AA979&gt;=80,"A - call first",IF($AA979&gt;=60,"B - worth pursuing",IF($AA979&gt;=40,"C - nurture","D - do not spend time here"))))</f>
        <v/>
      </c>
      <c r="AC979" s="46" t="str">
        <f aca="false">IF($C979="","",IF($S979="Converted","7 Certification / Enterprise opportunity",IF($S979="Application Started","7 Certification / Enterprise opportunity",IF($S979="Meeting Booked","6 Meeting / Application",IF(OR($S979="Interested",$S979="Info Requested"),"5 Interested",IF(OR($S979="Declined",$S979="Not Relevant"),"0 Closed - no",IF($R979="Yes","4 Contacted",IF($N979="Yes","2 Engaged",IF($M979="Yes","1 Awareness",IF($AA979&gt;=60,"3 Qualified","1 Awareness"))))))))))</f>
        <v/>
      </c>
    </row>
    <row r="980" customFormat="false" ht="30" hidden="false" customHeight="true" outlineLevel="0" collapsed="false">
      <c r="A980" s="36"/>
      <c r="B980" s="37"/>
      <c r="C980" s="37"/>
      <c r="D980" s="37"/>
      <c r="E980" s="37"/>
      <c r="F980" s="37"/>
      <c r="G980" s="37"/>
      <c r="H980" s="37"/>
      <c r="I980" s="37"/>
      <c r="J980" s="47"/>
      <c r="K980" s="41" t="str">
        <f aca="false">IF(J980="","",IF(J980&gt;=8,"Yes","Check"))</f>
        <v/>
      </c>
      <c r="L980" s="38"/>
      <c r="M980" s="47"/>
      <c r="N980" s="47"/>
      <c r="O980" s="37"/>
      <c r="P980" s="38"/>
      <c r="Q980" s="42" t="str">
        <f aca="false">IF(P980="","",LEN(P980))</f>
        <v/>
      </c>
      <c r="R980" s="47"/>
      <c r="S980" s="37"/>
      <c r="T980" s="38"/>
      <c r="U980" s="43" t="str">
        <f aca="false">IF(OR(R980&lt;&gt;"Yes",A980=""),"",A980+4)</f>
        <v/>
      </c>
      <c r="V980" s="47"/>
      <c r="W980" s="38"/>
      <c r="X980" s="38"/>
      <c r="Y980" s="44"/>
      <c r="Z980" s="44"/>
      <c r="AA980" s="45" t="str">
        <f aca="false">IF(AND($Y980="",$Z980=""),"",ROUND(IFERROR(VALUE(LEFT($Y980,1)),0)*12+IFERROR(VALUE(LEFT($Z980,1)),0)*8,0))</f>
        <v/>
      </c>
      <c r="AB980" s="45" t="str">
        <f aca="false">IF($AA980="","",IF($AA980&gt;=80,"A - call first",IF($AA980&gt;=60,"B - worth pursuing",IF($AA980&gt;=40,"C - nurture","D - do not spend time here"))))</f>
        <v/>
      </c>
      <c r="AC980" s="46" t="str">
        <f aca="false">IF($C980="","",IF($S980="Converted","7 Certification / Enterprise opportunity",IF($S980="Application Started","7 Certification / Enterprise opportunity",IF($S980="Meeting Booked","6 Meeting / Application",IF(OR($S980="Interested",$S980="Info Requested"),"5 Interested",IF(OR($S980="Declined",$S980="Not Relevant"),"0 Closed - no",IF($R980="Yes","4 Contacted",IF($N980="Yes","2 Engaged",IF($M980="Yes","1 Awareness",IF($AA980&gt;=60,"3 Qualified","1 Awareness"))))))))))</f>
        <v/>
      </c>
    </row>
    <row r="981" customFormat="false" ht="30" hidden="false" customHeight="true" outlineLevel="0" collapsed="false">
      <c r="A981" s="36"/>
      <c r="B981" s="37"/>
      <c r="C981" s="37"/>
      <c r="D981" s="37"/>
      <c r="E981" s="37"/>
      <c r="F981" s="37"/>
      <c r="G981" s="37"/>
      <c r="H981" s="37"/>
      <c r="I981" s="37"/>
      <c r="J981" s="47"/>
      <c r="K981" s="41" t="str">
        <f aca="false">IF(J981="","",IF(J981&gt;=8,"Yes","Check"))</f>
        <v/>
      </c>
      <c r="L981" s="38"/>
      <c r="M981" s="47"/>
      <c r="N981" s="47"/>
      <c r="O981" s="37"/>
      <c r="P981" s="38"/>
      <c r="Q981" s="42" t="str">
        <f aca="false">IF(P981="","",LEN(P981))</f>
        <v/>
      </c>
      <c r="R981" s="47"/>
      <c r="S981" s="37"/>
      <c r="T981" s="38"/>
      <c r="U981" s="43" t="str">
        <f aca="false">IF(OR(R981&lt;&gt;"Yes",A981=""),"",A981+4)</f>
        <v/>
      </c>
      <c r="V981" s="47"/>
      <c r="W981" s="38"/>
      <c r="X981" s="38"/>
      <c r="Y981" s="44"/>
      <c r="Z981" s="44"/>
      <c r="AA981" s="45" t="str">
        <f aca="false">IF(AND($Y981="",$Z981=""),"",ROUND(IFERROR(VALUE(LEFT($Y981,1)),0)*12+IFERROR(VALUE(LEFT($Z981,1)),0)*8,0))</f>
        <v/>
      </c>
      <c r="AB981" s="45" t="str">
        <f aca="false">IF($AA981="","",IF($AA981&gt;=80,"A - call first",IF($AA981&gt;=60,"B - worth pursuing",IF($AA981&gt;=40,"C - nurture","D - do not spend time here"))))</f>
        <v/>
      </c>
      <c r="AC981" s="46" t="str">
        <f aca="false">IF($C981="","",IF($S981="Converted","7 Certification / Enterprise opportunity",IF($S981="Application Started","7 Certification / Enterprise opportunity",IF($S981="Meeting Booked","6 Meeting / Application",IF(OR($S981="Interested",$S981="Info Requested"),"5 Interested",IF(OR($S981="Declined",$S981="Not Relevant"),"0 Closed - no",IF($R981="Yes","4 Contacted",IF($N981="Yes","2 Engaged",IF($M981="Yes","1 Awareness",IF($AA981&gt;=60,"3 Qualified","1 Awareness"))))))))))</f>
        <v/>
      </c>
    </row>
    <row r="982" customFormat="false" ht="30" hidden="false" customHeight="true" outlineLevel="0" collapsed="false">
      <c r="A982" s="36"/>
      <c r="B982" s="37"/>
      <c r="C982" s="37"/>
      <c r="D982" s="37"/>
      <c r="E982" s="37"/>
      <c r="F982" s="37"/>
      <c r="G982" s="37"/>
      <c r="H982" s="37"/>
      <c r="I982" s="37"/>
      <c r="J982" s="47"/>
      <c r="K982" s="41" t="str">
        <f aca="false">IF(J982="","",IF(J982&gt;=8,"Yes","Check"))</f>
        <v/>
      </c>
      <c r="L982" s="38"/>
      <c r="M982" s="47"/>
      <c r="N982" s="47"/>
      <c r="O982" s="37"/>
      <c r="P982" s="38"/>
      <c r="Q982" s="42" t="str">
        <f aca="false">IF(P982="","",LEN(P982))</f>
        <v/>
      </c>
      <c r="R982" s="47"/>
      <c r="S982" s="37"/>
      <c r="T982" s="38"/>
      <c r="U982" s="43" t="str">
        <f aca="false">IF(OR(R982&lt;&gt;"Yes",A982=""),"",A982+4)</f>
        <v/>
      </c>
      <c r="V982" s="47"/>
      <c r="W982" s="38"/>
      <c r="X982" s="38"/>
      <c r="Y982" s="44"/>
      <c r="Z982" s="44"/>
      <c r="AA982" s="45" t="str">
        <f aca="false">IF(AND($Y982="",$Z982=""),"",ROUND(IFERROR(VALUE(LEFT($Y982,1)),0)*12+IFERROR(VALUE(LEFT($Z982,1)),0)*8,0))</f>
        <v/>
      </c>
      <c r="AB982" s="45" t="str">
        <f aca="false">IF($AA982="","",IF($AA982&gt;=80,"A - call first",IF($AA982&gt;=60,"B - worth pursuing",IF($AA982&gt;=40,"C - nurture","D - do not spend time here"))))</f>
        <v/>
      </c>
      <c r="AC982" s="46" t="str">
        <f aca="false">IF($C982="","",IF($S982="Converted","7 Certification / Enterprise opportunity",IF($S982="Application Started","7 Certification / Enterprise opportunity",IF($S982="Meeting Booked","6 Meeting / Application",IF(OR($S982="Interested",$S982="Info Requested"),"5 Interested",IF(OR($S982="Declined",$S982="Not Relevant"),"0 Closed - no",IF($R982="Yes","4 Contacted",IF($N982="Yes","2 Engaged",IF($M982="Yes","1 Awareness",IF($AA982&gt;=60,"3 Qualified","1 Awareness"))))))))))</f>
        <v/>
      </c>
    </row>
    <row r="983" customFormat="false" ht="30" hidden="false" customHeight="true" outlineLevel="0" collapsed="false">
      <c r="A983" s="36"/>
      <c r="B983" s="37"/>
      <c r="C983" s="37"/>
      <c r="D983" s="37"/>
      <c r="E983" s="37"/>
      <c r="F983" s="37"/>
      <c r="G983" s="37"/>
      <c r="H983" s="37"/>
      <c r="I983" s="37"/>
      <c r="J983" s="47"/>
      <c r="K983" s="41" t="str">
        <f aca="false">IF(J983="","",IF(J983&gt;=8,"Yes","Check"))</f>
        <v/>
      </c>
      <c r="L983" s="38"/>
      <c r="M983" s="47"/>
      <c r="N983" s="47"/>
      <c r="O983" s="37"/>
      <c r="P983" s="38"/>
      <c r="Q983" s="42" t="str">
        <f aca="false">IF(P983="","",LEN(P983))</f>
        <v/>
      </c>
      <c r="R983" s="47"/>
      <c r="S983" s="37"/>
      <c r="T983" s="38"/>
      <c r="U983" s="43" t="str">
        <f aca="false">IF(OR(R983&lt;&gt;"Yes",A983=""),"",A983+4)</f>
        <v/>
      </c>
      <c r="V983" s="47"/>
      <c r="W983" s="38"/>
      <c r="X983" s="38"/>
      <c r="Y983" s="44"/>
      <c r="Z983" s="44"/>
      <c r="AA983" s="45" t="str">
        <f aca="false">IF(AND($Y983="",$Z983=""),"",ROUND(IFERROR(VALUE(LEFT($Y983,1)),0)*12+IFERROR(VALUE(LEFT($Z983,1)),0)*8,0))</f>
        <v/>
      </c>
      <c r="AB983" s="45" t="str">
        <f aca="false">IF($AA983="","",IF($AA983&gt;=80,"A - call first",IF($AA983&gt;=60,"B - worth pursuing",IF($AA983&gt;=40,"C - nurture","D - do not spend time here"))))</f>
        <v/>
      </c>
      <c r="AC983" s="46" t="str">
        <f aca="false">IF($C983="","",IF($S983="Converted","7 Certification / Enterprise opportunity",IF($S983="Application Started","7 Certification / Enterprise opportunity",IF($S983="Meeting Booked","6 Meeting / Application",IF(OR($S983="Interested",$S983="Info Requested"),"5 Interested",IF(OR($S983="Declined",$S983="Not Relevant"),"0 Closed - no",IF($R983="Yes","4 Contacted",IF($N983="Yes","2 Engaged",IF($M983="Yes","1 Awareness",IF($AA983&gt;=60,"3 Qualified","1 Awareness"))))))))))</f>
        <v/>
      </c>
    </row>
    <row r="984" customFormat="false" ht="30" hidden="false" customHeight="true" outlineLevel="0" collapsed="false">
      <c r="A984" s="36"/>
      <c r="B984" s="37"/>
      <c r="C984" s="37"/>
      <c r="D984" s="37"/>
      <c r="E984" s="37"/>
      <c r="F984" s="37"/>
      <c r="G984" s="37"/>
      <c r="H984" s="37"/>
      <c r="I984" s="37"/>
      <c r="J984" s="47"/>
      <c r="K984" s="41" t="str">
        <f aca="false">IF(J984="","",IF(J984&gt;=8,"Yes","Check"))</f>
        <v/>
      </c>
      <c r="L984" s="38"/>
      <c r="M984" s="47"/>
      <c r="N984" s="47"/>
      <c r="O984" s="37"/>
      <c r="P984" s="38"/>
      <c r="Q984" s="42" t="str">
        <f aca="false">IF(P984="","",LEN(P984))</f>
        <v/>
      </c>
      <c r="R984" s="47"/>
      <c r="S984" s="37"/>
      <c r="T984" s="38"/>
      <c r="U984" s="43" t="str">
        <f aca="false">IF(OR(R984&lt;&gt;"Yes",A984=""),"",A984+4)</f>
        <v/>
      </c>
      <c r="V984" s="47"/>
      <c r="W984" s="38"/>
      <c r="X984" s="38"/>
      <c r="Y984" s="44"/>
      <c r="Z984" s="44"/>
      <c r="AA984" s="45" t="str">
        <f aca="false">IF(AND($Y984="",$Z984=""),"",ROUND(IFERROR(VALUE(LEFT($Y984,1)),0)*12+IFERROR(VALUE(LEFT($Z984,1)),0)*8,0))</f>
        <v/>
      </c>
      <c r="AB984" s="45" t="str">
        <f aca="false">IF($AA984="","",IF($AA984&gt;=80,"A - call first",IF($AA984&gt;=60,"B - worth pursuing",IF($AA984&gt;=40,"C - nurture","D - do not spend time here"))))</f>
        <v/>
      </c>
      <c r="AC984" s="46" t="str">
        <f aca="false">IF($C984="","",IF($S984="Converted","7 Certification / Enterprise opportunity",IF($S984="Application Started","7 Certification / Enterprise opportunity",IF($S984="Meeting Booked","6 Meeting / Application",IF(OR($S984="Interested",$S984="Info Requested"),"5 Interested",IF(OR($S984="Declined",$S984="Not Relevant"),"0 Closed - no",IF($R984="Yes","4 Contacted",IF($N984="Yes","2 Engaged",IF($M984="Yes","1 Awareness",IF($AA984&gt;=60,"3 Qualified","1 Awareness"))))))))))</f>
        <v/>
      </c>
    </row>
    <row r="985" customFormat="false" ht="30" hidden="false" customHeight="true" outlineLevel="0" collapsed="false">
      <c r="A985" s="36"/>
      <c r="B985" s="37"/>
      <c r="C985" s="37"/>
      <c r="D985" s="37"/>
      <c r="E985" s="37"/>
      <c r="F985" s="37"/>
      <c r="G985" s="37"/>
      <c r="H985" s="37"/>
      <c r="I985" s="37"/>
      <c r="J985" s="47"/>
      <c r="K985" s="41" t="str">
        <f aca="false">IF(J985="","",IF(J985&gt;=8,"Yes","Check"))</f>
        <v/>
      </c>
      <c r="L985" s="38"/>
      <c r="M985" s="47"/>
      <c r="N985" s="47"/>
      <c r="O985" s="37"/>
      <c r="P985" s="38"/>
      <c r="Q985" s="42" t="str">
        <f aca="false">IF(P985="","",LEN(P985))</f>
        <v/>
      </c>
      <c r="R985" s="47"/>
      <c r="S985" s="37"/>
      <c r="T985" s="38"/>
      <c r="U985" s="43" t="str">
        <f aca="false">IF(OR(R985&lt;&gt;"Yes",A985=""),"",A985+4)</f>
        <v/>
      </c>
      <c r="V985" s="47"/>
      <c r="W985" s="38"/>
      <c r="X985" s="38"/>
      <c r="Y985" s="44"/>
      <c r="Z985" s="44"/>
      <c r="AA985" s="45" t="str">
        <f aca="false">IF(AND($Y985="",$Z985=""),"",ROUND(IFERROR(VALUE(LEFT($Y985,1)),0)*12+IFERROR(VALUE(LEFT($Z985,1)),0)*8,0))</f>
        <v/>
      </c>
      <c r="AB985" s="45" t="str">
        <f aca="false">IF($AA985="","",IF($AA985&gt;=80,"A - call first",IF($AA985&gt;=60,"B - worth pursuing",IF($AA985&gt;=40,"C - nurture","D - do not spend time here"))))</f>
        <v/>
      </c>
      <c r="AC985" s="46" t="str">
        <f aca="false">IF($C985="","",IF($S985="Converted","7 Certification / Enterprise opportunity",IF($S985="Application Started","7 Certification / Enterprise opportunity",IF($S985="Meeting Booked","6 Meeting / Application",IF(OR($S985="Interested",$S985="Info Requested"),"5 Interested",IF(OR($S985="Declined",$S985="Not Relevant"),"0 Closed - no",IF($R985="Yes","4 Contacted",IF($N985="Yes","2 Engaged",IF($M985="Yes","1 Awareness",IF($AA985&gt;=60,"3 Qualified","1 Awareness"))))))))))</f>
        <v/>
      </c>
    </row>
    <row r="986" customFormat="false" ht="30" hidden="false" customHeight="true" outlineLevel="0" collapsed="false">
      <c r="A986" s="36"/>
      <c r="B986" s="37"/>
      <c r="C986" s="37"/>
      <c r="D986" s="37"/>
      <c r="E986" s="37"/>
      <c r="F986" s="37"/>
      <c r="G986" s="37"/>
      <c r="H986" s="37"/>
      <c r="I986" s="37"/>
      <c r="J986" s="47"/>
      <c r="K986" s="41" t="str">
        <f aca="false">IF(J986="","",IF(J986&gt;=8,"Yes","Check"))</f>
        <v/>
      </c>
      <c r="L986" s="38"/>
      <c r="M986" s="47"/>
      <c r="N986" s="47"/>
      <c r="O986" s="37"/>
      <c r="P986" s="38"/>
      <c r="Q986" s="42" t="str">
        <f aca="false">IF(P986="","",LEN(P986))</f>
        <v/>
      </c>
      <c r="R986" s="47"/>
      <c r="S986" s="37"/>
      <c r="T986" s="38"/>
      <c r="U986" s="43" t="str">
        <f aca="false">IF(OR(R986&lt;&gt;"Yes",A986=""),"",A986+4)</f>
        <v/>
      </c>
      <c r="V986" s="47"/>
      <c r="W986" s="38"/>
      <c r="X986" s="38"/>
      <c r="Y986" s="44"/>
      <c r="Z986" s="44"/>
      <c r="AA986" s="45" t="str">
        <f aca="false">IF(AND($Y986="",$Z986=""),"",ROUND(IFERROR(VALUE(LEFT($Y986,1)),0)*12+IFERROR(VALUE(LEFT($Z986,1)),0)*8,0))</f>
        <v/>
      </c>
      <c r="AB986" s="45" t="str">
        <f aca="false">IF($AA986="","",IF($AA986&gt;=80,"A - call first",IF($AA986&gt;=60,"B - worth pursuing",IF($AA986&gt;=40,"C - nurture","D - do not spend time here"))))</f>
        <v/>
      </c>
      <c r="AC986" s="46" t="str">
        <f aca="false">IF($C986="","",IF($S986="Converted","7 Certification / Enterprise opportunity",IF($S986="Application Started","7 Certification / Enterprise opportunity",IF($S986="Meeting Booked","6 Meeting / Application",IF(OR($S986="Interested",$S986="Info Requested"),"5 Interested",IF(OR($S986="Declined",$S986="Not Relevant"),"0 Closed - no",IF($R986="Yes","4 Contacted",IF($N986="Yes","2 Engaged",IF($M986="Yes","1 Awareness",IF($AA986&gt;=60,"3 Qualified","1 Awareness"))))))))))</f>
        <v/>
      </c>
    </row>
    <row r="987" customFormat="false" ht="30" hidden="false" customHeight="true" outlineLevel="0" collapsed="false">
      <c r="A987" s="36"/>
      <c r="B987" s="37"/>
      <c r="C987" s="37"/>
      <c r="D987" s="37"/>
      <c r="E987" s="37"/>
      <c r="F987" s="37"/>
      <c r="G987" s="37"/>
      <c r="H987" s="37"/>
      <c r="I987" s="37"/>
      <c r="J987" s="47"/>
      <c r="K987" s="41" t="str">
        <f aca="false">IF(J987="","",IF(J987&gt;=8,"Yes","Check"))</f>
        <v/>
      </c>
      <c r="L987" s="38"/>
      <c r="M987" s="47"/>
      <c r="N987" s="47"/>
      <c r="O987" s="37"/>
      <c r="P987" s="38"/>
      <c r="Q987" s="42" t="str">
        <f aca="false">IF(P987="","",LEN(P987))</f>
        <v/>
      </c>
      <c r="R987" s="47"/>
      <c r="S987" s="37"/>
      <c r="T987" s="38"/>
      <c r="U987" s="43" t="str">
        <f aca="false">IF(OR(R987&lt;&gt;"Yes",A987=""),"",A987+4)</f>
        <v/>
      </c>
      <c r="V987" s="47"/>
      <c r="W987" s="38"/>
      <c r="X987" s="38"/>
      <c r="Y987" s="44"/>
      <c r="Z987" s="44"/>
      <c r="AA987" s="45" t="str">
        <f aca="false">IF(AND($Y987="",$Z987=""),"",ROUND(IFERROR(VALUE(LEFT($Y987,1)),0)*12+IFERROR(VALUE(LEFT($Z987,1)),0)*8,0))</f>
        <v/>
      </c>
      <c r="AB987" s="45" t="str">
        <f aca="false">IF($AA987="","",IF($AA987&gt;=80,"A - call first",IF($AA987&gt;=60,"B - worth pursuing",IF($AA987&gt;=40,"C - nurture","D - do not spend time here"))))</f>
        <v/>
      </c>
      <c r="AC987" s="46" t="str">
        <f aca="false">IF($C987="","",IF($S987="Converted","7 Certification / Enterprise opportunity",IF($S987="Application Started","7 Certification / Enterprise opportunity",IF($S987="Meeting Booked","6 Meeting / Application",IF(OR($S987="Interested",$S987="Info Requested"),"5 Interested",IF(OR($S987="Declined",$S987="Not Relevant"),"0 Closed - no",IF($R987="Yes","4 Contacted",IF($N987="Yes","2 Engaged",IF($M987="Yes","1 Awareness",IF($AA987&gt;=60,"3 Qualified","1 Awareness"))))))))))</f>
        <v/>
      </c>
    </row>
    <row r="988" customFormat="false" ht="30" hidden="false" customHeight="true" outlineLevel="0" collapsed="false">
      <c r="A988" s="36"/>
      <c r="B988" s="37"/>
      <c r="C988" s="37"/>
      <c r="D988" s="37"/>
      <c r="E988" s="37"/>
      <c r="F988" s="37"/>
      <c r="G988" s="37"/>
      <c r="H988" s="37"/>
      <c r="I988" s="37"/>
      <c r="J988" s="47"/>
      <c r="K988" s="41" t="str">
        <f aca="false">IF(J988="","",IF(J988&gt;=8,"Yes","Check"))</f>
        <v/>
      </c>
      <c r="L988" s="38"/>
      <c r="M988" s="47"/>
      <c r="N988" s="47"/>
      <c r="O988" s="37"/>
      <c r="P988" s="38"/>
      <c r="Q988" s="42" t="str">
        <f aca="false">IF(P988="","",LEN(P988))</f>
        <v/>
      </c>
      <c r="R988" s="47"/>
      <c r="S988" s="37"/>
      <c r="T988" s="38"/>
      <c r="U988" s="43" t="str">
        <f aca="false">IF(OR(R988&lt;&gt;"Yes",A988=""),"",A988+4)</f>
        <v/>
      </c>
      <c r="V988" s="47"/>
      <c r="W988" s="38"/>
      <c r="X988" s="38"/>
      <c r="Y988" s="44"/>
      <c r="Z988" s="44"/>
      <c r="AA988" s="45" t="str">
        <f aca="false">IF(AND($Y988="",$Z988=""),"",ROUND(IFERROR(VALUE(LEFT($Y988,1)),0)*12+IFERROR(VALUE(LEFT($Z988,1)),0)*8,0))</f>
        <v/>
      </c>
      <c r="AB988" s="45" t="str">
        <f aca="false">IF($AA988="","",IF($AA988&gt;=80,"A - call first",IF($AA988&gt;=60,"B - worth pursuing",IF($AA988&gt;=40,"C - nurture","D - do not spend time here"))))</f>
        <v/>
      </c>
      <c r="AC988" s="46" t="str">
        <f aca="false">IF($C988="","",IF($S988="Converted","7 Certification / Enterprise opportunity",IF($S988="Application Started","7 Certification / Enterprise opportunity",IF($S988="Meeting Booked","6 Meeting / Application",IF(OR($S988="Interested",$S988="Info Requested"),"5 Interested",IF(OR($S988="Declined",$S988="Not Relevant"),"0 Closed - no",IF($R988="Yes","4 Contacted",IF($N988="Yes","2 Engaged",IF($M988="Yes","1 Awareness",IF($AA988&gt;=60,"3 Qualified","1 Awareness"))))))))))</f>
        <v/>
      </c>
    </row>
    <row r="989" customFormat="false" ht="30" hidden="false" customHeight="true" outlineLevel="0" collapsed="false">
      <c r="A989" s="36"/>
      <c r="B989" s="37"/>
      <c r="C989" s="37"/>
      <c r="D989" s="37"/>
      <c r="E989" s="37"/>
      <c r="F989" s="37"/>
      <c r="G989" s="37"/>
      <c r="H989" s="37"/>
      <c r="I989" s="37"/>
      <c r="J989" s="47"/>
      <c r="K989" s="41" t="str">
        <f aca="false">IF(J989="","",IF(J989&gt;=8,"Yes","Check"))</f>
        <v/>
      </c>
      <c r="L989" s="38"/>
      <c r="M989" s="47"/>
      <c r="N989" s="47"/>
      <c r="O989" s="37"/>
      <c r="P989" s="38"/>
      <c r="Q989" s="42" t="str">
        <f aca="false">IF(P989="","",LEN(P989))</f>
        <v/>
      </c>
      <c r="R989" s="47"/>
      <c r="S989" s="37"/>
      <c r="T989" s="38"/>
      <c r="U989" s="43" t="str">
        <f aca="false">IF(OR(R989&lt;&gt;"Yes",A989=""),"",A989+4)</f>
        <v/>
      </c>
      <c r="V989" s="47"/>
      <c r="W989" s="38"/>
      <c r="X989" s="38"/>
      <c r="Y989" s="44"/>
      <c r="Z989" s="44"/>
      <c r="AA989" s="45" t="str">
        <f aca="false">IF(AND($Y989="",$Z989=""),"",ROUND(IFERROR(VALUE(LEFT($Y989,1)),0)*12+IFERROR(VALUE(LEFT($Z989,1)),0)*8,0))</f>
        <v/>
      </c>
      <c r="AB989" s="45" t="str">
        <f aca="false">IF($AA989="","",IF($AA989&gt;=80,"A - call first",IF($AA989&gt;=60,"B - worth pursuing",IF($AA989&gt;=40,"C - nurture","D - do not spend time here"))))</f>
        <v/>
      </c>
      <c r="AC989" s="46" t="str">
        <f aca="false">IF($C989="","",IF($S989="Converted","7 Certification / Enterprise opportunity",IF($S989="Application Started","7 Certification / Enterprise opportunity",IF($S989="Meeting Booked","6 Meeting / Application",IF(OR($S989="Interested",$S989="Info Requested"),"5 Interested",IF(OR($S989="Declined",$S989="Not Relevant"),"0 Closed - no",IF($R989="Yes","4 Contacted",IF($N989="Yes","2 Engaged",IF($M989="Yes","1 Awareness",IF($AA989&gt;=60,"3 Qualified","1 Awareness"))))))))))</f>
        <v/>
      </c>
    </row>
    <row r="990" customFormat="false" ht="30" hidden="false" customHeight="true" outlineLevel="0" collapsed="false">
      <c r="A990" s="36"/>
      <c r="B990" s="37"/>
      <c r="C990" s="37"/>
      <c r="D990" s="37"/>
      <c r="E990" s="37"/>
      <c r="F990" s="37"/>
      <c r="G990" s="37"/>
      <c r="H990" s="37"/>
      <c r="I990" s="37"/>
      <c r="J990" s="47"/>
      <c r="K990" s="41" t="str">
        <f aca="false">IF(J990="","",IF(J990&gt;=8,"Yes","Check"))</f>
        <v/>
      </c>
      <c r="L990" s="38"/>
      <c r="M990" s="47"/>
      <c r="N990" s="47"/>
      <c r="O990" s="37"/>
      <c r="P990" s="38"/>
      <c r="Q990" s="42" t="str">
        <f aca="false">IF(P990="","",LEN(P990))</f>
        <v/>
      </c>
      <c r="R990" s="47"/>
      <c r="S990" s="37"/>
      <c r="T990" s="38"/>
      <c r="U990" s="43" t="str">
        <f aca="false">IF(OR(R990&lt;&gt;"Yes",A990=""),"",A990+4)</f>
        <v/>
      </c>
      <c r="V990" s="47"/>
      <c r="W990" s="38"/>
      <c r="X990" s="38"/>
      <c r="Y990" s="44"/>
      <c r="Z990" s="44"/>
      <c r="AA990" s="45" t="str">
        <f aca="false">IF(AND($Y990="",$Z990=""),"",ROUND(IFERROR(VALUE(LEFT($Y990,1)),0)*12+IFERROR(VALUE(LEFT($Z990,1)),0)*8,0))</f>
        <v/>
      </c>
      <c r="AB990" s="45" t="str">
        <f aca="false">IF($AA990="","",IF($AA990&gt;=80,"A - call first",IF($AA990&gt;=60,"B - worth pursuing",IF($AA990&gt;=40,"C - nurture","D - do not spend time here"))))</f>
        <v/>
      </c>
      <c r="AC990" s="46" t="str">
        <f aca="false">IF($C990="","",IF($S990="Converted","7 Certification / Enterprise opportunity",IF($S990="Application Started","7 Certification / Enterprise opportunity",IF($S990="Meeting Booked","6 Meeting / Application",IF(OR($S990="Interested",$S990="Info Requested"),"5 Interested",IF(OR($S990="Declined",$S990="Not Relevant"),"0 Closed - no",IF($R990="Yes","4 Contacted",IF($N990="Yes","2 Engaged",IF($M990="Yes","1 Awareness",IF($AA990&gt;=60,"3 Qualified","1 Awareness"))))))))))</f>
        <v/>
      </c>
    </row>
    <row r="991" customFormat="false" ht="30" hidden="false" customHeight="true" outlineLevel="0" collapsed="false">
      <c r="A991" s="36"/>
      <c r="B991" s="37"/>
      <c r="C991" s="37"/>
      <c r="D991" s="37"/>
      <c r="E991" s="37"/>
      <c r="F991" s="37"/>
      <c r="G991" s="37"/>
      <c r="H991" s="37"/>
      <c r="I991" s="37"/>
      <c r="J991" s="47"/>
      <c r="K991" s="41" t="str">
        <f aca="false">IF(J991="","",IF(J991&gt;=8,"Yes","Check"))</f>
        <v/>
      </c>
      <c r="L991" s="38"/>
      <c r="M991" s="47"/>
      <c r="N991" s="47"/>
      <c r="O991" s="37"/>
      <c r="P991" s="38"/>
      <c r="Q991" s="42" t="str">
        <f aca="false">IF(P991="","",LEN(P991))</f>
        <v/>
      </c>
      <c r="R991" s="47"/>
      <c r="S991" s="37"/>
      <c r="T991" s="38"/>
      <c r="U991" s="43" t="str">
        <f aca="false">IF(OR(R991&lt;&gt;"Yes",A991=""),"",A991+4)</f>
        <v/>
      </c>
      <c r="V991" s="47"/>
      <c r="W991" s="38"/>
      <c r="X991" s="38"/>
      <c r="Y991" s="44"/>
      <c r="Z991" s="44"/>
      <c r="AA991" s="45" t="str">
        <f aca="false">IF(AND($Y991="",$Z991=""),"",ROUND(IFERROR(VALUE(LEFT($Y991,1)),0)*12+IFERROR(VALUE(LEFT($Z991,1)),0)*8,0))</f>
        <v/>
      </c>
      <c r="AB991" s="45" t="str">
        <f aca="false">IF($AA991="","",IF($AA991&gt;=80,"A - call first",IF($AA991&gt;=60,"B - worth pursuing",IF($AA991&gt;=40,"C - nurture","D - do not spend time here"))))</f>
        <v/>
      </c>
      <c r="AC991" s="46" t="str">
        <f aca="false">IF($C991="","",IF($S991="Converted","7 Certification / Enterprise opportunity",IF($S991="Application Started","7 Certification / Enterprise opportunity",IF($S991="Meeting Booked","6 Meeting / Application",IF(OR($S991="Interested",$S991="Info Requested"),"5 Interested",IF(OR($S991="Declined",$S991="Not Relevant"),"0 Closed - no",IF($R991="Yes","4 Contacted",IF($N991="Yes","2 Engaged",IF($M991="Yes","1 Awareness",IF($AA991&gt;=60,"3 Qualified","1 Awareness"))))))))))</f>
        <v/>
      </c>
    </row>
    <row r="992" customFormat="false" ht="30" hidden="false" customHeight="true" outlineLevel="0" collapsed="false">
      <c r="A992" s="36"/>
      <c r="B992" s="37"/>
      <c r="C992" s="37"/>
      <c r="D992" s="37"/>
      <c r="E992" s="37"/>
      <c r="F992" s="37"/>
      <c r="G992" s="37"/>
      <c r="H992" s="37"/>
      <c r="I992" s="37"/>
      <c r="J992" s="47"/>
      <c r="K992" s="41" t="str">
        <f aca="false">IF(J992="","",IF(J992&gt;=8,"Yes","Check"))</f>
        <v/>
      </c>
      <c r="L992" s="38"/>
      <c r="M992" s="47"/>
      <c r="N992" s="47"/>
      <c r="O992" s="37"/>
      <c r="P992" s="38"/>
      <c r="Q992" s="42" t="str">
        <f aca="false">IF(P992="","",LEN(P992))</f>
        <v/>
      </c>
      <c r="R992" s="47"/>
      <c r="S992" s="37"/>
      <c r="T992" s="38"/>
      <c r="U992" s="43" t="str">
        <f aca="false">IF(OR(R992&lt;&gt;"Yes",A992=""),"",A992+4)</f>
        <v/>
      </c>
      <c r="V992" s="47"/>
      <c r="W992" s="38"/>
      <c r="X992" s="38"/>
      <c r="Y992" s="44"/>
      <c r="Z992" s="44"/>
      <c r="AA992" s="45" t="str">
        <f aca="false">IF(AND($Y992="",$Z992=""),"",ROUND(IFERROR(VALUE(LEFT($Y992,1)),0)*12+IFERROR(VALUE(LEFT($Z992,1)),0)*8,0))</f>
        <v/>
      </c>
      <c r="AB992" s="45" t="str">
        <f aca="false">IF($AA992="","",IF($AA992&gt;=80,"A - call first",IF($AA992&gt;=60,"B - worth pursuing",IF($AA992&gt;=40,"C - nurture","D - do not spend time here"))))</f>
        <v/>
      </c>
      <c r="AC992" s="46" t="str">
        <f aca="false">IF($C992="","",IF($S992="Converted","7 Certification / Enterprise opportunity",IF($S992="Application Started","7 Certification / Enterprise opportunity",IF($S992="Meeting Booked","6 Meeting / Application",IF(OR($S992="Interested",$S992="Info Requested"),"5 Interested",IF(OR($S992="Declined",$S992="Not Relevant"),"0 Closed - no",IF($R992="Yes","4 Contacted",IF($N992="Yes","2 Engaged",IF($M992="Yes","1 Awareness",IF($AA992&gt;=60,"3 Qualified","1 Awareness"))))))))))</f>
        <v/>
      </c>
    </row>
    <row r="993" customFormat="false" ht="30" hidden="false" customHeight="true" outlineLevel="0" collapsed="false">
      <c r="A993" s="36"/>
      <c r="B993" s="37"/>
      <c r="C993" s="37"/>
      <c r="D993" s="37"/>
      <c r="E993" s="37"/>
      <c r="F993" s="37"/>
      <c r="G993" s="37"/>
      <c r="H993" s="37"/>
      <c r="I993" s="37"/>
      <c r="J993" s="47"/>
      <c r="K993" s="41" t="str">
        <f aca="false">IF(J993="","",IF(J993&gt;=8,"Yes","Check"))</f>
        <v/>
      </c>
      <c r="L993" s="38"/>
      <c r="M993" s="47"/>
      <c r="N993" s="47"/>
      <c r="O993" s="37"/>
      <c r="P993" s="38"/>
      <c r="Q993" s="42" t="str">
        <f aca="false">IF(P993="","",LEN(P993))</f>
        <v/>
      </c>
      <c r="R993" s="47"/>
      <c r="S993" s="37"/>
      <c r="T993" s="38"/>
      <c r="U993" s="43" t="str">
        <f aca="false">IF(OR(R993&lt;&gt;"Yes",A993=""),"",A993+4)</f>
        <v/>
      </c>
      <c r="V993" s="47"/>
      <c r="W993" s="38"/>
      <c r="X993" s="38"/>
      <c r="Y993" s="44"/>
      <c r="Z993" s="44"/>
      <c r="AA993" s="45" t="str">
        <f aca="false">IF(AND($Y993="",$Z993=""),"",ROUND(IFERROR(VALUE(LEFT($Y993,1)),0)*12+IFERROR(VALUE(LEFT($Z993,1)),0)*8,0))</f>
        <v/>
      </c>
      <c r="AB993" s="45" t="str">
        <f aca="false">IF($AA993="","",IF($AA993&gt;=80,"A - call first",IF($AA993&gt;=60,"B - worth pursuing",IF($AA993&gt;=40,"C - nurture","D - do not spend time here"))))</f>
        <v/>
      </c>
      <c r="AC993" s="46" t="str">
        <f aca="false">IF($C993="","",IF($S993="Converted","7 Certification / Enterprise opportunity",IF($S993="Application Started","7 Certification / Enterprise opportunity",IF($S993="Meeting Booked","6 Meeting / Application",IF(OR($S993="Interested",$S993="Info Requested"),"5 Interested",IF(OR($S993="Declined",$S993="Not Relevant"),"0 Closed - no",IF($R993="Yes","4 Contacted",IF($N993="Yes","2 Engaged",IF($M993="Yes","1 Awareness",IF($AA993&gt;=60,"3 Qualified","1 Awareness"))))))))))</f>
        <v/>
      </c>
    </row>
    <row r="994" customFormat="false" ht="30" hidden="false" customHeight="true" outlineLevel="0" collapsed="false">
      <c r="A994" s="36"/>
      <c r="B994" s="37"/>
      <c r="C994" s="37"/>
      <c r="D994" s="37"/>
      <c r="E994" s="37"/>
      <c r="F994" s="37"/>
      <c r="G994" s="37"/>
      <c r="H994" s="37"/>
      <c r="I994" s="37"/>
      <c r="J994" s="47"/>
      <c r="K994" s="41" t="str">
        <f aca="false">IF(J994="","",IF(J994&gt;=8,"Yes","Check"))</f>
        <v/>
      </c>
      <c r="L994" s="38"/>
      <c r="M994" s="47"/>
      <c r="N994" s="47"/>
      <c r="O994" s="37"/>
      <c r="P994" s="38"/>
      <c r="Q994" s="42" t="str">
        <f aca="false">IF(P994="","",LEN(P994))</f>
        <v/>
      </c>
      <c r="R994" s="47"/>
      <c r="S994" s="37"/>
      <c r="T994" s="38"/>
      <c r="U994" s="43" t="str">
        <f aca="false">IF(OR(R994&lt;&gt;"Yes",A994=""),"",A994+4)</f>
        <v/>
      </c>
      <c r="V994" s="47"/>
      <c r="W994" s="38"/>
      <c r="X994" s="38"/>
      <c r="Y994" s="44"/>
      <c r="Z994" s="44"/>
      <c r="AA994" s="45" t="str">
        <f aca="false">IF(AND($Y994="",$Z994=""),"",ROUND(IFERROR(VALUE(LEFT($Y994,1)),0)*12+IFERROR(VALUE(LEFT($Z994,1)),0)*8,0))</f>
        <v/>
      </c>
      <c r="AB994" s="45" t="str">
        <f aca="false">IF($AA994="","",IF($AA994&gt;=80,"A - call first",IF($AA994&gt;=60,"B - worth pursuing",IF($AA994&gt;=40,"C - nurture","D - do not spend time here"))))</f>
        <v/>
      </c>
      <c r="AC994" s="46" t="str">
        <f aca="false">IF($C994="","",IF($S994="Converted","7 Certification / Enterprise opportunity",IF($S994="Application Started","7 Certification / Enterprise opportunity",IF($S994="Meeting Booked","6 Meeting / Application",IF(OR($S994="Interested",$S994="Info Requested"),"5 Interested",IF(OR($S994="Declined",$S994="Not Relevant"),"0 Closed - no",IF($R994="Yes","4 Contacted",IF($N994="Yes","2 Engaged",IF($M994="Yes","1 Awareness",IF($AA994&gt;=60,"3 Qualified","1 Awareness"))))))))))</f>
        <v/>
      </c>
    </row>
    <row r="995" customFormat="false" ht="30" hidden="false" customHeight="true" outlineLevel="0" collapsed="false">
      <c r="A995" s="36"/>
      <c r="B995" s="37"/>
      <c r="C995" s="37"/>
      <c r="D995" s="37"/>
      <c r="E995" s="37"/>
      <c r="F995" s="37"/>
      <c r="G995" s="37"/>
      <c r="H995" s="37"/>
      <c r="I995" s="37"/>
      <c r="J995" s="47"/>
      <c r="K995" s="41" t="str">
        <f aca="false">IF(J995="","",IF(J995&gt;=8,"Yes","Check"))</f>
        <v/>
      </c>
      <c r="L995" s="38"/>
      <c r="M995" s="47"/>
      <c r="N995" s="47"/>
      <c r="O995" s="37"/>
      <c r="P995" s="38"/>
      <c r="Q995" s="42" t="str">
        <f aca="false">IF(P995="","",LEN(P995))</f>
        <v/>
      </c>
      <c r="R995" s="47"/>
      <c r="S995" s="37"/>
      <c r="T995" s="38"/>
      <c r="U995" s="43" t="str">
        <f aca="false">IF(OR(R995&lt;&gt;"Yes",A995=""),"",A995+4)</f>
        <v/>
      </c>
      <c r="V995" s="47"/>
      <c r="W995" s="38"/>
      <c r="X995" s="38"/>
      <c r="Y995" s="44"/>
      <c r="Z995" s="44"/>
      <c r="AA995" s="45" t="str">
        <f aca="false">IF(AND($Y995="",$Z995=""),"",ROUND(IFERROR(VALUE(LEFT($Y995,1)),0)*12+IFERROR(VALUE(LEFT($Z995,1)),0)*8,0))</f>
        <v/>
      </c>
      <c r="AB995" s="45" t="str">
        <f aca="false">IF($AA995="","",IF($AA995&gt;=80,"A - call first",IF($AA995&gt;=60,"B - worth pursuing",IF($AA995&gt;=40,"C - nurture","D - do not spend time here"))))</f>
        <v/>
      </c>
      <c r="AC995" s="46" t="str">
        <f aca="false">IF($C995="","",IF($S995="Converted","7 Certification / Enterprise opportunity",IF($S995="Application Started","7 Certification / Enterprise opportunity",IF($S995="Meeting Booked","6 Meeting / Application",IF(OR($S995="Interested",$S995="Info Requested"),"5 Interested",IF(OR($S995="Declined",$S995="Not Relevant"),"0 Closed - no",IF($R995="Yes","4 Contacted",IF($N995="Yes","2 Engaged",IF($M995="Yes","1 Awareness",IF($AA995&gt;=60,"3 Qualified","1 Awareness"))))))))))</f>
        <v/>
      </c>
    </row>
    <row r="996" customFormat="false" ht="30" hidden="false" customHeight="true" outlineLevel="0" collapsed="false">
      <c r="A996" s="36"/>
      <c r="B996" s="37"/>
      <c r="C996" s="37"/>
      <c r="D996" s="37"/>
      <c r="E996" s="37"/>
      <c r="F996" s="37"/>
      <c r="G996" s="37"/>
      <c r="H996" s="37"/>
      <c r="I996" s="37"/>
      <c r="J996" s="47"/>
      <c r="K996" s="41" t="str">
        <f aca="false">IF(J996="","",IF(J996&gt;=8,"Yes","Check"))</f>
        <v/>
      </c>
      <c r="L996" s="38"/>
      <c r="M996" s="47"/>
      <c r="N996" s="47"/>
      <c r="O996" s="37"/>
      <c r="P996" s="38"/>
      <c r="Q996" s="42" t="str">
        <f aca="false">IF(P996="","",LEN(P996))</f>
        <v/>
      </c>
      <c r="R996" s="47"/>
      <c r="S996" s="37"/>
      <c r="T996" s="38"/>
      <c r="U996" s="43" t="str">
        <f aca="false">IF(OR(R996&lt;&gt;"Yes",A996=""),"",A996+4)</f>
        <v/>
      </c>
      <c r="V996" s="47"/>
      <c r="W996" s="38"/>
      <c r="X996" s="38"/>
      <c r="Y996" s="44"/>
      <c r="Z996" s="44"/>
      <c r="AA996" s="45" t="str">
        <f aca="false">IF(AND($Y996="",$Z996=""),"",ROUND(IFERROR(VALUE(LEFT($Y996,1)),0)*12+IFERROR(VALUE(LEFT($Z996,1)),0)*8,0))</f>
        <v/>
      </c>
      <c r="AB996" s="45" t="str">
        <f aca="false">IF($AA996="","",IF($AA996&gt;=80,"A - call first",IF($AA996&gt;=60,"B - worth pursuing",IF($AA996&gt;=40,"C - nurture","D - do not spend time here"))))</f>
        <v/>
      </c>
      <c r="AC996" s="46" t="str">
        <f aca="false">IF($C996="","",IF($S996="Converted","7 Certification / Enterprise opportunity",IF($S996="Application Started","7 Certification / Enterprise opportunity",IF($S996="Meeting Booked","6 Meeting / Application",IF(OR($S996="Interested",$S996="Info Requested"),"5 Interested",IF(OR($S996="Declined",$S996="Not Relevant"),"0 Closed - no",IF($R996="Yes","4 Contacted",IF($N996="Yes","2 Engaged",IF($M996="Yes","1 Awareness",IF($AA996&gt;=60,"3 Qualified","1 Awareness"))))))))))</f>
        <v/>
      </c>
    </row>
    <row r="997" customFormat="false" ht="30" hidden="false" customHeight="true" outlineLevel="0" collapsed="false">
      <c r="A997" s="36"/>
      <c r="B997" s="37"/>
      <c r="C997" s="37"/>
      <c r="D997" s="37"/>
      <c r="E997" s="37"/>
      <c r="F997" s="37"/>
      <c r="G997" s="37"/>
      <c r="H997" s="37"/>
      <c r="I997" s="37"/>
      <c r="J997" s="47"/>
      <c r="K997" s="41" t="str">
        <f aca="false">IF(J997="","",IF(J997&gt;=8,"Yes","Check"))</f>
        <v/>
      </c>
      <c r="L997" s="38"/>
      <c r="M997" s="47"/>
      <c r="N997" s="47"/>
      <c r="O997" s="37"/>
      <c r="P997" s="38"/>
      <c r="Q997" s="42" t="str">
        <f aca="false">IF(P997="","",LEN(P997))</f>
        <v/>
      </c>
      <c r="R997" s="47"/>
      <c r="S997" s="37"/>
      <c r="T997" s="38"/>
      <c r="U997" s="43" t="str">
        <f aca="false">IF(OR(R997&lt;&gt;"Yes",A997=""),"",A997+4)</f>
        <v/>
      </c>
      <c r="V997" s="47"/>
      <c r="W997" s="38"/>
      <c r="X997" s="38"/>
      <c r="Y997" s="44"/>
      <c r="Z997" s="44"/>
      <c r="AA997" s="45" t="str">
        <f aca="false">IF(AND($Y997="",$Z997=""),"",ROUND(IFERROR(VALUE(LEFT($Y997,1)),0)*12+IFERROR(VALUE(LEFT($Z997,1)),0)*8,0))</f>
        <v/>
      </c>
      <c r="AB997" s="45" t="str">
        <f aca="false">IF($AA997="","",IF($AA997&gt;=80,"A - call first",IF($AA997&gt;=60,"B - worth pursuing",IF($AA997&gt;=40,"C - nurture","D - do not spend time here"))))</f>
        <v/>
      </c>
      <c r="AC997" s="46" t="str">
        <f aca="false">IF($C997="","",IF($S997="Converted","7 Certification / Enterprise opportunity",IF($S997="Application Started","7 Certification / Enterprise opportunity",IF($S997="Meeting Booked","6 Meeting / Application",IF(OR($S997="Interested",$S997="Info Requested"),"5 Interested",IF(OR($S997="Declined",$S997="Not Relevant"),"0 Closed - no",IF($R997="Yes","4 Contacted",IF($N997="Yes","2 Engaged",IF($M997="Yes","1 Awareness",IF($AA997&gt;=60,"3 Qualified","1 Awareness"))))))))))</f>
        <v/>
      </c>
    </row>
    <row r="998" customFormat="false" ht="30" hidden="false" customHeight="true" outlineLevel="0" collapsed="false">
      <c r="A998" s="36"/>
      <c r="B998" s="37"/>
      <c r="C998" s="37"/>
      <c r="D998" s="37"/>
      <c r="E998" s="37"/>
      <c r="F998" s="37"/>
      <c r="G998" s="37"/>
      <c r="H998" s="37"/>
      <c r="I998" s="37"/>
      <c r="J998" s="47"/>
      <c r="K998" s="41" t="str">
        <f aca="false">IF(J998="","",IF(J998&gt;=8,"Yes","Check"))</f>
        <v/>
      </c>
      <c r="L998" s="38"/>
      <c r="M998" s="47"/>
      <c r="N998" s="47"/>
      <c r="O998" s="37"/>
      <c r="P998" s="38"/>
      <c r="Q998" s="42" t="str">
        <f aca="false">IF(P998="","",LEN(P998))</f>
        <v/>
      </c>
      <c r="R998" s="47"/>
      <c r="S998" s="37"/>
      <c r="T998" s="38"/>
      <c r="U998" s="43" t="str">
        <f aca="false">IF(OR(R998&lt;&gt;"Yes",A998=""),"",A998+4)</f>
        <v/>
      </c>
      <c r="V998" s="47"/>
      <c r="W998" s="38"/>
      <c r="X998" s="38"/>
      <c r="Y998" s="44"/>
      <c r="Z998" s="44"/>
      <c r="AA998" s="45" t="str">
        <f aca="false">IF(AND($Y998="",$Z998=""),"",ROUND(IFERROR(VALUE(LEFT($Y998,1)),0)*12+IFERROR(VALUE(LEFT($Z998,1)),0)*8,0))</f>
        <v/>
      </c>
      <c r="AB998" s="45" t="str">
        <f aca="false">IF($AA998="","",IF($AA998&gt;=80,"A - call first",IF($AA998&gt;=60,"B - worth pursuing",IF($AA998&gt;=40,"C - nurture","D - do not spend time here"))))</f>
        <v/>
      </c>
      <c r="AC998" s="46" t="str">
        <f aca="false">IF($C998="","",IF($S998="Converted","7 Certification / Enterprise opportunity",IF($S998="Application Started","7 Certification / Enterprise opportunity",IF($S998="Meeting Booked","6 Meeting / Application",IF(OR($S998="Interested",$S998="Info Requested"),"5 Interested",IF(OR($S998="Declined",$S998="Not Relevant"),"0 Closed - no",IF($R998="Yes","4 Contacted",IF($N998="Yes","2 Engaged",IF($M998="Yes","1 Awareness",IF($AA998&gt;=60,"3 Qualified","1 Awareness"))))))))))</f>
        <v/>
      </c>
    </row>
    <row r="999" customFormat="false" ht="30" hidden="false" customHeight="true" outlineLevel="0" collapsed="false">
      <c r="A999" s="36"/>
      <c r="B999" s="37"/>
      <c r="C999" s="37"/>
      <c r="D999" s="37"/>
      <c r="E999" s="37"/>
      <c r="F999" s="37"/>
      <c r="G999" s="37"/>
      <c r="H999" s="37"/>
      <c r="I999" s="37"/>
      <c r="J999" s="47"/>
      <c r="K999" s="41" t="str">
        <f aca="false">IF(J999="","",IF(J999&gt;=8,"Yes","Check"))</f>
        <v/>
      </c>
      <c r="L999" s="38"/>
      <c r="M999" s="47"/>
      <c r="N999" s="47"/>
      <c r="O999" s="37"/>
      <c r="P999" s="38"/>
      <c r="Q999" s="42" t="str">
        <f aca="false">IF(P999="","",LEN(P999))</f>
        <v/>
      </c>
      <c r="R999" s="47"/>
      <c r="S999" s="37"/>
      <c r="T999" s="38"/>
      <c r="U999" s="43" t="str">
        <f aca="false">IF(OR(R999&lt;&gt;"Yes",A999=""),"",A999+4)</f>
        <v/>
      </c>
      <c r="V999" s="47"/>
      <c r="W999" s="38"/>
      <c r="X999" s="38"/>
      <c r="Y999" s="44"/>
      <c r="Z999" s="44"/>
      <c r="AA999" s="45" t="str">
        <f aca="false">IF(AND($Y999="",$Z999=""),"",ROUND(IFERROR(VALUE(LEFT($Y999,1)),0)*12+IFERROR(VALUE(LEFT($Z999,1)),0)*8,0))</f>
        <v/>
      </c>
      <c r="AB999" s="45" t="str">
        <f aca="false">IF($AA999="","",IF($AA999&gt;=80,"A - call first",IF($AA999&gt;=60,"B - worth pursuing",IF($AA999&gt;=40,"C - nurture","D - do not spend time here"))))</f>
        <v/>
      </c>
      <c r="AC999" s="46" t="str">
        <f aca="false">IF($C999="","",IF($S999="Converted","7 Certification / Enterprise opportunity",IF($S999="Application Started","7 Certification / Enterprise opportunity",IF($S999="Meeting Booked","6 Meeting / Application",IF(OR($S999="Interested",$S999="Info Requested"),"5 Interested",IF(OR($S999="Declined",$S999="Not Relevant"),"0 Closed - no",IF($R999="Yes","4 Contacted",IF($N999="Yes","2 Engaged",IF($M999="Yes","1 Awareness",IF($AA999&gt;=60,"3 Qualified","1 Awareness"))))))))))</f>
        <v/>
      </c>
    </row>
    <row r="1000" customFormat="false" ht="30" hidden="false" customHeight="true" outlineLevel="0" collapsed="false">
      <c r="A1000" s="36"/>
      <c r="B1000" s="37"/>
      <c r="C1000" s="37"/>
      <c r="D1000" s="37"/>
      <c r="E1000" s="37"/>
      <c r="F1000" s="37"/>
      <c r="G1000" s="37"/>
      <c r="H1000" s="37"/>
      <c r="I1000" s="37"/>
      <c r="J1000" s="47"/>
      <c r="K1000" s="41" t="str">
        <f aca="false">IF(J1000="","",IF(J1000&gt;=8,"Yes","Check"))</f>
        <v/>
      </c>
      <c r="L1000" s="38"/>
      <c r="M1000" s="47"/>
      <c r="N1000" s="47"/>
      <c r="O1000" s="37"/>
      <c r="P1000" s="38"/>
      <c r="Q1000" s="42" t="str">
        <f aca="false">IF(P1000="","",LEN(P1000))</f>
        <v/>
      </c>
      <c r="R1000" s="47"/>
      <c r="S1000" s="37"/>
      <c r="T1000" s="38"/>
      <c r="U1000" s="43" t="str">
        <f aca="false">IF(OR(R1000&lt;&gt;"Yes",A1000=""),"",A1000+4)</f>
        <v/>
      </c>
      <c r="V1000" s="47"/>
      <c r="W1000" s="38"/>
      <c r="X1000" s="38"/>
      <c r="Y1000" s="44"/>
      <c r="Z1000" s="44"/>
      <c r="AA1000" s="45" t="str">
        <f aca="false">IF(AND($Y1000="",$Z1000=""),"",ROUND(IFERROR(VALUE(LEFT($Y1000,1)),0)*12+IFERROR(VALUE(LEFT($Z1000,1)),0)*8,0))</f>
        <v/>
      </c>
      <c r="AB1000" s="45" t="str">
        <f aca="false">IF($AA1000="","",IF($AA1000&gt;=80,"A - call first",IF($AA1000&gt;=60,"B - worth pursuing",IF($AA1000&gt;=40,"C - nurture","D - do not spend time here"))))</f>
        <v/>
      </c>
      <c r="AC1000" s="46" t="str">
        <f aca="false">IF($C1000="","",IF($S1000="Converted","7 Certification / Enterprise opportunity",IF($S1000="Application Started","7 Certification / Enterprise opportunity",IF($S1000="Meeting Booked","6 Meeting / Application",IF(OR($S1000="Interested",$S1000="Info Requested"),"5 Interested",IF(OR($S1000="Declined",$S1000="Not Relevant"),"0 Closed - no",IF($R1000="Yes","4 Contacted",IF($N1000="Yes","2 Engaged",IF($M1000="Yes","1 Awareness",IF($AA1000&gt;=60,"3 Qualified","1 Awareness"))))))))))</f>
        <v/>
      </c>
    </row>
    <row r="1001" customFormat="false" ht="30" hidden="false" customHeight="true" outlineLevel="0" collapsed="false">
      <c r="A1001" s="36"/>
      <c r="B1001" s="37"/>
      <c r="C1001" s="37"/>
      <c r="D1001" s="37"/>
      <c r="E1001" s="37"/>
      <c r="F1001" s="37"/>
      <c r="G1001" s="37"/>
      <c r="H1001" s="37"/>
      <c r="I1001" s="37"/>
      <c r="J1001" s="47"/>
      <c r="K1001" s="41" t="str">
        <f aca="false">IF(J1001="","",IF(J1001&gt;=8,"Yes","Check"))</f>
        <v/>
      </c>
      <c r="L1001" s="38"/>
      <c r="M1001" s="47"/>
      <c r="N1001" s="47"/>
      <c r="O1001" s="37"/>
      <c r="P1001" s="38"/>
      <c r="Q1001" s="42" t="str">
        <f aca="false">IF(P1001="","",LEN(P1001))</f>
        <v/>
      </c>
      <c r="R1001" s="47"/>
      <c r="S1001" s="37"/>
      <c r="T1001" s="38"/>
      <c r="U1001" s="43" t="str">
        <f aca="false">IF(OR(R1001&lt;&gt;"Yes",A1001=""),"",A1001+4)</f>
        <v/>
      </c>
      <c r="V1001" s="47"/>
      <c r="W1001" s="38"/>
      <c r="X1001" s="38"/>
      <c r="Y1001" s="44"/>
      <c r="Z1001" s="44"/>
      <c r="AA1001" s="45" t="str">
        <f aca="false">IF(AND($Y1001="",$Z1001=""),"",ROUND(IFERROR(VALUE(LEFT($Y1001,1)),0)*12+IFERROR(VALUE(LEFT($Z1001,1)),0)*8,0))</f>
        <v/>
      </c>
      <c r="AB1001" s="45" t="str">
        <f aca="false">IF($AA1001="","",IF($AA1001&gt;=80,"A - call first",IF($AA1001&gt;=60,"B - worth pursuing",IF($AA1001&gt;=40,"C - nurture","D - do not spend time here"))))</f>
        <v/>
      </c>
      <c r="AC1001" s="46" t="str">
        <f aca="false">IF($C1001="","",IF($S1001="Converted","7 Certification / Enterprise opportunity",IF($S1001="Application Started","7 Certification / Enterprise opportunity",IF($S1001="Meeting Booked","6 Meeting / Application",IF(OR($S1001="Interested",$S1001="Info Requested"),"5 Interested",IF(OR($S1001="Declined",$S1001="Not Relevant"),"0 Closed - no",IF($R1001="Yes","4 Contacted",IF($N1001="Yes","2 Engaged",IF($M1001="Yes","1 Awareness",IF($AA1001&gt;=60,"3 Qualified","1 Awareness"))))))))))</f>
        <v/>
      </c>
    </row>
    <row r="1002" customFormat="false" ht="30" hidden="false" customHeight="true" outlineLevel="0" collapsed="false">
      <c r="A1002" s="36"/>
      <c r="B1002" s="37"/>
      <c r="C1002" s="37"/>
      <c r="D1002" s="37"/>
      <c r="E1002" s="37"/>
      <c r="F1002" s="37"/>
      <c r="G1002" s="37"/>
      <c r="H1002" s="37"/>
      <c r="I1002" s="37"/>
      <c r="J1002" s="47"/>
      <c r="K1002" s="41" t="str">
        <f aca="false">IF(J1002="","",IF(J1002&gt;=8,"Yes","Check"))</f>
        <v/>
      </c>
      <c r="L1002" s="38"/>
      <c r="M1002" s="47"/>
      <c r="N1002" s="47"/>
      <c r="O1002" s="37"/>
      <c r="P1002" s="38"/>
      <c r="Q1002" s="42" t="str">
        <f aca="false">IF(P1002="","",LEN(P1002))</f>
        <v/>
      </c>
      <c r="R1002" s="47"/>
      <c r="S1002" s="37"/>
      <c r="T1002" s="38"/>
      <c r="U1002" s="43" t="str">
        <f aca="false">IF(OR(R1002&lt;&gt;"Yes",A1002=""),"",A1002+4)</f>
        <v/>
      </c>
      <c r="V1002" s="47"/>
      <c r="W1002" s="38"/>
      <c r="X1002" s="38"/>
      <c r="Y1002" s="44"/>
      <c r="Z1002" s="44"/>
      <c r="AA1002" s="45" t="str">
        <f aca="false">IF(AND($Y1002="",$Z1002=""),"",ROUND(IFERROR(VALUE(LEFT($Y1002,1)),0)*12+IFERROR(VALUE(LEFT($Z1002,1)),0)*8,0))</f>
        <v/>
      </c>
      <c r="AB1002" s="45" t="str">
        <f aca="false">IF($AA1002="","",IF($AA1002&gt;=80,"A - call first",IF($AA1002&gt;=60,"B - worth pursuing",IF($AA1002&gt;=40,"C - nurture","D - do not spend time here"))))</f>
        <v/>
      </c>
      <c r="AC1002" s="46" t="str">
        <f aca="false">IF($C1002="","",IF($S1002="Converted","7 Certification / Enterprise opportunity",IF($S1002="Application Started","7 Certification / Enterprise opportunity",IF($S1002="Meeting Booked","6 Meeting / Application",IF(OR($S1002="Interested",$S1002="Info Requested"),"5 Interested",IF(OR($S1002="Declined",$S1002="Not Relevant"),"0 Closed - no",IF($R1002="Yes","4 Contacted",IF($N1002="Yes","2 Engaged",IF($M1002="Yes","1 Awareness",IF($AA1002&gt;=60,"3 Qualified","1 Awareness"))))))))))</f>
        <v/>
      </c>
    </row>
    <row r="1003" customFormat="false" ht="30" hidden="false" customHeight="true" outlineLevel="0" collapsed="false">
      <c r="A1003" s="36"/>
      <c r="B1003" s="37"/>
      <c r="C1003" s="37"/>
      <c r="D1003" s="37"/>
      <c r="E1003" s="37"/>
      <c r="F1003" s="37"/>
      <c r="G1003" s="37"/>
      <c r="H1003" s="37"/>
      <c r="I1003" s="37"/>
      <c r="J1003" s="47"/>
      <c r="K1003" s="41" t="str">
        <f aca="false">IF(J1003="","",IF(J1003&gt;=8,"Yes","Check"))</f>
        <v/>
      </c>
      <c r="L1003" s="38"/>
      <c r="M1003" s="47"/>
      <c r="N1003" s="47"/>
      <c r="O1003" s="37"/>
      <c r="P1003" s="38"/>
      <c r="Q1003" s="42" t="str">
        <f aca="false">IF(P1003="","",LEN(P1003))</f>
        <v/>
      </c>
      <c r="R1003" s="47"/>
      <c r="S1003" s="37"/>
      <c r="T1003" s="38"/>
      <c r="U1003" s="43" t="str">
        <f aca="false">IF(OR(R1003&lt;&gt;"Yes",A1003=""),"",A1003+4)</f>
        <v/>
      </c>
      <c r="V1003" s="47"/>
      <c r="W1003" s="38"/>
      <c r="X1003" s="38"/>
      <c r="Y1003" s="44"/>
      <c r="Z1003" s="44"/>
      <c r="AA1003" s="45" t="str">
        <f aca="false">IF(AND($Y1003="",$Z1003=""),"",ROUND(IFERROR(VALUE(LEFT($Y1003,1)),0)*12+IFERROR(VALUE(LEFT($Z1003,1)),0)*8,0))</f>
        <v/>
      </c>
      <c r="AB1003" s="45" t="str">
        <f aca="false">IF($AA1003="","",IF($AA1003&gt;=80,"A - call first",IF($AA1003&gt;=60,"B - worth pursuing",IF($AA1003&gt;=40,"C - nurture","D - do not spend time here"))))</f>
        <v/>
      </c>
      <c r="AC1003" s="46" t="str">
        <f aca="false">IF($C1003="","",IF($S1003="Converted","7 Certification / Enterprise opportunity",IF($S1003="Application Started","7 Certification / Enterprise opportunity",IF($S1003="Meeting Booked","6 Meeting / Application",IF(OR($S1003="Interested",$S1003="Info Requested"),"5 Interested",IF(OR($S1003="Declined",$S1003="Not Relevant"),"0 Closed - no",IF($R1003="Yes","4 Contacted",IF($N1003="Yes","2 Engaged",IF($M1003="Yes","1 Awareness",IF($AA1003&gt;=60,"3 Qualified","1 Awareness"))))))))))</f>
        <v/>
      </c>
    </row>
    <row r="1004" customFormat="false" ht="30" hidden="false" customHeight="true" outlineLevel="0" collapsed="false">
      <c r="A1004" s="36"/>
      <c r="B1004" s="37"/>
      <c r="C1004" s="37"/>
      <c r="D1004" s="37"/>
      <c r="E1004" s="37"/>
      <c r="F1004" s="37"/>
      <c r="G1004" s="37"/>
      <c r="H1004" s="37"/>
      <c r="I1004" s="37"/>
      <c r="J1004" s="47"/>
      <c r="K1004" s="41" t="str">
        <f aca="false">IF(J1004="","",IF(J1004&gt;=8,"Yes","Check"))</f>
        <v/>
      </c>
      <c r="L1004" s="38"/>
      <c r="M1004" s="47"/>
      <c r="N1004" s="47"/>
      <c r="O1004" s="37"/>
      <c r="P1004" s="38"/>
      <c r="Q1004" s="42" t="str">
        <f aca="false">IF(P1004="","",LEN(P1004))</f>
        <v/>
      </c>
      <c r="R1004" s="47"/>
      <c r="S1004" s="37"/>
      <c r="T1004" s="38"/>
      <c r="U1004" s="43" t="str">
        <f aca="false">IF(OR(R1004&lt;&gt;"Yes",A1004=""),"",A1004+4)</f>
        <v/>
      </c>
      <c r="V1004" s="47"/>
      <c r="W1004" s="38"/>
      <c r="X1004" s="38"/>
      <c r="Y1004" s="44"/>
      <c r="Z1004" s="44"/>
      <c r="AA1004" s="45" t="str">
        <f aca="false">IF(AND($Y1004="",$Z1004=""),"",ROUND(IFERROR(VALUE(LEFT($Y1004,1)),0)*12+IFERROR(VALUE(LEFT($Z1004,1)),0)*8,0))</f>
        <v/>
      </c>
      <c r="AB1004" s="45" t="str">
        <f aca="false">IF($AA1004="","",IF($AA1004&gt;=80,"A - call first",IF($AA1004&gt;=60,"B - worth pursuing",IF($AA1004&gt;=40,"C - nurture","D - do not spend time here"))))</f>
        <v/>
      </c>
      <c r="AC1004" s="46" t="str">
        <f aca="false">IF($C1004="","",IF($S1004="Converted","7 Certification / Enterprise opportunity",IF($S1004="Application Started","7 Certification / Enterprise opportunity",IF($S1004="Meeting Booked","6 Meeting / Application",IF(OR($S1004="Interested",$S1004="Info Requested"),"5 Interested",IF(OR($S1004="Declined",$S1004="Not Relevant"),"0 Closed - no",IF($R1004="Yes","4 Contacted",IF($N1004="Yes","2 Engaged",IF($M1004="Yes","1 Awareness",IF($AA1004&gt;=60,"3 Qualified","1 Awareness"))))))))))</f>
        <v/>
      </c>
    </row>
    <row r="1005" customFormat="false" ht="30" hidden="false" customHeight="true" outlineLevel="0" collapsed="false">
      <c r="A1005" s="36"/>
      <c r="B1005" s="37"/>
      <c r="C1005" s="37"/>
      <c r="D1005" s="37"/>
      <c r="E1005" s="37"/>
      <c r="F1005" s="37"/>
      <c r="G1005" s="37"/>
      <c r="H1005" s="37"/>
      <c r="I1005" s="37"/>
      <c r="J1005" s="47"/>
      <c r="K1005" s="41" t="str">
        <f aca="false">IF(J1005="","",IF(J1005&gt;=8,"Yes","Check"))</f>
        <v/>
      </c>
      <c r="L1005" s="38"/>
      <c r="M1005" s="47"/>
      <c r="N1005" s="47"/>
      <c r="O1005" s="37"/>
      <c r="P1005" s="38"/>
      <c r="Q1005" s="42" t="str">
        <f aca="false">IF(P1005="","",LEN(P1005))</f>
        <v/>
      </c>
      <c r="R1005" s="47"/>
      <c r="S1005" s="37"/>
      <c r="T1005" s="38"/>
      <c r="U1005" s="43" t="str">
        <f aca="false">IF(OR(R1005&lt;&gt;"Yes",A1005=""),"",A1005+4)</f>
        <v/>
      </c>
      <c r="V1005" s="47"/>
      <c r="W1005" s="38"/>
      <c r="X1005" s="38"/>
      <c r="Y1005" s="44"/>
      <c r="Z1005" s="44"/>
      <c r="AA1005" s="45" t="str">
        <f aca="false">IF(AND($Y1005="",$Z1005=""),"",ROUND(IFERROR(VALUE(LEFT($Y1005,1)),0)*12+IFERROR(VALUE(LEFT($Z1005,1)),0)*8,0))</f>
        <v/>
      </c>
      <c r="AB1005" s="45" t="str">
        <f aca="false">IF($AA1005="","",IF($AA1005&gt;=80,"A - call first",IF($AA1005&gt;=60,"B - worth pursuing",IF($AA1005&gt;=40,"C - nurture","D - do not spend time here"))))</f>
        <v/>
      </c>
      <c r="AC1005" s="46" t="str">
        <f aca="false">IF($C1005="","",IF($S1005="Converted","7 Certification / Enterprise opportunity",IF($S1005="Application Started","7 Certification / Enterprise opportunity",IF($S1005="Meeting Booked","6 Meeting / Application",IF(OR($S1005="Interested",$S1005="Info Requested"),"5 Interested",IF(OR($S1005="Declined",$S1005="Not Relevant"),"0 Closed - no",IF($R1005="Yes","4 Contacted",IF($N1005="Yes","2 Engaged",IF($M1005="Yes","1 Awareness",IF($AA1005&gt;=60,"3 Qualified","1 Awareness"))))))))))</f>
        <v/>
      </c>
    </row>
    <row r="1006" customFormat="false" ht="30" hidden="false" customHeight="true" outlineLevel="0" collapsed="false">
      <c r="A1006" s="36"/>
      <c r="B1006" s="37"/>
      <c r="C1006" s="37"/>
      <c r="D1006" s="37"/>
      <c r="E1006" s="37"/>
      <c r="F1006" s="37"/>
      <c r="G1006" s="37"/>
      <c r="H1006" s="37"/>
      <c r="I1006" s="37"/>
      <c r="J1006" s="47"/>
      <c r="K1006" s="41" t="str">
        <f aca="false">IF(J1006="","",IF(J1006&gt;=8,"Yes","Check"))</f>
        <v/>
      </c>
      <c r="L1006" s="38"/>
      <c r="M1006" s="47"/>
      <c r="N1006" s="47"/>
      <c r="O1006" s="37"/>
      <c r="P1006" s="38"/>
      <c r="Q1006" s="42" t="str">
        <f aca="false">IF(P1006="","",LEN(P1006))</f>
        <v/>
      </c>
      <c r="R1006" s="47"/>
      <c r="S1006" s="37"/>
      <c r="T1006" s="38"/>
      <c r="U1006" s="43" t="str">
        <f aca="false">IF(OR(R1006&lt;&gt;"Yes",A1006=""),"",A1006+4)</f>
        <v/>
      </c>
      <c r="V1006" s="47"/>
      <c r="W1006" s="38"/>
      <c r="X1006" s="38"/>
      <c r="Y1006" s="44"/>
      <c r="Z1006" s="44"/>
      <c r="AA1006" s="45" t="str">
        <f aca="false">IF(AND($Y1006="",$Z1006=""),"",ROUND(IFERROR(VALUE(LEFT($Y1006,1)),0)*12+IFERROR(VALUE(LEFT($Z1006,1)),0)*8,0))</f>
        <v/>
      </c>
      <c r="AB1006" s="45" t="str">
        <f aca="false">IF($AA1006="","",IF($AA1006&gt;=80,"A - call first",IF($AA1006&gt;=60,"B - worth pursuing",IF($AA1006&gt;=40,"C - nurture","D - do not spend time here"))))</f>
        <v/>
      </c>
      <c r="AC1006" s="46" t="str">
        <f aca="false">IF($C1006="","",IF($S1006="Converted","7 Certification / Enterprise opportunity",IF($S1006="Application Started","7 Certification / Enterprise opportunity",IF($S1006="Meeting Booked","6 Meeting / Application",IF(OR($S1006="Interested",$S1006="Info Requested"),"5 Interested",IF(OR($S1006="Declined",$S1006="Not Relevant"),"0 Closed - no",IF($R1006="Yes","4 Contacted",IF($N1006="Yes","2 Engaged",IF($M1006="Yes","1 Awareness",IF($AA1006&gt;=60,"3 Qualified","1 Awareness"))))))))))</f>
        <v/>
      </c>
    </row>
    <row r="1007" customFormat="false" ht="30" hidden="false" customHeight="true" outlineLevel="0" collapsed="false">
      <c r="A1007" s="36"/>
      <c r="B1007" s="37"/>
      <c r="C1007" s="37"/>
      <c r="D1007" s="37"/>
      <c r="E1007" s="37"/>
      <c r="F1007" s="37"/>
      <c r="G1007" s="37"/>
      <c r="H1007" s="37"/>
      <c r="I1007" s="37"/>
      <c r="J1007" s="47"/>
      <c r="K1007" s="41" t="str">
        <f aca="false">IF(J1007="","",IF(J1007&gt;=8,"Yes","Check"))</f>
        <v/>
      </c>
      <c r="L1007" s="38"/>
      <c r="M1007" s="47"/>
      <c r="N1007" s="47"/>
      <c r="O1007" s="37"/>
      <c r="P1007" s="38"/>
      <c r="Q1007" s="42" t="str">
        <f aca="false">IF(P1007="","",LEN(P1007))</f>
        <v/>
      </c>
      <c r="R1007" s="47"/>
      <c r="S1007" s="37"/>
      <c r="T1007" s="38"/>
      <c r="U1007" s="43" t="str">
        <f aca="false">IF(OR(R1007&lt;&gt;"Yes",A1007=""),"",A1007+4)</f>
        <v/>
      </c>
      <c r="V1007" s="47"/>
      <c r="W1007" s="38"/>
      <c r="X1007" s="38"/>
      <c r="Y1007" s="44"/>
      <c r="Z1007" s="44"/>
      <c r="AA1007" s="45" t="str">
        <f aca="false">IF(AND($Y1007="",$Z1007=""),"",ROUND(IFERROR(VALUE(LEFT($Y1007,1)),0)*12+IFERROR(VALUE(LEFT($Z1007,1)),0)*8,0))</f>
        <v/>
      </c>
      <c r="AB1007" s="45" t="str">
        <f aca="false">IF($AA1007="","",IF($AA1007&gt;=80,"A - call first",IF($AA1007&gt;=60,"B - worth pursuing",IF($AA1007&gt;=40,"C - nurture","D - do not spend time here"))))</f>
        <v/>
      </c>
      <c r="AC1007" s="46" t="str">
        <f aca="false">IF($C1007="","",IF($S1007="Converted","7 Certification / Enterprise opportunity",IF($S1007="Application Started","7 Certification / Enterprise opportunity",IF($S1007="Meeting Booked","6 Meeting / Application",IF(OR($S1007="Interested",$S1007="Info Requested"),"5 Interested",IF(OR($S1007="Declined",$S1007="Not Relevant"),"0 Closed - no",IF($R1007="Yes","4 Contacted",IF($N1007="Yes","2 Engaged",IF($M1007="Yes","1 Awareness",IF($AA1007&gt;=60,"3 Qualified","1 Awareness"))))))))))</f>
        <v/>
      </c>
    </row>
    <row r="1008" customFormat="false" ht="30" hidden="false" customHeight="true" outlineLevel="0" collapsed="false">
      <c r="A1008" s="36"/>
      <c r="B1008" s="37"/>
      <c r="C1008" s="37"/>
      <c r="D1008" s="37"/>
      <c r="E1008" s="37"/>
      <c r="F1008" s="37"/>
      <c r="G1008" s="37"/>
      <c r="H1008" s="37"/>
      <c r="I1008" s="37"/>
      <c r="J1008" s="47"/>
      <c r="K1008" s="41" t="str">
        <f aca="false">IF(J1008="","",IF(J1008&gt;=8,"Yes","Check"))</f>
        <v/>
      </c>
      <c r="L1008" s="38"/>
      <c r="M1008" s="47"/>
      <c r="N1008" s="47"/>
      <c r="O1008" s="37"/>
      <c r="P1008" s="38"/>
      <c r="Q1008" s="42" t="str">
        <f aca="false">IF(P1008="","",LEN(P1008))</f>
        <v/>
      </c>
      <c r="R1008" s="47"/>
      <c r="S1008" s="37"/>
      <c r="T1008" s="38"/>
      <c r="U1008" s="43" t="str">
        <f aca="false">IF(OR(R1008&lt;&gt;"Yes",A1008=""),"",A1008+4)</f>
        <v/>
      </c>
      <c r="V1008" s="47"/>
      <c r="W1008" s="38"/>
      <c r="X1008" s="38"/>
      <c r="Y1008" s="44"/>
      <c r="Z1008" s="44"/>
      <c r="AA1008" s="45" t="str">
        <f aca="false">IF(AND($Y1008="",$Z1008=""),"",ROUND(IFERROR(VALUE(LEFT($Y1008,1)),0)*12+IFERROR(VALUE(LEFT($Z1008,1)),0)*8,0))</f>
        <v/>
      </c>
      <c r="AB1008" s="45" t="str">
        <f aca="false">IF($AA1008="","",IF($AA1008&gt;=80,"A - call first",IF($AA1008&gt;=60,"B - worth pursuing",IF($AA1008&gt;=40,"C - nurture","D - do not spend time here"))))</f>
        <v/>
      </c>
      <c r="AC1008" s="46" t="str">
        <f aca="false">IF($C1008="","",IF($S1008="Converted","7 Certification / Enterprise opportunity",IF($S1008="Application Started","7 Certification / Enterprise opportunity",IF($S1008="Meeting Booked","6 Meeting / Application",IF(OR($S1008="Interested",$S1008="Info Requested"),"5 Interested",IF(OR($S1008="Declined",$S1008="Not Relevant"),"0 Closed - no",IF($R1008="Yes","4 Contacted",IF($N1008="Yes","2 Engaged",IF($M1008="Yes","1 Awareness",IF($AA1008&gt;=60,"3 Qualified","1 Awareness"))))))))))</f>
        <v/>
      </c>
    </row>
    <row r="1009" customFormat="false" ht="30" hidden="false" customHeight="true" outlineLevel="0" collapsed="false">
      <c r="A1009" s="36"/>
      <c r="B1009" s="37"/>
      <c r="C1009" s="37"/>
      <c r="D1009" s="37"/>
      <c r="E1009" s="37"/>
      <c r="F1009" s="37"/>
      <c r="G1009" s="37"/>
      <c r="H1009" s="37"/>
      <c r="I1009" s="37"/>
      <c r="J1009" s="47"/>
      <c r="K1009" s="41" t="str">
        <f aca="false">IF(J1009="","",IF(J1009&gt;=8,"Yes","Check"))</f>
        <v/>
      </c>
      <c r="L1009" s="38"/>
      <c r="M1009" s="47"/>
      <c r="N1009" s="47"/>
      <c r="O1009" s="37"/>
      <c r="P1009" s="38"/>
      <c r="Q1009" s="42" t="str">
        <f aca="false">IF(P1009="","",LEN(P1009))</f>
        <v/>
      </c>
      <c r="R1009" s="47"/>
      <c r="S1009" s="37"/>
      <c r="T1009" s="38"/>
      <c r="U1009" s="43" t="str">
        <f aca="false">IF(OR(R1009&lt;&gt;"Yes",A1009=""),"",A1009+4)</f>
        <v/>
      </c>
      <c r="V1009" s="47"/>
      <c r="W1009" s="38"/>
      <c r="X1009" s="38"/>
      <c r="Y1009" s="44"/>
      <c r="Z1009" s="44"/>
      <c r="AA1009" s="45" t="str">
        <f aca="false">IF(AND($Y1009="",$Z1009=""),"",ROUND(IFERROR(VALUE(LEFT($Y1009,1)),0)*12+IFERROR(VALUE(LEFT($Z1009,1)),0)*8,0))</f>
        <v/>
      </c>
      <c r="AB1009" s="45" t="str">
        <f aca="false">IF($AA1009="","",IF($AA1009&gt;=80,"A - call first",IF($AA1009&gt;=60,"B - worth pursuing",IF($AA1009&gt;=40,"C - nurture","D - do not spend time here"))))</f>
        <v/>
      </c>
      <c r="AC1009" s="46" t="str">
        <f aca="false">IF($C1009="","",IF($S1009="Converted","7 Certification / Enterprise opportunity",IF($S1009="Application Started","7 Certification / Enterprise opportunity",IF($S1009="Meeting Booked","6 Meeting / Application",IF(OR($S1009="Interested",$S1009="Info Requested"),"5 Interested",IF(OR($S1009="Declined",$S1009="Not Relevant"),"0 Closed - no",IF($R1009="Yes","4 Contacted",IF($N1009="Yes","2 Engaged",IF($M1009="Yes","1 Awareness",IF($AA1009&gt;=60,"3 Qualified","1 Awareness"))))))))))</f>
        <v/>
      </c>
    </row>
    <row r="1010" customFormat="false" ht="30" hidden="false" customHeight="true" outlineLevel="0" collapsed="false">
      <c r="A1010" s="36"/>
      <c r="B1010" s="37"/>
      <c r="C1010" s="37"/>
      <c r="D1010" s="37"/>
      <c r="E1010" s="37"/>
      <c r="F1010" s="37"/>
      <c r="G1010" s="37"/>
      <c r="H1010" s="37"/>
      <c r="I1010" s="37"/>
      <c r="J1010" s="47"/>
      <c r="K1010" s="41" t="str">
        <f aca="false">IF(J1010="","",IF(J1010&gt;=8,"Yes","Check"))</f>
        <v/>
      </c>
      <c r="L1010" s="38"/>
      <c r="M1010" s="47"/>
      <c r="N1010" s="47"/>
      <c r="O1010" s="37"/>
      <c r="P1010" s="38"/>
      <c r="Q1010" s="42" t="str">
        <f aca="false">IF(P1010="","",LEN(P1010))</f>
        <v/>
      </c>
      <c r="R1010" s="47"/>
      <c r="S1010" s="37"/>
      <c r="T1010" s="38"/>
      <c r="U1010" s="43" t="str">
        <f aca="false">IF(OR(R1010&lt;&gt;"Yes",A1010=""),"",A1010+4)</f>
        <v/>
      </c>
      <c r="V1010" s="47"/>
      <c r="W1010" s="38"/>
      <c r="X1010" s="38"/>
      <c r="Y1010" s="44"/>
      <c r="Z1010" s="44"/>
      <c r="AA1010" s="45" t="str">
        <f aca="false">IF(AND($Y1010="",$Z1010=""),"",ROUND(IFERROR(VALUE(LEFT($Y1010,1)),0)*12+IFERROR(VALUE(LEFT($Z1010,1)),0)*8,0))</f>
        <v/>
      </c>
      <c r="AB1010" s="45" t="str">
        <f aca="false">IF($AA1010="","",IF($AA1010&gt;=80,"A - call first",IF($AA1010&gt;=60,"B - worth pursuing",IF($AA1010&gt;=40,"C - nurture","D - do not spend time here"))))</f>
        <v/>
      </c>
      <c r="AC1010" s="46" t="str">
        <f aca="false">IF($C1010="","",IF($S1010="Converted","7 Certification / Enterprise opportunity",IF($S1010="Application Started","7 Certification / Enterprise opportunity",IF($S1010="Meeting Booked","6 Meeting / Application",IF(OR($S1010="Interested",$S1010="Info Requested"),"5 Interested",IF(OR($S1010="Declined",$S1010="Not Relevant"),"0 Closed - no",IF($R1010="Yes","4 Contacted",IF($N1010="Yes","2 Engaged",IF($M1010="Yes","1 Awareness",IF($AA1010&gt;=60,"3 Qualified","1 Awareness"))))))))))</f>
        <v/>
      </c>
    </row>
    <row r="1011" customFormat="false" ht="30" hidden="false" customHeight="true" outlineLevel="0" collapsed="false">
      <c r="A1011" s="36"/>
      <c r="B1011" s="37"/>
      <c r="C1011" s="37"/>
      <c r="D1011" s="37"/>
      <c r="E1011" s="37"/>
      <c r="F1011" s="37"/>
      <c r="G1011" s="37"/>
      <c r="H1011" s="37"/>
      <c r="I1011" s="37"/>
      <c r="J1011" s="47"/>
      <c r="K1011" s="41" t="str">
        <f aca="false">IF(J1011="","",IF(J1011&gt;=8,"Yes","Check"))</f>
        <v/>
      </c>
      <c r="L1011" s="38"/>
      <c r="M1011" s="47"/>
      <c r="N1011" s="47"/>
      <c r="O1011" s="37"/>
      <c r="P1011" s="38"/>
      <c r="Q1011" s="42" t="str">
        <f aca="false">IF(P1011="","",LEN(P1011))</f>
        <v/>
      </c>
      <c r="R1011" s="47"/>
      <c r="S1011" s="37"/>
      <c r="T1011" s="38"/>
      <c r="U1011" s="43" t="str">
        <f aca="false">IF(OR(R1011&lt;&gt;"Yes",A1011=""),"",A1011+4)</f>
        <v/>
      </c>
      <c r="V1011" s="47"/>
      <c r="W1011" s="38"/>
      <c r="X1011" s="38"/>
      <c r="Y1011" s="44"/>
      <c r="Z1011" s="44"/>
      <c r="AA1011" s="45" t="str">
        <f aca="false">IF(AND($Y1011="",$Z1011=""),"",ROUND(IFERROR(VALUE(LEFT($Y1011,1)),0)*12+IFERROR(VALUE(LEFT($Z1011,1)),0)*8,0))</f>
        <v/>
      </c>
      <c r="AB1011" s="45" t="str">
        <f aca="false">IF($AA1011="","",IF($AA1011&gt;=80,"A - call first",IF($AA1011&gt;=60,"B - worth pursuing",IF($AA1011&gt;=40,"C - nurture","D - do not spend time here"))))</f>
        <v/>
      </c>
      <c r="AC1011" s="46" t="str">
        <f aca="false">IF($C1011="","",IF($S1011="Converted","7 Certification / Enterprise opportunity",IF($S1011="Application Started","7 Certification / Enterprise opportunity",IF($S1011="Meeting Booked","6 Meeting / Application",IF(OR($S1011="Interested",$S1011="Info Requested"),"5 Interested",IF(OR($S1011="Declined",$S1011="Not Relevant"),"0 Closed - no",IF($R1011="Yes","4 Contacted",IF($N1011="Yes","2 Engaged",IF($M1011="Yes","1 Awareness",IF($AA1011&gt;=60,"3 Qualified","1 Awareness"))))))))))</f>
        <v/>
      </c>
    </row>
    <row r="1012" customFormat="false" ht="30" hidden="false" customHeight="true" outlineLevel="0" collapsed="false">
      <c r="A1012" s="36"/>
      <c r="B1012" s="37"/>
      <c r="C1012" s="37"/>
      <c r="D1012" s="37"/>
      <c r="E1012" s="37"/>
      <c r="F1012" s="37"/>
      <c r="G1012" s="37"/>
      <c r="H1012" s="37"/>
      <c r="I1012" s="37"/>
      <c r="J1012" s="47"/>
      <c r="K1012" s="41" t="str">
        <f aca="false">IF(J1012="","",IF(J1012&gt;=8,"Yes","Check"))</f>
        <v/>
      </c>
      <c r="L1012" s="38"/>
      <c r="M1012" s="47"/>
      <c r="N1012" s="47"/>
      <c r="O1012" s="37"/>
      <c r="P1012" s="38"/>
      <c r="Q1012" s="42" t="str">
        <f aca="false">IF(P1012="","",LEN(P1012))</f>
        <v/>
      </c>
      <c r="R1012" s="47"/>
      <c r="S1012" s="37"/>
      <c r="T1012" s="38"/>
      <c r="U1012" s="43" t="str">
        <f aca="false">IF(OR(R1012&lt;&gt;"Yes",A1012=""),"",A1012+4)</f>
        <v/>
      </c>
      <c r="V1012" s="47"/>
      <c r="W1012" s="38"/>
      <c r="X1012" s="38"/>
      <c r="Y1012" s="44"/>
      <c r="Z1012" s="44"/>
      <c r="AA1012" s="45" t="str">
        <f aca="false">IF(AND($Y1012="",$Z1012=""),"",ROUND(IFERROR(VALUE(LEFT($Y1012,1)),0)*12+IFERROR(VALUE(LEFT($Z1012,1)),0)*8,0))</f>
        <v/>
      </c>
      <c r="AB1012" s="45" t="str">
        <f aca="false">IF($AA1012="","",IF($AA1012&gt;=80,"A - call first",IF($AA1012&gt;=60,"B - worth pursuing",IF($AA1012&gt;=40,"C - nurture","D - do not spend time here"))))</f>
        <v/>
      </c>
      <c r="AC1012" s="46" t="str">
        <f aca="false">IF($C1012="","",IF($S1012="Converted","7 Certification / Enterprise opportunity",IF($S1012="Application Started","7 Certification / Enterprise opportunity",IF($S1012="Meeting Booked","6 Meeting / Application",IF(OR($S1012="Interested",$S1012="Info Requested"),"5 Interested",IF(OR($S1012="Declined",$S1012="Not Relevant"),"0 Closed - no",IF($R1012="Yes","4 Contacted",IF($N1012="Yes","2 Engaged",IF($M1012="Yes","1 Awareness",IF($AA1012&gt;=60,"3 Qualified","1 Awareness"))))))))))</f>
        <v/>
      </c>
    </row>
    <row r="1013" customFormat="false" ht="30" hidden="false" customHeight="true" outlineLevel="0" collapsed="false">
      <c r="A1013" s="36"/>
      <c r="B1013" s="37"/>
      <c r="C1013" s="37"/>
      <c r="D1013" s="37"/>
      <c r="E1013" s="37"/>
      <c r="F1013" s="37"/>
      <c r="G1013" s="37"/>
      <c r="H1013" s="37"/>
      <c r="I1013" s="37"/>
      <c r="J1013" s="47"/>
      <c r="K1013" s="41" t="str">
        <f aca="false">IF(J1013="","",IF(J1013&gt;=8,"Yes","Check"))</f>
        <v/>
      </c>
      <c r="L1013" s="38"/>
      <c r="M1013" s="47"/>
      <c r="N1013" s="47"/>
      <c r="O1013" s="37"/>
      <c r="P1013" s="38"/>
      <c r="Q1013" s="42" t="str">
        <f aca="false">IF(P1013="","",LEN(P1013))</f>
        <v/>
      </c>
      <c r="R1013" s="47"/>
      <c r="S1013" s="37"/>
      <c r="T1013" s="38"/>
      <c r="U1013" s="43" t="str">
        <f aca="false">IF(OR(R1013&lt;&gt;"Yes",A1013=""),"",A1013+4)</f>
        <v/>
      </c>
      <c r="V1013" s="47"/>
      <c r="W1013" s="38"/>
      <c r="X1013" s="38"/>
      <c r="Y1013" s="44"/>
      <c r="Z1013" s="44"/>
      <c r="AA1013" s="45" t="str">
        <f aca="false">IF(AND($Y1013="",$Z1013=""),"",ROUND(IFERROR(VALUE(LEFT($Y1013,1)),0)*12+IFERROR(VALUE(LEFT($Z1013,1)),0)*8,0))</f>
        <v/>
      </c>
      <c r="AB1013" s="45" t="str">
        <f aca="false">IF($AA1013="","",IF($AA1013&gt;=80,"A - call first",IF($AA1013&gt;=60,"B - worth pursuing",IF($AA1013&gt;=40,"C - nurture","D - do not spend time here"))))</f>
        <v/>
      </c>
      <c r="AC1013" s="46" t="str">
        <f aca="false">IF($C1013="","",IF($S1013="Converted","7 Certification / Enterprise opportunity",IF($S1013="Application Started","7 Certification / Enterprise opportunity",IF($S1013="Meeting Booked","6 Meeting / Application",IF(OR($S1013="Interested",$S1013="Info Requested"),"5 Interested",IF(OR($S1013="Declined",$S1013="Not Relevant"),"0 Closed - no",IF($R1013="Yes","4 Contacted",IF($N1013="Yes","2 Engaged",IF($M1013="Yes","1 Awareness",IF($AA1013&gt;=60,"3 Qualified","1 Awareness"))))))))))</f>
        <v/>
      </c>
    </row>
    <row r="1014" customFormat="false" ht="30" hidden="false" customHeight="true" outlineLevel="0" collapsed="false">
      <c r="A1014" s="36"/>
      <c r="B1014" s="37"/>
      <c r="C1014" s="37"/>
      <c r="D1014" s="37"/>
      <c r="E1014" s="37"/>
      <c r="F1014" s="37"/>
      <c r="G1014" s="37"/>
      <c r="H1014" s="37"/>
      <c r="I1014" s="37"/>
      <c r="J1014" s="47"/>
      <c r="K1014" s="41" t="str">
        <f aca="false">IF(J1014="","",IF(J1014&gt;=8,"Yes","Check"))</f>
        <v/>
      </c>
      <c r="L1014" s="38"/>
      <c r="M1014" s="47"/>
      <c r="N1014" s="47"/>
      <c r="O1014" s="37"/>
      <c r="P1014" s="38"/>
      <c r="Q1014" s="42" t="str">
        <f aca="false">IF(P1014="","",LEN(P1014))</f>
        <v/>
      </c>
      <c r="R1014" s="47"/>
      <c r="S1014" s="37"/>
      <c r="T1014" s="38"/>
      <c r="U1014" s="43" t="str">
        <f aca="false">IF(OR(R1014&lt;&gt;"Yes",A1014=""),"",A1014+4)</f>
        <v/>
      </c>
      <c r="V1014" s="47"/>
      <c r="W1014" s="38"/>
      <c r="X1014" s="38"/>
      <c r="Y1014" s="44"/>
      <c r="Z1014" s="44"/>
      <c r="AA1014" s="45" t="str">
        <f aca="false">IF(AND($Y1014="",$Z1014=""),"",ROUND(IFERROR(VALUE(LEFT($Y1014,1)),0)*12+IFERROR(VALUE(LEFT($Z1014,1)),0)*8,0))</f>
        <v/>
      </c>
      <c r="AB1014" s="45" t="str">
        <f aca="false">IF($AA1014="","",IF($AA1014&gt;=80,"A - call first",IF($AA1014&gt;=60,"B - worth pursuing",IF($AA1014&gt;=40,"C - nurture","D - do not spend time here"))))</f>
        <v/>
      </c>
      <c r="AC1014" s="46" t="str">
        <f aca="false">IF($C1014="","",IF($S1014="Converted","7 Certification / Enterprise opportunity",IF($S1014="Application Started","7 Certification / Enterprise opportunity",IF($S1014="Meeting Booked","6 Meeting / Application",IF(OR($S1014="Interested",$S1014="Info Requested"),"5 Interested",IF(OR($S1014="Declined",$S1014="Not Relevant"),"0 Closed - no",IF($R1014="Yes","4 Contacted",IF($N1014="Yes","2 Engaged",IF($M1014="Yes","1 Awareness",IF($AA1014&gt;=60,"3 Qualified","1 Awareness"))))))))))</f>
        <v/>
      </c>
    </row>
    <row r="1015" customFormat="false" ht="30" hidden="false" customHeight="true" outlineLevel="0" collapsed="false">
      <c r="A1015" s="36"/>
      <c r="B1015" s="37"/>
      <c r="C1015" s="37"/>
      <c r="D1015" s="37"/>
      <c r="E1015" s="37"/>
      <c r="F1015" s="37"/>
      <c r="G1015" s="37"/>
      <c r="H1015" s="37"/>
      <c r="I1015" s="37"/>
      <c r="J1015" s="47"/>
      <c r="K1015" s="41" t="str">
        <f aca="false">IF(J1015="","",IF(J1015&gt;=8,"Yes","Check"))</f>
        <v/>
      </c>
      <c r="L1015" s="38"/>
      <c r="M1015" s="47"/>
      <c r="N1015" s="47"/>
      <c r="O1015" s="37"/>
      <c r="P1015" s="38"/>
      <c r="Q1015" s="42" t="str">
        <f aca="false">IF(P1015="","",LEN(P1015))</f>
        <v/>
      </c>
      <c r="R1015" s="47"/>
      <c r="S1015" s="37"/>
      <c r="T1015" s="38"/>
      <c r="U1015" s="43" t="str">
        <f aca="false">IF(OR(R1015&lt;&gt;"Yes",A1015=""),"",A1015+4)</f>
        <v/>
      </c>
      <c r="V1015" s="47"/>
      <c r="W1015" s="38"/>
      <c r="X1015" s="38"/>
      <c r="Y1015" s="44"/>
      <c r="Z1015" s="44"/>
      <c r="AA1015" s="45" t="str">
        <f aca="false">IF(AND($Y1015="",$Z1015=""),"",ROUND(IFERROR(VALUE(LEFT($Y1015,1)),0)*12+IFERROR(VALUE(LEFT($Z1015,1)),0)*8,0))</f>
        <v/>
      </c>
      <c r="AB1015" s="45" t="str">
        <f aca="false">IF($AA1015="","",IF($AA1015&gt;=80,"A - call first",IF($AA1015&gt;=60,"B - worth pursuing",IF($AA1015&gt;=40,"C - nurture","D - do not spend time here"))))</f>
        <v/>
      </c>
      <c r="AC1015" s="46" t="str">
        <f aca="false">IF($C1015="","",IF($S1015="Converted","7 Certification / Enterprise opportunity",IF($S1015="Application Started","7 Certification / Enterprise opportunity",IF($S1015="Meeting Booked","6 Meeting / Application",IF(OR($S1015="Interested",$S1015="Info Requested"),"5 Interested",IF(OR($S1015="Declined",$S1015="Not Relevant"),"0 Closed - no",IF($R1015="Yes","4 Contacted",IF($N1015="Yes","2 Engaged",IF($M1015="Yes","1 Awareness",IF($AA1015&gt;=60,"3 Qualified","1 Awareness"))))))))))</f>
        <v/>
      </c>
    </row>
    <row r="1016" customFormat="false" ht="30" hidden="false" customHeight="true" outlineLevel="0" collapsed="false">
      <c r="A1016" s="36"/>
      <c r="B1016" s="37"/>
      <c r="C1016" s="37"/>
      <c r="D1016" s="37"/>
      <c r="E1016" s="37"/>
      <c r="F1016" s="37"/>
      <c r="G1016" s="37"/>
      <c r="H1016" s="37"/>
      <c r="I1016" s="37"/>
      <c r="J1016" s="47"/>
      <c r="K1016" s="41" t="str">
        <f aca="false">IF(J1016="","",IF(J1016&gt;=8,"Yes","Check"))</f>
        <v/>
      </c>
      <c r="L1016" s="38"/>
      <c r="M1016" s="47"/>
      <c r="N1016" s="47"/>
      <c r="O1016" s="37"/>
      <c r="P1016" s="38"/>
      <c r="Q1016" s="42" t="str">
        <f aca="false">IF(P1016="","",LEN(P1016))</f>
        <v/>
      </c>
      <c r="R1016" s="47"/>
      <c r="S1016" s="37"/>
      <c r="T1016" s="38"/>
      <c r="U1016" s="43" t="str">
        <f aca="false">IF(OR(R1016&lt;&gt;"Yes",A1016=""),"",A1016+4)</f>
        <v/>
      </c>
      <c r="V1016" s="47"/>
      <c r="W1016" s="38"/>
      <c r="X1016" s="38"/>
      <c r="Y1016" s="44"/>
      <c r="Z1016" s="44"/>
      <c r="AA1016" s="45" t="str">
        <f aca="false">IF(AND($Y1016="",$Z1016=""),"",ROUND(IFERROR(VALUE(LEFT($Y1016,1)),0)*12+IFERROR(VALUE(LEFT($Z1016,1)),0)*8,0))</f>
        <v/>
      </c>
      <c r="AB1016" s="45" t="str">
        <f aca="false">IF($AA1016="","",IF($AA1016&gt;=80,"A - call first",IF($AA1016&gt;=60,"B - worth pursuing",IF($AA1016&gt;=40,"C - nurture","D - do not spend time here"))))</f>
        <v/>
      </c>
      <c r="AC1016" s="46" t="str">
        <f aca="false">IF($C1016="","",IF($S1016="Converted","7 Certification / Enterprise opportunity",IF($S1016="Application Started","7 Certification / Enterprise opportunity",IF($S1016="Meeting Booked","6 Meeting / Application",IF(OR($S1016="Interested",$S1016="Info Requested"),"5 Interested",IF(OR($S1016="Declined",$S1016="Not Relevant"),"0 Closed - no",IF($R1016="Yes","4 Contacted",IF($N1016="Yes","2 Engaged",IF($M1016="Yes","1 Awareness",IF($AA1016&gt;=60,"3 Qualified","1 Awareness"))))))))))</f>
        <v/>
      </c>
    </row>
    <row r="1017" customFormat="false" ht="30" hidden="false" customHeight="true" outlineLevel="0" collapsed="false">
      <c r="A1017" s="36"/>
      <c r="B1017" s="37"/>
      <c r="C1017" s="37"/>
      <c r="D1017" s="37"/>
      <c r="E1017" s="37"/>
      <c r="F1017" s="37"/>
      <c r="G1017" s="37"/>
      <c r="H1017" s="37"/>
      <c r="I1017" s="37"/>
      <c r="J1017" s="47"/>
      <c r="K1017" s="41" t="str">
        <f aca="false">IF(J1017="","",IF(J1017&gt;=8,"Yes","Check"))</f>
        <v/>
      </c>
      <c r="L1017" s="38"/>
      <c r="M1017" s="47"/>
      <c r="N1017" s="47"/>
      <c r="O1017" s="37"/>
      <c r="P1017" s="38"/>
      <c r="Q1017" s="42" t="str">
        <f aca="false">IF(P1017="","",LEN(P1017))</f>
        <v/>
      </c>
      <c r="R1017" s="47"/>
      <c r="S1017" s="37"/>
      <c r="T1017" s="38"/>
      <c r="U1017" s="43" t="str">
        <f aca="false">IF(OR(R1017&lt;&gt;"Yes",A1017=""),"",A1017+4)</f>
        <v/>
      </c>
      <c r="V1017" s="47"/>
      <c r="W1017" s="38"/>
      <c r="X1017" s="38"/>
      <c r="Y1017" s="44"/>
      <c r="Z1017" s="44"/>
      <c r="AA1017" s="45" t="str">
        <f aca="false">IF(AND($Y1017="",$Z1017=""),"",ROUND(IFERROR(VALUE(LEFT($Y1017,1)),0)*12+IFERROR(VALUE(LEFT($Z1017,1)),0)*8,0))</f>
        <v/>
      </c>
      <c r="AB1017" s="45" t="str">
        <f aca="false">IF($AA1017="","",IF($AA1017&gt;=80,"A - call first",IF($AA1017&gt;=60,"B - worth pursuing",IF($AA1017&gt;=40,"C - nurture","D - do not spend time here"))))</f>
        <v/>
      </c>
      <c r="AC1017" s="46" t="str">
        <f aca="false">IF($C1017="","",IF($S1017="Converted","7 Certification / Enterprise opportunity",IF($S1017="Application Started","7 Certification / Enterprise opportunity",IF($S1017="Meeting Booked","6 Meeting / Application",IF(OR($S1017="Interested",$S1017="Info Requested"),"5 Interested",IF(OR($S1017="Declined",$S1017="Not Relevant"),"0 Closed - no",IF($R1017="Yes","4 Contacted",IF($N1017="Yes","2 Engaged",IF($M1017="Yes","1 Awareness",IF($AA1017&gt;=60,"3 Qualified","1 Awareness"))))))))))</f>
        <v/>
      </c>
    </row>
    <row r="1018" customFormat="false" ht="30" hidden="false" customHeight="true" outlineLevel="0" collapsed="false">
      <c r="A1018" s="36"/>
      <c r="B1018" s="37"/>
      <c r="C1018" s="37"/>
      <c r="D1018" s="37"/>
      <c r="E1018" s="37"/>
      <c r="F1018" s="37"/>
      <c r="G1018" s="37"/>
      <c r="H1018" s="37"/>
      <c r="I1018" s="37"/>
      <c r="J1018" s="47"/>
      <c r="K1018" s="41" t="str">
        <f aca="false">IF(J1018="","",IF(J1018&gt;=8,"Yes","Check"))</f>
        <v/>
      </c>
      <c r="L1018" s="38"/>
      <c r="M1018" s="47"/>
      <c r="N1018" s="47"/>
      <c r="O1018" s="37"/>
      <c r="P1018" s="38"/>
      <c r="Q1018" s="42" t="str">
        <f aca="false">IF(P1018="","",LEN(P1018))</f>
        <v/>
      </c>
      <c r="R1018" s="47"/>
      <c r="S1018" s="37"/>
      <c r="T1018" s="38"/>
      <c r="U1018" s="43" t="str">
        <f aca="false">IF(OR(R1018&lt;&gt;"Yes",A1018=""),"",A1018+4)</f>
        <v/>
      </c>
      <c r="V1018" s="47"/>
      <c r="W1018" s="38"/>
      <c r="X1018" s="38"/>
      <c r="Y1018" s="44"/>
      <c r="Z1018" s="44"/>
      <c r="AA1018" s="45" t="str">
        <f aca="false">IF(AND($Y1018="",$Z1018=""),"",ROUND(IFERROR(VALUE(LEFT($Y1018,1)),0)*12+IFERROR(VALUE(LEFT($Z1018,1)),0)*8,0))</f>
        <v/>
      </c>
      <c r="AB1018" s="45" t="str">
        <f aca="false">IF($AA1018="","",IF($AA1018&gt;=80,"A - call first",IF($AA1018&gt;=60,"B - worth pursuing",IF($AA1018&gt;=40,"C - nurture","D - do not spend time here"))))</f>
        <v/>
      </c>
      <c r="AC1018" s="46" t="str">
        <f aca="false">IF($C1018="","",IF($S1018="Converted","7 Certification / Enterprise opportunity",IF($S1018="Application Started","7 Certification / Enterprise opportunity",IF($S1018="Meeting Booked","6 Meeting / Application",IF(OR($S1018="Interested",$S1018="Info Requested"),"5 Interested",IF(OR($S1018="Declined",$S1018="Not Relevant"),"0 Closed - no",IF($R1018="Yes","4 Contacted",IF($N1018="Yes","2 Engaged",IF($M1018="Yes","1 Awareness",IF($AA1018&gt;=60,"3 Qualified","1 Awareness"))))))))))</f>
        <v/>
      </c>
    </row>
    <row r="1019" customFormat="false" ht="30" hidden="false" customHeight="true" outlineLevel="0" collapsed="false">
      <c r="A1019" s="36"/>
      <c r="B1019" s="37"/>
      <c r="C1019" s="37"/>
      <c r="D1019" s="37"/>
      <c r="E1019" s="37"/>
      <c r="F1019" s="37"/>
      <c r="G1019" s="37"/>
      <c r="H1019" s="37"/>
      <c r="I1019" s="37"/>
      <c r="J1019" s="47"/>
      <c r="K1019" s="41" t="str">
        <f aca="false">IF(J1019="","",IF(J1019&gt;=8,"Yes","Check"))</f>
        <v/>
      </c>
      <c r="L1019" s="38"/>
      <c r="M1019" s="47"/>
      <c r="N1019" s="47"/>
      <c r="O1019" s="37"/>
      <c r="P1019" s="38"/>
      <c r="Q1019" s="42" t="str">
        <f aca="false">IF(P1019="","",LEN(P1019))</f>
        <v/>
      </c>
      <c r="R1019" s="47"/>
      <c r="S1019" s="37"/>
      <c r="T1019" s="38"/>
      <c r="U1019" s="43" t="str">
        <f aca="false">IF(OR(R1019&lt;&gt;"Yes",A1019=""),"",A1019+4)</f>
        <v/>
      </c>
      <c r="V1019" s="47"/>
      <c r="W1019" s="38"/>
      <c r="X1019" s="38"/>
      <c r="Y1019" s="44"/>
      <c r="Z1019" s="44"/>
      <c r="AA1019" s="45" t="str">
        <f aca="false">IF(AND($Y1019="",$Z1019=""),"",ROUND(IFERROR(VALUE(LEFT($Y1019,1)),0)*12+IFERROR(VALUE(LEFT($Z1019,1)),0)*8,0))</f>
        <v/>
      </c>
      <c r="AB1019" s="45" t="str">
        <f aca="false">IF($AA1019="","",IF($AA1019&gt;=80,"A - call first",IF($AA1019&gt;=60,"B - worth pursuing",IF($AA1019&gt;=40,"C - nurture","D - do not spend time here"))))</f>
        <v/>
      </c>
      <c r="AC1019" s="46" t="str">
        <f aca="false">IF($C1019="","",IF($S1019="Converted","7 Certification / Enterprise opportunity",IF($S1019="Application Started","7 Certification / Enterprise opportunity",IF($S1019="Meeting Booked","6 Meeting / Application",IF(OR($S1019="Interested",$S1019="Info Requested"),"5 Interested",IF(OR($S1019="Declined",$S1019="Not Relevant"),"0 Closed - no",IF($R1019="Yes","4 Contacted",IF($N1019="Yes","2 Engaged",IF($M1019="Yes","1 Awareness",IF($AA1019&gt;=60,"3 Qualified","1 Awareness"))))))))))</f>
        <v/>
      </c>
    </row>
    <row r="1020" customFormat="false" ht="30" hidden="false" customHeight="true" outlineLevel="0" collapsed="false">
      <c r="A1020" s="36"/>
      <c r="B1020" s="37"/>
      <c r="C1020" s="37"/>
      <c r="D1020" s="37"/>
      <c r="E1020" s="37"/>
      <c r="F1020" s="37"/>
      <c r="G1020" s="37"/>
      <c r="H1020" s="37"/>
      <c r="I1020" s="37"/>
      <c r="J1020" s="47"/>
      <c r="K1020" s="41" t="str">
        <f aca="false">IF(J1020="","",IF(J1020&gt;=8,"Yes","Check"))</f>
        <v/>
      </c>
      <c r="L1020" s="38"/>
      <c r="M1020" s="47"/>
      <c r="N1020" s="47"/>
      <c r="O1020" s="37"/>
      <c r="P1020" s="38"/>
      <c r="Q1020" s="42" t="str">
        <f aca="false">IF(P1020="","",LEN(P1020))</f>
        <v/>
      </c>
      <c r="R1020" s="47"/>
      <c r="S1020" s="37"/>
      <c r="T1020" s="38"/>
      <c r="U1020" s="43" t="str">
        <f aca="false">IF(OR(R1020&lt;&gt;"Yes",A1020=""),"",A1020+4)</f>
        <v/>
      </c>
      <c r="V1020" s="47"/>
      <c r="W1020" s="38"/>
      <c r="X1020" s="38"/>
      <c r="Y1020" s="44"/>
      <c r="Z1020" s="44"/>
      <c r="AA1020" s="45" t="str">
        <f aca="false">IF(AND($Y1020="",$Z1020=""),"",ROUND(IFERROR(VALUE(LEFT($Y1020,1)),0)*12+IFERROR(VALUE(LEFT($Z1020,1)),0)*8,0))</f>
        <v/>
      </c>
      <c r="AB1020" s="45" t="str">
        <f aca="false">IF($AA1020="","",IF($AA1020&gt;=80,"A - call first",IF($AA1020&gt;=60,"B - worth pursuing",IF($AA1020&gt;=40,"C - nurture","D - do not spend time here"))))</f>
        <v/>
      </c>
      <c r="AC1020" s="46" t="str">
        <f aca="false">IF($C1020="","",IF($S1020="Converted","7 Certification / Enterprise opportunity",IF($S1020="Application Started","7 Certification / Enterprise opportunity",IF($S1020="Meeting Booked","6 Meeting / Application",IF(OR($S1020="Interested",$S1020="Info Requested"),"5 Interested",IF(OR($S1020="Declined",$S1020="Not Relevant"),"0 Closed - no",IF($R1020="Yes","4 Contacted",IF($N1020="Yes","2 Engaged",IF($M1020="Yes","1 Awareness",IF($AA1020&gt;=60,"3 Qualified","1 Awareness"))))))))))</f>
        <v/>
      </c>
    </row>
    <row r="1021" customFormat="false" ht="30" hidden="false" customHeight="true" outlineLevel="0" collapsed="false">
      <c r="A1021" s="36"/>
      <c r="B1021" s="37"/>
      <c r="C1021" s="37"/>
      <c r="D1021" s="37"/>
      <c r="E1021" s="37"/>
      <c r="F1021" s="37"/>
      <c r="G1021" s="37"/>
      <c r="H1021" s="37"/>
      <c r="I1021" s="37"/>
      <c r="J1021" s="47"/>
      <c r="K1021" s="41" t="str">
        <f aca="false">IF(J1021="","",IF(J1021&gt;=8,"Yes","Check"))</f>
        <v/>
      </c>
      <c r="L1021" s="38"/>
      <c r="M1021" s="47"/>
      <c r="N1021" s="47"/>
      <c r="O1021" s="37"/>
      <c r="P1021" s="38"/>
      <c r="Q1021" s="42" t="str">
        <f aca="false">IF(P1021="","",LEN(P1021))</f>
        <v/>
      </c>
      <c r="R1021" s="47"/>
      <c r="S1021" s="37"/>
      <c r="T1021" s="38"/>
      <c r="U1021" s="43" t="str">
        <f aca="false">IF(OR(R1021&lt;&gt;"Yes",A1021=""),"",A1021+4)</f>
        <v/>
      </c>
      <c r="V1021" s="47"/>
      <c r="W1021" s="38"/>
      <c r="X1021" s="38"/>
      <c r="Y1021" s="44"/>
      <c r="Z1021" s="44"/>
      <c r="AA1021" s="45" t="str">
        <f aca="false">IF(AND($Y1021="",$Z1021=""),"",ROUND(IFERROR(VALUE(LEFT($Y1021,1)),0)*12+IFERROR(VALUE(LEFT($Z1021,1)),0)*8,0))</f>
        <v/>
      </c>
      <c r="AB1021" s="45" t="str">
        <f aca="false">IF($AA1021="","",IF($AA1021&gt;=80,"A - call first",IF($AA1021&gt;=60,"B - worth pursuing",IF($AA1021&gt;=40,"C - nurture","D - do not spend time here"))))</f>
        <v/>
      </c>
      <c r="AC1021" s="46" t="str">
        <f aca="false">IF($C1021="","",IF($S1021="Converted","7 Certification / Enterprise opportunity",IF($S1021="Application Started","7 Certification / Enterprise opportunity",IF($S1021="Meeting Booked","6 Meeting / Application",IF(OR($S1021="Interested",$S1021="Info Requested"),"5 Interested",IF(OR($S1021="Declined",$S1021="Not Relevant"),"0 Closed - no",IF($R1021="Yes","4 Contacted",IF($N1021="Yes","2 Engaged",IF($M1021="Yes","1 Awareness",IF($AA1021&gt;=60,"3 Qualified","1 Awareness"))))))))))</f>
        <v/>
      </c>
    </row>
    <row r="1022" customFormat="false" ht="30" hidden="false" customHeight="true" outlineLevel="0" collapsed="false">
      <c r="A1022" s="36"/>
      <c r="B1022" s="37"/>
      <c r="C1022" s="37"/>
      <c r="D1022" s="37"/>
      <c r="E1022" s="37"/>
      <c r="F1022" s="37"/>
      <c r="G1022" s="37"/>
      <c r="H1022" s="37"/>
      <c r="I1022" s="37"/>
      <c r="J1022" s="47"/>
      <c r="K1022" s="41" t="str">
        <f aca="false">IF(J1022="","",IF(J1022&gt;=8,"Yes","Check"))</f>
        <v/>
      </c>
      <c r="L1022" s="38"/>
      <c r="M1022" s="47"/>
      <c r="N1022" s="47"/>
      <c r="O1022" s="37"/>
      <c r="P1022" s="38"/>
      <c r="Q1022" s="42" t="str">
        <f aca="false">IF(P1022="","",LEN(P1022))</f>
        <v/>
      </c>
      <c r="R1022" s="47"/>
      <c r="S1022" s="37"/>
      <c r="T1022" s="38"/>
      <c r="U1022" s="43" t="str">
        <f aca="false">IF(OR(R1022&lt;&gt;"Yes",A1022=""),"",A1022+4)</f>
        <v/>
      </c>
      <c r="V1022" s="47"/>
      <c r="W1022" s="38"/>
      <c r="X1022" s="38"/>
      <c r="Y1022" s="44"/>
      <c r="Z1022" s="44"/>
      <c r="AA1022" s="45" t="str">
        <f aca="false">IF(AND($Y1022="",$Z1022=""),"",ROUND(IFERROR(VALUE(LEFT($Y1022,1)),0)*12+IFERROR(VALUE(LEFT($Z1022,1)),0)*8,0))</f>
        <v/>
      </c>
      <c r="AB1022" s="45" t="str">
        <f aca="false">IF($AA1022="","",IF($AA1022&gt;=80,"A - call first",IF($AA1022&gt;=60,"B - worth pursuing",IF($AA1022&gt;=40,"C - nurture","D - do not spend time here"))))</f>
        <v/>
      </c>
      <c r="AC1022" s="46" t="str">
        <f aca="false">IF($C1022="","",IF($S1022="Converted","7 Certification / Enterprise opportunity",IF($S1022="Application Started","7 Certification / Enterprise opportunity",IF($S1022="Meeting Booked","6 Meeting / Application",IF(OR($S1022="Interested",$S1022="Info Requested"),"5 Interested",IF(OR($S1022="Declined",$S1022="Not Relevant"),"0 Closed - no",IF($R1022="Yes","4 Contacted",IF($N1022="Yes","2 Engaged",IF($M1022="Yes","1 Awareness",IF($AA1022&gt;=60,"3 Qualified","1 Awareness"))))))))))</f>
        <v/>
      </c>
    </row>
    <row r="1023" customFormat="false" ht="30" hidden="false" customHeight="true" outlineLevel="0" collapsed="false">
      <c r="A1023" s="36"/>
      <c r="B1023" s="37"/>
      <c r="C1023" s="37"/>
      <c r="D1023" s="37"/>
      <c r="E1023" s="37"/>
      <c r="F1023" s="37"/>
      <c r="G1023" s="37"/>
      <c r="H1023" s="37"/>
      <c r="I1023" s="37"/>
      <c r="J1023" s="47"/>
      <c r="K1023" s="41" t="str">
        <f aca="false">IF(J1023="","",IF(J1023&gt;=8,"Yes","Check"))</f>
        <v/>
      </c>
      <c r="L1023" s="38"/>
      <c r="M1023" s="47"/>
      <c r="N1023" s="47"/>
      <c r="O1023" s="37"/>
      <c r="P1023" s="38"/>
      <c r="Q1023" s="42" t="str">
        <f aca="false">IF(P1023="","",LEN(P1023))</f>
        <v/>
      </c>
      <c r="R1023" s="47"/>
      <c r="S1023" s="37"/>
      <c r="T1023" s="38"/>
      <c r="U1023" s="43" t="str">
        <f aca="false">IF(OR(R1023&lt;&gt;"Yes",A1023=""),"",A1023+4)</f>
        <v/>
      </c>
      <c r="V1023" s="47"/>
      <c r="W1023" s="38"/>
      <c r="X1023" s="38"/>
      <c r="Y1023" s="44"/>
      <c r="Z1023" s="44"/>
      <c r="AA1023" s="45" t="str">
        <f aca="false">IF(AND($Y1023="",$Z1023=""),"",ROUND(IFERROR(VALUE(LEFT($Y1023,1)),0)*12+IFERROR(VALUE(LEFT($Z1023,1)),0)*8,0))</f>
        <v/>
      </c>
      <c r="AB1023" s="45" t="str">
        <f aca="false">IF($AA1023="","",IF($AA1023&gt;=80,"A - call first",IF($AA1023&gt;=60,"B - worth pursuing",IF($AA1023&gt;=40,"C - nurture","D - do not spend time here"))))</f>
        <v/>
      </c>
      <c r="AC1023" s="46" t="str">
        <f aca="false">IF($C1023="","",IF($S1023="Converted","7 Certification / Enterprise opportunity",IF($S1023="Application Started","7 Certification / Enterprise opportunity",IF($S1023="Meeting Booked","6 Meeting / Application",IF(OR($S1023="Interested",$S1023="Info Requested"),"5 Interested",IF(OR($S1023="Declined",$S1023="Not Relevant"),"0 Closed - no",IF($R1023="Yes","4 Contacted",IF($N1023="Yes","2 Engaged",IF($M1023="Yes","1 Awareness",IF($AA1023&gt;=60,"3 Qualified","1 Awareness"))))))))))</f>
        <v/>
      </c>
    </row>
    <row r="1024" customFormat="false" ht="30" hidden="false" customHeight="true" outlineLevel="0" collapsed="false">
      <c r="A1024" s="36"/>
      <c r="B1024" s="37"/>
      <c r="C1024" s="37"/>
      <c r="D1024" s="37"/>
      <c r="E1024" s="37"/>
      <c r="F1024" s="37"/>
      <c r="G1024" s="37"/>
      <c r="H1024" s="37"/>
      <c r="I1024" s="37"/>
      <c r="J1024" s="47"/>
      <c r="K1024" s="41" t="str">
        <f aca="false">IF(J1024="","",IF(J1024&gt;=8,"Yes","Check"))</f>
        <v/>
      </c>
      <c r="L1024" s="38"/>
      <c r="M1024" s="47"/>
      <c r="N1024" s="47"/>
      <c r="O1024" s="37"/>
      <c r="P1024" s="38"/>
      <c r="Q1024" s="42" t="str">
        <f aca="false">IF(P1024="","",LEN(P1024))</f>
        <v/>
      </c>
      <c r="R1024" s="47"/>
      <c r="S1024" s="37"/>
      <c r="T1024" s="38"/>
      <c r="U1024" s="43" t="str">
        <f aca="false">IF(OR(R1024&lt;&gt;"Yes",A1024=""),"",A1024+4)</f>
        <v/>
      </c>
      <c r="V1024" s="47"/>
      <c r="W1024" s="38"/>
      <c r="X1024" s="38"/>
      <c r="Y1024" s="44"/>
      <c r="Z1024" s="44"/>
      <c r="AA1024" s="45" t="str">
        <f aca="false">IF(AND($Y1024="",$Z1024=""),"",ROUND(IFERROR(VALUE(LEFT($Y1024,1)),0)*12+IFERROR(VALUE(LEFT($Z1024,1)),0)*8,0))</f>
        <v/>
      </c>
      <c r="AB1024" s="45" t="str">
        <f aca="false">IF($AA1024="","",IF($AA1024&gt;=80,"A - call first",IF($AA1024&gt;=60,"B - worth pursuing",IF($AA1024&gt;=40,"C - nurture","D - do not spend time here"))))</f>
        <v/>
      </c>
      <c r="AC1024" s="46" t="str">
        <f aca="false">IF($C1024="","",IF($S1024="Converted","7 Certification / Enterprise opportunity",IF($S1024="Application Started","7 Certification / Enterprise opportunity",IF($S1024="Meeting Booked","6 Meeting / Application",IF(OR($S1024="Interested",$S1024="Info Requested"),"5 Interested",IF(OR($S1024="Declined",$S1024="Not Relevant"),"0 Closed - no",IF($R1024="Yes","4 Contacted",IF($N1024="Yes","2 Engaged",IF($M1024="Yes","1 Awareness",IF($AA1024&gt;=60,"3 Qualified","1 Awareness"))))))))))</f>
        <v/>
      </c>
    </row>
    <row r="1025" customFormat="false" ht="30" hidden="false" customHeight="true" outlineLevel="0" collapsed="false">
      <c r="A1025" s="36"/>
      <c r="B1025" s="37"/>
      <c r="C1025" s="37"/>
      <c r="D1025" s="37"/>
      <c r="E1025" s="37"/>
      <c r="F1025" s="37"/>
      <c r="G1025" s="37"/>
      <c r="H1025" s="37"/>
      <c r="I1025" s="37"/>
      <c r="J1025" s="47"/>
      <c r="K1025" s="41" t="str">
        <f aca="false">IF(J1025="","",IF(J1025&gt;=8,"Yes","Check"))</f>
        <v/>
      </c>
      <c r="L1025" s="38"/>
      <c r="M1025" s="47"/>
      <c r="N1025" s="47"/>
      <c r="O1025" s="37"/>
      <c r="P1025" s="38"/>
      <c r="Q1025" s="42" t="str">
        <f aca="false">IF(P1025="","",LEN(P1025))</f>
        <v/>
      </c>
      <c r="R1025" s="47"/>
      <c r="S1025" s="37"/>
      <c r="T1025" s="38"/>
      <c r="U1025" s="43" t="str">
        <f aca="false">IF(OR(R1025&lt;&gt;"Yes",A1025=""),"",A1025+4)</f>
        <v/>
      </c>
      <c r="V1025" s="47"/>
      <c r="W1025" s="38"/>
      <c r="X1025" s="38"/>
      <c r="Y1025" s="44"/>
      <c r="Z1025" s="44"/>
      <c r="AA1025" s="45" t="str">
        <f aca="false">IF(AND($Y1025="",$Z1025=""),"",ROUND(IFERROR(VALUE(LEFT($Y1025,1)),0)*12+IFERROR(VALUE(LEFT($Z1025,1)),0)*8,0))</f>
        <v/>
      </c>
      <c r="AB1025" s="45" t="str">
        <f aca="false">IF($AA1025="","",IF($AA1025&gt;=80,"A - call first",IF($AA1025&gt;=60,"B - worth pursuing",IF($AA1025&gt;=40,"C - nurture","D - do not spend time here"))))</f>
        <v/>
      </c>
      <c r="AC1025" s="46" t="str">
        <f aca="false">IF($C1025="","",IF($S1025="Converted","7 Certification / Enterprise opportunity",IF($S1025="Application Started","7 Certification / Enterprise opportunity",IF($S1025="Meeting Booked","6 Meeting / Application",IF(OR($S1025="Interested",$S1025="Info Requested"),"5 Interested",IF(OR($S1025="Declined",$S1025="Not Relevant"),"0 Closed - no",IF($R1025="Yes","4 Contacted",IF($N1025="Yes","2 Engaged",IF($M1025="Yes","1 Awareness",IF($AA1025&gt;=60,"3 Qualified","1 Awareness"))))))))))</f>
        <v/>
      </c>
    </row>
    <row r="1026" customFormat="false" ht="30" hidden="false" customHeight="true" outlineLevel="0" collapsed="false">
      <c r="A1026" s="36"/>
      <c r="B1026" s="37"/>
      <c r="C1026" s="37"/>
      <c r="D1026" s="37"/>
      <c r="E1026" s="37"/>
      <c r="F1026" s="37"/>
      <c r="G1026" s="37"/>
      <c r="H1026" s="37"/>
      <c r="I1026" s="37"/>
      <c r="J1026" s="47"/>
      <c r="K1026" s="41" t="str">
        <f aca="false">IF(J1026="","",IF(J1026&gt;=8,"Yes","Check"))</f>
        <v/>
      </c>
      <c r="L1026" s="38"/>
      <c r="M1026" s="47"/>
      <c r="N1026" s="47"/>
      <c r="O1026" s="37"/>
      <c r="P1026" s="38"/>
      <c r="Q1026" s="42" t="str">
        <f aca="false">IF(P1026="","",LEN(P1026))</f>
        <v/>
      </c>
      <c r="R1026" s="47"/>
      <c r="S1026" s="37"/>
      <c r="T1026" s="38"/>
      <c r="U1026" s="43" t="str">
        <f aca="false">IF(OR(R1026&lt;&gt;"Yes",A1026=""),"",A1026+4)</f>
        <v/>
      </c>
      <c r="V1026" s="47"/>
      <c r="W1026" s="38"/>
      <c r="X1026" s="38"/>
      <c r="Y1026" s="44"/>
      <c r="Z1026" s="44"/>
      <c r="AA1026" s="45" t="str">
        <f aca="false">IF(AND($Y1026="",$Z1026=""),"",ROUND(IFERROR(VALUE(LEFT($Y1026,1)),0)*12+IFERROR(VALUE(LEFT($Z1026,1)),0)*8,0))</f>
        <v/>
      </c>
      <c r="AB1026" s="45" t="str">
        <f aca="false">IF($AA1026="","",IF($AA1026&gt;=80,"A - call first",IF($AA1026&gt;=60,"B - worth pursuing",IF($AA1026&gt;=40,"C - nurture","D - do not spend time here"))))</f>
        <v/>
      </c>
      <c r="AC1026" s="46" t="str">
        <f aca="false">IF($C1026="","",IF($S1026="Converted","7 Certification / Enterprise opportunity",IF($S1026="Application Started","7 Certification / Enterprise opportunity",IF($S1026="Meeting Booked","6 Meeting / Application",IF(OR($S1026="Interested",$S1026="Info Requested"),"5 Interested",IF(OR($S1026="Declined",$S1026="Not Relevant"),"0 Closed - no",IF($R1026="Yes","4 Contacted",IF($N1026="Yes","2 Engaged",IF($M1026="Yes","1 Awareness",IF($AA1026&gt;=60,"3 Qualified","1 Awareness"))))))))))</f>
        <v/>
      </c>
    </row>
    <row r="1027" customFormat="false" ht="30" hidden="false" customHeight="true" outlineLevel="0" collapsed="false">
      <c r="A1027" s="36"/>
      <c r="B1027" s="37"/>
      <c r="C1027" s="37"/>
      <c r="D1027" s="37"/>
      <c r="E1027" s="37"/>
      <c r="F1027" s="37"/>
      <c r="G1027" s="37"/>
      <c r="H1027" s="37"/>
      <c r="I1027" s="37"/>
      <c r="J1027" s="47"/>
      <c r="K1027" s="41" t="str">
        <f aca="false">IF(J1027="","",IF(J1027&gt;=8,"Yes","Check"))</f>
        <v/>
      </c>
      <c r="L1027" s="38"/>
      <c r="M1027" s="47"/>
      <c r="N1027" s="47"/>
      <c r="O1027" s="37"/>
      <c r="P1027" s="38"/>
      <c r="Q1027" s="42" t="str">
        <f aca="false">IF(P1027="","",LEN(P1027))</f>
        <v/>
      </c>
      <c r="R1027" s="47"/>
      <c r="S1027" s="37"/>
      <c r="T1027" s="38"/>
      <c r="U1027" s="43" t="str">
        <f aca="false">IF(OR(R1027&lt;&gt;"Yes",A1027=""),"",A1027+4)</f>
        <v/>
      </c>
      <c r="V1027" s="47"/>
      <c r="W1027" s="38"/>
      <c r="X1027" s="38"/>
      <c r="Y1027" s="44"/>
      <c r="Z1027" s="44"/>
      <c r="AA1027" s="45" t="str">
        <f aca="false">IF(AND($Y1027="",$Z1027=""),"",ROUND(IFERROR(VALUE(LEFT($Y1027,1)),0)*12+IFERROR(VALUE(LEFT($Z1027,1)),0)*8,0))</f>
        <v/>
      </c>
      <c r="AB1027" s="45" t="str">
        <f aca="false">IF($AA1027="","",IF($AA1027&gt;=80,"A - call first",IF($AA1027&gt;=60,"B - worth pursuing",IF($AA1027&gt;=40,"C - nurture","D - do not spend time here"))))</f>
        <v/>
      </c>
      <c r="AC1027" s="46" t="str">
        <f aca="false">IF($C1027="","",IF($S1027="Converted","7 Certification / Enterprise opportunity",IF($S1027="Application Started","7 Certification / Enterprise opportunity",IF($S1027="Meeting Booked","6 Meeting / Application",IF(OR($S1027="Interested",$S1027="Info Requested"),"5 Interested",IF(OR($S1027="Declined",$S1027="Not Relevant"),"0 Closed - no",IF($R1027="Yes","4 Contacted",IF($N1027="Yes","2 Engaged",IF($M1027="Yes","1 Awareness",IF($AA1027&gt;=60,"3 Qualified","1 Awareness"))))))))))</f>
        <v/>
      </c>
    </row>
    <row r="1028" customFormat="false" ht="30" hidden="false" customHeight="true" outlineLevel="0" collapsed="false">
      <c r="A1028" s="36"/>
      <c r="B1028" s="37"/>
      <c r="C1028" s="37"/>
      <c r="D1028" s="37"/>
      <c r="E1028" s="37"/>
      <c r="F1028" s="37"/>
      <c r="G1028" s="37"/>
      <c r="H1028" s="37"/>
      <c r="I1028" s="37"/>
      <c r="J1028" s="47"/>
      <c r="K1028" s="41" t="str">
        <f aca="false">IF(J1028="","",IF(J1028&gt;=8,"Yes","Check"))</f>
        <v/>
      </c>
      <c r="L1028" s="38"/>
      <c r="M1028" s="47"/>
      <c r="N1028" s="47"/>
      <c r="O1028" s="37"/>
      <c r="P1028" s="38"/>
      <c r="Q1028" s="42" t="str">
        <f aca="false">IF(P1028="","",LEN(P1028))</f>
        <v/>
      </c>
      <c r="R1028" s="47"/>
      <c r="S1028" s="37"/>
      <c r="T1028" s="38"/>
      <c r="U1028" s="43" t="str">
        <f aca="false">IF(OR(R1028&lt;&gt;"Yes",A1028=""),"",A1028+4)</f>
        <v/>
      </c>
      <c r="V1028" s="47"/>
      <c r="W1028" s="38"/>
      <c r="X1028" s="38"/>
      <c r="Y1028" s="44"/>
      <c r="Z1028" s="44"/>
      <c r="AA1028" s="45" t="str">
        <f aca="false">IF(AND($Y1028="",$Z1028=""),"",ROUND(IFERROR(VALUE(LEFT($Y1028,1)),0)*12+IFERROR(VALUE(LEFT($Z1028,1)),0)*8,0))</f>
        <v/>
      </c>
      <c r="AB1028" s="45" t="str">
        <f aca="false">IF($AA1028="","",IF($AA1028&gt;=80,"A - call first",IF($AA1028&gt;=60,"B - worth pursuing",IF($AA1028&gt;=40,"C - nurture","D - do not spend time here"))))</f>
        <v/>
      </c>
      <c r="AC1028" s="46" t="str">
        <f aca="false">IF($C1028="","",IF($S1028="Converted","7 Certification / Enterprise opportunity",IF($S1028="Application Started","7 Certification / Enterprise opportunity",IF($S1028="Meeting Booked","6 Meeting / Application",IF(OR($S1028="Interested",$S1028="Info Requested"),"5 Interested",IF(OR($S1028="Declined",$S1028="Not Relevant"),"0 Closed - no",IF($R1028="Yes","4 Contacted",IF($N1028="Yes","2 Engaged",IF($M1028="Yes","1 Awareness",IF($AA1028&gt;=60,"3 Qualified","1 Awareness"))))))))))</f>
        <v/>
      </c>
    </row>
    <row r="1029" customFormat="false" ht="30" hidden="false" customHeight="true" outlineLevel="0" collapsed="false">
      <c r="A1029" s="36"/>
      <c r="B1029" s="37"/>
      <c r="C1029" s="37"/>
      <c r="D1029" s="37"/>
      <c r="E1029" s="37"/>
      <c r="F1029" s="37"/>
      <c r="G1029" s="37"/>
      <c r="H1029" s="37"/>
      <c r="I1029" s="37"/>
      <c r="J1029" s="47"/>
      <c r="K1029" s="41" t="str">
        <f aca="false">IF(J1029="","",IF(J1029&gt;=8,"Yes","Check"))</f>
        <v/>
      </c>
      <c r="L1029" s="38"/>
      <c r="M1029" s="47"/>
      <c r="N1029" s="47"/>
      <c r="O1029" s="37"/>
      <c r="P1029" s="38"/>
      <c r="Q1029" s="42" t="str">
        <f aca="false">IF(P1029="","",LEN(P1029))</f>
        <v/>
      </c>
      <c r="R1029" s="47"/>
      <c r="S1029" s="37"/>
      <c r="T1029" s="38"/>
      <c r="U1029" s="43" t="str">
        <f aca="false">IF(OR(R1029&lt;&gt;"Yes",A1029=""),"",A1029+4)</f>
        <v/>
      </c>
      <c r="V1029" s="47"/>
      <c r="W1029" s="38"/>
      <c r="X1029" s="38"/>
      <c r="Y1029" s="44"/>
      <c r="Z1029" s="44"/>
      <c r="AA1029" s="45" t="str">
        <f aca="false">IF(AND($Y1029="",$Z1029=""),"",ROUND(IFERROR(VALUE(LEFT($Y1029,1)),0)*12+IFERROR(VALUE(LEFT($Z1029,1)),0)*8,0))</f>
        <v/>
      </c>
      <c r="AB1029" s="45" t="str">
        <f aca="false">IF($AA1029="","",IF($AA1029&gt;=80,"A - call first",IF($AA1029&gt;=60,"B - worth pursuing",IF($AA1029&gt;=40,"C - nurture","D - do not spend time here"))))</f>
        <v/>
      </c>
      <c r="AC1029" s="46" t="str">
        <f aca="false">IF($C1029="","",IF($S1029="Converted","7 Certification / Enterprise opportunity",IF($S1029="Application Started","7 Certification / Enterprise opportunity",IF($S1029="Meeting Booked","6 Meeting / Application",IF(OR($S1029="Interested",$S1029="Info Requested"),"5 Interested",IF(OR($S1029="Declined",$S1029="Not Relevant"),"0 Closed - no",IF($R1029="Yes","4 Contacted",IF($N1029="Yes","2 Engaged",IF($M1029="Yes","1 Awareness",IF($AA1029&gt;=60,"3 Qualified","1 Awareness"))))))))))</f>
        <v/>
      </c>
    </row>
    <row r="1030" customFormat="false" ht="30" hidden="false" customHeight="true" outlineLevel="0" collapsed="false">
      <c r="A1030" s="36"/>
      <c r="B1030" s="37"/>
      <c r="C1030" s="37"/>
      <c r="D1030" s="37"/>
      <c r="E1030" s="37"/>
      <c r="F1030" s="37"/>
      <c r="G1030" s="37"/>
      <c r="H1030" s="37"/>
      <c r="I1030" s="37"/>
      <c r="J1030" s="47"/>
      <c r="K1030" s="41" t="str">
        <f aca="false">IF(J1030="","",IF(J1030&gt;=8,"Yes","Check"))</f>
        <v/>
      </c>
      <c r="L1030" s="38"/>
      <c r="M1030" s="47"/>
      <c r="N1030" s="47"/>
      <c r="O1030" s="37"/>
      <c r="P1030" s="38"/>
      <c r="Q1030" s="42" t="str">
        <f aca="false">IF(P1030="","",LEN(P1030))</f>
        <v/>
      </c>
      <c r="R1030" s="47"/>
      <c r="S1030" s="37"/>
      <c r="T1030" s="38"/>
      <c r="U1030" s="43" t="str">
        <f aca="false">IF(OR(R1030&lt;&gt;"Yes",A1030=""),"",A1030+4)</f>
        <v/>
      </c>
      <c r="V1030" s="47"/>
      <c r="W1030" s="38"/>
      <c r="X1030" s="38"/>
      <c r="Y1030" s="44"/>
      <c r="Z1030" s="44"/>
      <c r="AA1030" s="45" t="str">
        <f aca="false">IF(AND($Y1030="",$Z1030=""),"",ROUND(IFERROR(VALUE(LEFT($Y1030,1)),0)*12+IFERROR(VALUE(LEFT($Z1030,1)),0)*8,0))</f>
        <v/>
      </c>
      <c r="AB1030" s="45" t="str">
        <f aca="false">IF($AA1030="","",IF($AA1030&gt;=80,"A - call first",IF($AA1030&gt;=60,"B - worth pursuing",IF($AA1030&gt;=40,"C - nurture","D - do not spend time here"))))</f>
        <v/>
      </c>
      <c r="AC1030" s="46" t="str">
        <f aca="false">IF($C1030="","",IF($S1030="Converted","7 Certification / Enterprise opportunity",IF($S1030="Application Started","7 Certification / Enterprise opportunity",IF($S1030="Meeting Booked","6 Meeting / Application",IF(OR($S1030="Interested",$S1030="Info Requested"),"5 Interested",IF(OR($S1030="Declined",$S1030="Not Relevant"),"0 Closed - no",IF($R1030="Yes","4 Contacted",IF($N1030="Yes","2 Engaged",IF($M1030="Yes","1 Awareness",IF($AA1030&gt;=60,"3 Qualified","1 Awareness"))))))))))</f>
        <v/>
      </c>
    </row>
    <row r="1031" customFormat="false" ht="30" hidden="false" customHeight="true" outlineLevel="0" collapsed="false">
      <c r="A1031" s="36"/>
      <c r="B1031" s="37"/>
      <c r="C1031" s="37"/>
      <c r="D1031" s="37"/>
      <c r="E1031" s="37"/>
      <c r="F1031" s="37"/>
      <c r="G1031" s="37"/>
      <c r="H1031" s="37"/>
      <c r="I1031" s="37"/>
      <c r="J1031" s="47"/>
      <c r="K1031" s="41" t="str">
        <f aca="false">IF(J1031="","",IF(J1031&gt;=8,"Yes","Check"))</f>
        <v/>
      </c>
      <c r="L1031" s="38"/>
      <c r="M1031" s="47"/>
      <c r="N1031" s="47"/>
      <c r="O1031" s="37"/>
      <c r="P1031" s="38"/>
      <c r="Q1031" s="42" t="str">
        <f aca="false">IF(P1031="","",LEN(P1031))</f>
        <v/>
      </c>
      <c r="R1031" s="47"/>
      <c r="S1031" s="37"/>
      <c r="T1031" s="38"/>
      <c r="U1031" s="43" t="str">
        <f aca="false">IF(OR(R1031&lt;&gt;"Yes",A1031=""),"",A1031+4)</f>
        <v/>
      </c>
      <c r="V1031" s="47"/>
      <c r="W1031" s="38"/>
      <c r="X1031" s="38"/>
      <c r="Y1031" s="44"/>
      <c r="Z1031" s="44"/>
      <c r="AA1031" s="45" t="str">
        <f aca="false">IF(AND($Y1031="",$Z1031=""),"",ROUND(IFERROR(VALUE(LEFT($Y1031,1)),0)*12+IFERROR(VALUE(LEFT($Z1031,1)),0)*8,0))</f>
        <v/>
      </c>
      <c r="AB1031" s="45" t="str">
        <f aca="false">IF($AA1031="","",IF($AA1031&gt;=80,"A - call first",IF($AA1031&gt;=60,"B - worth pursuing",IF($AA1031&gt;=40,"C - nurture","D - do not spend time here"))))</f>
        <v/>
      </c>
      <c r="AC1031" s="46" t="str">
        <f aca="false">IF($C1031="","",IF($S1031="Converted","7 Certification / Enterprise opportunity",IF($S1031="Application Started","7 Certification / Enterprise opportunity",IF($S1031="Meeting Booked","6 Meeting / Application",IF(OR($S1031="Interested",$S1031="Info Requested"),"5 Interested",IF(OR($S1031="Declined",$S1031="Not Relevant"),"0 Closed - no",IF($R1031="Yes","4 Contacted",IF($N1031="Yes","2 Engaged",IF($M1031="Yes","1 Awareness",IF($AA1031&gt;=60,"3 Qualified","1 Awareness"))))))))))</f>
        <v/>
      </c>
    </row>
    <row r="1032" customFormat="false" ht="30" hidden="false" customHeight="true" outlineLevel="0" collapsed="false">
      <c r="A1032" s="36"/>
      <c r="B1032" s="37"/>
      <c r="C1032" s="37"/>
      <c r="D1032" s="37"/>
      <c r="E1032" s="37"/>
      <c r="F1032" s="37"/>
      <c r="G1032" s="37"/>
      <c r="H1032" s="37"/>
      <c r="I1032" s="37"/>
      <c r="J1032" s="47"/>
      <c r="K1032" s="41" t="str">
        <f aca="false">IF(J1032="","",IF(J1032&gt;=8,"Yes","Check"))</f>
        <v/>
      </c>
      <c r="L1032" s="38"/>
      <c r="M1032" s="47"/>
      <c r="N1032" s="47"/>
      <c r="O1032" s="37"/>
      <c r="P1032" s="38"/>
      <c r="Q1032" s="42" t="str">
        <f aca="false">IF(P1032="","",LEN(P1032))</f>
        <v/>
      </c>
      <c r="R1032" s="47"/>
      <c r="S1032" s="37"/>
      <c r="T1032" s="38"/>
      <c r="U1032" s="43" t="str">
        <f aca="false">IF(OR(R1032&lt;&gt;"Yes",A1032=""),"",A1032+4)</f>
        <v/>
      </c>
      <c r="V1032" s="47"/>
      <c r="W1032" s="38"/>
      <c r="X1032" s="38"/>
      <c r="Y1032" s="44"/>
      <c r="Z1032" s="44"/>
      <c r="AA1032" s="45" t="str">
        <f aca="false">IF(AND($Y1032="",$Z1032=""),"",ROUND(IFERROR(VALUE(LEFT($Y1032,1)),0)*12+IFERROR(VALUE(LEFT($Z1032,1)),0)*8,0))</f>
        <v/>
      </c>
      <c r="AB1032" s="45" t="str">
        <f aca="false">IF($AA1032="","",IF($AA1032&gt;=80,"A - call first",IF($AA1032&gt;=60,"B - worth pursuing",IF($AA1032&gt;=40,"C - nurture","D - do not spend time here"))))</f>
        <v/>
      </c>
      <c r="AC1032" s="46" t="str">
        <f aca="false">IF($C1032="","",IF($S1032="Converted","7 Certification / Enterprise opportunity",IF($S1032="Application Started","7 Certification / Enterprise opportunity",IF($S1032="Meeting Booked","6 Meeting / Application",IF(OR($S1032="Interested",$S1032="Info Requested"),"5 Interested",IF(OR($S1032="Declined",$S1032="Not Relevant"),"0 Closed - no",IF($R1032="Yes","4 Contacted",IF($N1032="Yes","2 Engaged",IF($M1032="Yes","1 Awareness",IF($AA1032&gt;=60,"3 Qualified","1 Awareness"))))))))))</f>
        <v/>
      </c>
    </row>
    <row r="1033" customFormat="false" ht="30" hidden="false" customHeight="true" outlineLevel="0" collapsed="false">
      <c r="A1033" s="36"/>
      <c r="B1033" s="37"/>
      <c r="C1033" s="37"/>
      <c r="D1033" s="37"/>
      <c r="E1033" s="37"/>
      <c r="F1033" s="37"/>
      <c r="G1033" s="37"/>
      <c r="H1033" s="37"/>
      <c r="I1033" s="37"/>
      <c r="J1033" s="47"/>
      <c r="K1033" s="41" t="str">
        <f aca="false">IF(J1033="","",IF(J1033&gt;=8,"Yes","Check"))</f>
        <v/>
      </c>
      <c r="L1033" s="38"/>
      <c r="M1033" s="47"/>
      <c r="N1033" s="47"/>
      <c r="O1033" s="37"/>
      <c r="P1033" s="38"/>
      <c r="Q1033" s="42" t="str">
        <f aca="false">IF(P1033="","",LEN(P1033))</f>
        <v/>
      </c>
      <c r="R1033" s="47"/>
      <c r="S1033" s="37"/>
      <c r="T1033" s="38"/>
      <c r="U1033" s="43" t="str">
        <f aca="false">IF(OR(R1033&lt;&gt;"Yes",A1033=""),"",A1033+4)</f>
        <v/>
      </c>
      <c r="V1033" s="47"/>
      <c r="W1033" s="38"/>
      <c r="X1033" s="38"/>
      <c r="Y1033" s="44"/>
      <c r="Z1033" s="44"/>
      <c r="AA1033" s="45" t="str">
        <f aca="false">IF(AND($Y1033="",$Z1033=""),"",ROUND(IFERROR(VALUE(LEFT($Y1033,1)),0)*12+IFERROR(VALUE(LEFT($Z1033,1)),0)*8,0))</f>
        <v/>
      </c>
      <c r="AB1033" s="45" t="str">
        <f aca="false">IF($AA1033="","",IF($AA1033&gt;=80,"A - call first",IF($AA1033&gt;=60,"B - worth pursuing",IF($AA1033&gt;=40,"C - nurture","D - do not spend time here"))))</f>
        <v/>
      </c>
      <c r="AC1033" s="46" t="str">
        <f aca="false">IF($C1033="","",IF($S1033="Converted","7 Certification / Enterprise opportunity",IF($S1033="Application Started","7 Certification / Enterprise opportunity",IF($S1033="Meeting Booked","6 Meeting / Application",IF(OR($S1033="Interested",$S1033="Info Requested"),"5 Interested",IF(OR($S1033="Declined",$S1033="Not Relevant"),"0 Closed - no",IF($R1033="Yes","4 Contacted",IF($N1033="Yes","2 Engaged",IF($M1033="Yes","1 Awareness",IF($AA1033&gt;=60,"3 Qualified","1 Awareness"))))))))))</f>
        <v/>
      </c>
    </row>
    <row r="1034" customFormat="false" ht="30" hidden="false" customHeight="true" outlineLevel="0" collapsed="false">
      <c r="A1034" s="36"/>
      <c r="B1034" s="37"/>
      <c r="C1034" s="37"/>
      <c r="D1034" s="37"/>
      <c r="E1034" s="37"/>
      <c r="F1034" s="37"/>
      <c r="G1034" s="37"/>
      <c r="H1034" s="37"/>
      <c r="I1034" s="37"/>
      <c r="J1034" s="47"/>
      <c r="K1034" s="41" t="str">
        <f aca="false">IF(J1034="","",IF(J1034&gt;=8,"Yes","Check"))</f>
        <v/>
      </c>
      <c r="L1034" s="38"/>
      <c r="M1034" s="47"/>
      <c r="N1034" s="47"/>
      <c r="O1034" s="37"/>
      <c r="P1034" s="38"/>
      <c r="Q1034" s="42" t="str">
        <f aca="false">IF(P1034="","",LEN(P1034))</f>
        <v/>
      </c>
      <c r="R1034" s="47"/>
      <c r="S1034" s="37"/>
      <c r="T1034" s="38"/>
      <c r="U1034" s="43" t="str">
        <f aca="false">IF(OR(R1034&lt;&gt;"Yes",A1034=""),"",A1034+4)</f>
        <v/>
      </c>
      <c r="V1034" s="47"/>
      <c r="W1034" s="38"/>
      <c r="X1034" s="38"/>
      <c r="Y1034" s="44"/>
      <c r="Z1034" s="44"/>
      <c r="AA1034" s="45" t="str">
        <f aca="false">IF(AND($Y1034="",$Z1034=""),"",ROUND(IFERROR(VALUE(LEFT($Y1034,1)),0)*12+IFERROR(VALUE(LEFT($Z1034,1)),0)*8,0))</f>
        <v/>
      </c>
      <c r="AB1034" s="45" t="str">
        <f aca="false">IF($AA1034="","",IF($AA1034&gt;=80,"A - call first",IF($AA1034&gt;=60,"B - worth pursuing",IF($AA1034&gt;=40,"C - nurture","D - do not spend time here"))))</f>
        <v/>
      </c>
      <c r="AC1034" s="46" t="str">
        <f aca="false">IF($C1034="","",IF($S1034="Converted","7 Certification / Enterprise opportunity",IF($S1034="Application Started","7 Certification / Enterprise opportunity",IF($S1034="Meeting Booked","6 Meeting / Application",IF(OR($S1034="Interested",$S1034="Info Requested"),"5 Interested",IF(OR($S1034="Declined",$S1034="Not Relevant"),"0 Closed - no",IF($R1034="Yes","4 Contacted",IF($N1034="Yes","2 Engaged",IF($M1034="Yes","1 Awareness",IF($AA1034&gt;=60,"3 Qualified","1 Awareness"))))))))))</f>
        <v/>
      </c>
    </row>
    <row r="1035" customFormat="false" ht="30" hidden="false" customHeight="true" outlineLevel="0" collapsed="false">
      <c r="A1035" s="36"/>
      <c r="B1035" s="37"/>
      <c r="C1035" s="37"/>
      <c r="D1035" s="37"/>
      <c r="E1035" s="37"/>
      <c r="F1035" s="37"/>
      <c r="G1035" s="37"/>
      <c r="H1035" s="37"/>
      <c r="I1035" s="37"/>
      <c r="J1035" s="47"/>
      <c r="K1035" s="41" t="str">
        <f aca="false">IF(J1035="","",IF(J1035&gt;=8,"Yes","Check"))</f>
        <v/>
      </c>
      <c r="L1035" s="38"/>
      <c r="M1035" s="47"/>
      <c r="N1035" s="47"/>
      <c r="O1035" s="37"/>
      <c r="P1035" s="38"/>
      <c r="Q1035" s="42" t="str">
        <f aca="false">IF(P1035="","",LEN(P1035))</f>
        <v/>
      </c>
      <c r="R1035" s="47"/>
      <c r="S1035" s="37"/>
      <c r="T1035" s="38"/>
      <c r="U1035" s="43" t="str">
        <f aca="false">IF(OR(R1035&lt;&gt;"Yes",A1035=""),"",A1035+4)</f>
        <v/>
      </c>
      <c r="V1035" s="47"/>
      <c r="W1035" s="38"/>
      <c r="X1035" s="38"/>
      <c r="Y1035" s="44"/>
      <c r="Z1035" s="44"/>
      <c r="AA1035" s="45" t="str">
        <f aca="false">IF(AND($Y1035="",$Z1035=""),"",ROUND(IFERROR(VALUE(LEFT($Y1035,1)),0)*12+IFERROR(VALUE(LEFT($Z1035,1)),0)*8,0))</f>
        <v/>
      </c>
      <c r="AB1035" s="45" t="str">
        <f aca="false">IF($AA1035="","",IF($AA1035&gt;=80,"A - call first",IF($AA1035&gt;=60,"B - worth pursuing",IF($AA1035&gt;=40,"C - nurture","D - do not spend time here"))))</f>
        <v/>
      </c>
      <c r="AC1035" s="46" t="str">
        <f aca="false">IF($C1035="","",IF($S1035="Converted","7 Certification / Enterprise opportunity",IF($S1035="Application Started","7 Certification / Enterprise opportunity",IF($S1035="Meeting Booked","6 Meeting / Application",IF(OR($S1035="Interested",$S1035="Info Requested"),"5 Interested",IF(OR($S1035="Declined",$S1035="Not Relevant"),"0 Closed - no",IF($R1035="Yes","4 Contacted",IF($N1035="Yes","2 Engaged",IF($M1035="Yes","1 Awareness",IF($AA1035&gt;=60,"3 Qualified","1 Awareness"))))))))))</f>
        <v/>
      </c>
    </row>
    <row r="1036" customFormat="false" ht="30" hidden="false" customHeight="true" outlineLevel="0" collapsed="false">
      <c r="A1036" s="36"/>
      <c r="B1036" s="37"/>
      <c r="C1036" s="37"/>
      <c r="D1036" s="37"/>
      <c r="E1036" s="37"/>
      <c r="F1036" s="37"/>
      <c r="G1036" s="37"/>
      <c r="H1036" s="37"/>
      <c r="I1036" s="37"/>
      <c r="J1036" s="47"/>
      <c r="K1036" s="41" t="str">
        <f aca="false">IF(J1036="","",IF(J1036&gt;=8,"Yes","Check"))</f>
        <v/>
      </c>
      <c r="L1036" s="38"/>
      <c r="M1036" s="47"/>
      <c r="N1036" s="47"/>
      <c r="O1036" s="37"/>
      <c r="P1036" s="38"/>
      <c r="Q1036" s="42" t="str">
        <f aca="false">IF(P1036="","",LEN(P1036))</f>
        <v/>
      </c>
      <c r="R1036" s="47"/>
      <c r="S1036" s="37"/>
      <c r="T1036" s="38"/>
      <c r="U1036" s="43" t="str">
        <f aca="false">IF(OR(R1036&lt;&gt;"Yes",A1036=""),"",A1036+4)</f>
        <v/>
      </c>
      <c r="V1036" s="47"/>
      <c r="W1036" s="38"/>
      <c r="X1036" s="38"/>
      <c r="Y1036" s="44"/>
      <c r="Z1036" s="44"/>
      <c r="AA1036" s="45" t="str">
        <f aca="false">IF(AND($Y1036="",$Z1036=""),"",ROUND(IFERROR(VALUE(LEFT($Y1036,1)),0)*12+IFERROR(VALUE(LEFT($Z1036,1)),0)*8,0))</f>
        <v/>
      </c>
      <c r="AB1036" s="45" t="str">
        <f aca="false">IF($AA1036="","",IF($AA1036&gt;=80,"A - call first",IF($AA1036&gt;=60,"B - worth pursuing",IF($AA1036&gt;=40,"C - nurture","D - do not spend time here"))))</f>
        <v/>
      </c>
      <c r="AC1036" s="46" t="str">
        <f aca="false">IF($C1036="","",IF($S1036="Converted","7 Certification / Enterprise opportunity",IF($S1036="Application Started","7 Certification / Enterprise opportunity",IF($S1036="Meeting Booked","6 Meeting / Application",IF(OR($S1036="Interested",$S1036="Info Requested"),"5 Interested",IF(OR($S1036="Declined",$S1036="Not Relevant"),"0 Closed - no",IF($R1036="Yes","4 Contacted",IF($N1036="Yes","2 Engaged",IF($M1036="Yes","1 Awareness",IF($AA1036&gt;=60,"3 Qualified","1 Awareness"))))))))))</f>
        <v/>
      </c>
    </row>
    <row r="1037" customFormat="false" ht="30" hidden="false" customHeight="true" outlineLevel="0" collapsed="false">
      <c r="A1037" s="36"/>
      <c r="B1037" s="37"/>
      <c r="C1037" s="37"/>
      <c r="D1037" s="37"/>
      <c r="E1037" s="37"/>
      <c r="F1037" s="37"/>
      <c r="G1037" s="37"/>
      <c r="H1037" s="37"/>
      <c r="I1037" s="37"/>
      <c r="J1037" s="47"/>
      <c r="K1037" s="41" t="str">
        <f aca="false">IF(J1037="","",IF(J1037&gt;=8,"Yes","Check"))</f>
        <v/>
      </c>
      <c r="L1037" s="38"/>
      <c r="M1037" s="47"/>
      <c r="N1037" s="47"/>
      <c r="O1037" s="37"/>
      <c r="P1037" s="38"/>
      <c r="Q1037" s="42" t="str">
        <f aca="false">IF(P1037="","",LEN(P1037))</f>
        <v/>
      </c>
      <c r="R1037" s="47"/>
      <c r="S1037" s="37"/>
      <c r="T1037" s="38"/>
      <c r="U1037" s="43" t="str">
        <f aca="false">IF(OR(R1037&lt;&gt;"Yes",A1037=""),"",A1037+4)</f>
        <v/>
      </c>
      <c r="V1037" s="47"/>
      <c r="W1037" s="38"/>
      <c r="X1037" s="38"/>
      <c r="Y1037" s="44"/>
      <c r="Z1037" s="44"/>
      <c r="AA1037" s="45" t="str">
        <f aca="false">IF(AND($Y1037="",$Z1037=""),"",ROUND(IFERROR(VALUE(LEFT($Y1037,1)),0)*12+IFERROR(VALUE(LEFT($Z1037,1)),0)*8,0))</f>
        <v/>
      </c>
      <c r="AB1037" s="45" t="str">
        <f aca="false">IF($AA1037="","",IF($AA1037&gt;=80,"A - call first",IF($AA1037&gt;=60,"B - worth pursuing",IF($AA1037&gt;=40,"C - nurture","D - do not spend time here"))))</f>
        <v/>
      </c>
      <c r="AC1037" s="46" t="str">
        <f aca="false">IF($C1037="","",IF($S1037="Converted","7 Certification / Enterprise opportunity",IF($S1037="Application Started","7 Certification / Enterprise opportunity",IF($S1037="Meeting Booked","6 Meeting / Application",IF(OR($S1037="Interested",$S1037="Info Requested"),"5 Interested",IF(OR($S1037="Declined",$S1037="Not Relevant"),"0 Closed - no",IF($R1037="Yes","4 Contacted",IF($N1037="Yes","2 Engaged",IF($M1037="Yes","1 Awareness",IF($AA1037&gt;=60,"3 Qualified","1 Awareness"))))))))))</f>
        <v/>
      </c>
    </row>
    <row r="1038" customFormat="false" ht="30" hidden="false" customHeight="true" outlineLevel="0" collapsed="false">
      <c r="A1038" s="36"/>
      <c r="B1038" s="37"/>
      <c r="C1038" s="37"/>
      <c r="D1038" s="37"/>
      <c r="E1038" s="37"/>
      <c r="F1038" s="37"/>
      <c r="G1038" s="37"/>
      <c r="H1038" s="37"/>
      <c r="I1038" s="37"/>
      <c r="J1038" s="47"/>
      <c r="K1038" s="41" t="str">
        <f aca="false">IF(J1038="","",IF(J1038&gt;=8,"Yes","Check"))</f>
        <v/>
      </c>
      <c r="L1038" s="38"/>
      <c r="M1038" s="47"/>
      <c r="N1038" s="47"/>
      <c r="O1038" s="37"/>
      <c r="P1038" s="38"/>
      <c r="Q1038" s="42" t="str">
        <f aca="false">IF(P1038="","",LEN(P1038))</f>
        <v/>
      </c>
      <c r="R1038" s="47"/>
      <c r="S1038" s="37"/>
      <c r="T1038" s="38"/>
      <c r="U1038" s="43" t="str">
        <f aca="false">IF(OR(R1038&lt;&gt;"Yes",A1038=""),"",A1038+4)</f>
        <v/>
      </c>
      <c r="V1038" s="47"/>
      <c r="W1038" s="38"/>
      <c r="X1038" s="38"/>
      <c r="Y1038" s="44"/>
      <c r="Z1038" s="44"/>
      <c r="AA1038" s="45" t="str">
        <f aca="false">IF(AND($Y1038="",$Z1038=""),"",ROUND(IFERROR(VALUE(LEFT($Y1038,1)),0)*12+IFERROR(VALUE(LEFT($Z1038,1)),0)*8,0))</f>
        <v/>
      </c>
      <c r="AB1038" s="45" t="str">
        <f aca="false">IF($AA1038="","",IF($AA1038&gt;=80,"A - call first",IF($AA1038&gt;=60,"B - worth pursuing",IF($AA1038&gt;=40,"C - nurture","D - do not spend time here"))))</f>
        <v/>
      </c>
      <c r="AC1038" s="46" t="str">
        <f aca="false">IF($C1038="","",IF($S1038="Converted","7 Certification / Enterprise opportunity",IF($S1038="Application Started","7 Certification / Enterprise opportunity",IF($S1038="Meeting Booked","6 Meeting / Application",IF(OR($S1038="Interested",$S1038="Info Requested"),"5 Interested",IF(OR($S1038="Declined",$S1038="Not Relevant"),"0 Closed - no",IF($R1038="Yes","4 Contacted",IF($N1038="Yes","2 Engaged",IF($M1038="Yes","1 Awareness",IF($AA1038&gt;=60,"3 Qualified","1 Awareness"))))))))))</f>
        <v/>
      </c>
    </row>
    <row r="1039" customFormat="false" ht="30" hidden="false" customHeight="true" outlineLevel="0" collapsed="false">
      <c r="A1039" s="36"/>
      <c r="B1039" s="37"/>
      <c r="C1039" s="37"/>
      <c r="D1039" s="37"/>
      <c r="E1039" s="37"/>
      <c r="F1039" s="37"/>
      <c r="G1039" s="37"/>
      <c r="H1039" s="37"/>
      <c r="I1039" s="37"/>
      <c r="J1039" s="47"/>
      <c r="K1039" s="41" t="str">
        <f aca="false">IF(J1039="","",IF(J1039&gt;=8,"Yes","Check"))</f>
        <v/>
      </c>
      <c r="L1039" s="38"/>
      <c r="M1039" s="47"/>
      <c r="N1039" s="47"/>
      <c r="O1039" s="37"/>
      <c r="P1039" s="38"/>
      <c r="Q1039" s="42" t="str">
        <f aca="false">IF(P1039="","",LEN(P1039))</f>
        <v/>
      </c>
      <c r="R1039" s="47"/>
      <c r="S1039" s="37"/>
      <c r="T1039" s="38"/>
      <c r="U1039" s="43" t="str">
        <f aca="false">IF(OR(R1039&lt;&gt;"Yes",A1039=""),"",A1039+4)</f>
        <v/>
      </c>
      <c r="V1039" s="47"/>
      <c r="W1039" s="38"/>
      <c r="X1039" s="38"/>
      <c r="Y1039" s="44"/>
      <c r="Z1039" s="44"/>
      <c r="AA1039" s="45" t="str">
        <f aca="false">IF(AND($Y1039="",$Z1039=""),"",ROUND(IFERROR(VALUE(LEFT($Y1039,1)),0)*12+IFERROR(VALUE(LEFT($Z1039,1)),0)*8,0))</f>
        <v/>
      </c>
      <c r="AB1039" s="45" t="str">
        <f aca="false">IF($AA1039="","",IF($AA1039&gt;=80,"A - call first",IF($AA1039&gt;=60,"B - worth pursuing",IF($AA1039&gt;=40,"C - nurture","D - do not spend time here"))))</f>
        <v/>
      </c>
      <c r="AC1039" s="46" t="str">
        <f aca="false">IF($C1039="","",IF($S1039="Converted","7 Certification / Enterprise opportunity",IF($S1039="Application Started","7 Certification / Enterprise opportunity",IF($S1039="Meeting Booked","6 Meeting / Application",IF(OR($S1039="Interested",$S1039="Info Requested"),"5 Interested",IF(OR($S1039="Declined",$S1039="Not Relevant"),"0 Closed - no",IF($R1039="Yes","4 Contacted",IF($N1039="Yes","2 Engaged",IF($M1039="Yes","1 Awareness",IF($AA1039&gt;=60,"3 Qualified","1 Awareness"))))))))))</f>
        <v/>
      </c>
    </row>
    <row r="1040" customFormat="false" ht="30" hidden="false" customHeight="true" outlineLevel="0" collapsed="false">
      <c r="A1040" s="36"/>
      <c r="B1040" s="37"/>
      <c r="C1040" s="37"/>
      <c r="D1040" s="37"/>
      <c r="E1040" s="37"/>
      <c r="F1040" s="37"/>
      <c r="G1040" s="37"/>
      <c r="H1040" s="37"/>
      <c r="I1040" s="37"/>
      <c r="J1040" s="47"/>
      <c r="K1040" s="41" t="str">
        <f aca="false">IF(J1040="","",IF(J1040&gt;=8,"Yes","Check"))</f>
        <v/>
      </c>
      <c r="L1040" s="38"/>
      <c r="M1040" s="47"/>
      <c r="N1040" s="47"/>
      <c r="O1040" s="37"/>
      <c r="P1040" s="38"/>
      <c r="Q1040" s="42" t="str">
        <f aca="false">IF(P1040="","",LEN(P1040))</f>
        <v/>
      </c>
      <c r="R1040" s="47"/>
      <c r="S1040" s="37"/>
      <c r="T1040" s="38"/>
      <c r="U1040" s="43" t="str">
        <f aca="false">IF(OR(R1040&lt;&gt;"Yes",A1040=""),"",A1040+4)</f>
        <v/>
      </c>
      <c r="V1040" s="47"/>
      <c r="W1040" s="38"/>
      <c r="X1040" s="38"/>
      <c r="Y1040" s="44"/>
      <c r="Z1040" s="44"/>
      <c r="AA1040" s="45" t="str">
        <f aca="false">IF(AND($Y1040="",$Z1040=""),"",ROUND(IFERROR(VALUE(LEFT($Y1040,1)),0)*12+IFERROR(VALUE(LEFT($Z1040,1)),0)*8,0))</f>
        <v/>
      </c>
      <c r="AB1040" s="45" t="str">
        <f aca="false">IF($AA1040="","",IF($AA1040&gt;=80,"A - call first",IF($AA1040&gt;=60,"B - worth pursuing",IF($AA1040&gt;=40,"C - nurture","D - do not spend time here"))))</f>
        <v/>
      </c>
      <c r="AC1040" s="46" t="str">
        <f aca="false">IF($C1040="","",IF($S1040="Converted","7 Certification / Enterprise opportunity",IF($S1040="Application Started","7 Certification / Enterprise opportunity",IF($S1040="Meeting Booked","6 Meeting / Application",IF(OR($S1040="Interested",$S1040="Info Requested"),"5 Interested",IF(OR($S1040="Declined",$S1040="Not Relevant"),"0 Closed - no",IF($R1040="Yes","4 Contacted",IF($N1040="Yes","2 Engaged",IF($M1040="Yes","1 Awareness",IF($AA1040&gt;=60,"3 Qualified","1 Awareness"))))))))))</f>
        <v/>
      </c>
    </row>
    <row r="1041" customFormat="false" ht="30" hidden="false" customHeight="true" outlineLevel="0" collapsed="false">
      <c r="A1041" s="36"/>
      <c r="B1041" s="37"/>
      <c r="C1041" s="37"/>
      <c r="D1041" s="37"/>
      <c r="E1041" s="37"/>
      <c r="F1041" s="37"/>
      <c r="G1041" s="37"/>
      <c r="H1041" s="37"/>
      <c r="I1041" s="37"/>
      <c r="J1041" s="47"/>
      <c r="K1041" s="41" t="str">
        <f aca="false">IF(J1041="","",IF(J1041&gt;=8,"Yes","Check"))</f>
        <v/>
      </c>
      <c r="L1041" s="38"/>
      <c r="M1041" s="47"/>
      <c r="N1041" s="47"/>
      <c r="O1041" s="37"/>
      <c r="P1041" s="38"/>
      <c r="Q1041" s="42" t="str">
        <f aca="false">IF(P1041="","",LEN(P1041))</f>
        <v/>
      </c>
      <c r="R1041" s="47"/>
      <c r="S1041" s="37"/>
      <c r="T1041" s="38"/>
      <c r="U1041" s="43" t="str">
        <f aca="false">IF(OR(R1041&lt;&gt;"Yes",A1041=""),"",A1041+4)</f>
        <v/>
      </c>
      <c r="V1041" s="47"/>
      <c r="W1041" s="38"/>
      <c r="X1041" s="38"/>
      <c r="Y1041" s="44"/>
      <c r="Z1041" s="44"/>
      <c r="AA1041" s="45" t="str">
        <f aca="false">IF(AND($Y1041="",$Z1041=""),"",ROUND(IFERROR(VALUE(LEFT($Y1041,1)),0)*12+IFERROR(VALUE(LEFT($Z1041,1)),0)*8,0))</f>
        <v/>
      </c>
      <c r="AB1041" s="45" t="str">
        <f aca="false">IF($AA1041="","",IF($AA1041&gt;=80,"A - call first",IF($AA1041&gt;=60,"B - worth pursuing",IF($AA1041&gt;=40,"C - nurture","D - do not spend time here"))))</f>
        <v/>
      </c>
      <c r="AC1041" s="46" t="str">
        <f aca="false">IF($C1041="","",IF($S1041="Converted","7 Certification / Enterprise opportunity",IF($S1041="Application Started","7 Certification / Enterprise opportunity",IF($S1041="Meeting Booked","6 Meeting / Application",IF(OR($S1041="Interested",$S1041="Info Requested"),"5 Interested",IF(OR($S1041="Declined",$S1041="Not Relevant"),"0 Closed - no",IF($R1041="Yes","4 Contacted",IF($N1041="Yes","2 Engaged",IF($M1041="Yes","1 Awareness",IF($AA1041&gt;=60,"3 Qualified","1 Awareness"))))))))))</f>
        <v/>
      </c>
    </row>
    <row r="1042" customFormat="false" ht="30" hidden="false" customHeight="true" outlineLevel="0" collapsed="false">
      <c r="A1042" s="36"/>
      <c r="B1042" s="37"/>
      <c r="C1042" s="37"/>
      <c r="D1042" s="37"/>
      <c r="E1042" s="37"/>
      <c r="F1042" s="37"/>
      <c r="G1042" s="37"/>
      <c r="H1042" s="37"/>
      <c r="I1042" s="37"/>
      <c r="J1042" s="47"/>
      <c r="K1042" s="41" t="str">
        <f aca="false">IF(J1042="","",IF(J1042&gt;=8,"Yes","Check"))</f>
        <v/>
      </c>
      <c r="L1042" s="38"/>
      <c r="M1042" s="47"/>
      <c r="N1042" s="47"/>
      <c r="O1042" s="37"/>
      <c r="P1042" s="38"/>
      <c r="Q1042" s="42" t="str">
        <f aca="false">IF(P1042="","",LEN(P1042))</f>
        <v/>
      </c>
      <c r="R1042" s="47"/>
      <c r="S1042" s="37"/>
      <c r="T1042" s="38"/>
      <c r="U1042" s="43" t="str">
        <f aca="false">IF(OR(R1042&lt;&gt;"Yes",A1042=""),"",A1042+4)</f>
        <v/>
      </c>
      <c r="V1042" s="47"/>
      <c r="W1042" s="38"/>
      <c r="X1042" s="38"/>
      <c r="Y1042" s="44"/>
      <c r="Z1042" s="44"/>
      <c r="AA1042" s="45" t="str">
        <f aca="false">IF(AND($Y1042="",$Z1042=""),"",ROUND(IFERROR(VALUE(LEFT($Y1042,1)),0)*12+IFERROR(VALUE(LEFT($Z1042,1)),0)*8,0))</f>
        <v/>
      </c>
      <c r="AB1042" s="45" t="str">
        <f aca="false">IF($AA1042="","",IF($AA1042&gt;=80,"A - call first",IF($AA1042&gt;=60,"B - worth pursuing",IF($AA1042&gt;=40,"C - nurture","D - do not spend time here"))))</f>
        <v/>
      </c>
      <c r="AC1042" s="46" t="str">
        <f aca="false">IF($C1042="","",IF($S1042="Converted","7 Certification / Enterprise opportunity",IF($S1042="Application Started","7 Certification / Enterprise opportunity",IF($S1042="Meeting Booked","6 Meeting / Application",IF(OR($S1042="Interested",$S1042="Info Requested"),"5 Interested",IF(OR($S1042="Declined",$S1042="Not Relevant"),"0 Closed - no",IF($R1042="Yes","4 Contacted",IF($N1042="Yes","2 Engaged",IF($M1042="Yes","1 Awareness",IF($AA1042&gt;=60,"3 Qualified","1 Awareness"))))))))))</f>
        <v/>
      </c>
    </row>
    <row r="1043" customFormat="false" ht="30" hidden="false" customHeight="true" outlineLevel="0" collapsed="false">
      <c r="A1043" s="36"/>
      <c r="B1043" s="37"/>
      <c r="C1043" s="37"/>
      <c r="D1043" s="37"/>
      <c r="E1043" s="37"/>
      <c r="F1043" s="37"/>
      <c r="G1043" s="37"/>
      <c r="H1043" s="37"/>
      <c r="I1043" s="37"/>
      <c r="J1043" s="47"/>
      <c r="K1043" s="41" t="str">
        <f aca="false">IF(J1043="","",IF(J1043&gt;=8,"Yes","Check"))</f>
        <v/>
      </c>
      <c r="L1043" s="38"/>
      <c r="M1043" s="47"/>
      <c r="N1043" s="47"/>
      <c r="O1043" s="37"/>
      <c r="P1043" s="38"/>
      <c r="Q1043" s="42" t="str">
        <f aca="false">IF(P1043="","",LEN(P1043))</f>
        <v/>
      </c>
      <c r="R1043" s="47"/>
      <c r="S1043" s="37"/>
      <c r="T1043" s="38"/>
      <c r="U1043" s="43" t="str">
        <f aca="false">IF(OR(R1043&lt;&gt;"Yes",A1043=""),"",A1043+4)</f>
        <v/>
      </c>
      <c r="V1043" s="47"/>
      <c r="W1043" s="38"/>
      <c r="X1043" s="38"/>
      <c r="Y1043" s="44"/>
      <c r="Z1043" s="44"/>
      <c r="AA1043" s="45" t="str">
        <f aca="false">IF(AND($Y1043="",$Z1043=""),"",ROUND(IFERROR(VALUE(LEFT($Y1043,1)),0)*12+IFERROR(VALUE(LEFT($Z1043,1)),0)*8,0))</f>
        <v/>
      </c>
      <c r="AB1043" s="45" t="str">
        <f aca="false">IF($AA1043="","",IF($AA1043&gt;=80,"A - call first",IF($AA1043&gt;=60,"B - worth pursuing",IF($AA1043&gt;=40,"C - nurture","D - do not spend time here"))))</f>
        <v/>
      </c>
      <c r="AC1043" s="46" t="str">
        <f aca="false">IF($C1043="","",IF($S1043="Converted","7 Certification / Enterprise opportunity",IF($S1043="Application Started","7 Certification / Enterprise opportunity",IF($S1043="Meeting Booked","6 Meeting / Application",IF(OR($S1043="Interested",$S1043="Info Requested"),"5 Interested",IF(OR($S1043="Declined",$S1043="Not Relevant"),"0 Closed - no",IF($R1043="Yes","4 Contacted",IF($N1043="Yes","2 Engaged",IF($M1043="Yes","1 Awareness",IF($AA1043&gt;=60,"3 Qualified","1 Awareness"))))))))))</f>
        <v/>
      </c>
    </row>
    <row r="1044" customFormat="false" ht="30" hidden="false" customHeight="true" outlineLevel="0" collapsed="false">
      <c r="A1044" s="36"/>
      <c r="B1044" s="37"/>
      <c r="C1044" s="37"/>
      <c r="D1044" s="37"/>
      <c r="E1044" s="37"/>
      <c r="F1044" s="37"/>
      <c r="G1044" s="37"/>
      <c r="H1044" s="37"/>
      <c r="I1044" s="37"/>
      <c r="J1044" s="47"/>
      <c r="K1044" s="41" t="str">
        <f aca="false">IF(J1044="","",IF(J1044&gt;=8,"Yes","Check"))</f>
        <v/>
      </c>
      <c r="L1044" s="38"/>
      <c r="M1044" s="47"/>
      <c r="N1044" s="47"/>
      <c r="O1044" s="37"/>
      <c r="P1044" s="38"/>
      <c r="Q1044" s="42" t="str">
        <f aca="false">IF(P1044="","",LEN(P1044))</f>
        <v/>
      </c>
      <c r="R1044" s="47"/>
      <c r="S1044" s="37"/>
      <c r="T1044" s="38"/>
      <c r="U1044" s="43" t="str">
        <f aca="false">IF(OR(R1044&lt;&gt;"Yes",A1044=""),"",A1044+4)</f>
        <v/>
      </c>
      <c r="V1044" s="47"/>
      <c r="W1044" s="38"/>
      <c r="X1044" s="38"/>
      <c r="Y1044" s="44"/>
      <c r="Z1044" s="44"/>
      <c r="AA1044" s="45" t="str">
        <f aca="false">IF(AND($Y1044="",$Z1044=""),"",ROUND(IFERROR(VALUE(LEFT($Y1044,1)),0)*12+IFERROR(VALUE(LEFT($Z1044,1)),0)*8,0))</f>
        <v/>
      </c>
      <c r="AB1044" s="45" t="str">
        <f aca="false">IF($AA1044="","",IF($AA1044&gt;=80,"A - call first",IF($AA1044&gt;=60,"B - worth pursuing",IF($AA1044&gt;=40,"C - nurture","D - do not spend time here"))))</f>
        <v/>
      </c>
      <c r="AC1044" s="46" t="str">
        <f aca="false">IF($C1044="","",IF($S1044="Converted","7 Certification / Enterprise opportunity",IF($S1044="Application Started","7 Certification / Enterprise opportunity",IF($S1044="Meeting Booked","6 Meeting / Application",IF(OR($S1044="Interested",$S1044="Info Requested"),"5 Interested",IF(OR($S1044="Declined",$S1044="Not Relevant"),"0 Closed - no",IF($R1044="Yes","4 Contacted",IF($N1044="Yes","2 Engaged",IF($M1044="Yes","1 Awareness",IF($AA1044&gt;=60,"3 Qualified","1 Awareness"))))))))))</f>
        <v/>
      </c>
    </row>
    <row r="1045" customFormat="false" ht="30" hidden="false" customHeight="true" outlineLevel="0" collapsed="false">
      <c r="A1045" s="36"/>
      <c r="B1045" s="37"/>
      <c r="C1045" s="37"/>
      <c r="D1045" s="37"/>
      <c r="E1045" s="37"/>
      <c r="F1045" s="37"/>
      <c r="G1045" s="37"/>
      <c r="H1045" s="37"/>
      <c r="I1045" s="37"/>
      <c r="J1045" s="47"/>
      <c r="K1045" s="41" t="str">
        <f aca="false">IF(J1045="","",IF(J1045&gt;=8,"Yes","Check"))</f>
        <v/>
      </c>
      <c r="L1045" s="38"/>
      <c r="M1045" s="47"/>
      <c r="N1045" s="47"/>
      <c r="O1045" s="37"/>
      <c r="P1045" s="38"/>
      <c r="Q1045" s="42" t="str">
        <f aca="false">IF(P1045="","",LEN(P1045))</f>
        <v/>
      </c>
      <c r="R1045" s="47"/>
      <c r="S1045" s="37"/>
      <c r="T1045" s="38"/>
      <c r="U1045" s="43" t="str">
        <f aca="false">IF(OR(R1045&lt;&gt;"Yes",A1045=""),"",A1045+4)</f>
        <v/>
      </c>
      <c r="V1045" s="47"/>
      <c r="W1045" s="38"/>
      <c r="X1045" s="38"/>
      <c r="Y1045" s="44"/>
      <c r="Z1045" s="44"/>
      <c r="AA1045" s="45" t="str">
        <f aca="false">IF(AND($Y1045="",$Z1045=""),"",ROUND(IFERROR(VALUE(LEFT($Y1045,1)),0)*12+IFERROR(VALUE(LEFT($Z1045,1)),0)*8,0))</f>
        <v/>
      </c>
      <c r="AB1045" s="45" t="str">
        <f aca="false">IF($AA1045="","",IF($AA1045&gt;=80,"A - call first",IF($AA1045&gt;=60,"B - worth pursuing",IF($AA1045&gt;=40,"C - nurture","D - do not spend time here"))))</f>
        <v/>
      </c>
      <c r="AC1045" s="46" t="str">
        <f aca="false">IF($C1045="","",IF($S1045="Converted","7 Certification / Enterprise opportunity",IF($S1045="Application Started","7 Certification / Enterprise opportunity",IF($S1045="Meeting Booked","6 Meeting / Application",IF(OR($S1045="Interested",$S1045="Info Requested"),"5 Interested",IF(OR($S1045="Declined",$S1045="Not Relevant"),"0 Closed - no",IF($R1045="Yes","4 Contacted",IF($N1045="Yes","2 Engaged",IF($M1045="Yes","1 Awareness",IF($AA1045&gt;=60,"3 Qualified","1 Awareness"))))))))))</f>
        <v/>
      </c>
    </row>
    <row r="1046" customFormat="false" ht="30" hidden="false" customHeight="true" outlineLevel="0" collapsed="false">
      <c r="A1046" s="36"/>
      <c r="B1046" s="37"/>
      <c r="C1046" s="37"/>
      <c r="D1046" s="37"/>
      <c r="E1046" s="37"/>
      <c r="F1046" s="37"/>
      <c r="G1046" s="37"/>
      <c r="H1046" s="37"/>
      <c r="I1046" s="37"/>
      <c r="J1046" s="47"/>
      <c r="K1046" s="41" t="str">
        <f aca="false">IF(J1046="","",IF(J1046&gt;=8,"Yes","Check"))</f>
        <v/>
      </c>
      <c r="L1046" s="38"/>
      <c r="M1046" s="47"/>
      <c r="N1046" s="47"/>
      <c r="O1046" s="37"/>
      <c r="P1046" s="38"/>
      <c r="Q1046" s="42" t="str">
        <f aca="false">IF(P1046="","",LEN(P1046))</f>
        <v/>
      </c>
      <c r="R1046" s="47"/>
      <c r="S1046" s="37"/>
      <c r="T1046" s="38"/>
      <c r="U1046" s="43" t="str">
        <f aca="false">IF(OR(R1046&lt;&gt;"Yes",A1046=""),"",A1046+4)</f>
        <v/>
      </c>
      <c r="V1046" s="47"/>
      <c r="W1046" s="38"/>
      <c r="X1046" s="38"/>
      <c r="Y1046" s="44"/>
      <c r="Z1046" s="44"/>
      <c r="AA1046" s="45" t="str">
        <f aca="false">IF(AND($Y1046="",$Z1046=""),"",ROUND(IFERROR(VALUE(LEFT($Y1046,1)),0)*12+IFERROR(VALUE(LEFT($Z1046,1)),0)*8,0))</f>
        <v/>
      </c>
      <c r="AB1046" s="45" t="str">
        <f aca="false">IF($AA1046="","",IF($AA1046&gt;=80,"A - call first",IF($AA1046&gt;=60,"B - worth pursuing",IF($AA1046&gt;=40,"C - nurture","D - do not spend time here"))))</f>
        <v/>
      </c>
      <c r="AC1046" s="46" t="str">
        <f aca="false">IF($C1046="","",IF($S1046="Converted","7 Certification / Enterprise opportunity",IF($S1046="Application Started","7 Certification / Enterprise opportunity",IF($S1046="Meeting Booked","6 Meeting / Application",IF(OR($S1046="Interested",$S1046="Info Requested"),"5 Interested",IF(OR($S1046="Declined",$S1046="Not Relevant"),"0 Closed - no",IF($R1046="Yes","4 Contacted",IF($N1046="Yes","2 Engaged",IF($M1046="Yes","1 Awareness",IF($AA1046&gt;=60,"3 Qualified","1 Awareness"))))))))))</f>
        <v/>
      </c>
    </row>
    <row r="1047" customFormat="false" ht="30" hidden="false" customHeight="true" outlineLevel="0" collapsed="false">
      <c r="A1047" s="36"/>
      <c r="B1047" s="37"/>
      <c r="C1047" s="37"/>
      <c r="D1047" s="37"/>
      <c r="E1047" s="37"/>
      <c r="F1047" s="37"/>
      <c r="G1047" s="37"/>
      <c r="H1047" s="37"/>
      <c r="I1047" s="37"/>
      <c r="J1047" s="47"/>
      <c r="K1047" s="41" t="str">
        <f aca="false">IF(J1047="","",IF(J1047&gt;=8,"Yes","Check"))</f>
        <v/>
      </c>
      <c r="L1047" s="38"/>
      <c r="M1047" s="47"/>
      <c r="N1047" s="47"/>
      <c r="O1047" s="37"/>
      <c r="P1047" s="38"/>
      <c r="Q1047" s="42" t="str">
        <f aca="false">IF(P1047="","",LEN(P1047))</f>
        <v/>
      </c>
      <c r="R1047" s="47"/>
      <c r="S1047" s="37"/>
      <c r="T1047" s="38"/>
      <c r="U1047" s="43" t="str">
        <f aca="false">IF(OR(R1047&lt;&gt;"Yes",A1047=""),"",A1047+4)</f>
        <v/>
      </c>
      <c r="V1047" s="47"/>
      <c r="W1047" s="38"/>
      <c r="X1047" s="38"/>
      <c r="Y1047" s="44"/>
      <c r="Z1047" s="44"/>
      <c r="AA1047" s="45" t="str">
        <f aca="false">IF(AND($Y1047="",$Z1047=""),"",ROUND(IFERROR(VALUE(LEFT($Y1047,1)),0)*12+IFERROR(VALUE(LEFT($Z1047,1)),0)*8,0))</f>
        <v/>
      </c>
      <c r="AB1047" s="45" t="str">
        <f aca="false">IF($AA1047="","",IF($AA1047&gt;=80,"A - call first",IF($AA1047&gt;=60,"B - worth pursuing",IF($AA1047&gt;=40,"C - nurture","D - do not spend time here"))))</f>
        <v/>
      </c>
      <c r="AC1047" s="46" t="str">
        <f aca="false">IF($C1047="","",IF($S1047="Converted","7 Certification / Enterprise opportunity",IF($S1047="Application Started","7 Certification / Enterprise opportunity",IF($S1047="Meeting Booked","6 Meeting / Application",IF(OR($S1047="Interested",$S1047="Info Requested"),"5 Interested",IF(OR($S1047="Declined",$S1047="Not Relevant"),"0 Closed - no",IF($R1047="Yes","4 Contacted",IF($N1047="Yes","2 Engaged",IF($M1047="Yes","1 Awareness",IF($AA1047&gt;=60,"3 Qualified","1 Awareness"))))))))))</f>
        <v/>
      </c>
    </row>
    <row r="1048" customFormat="false" ht="30" hidden="false" customHeight="true" outlineLevel="0" collapsed="false">
      <c r="A1048" s="36"/>
      <c r="B1048" s="37"/>
      <c r="C1048" s="37"/>
      <c r="D1048" s="37"/>
      <c r="E1048" s="37"/>
      <c r="F1048" s="37"/>
      <c r="G1048" s="37"/>
      <c r="H1048" s="37"/>
      <c r="I1048" s="37"/>
      <c r="J1048" s="47"/>
      <c r="K1048" s="41" t="str">
        <f aca="false">IF(J1048="","",IF(J1048&gt;=8,"Yes","Check"))</f>
        <v/>
      </c>
      <c r="L1048" s="38"/>
      <c r="M1048" s="47"/>
      <c r="N1048" s="47"/>
      <c r="O1048" s="37"/>
      <c r="P1048" s="38"/>
      <c r="Q1048" s="42" t="str">
        <f aca="false">IF(P1048="","",LEN(P1048))</f>
        <v/>
      </c>
      <c r="R1048" s="47"/>
      <c r="S1048" s="37"/>
      <c r="T1048" s="38"/>
      <c r="U1048" s="43" t="str">
        <f aca="false">IF(OR(R1048&lt;&gt;"Yes",A1048=""),"",A1048+4)</f>
        <v/>
      </c>
      <c r="V1048" s="47"/>
      <c r="W1048" s="38"/>
      <c r="X1048" s="38"/>
      <c r="Y1048" s="44"/>
      <c r="Z1048" s="44"/>
      <c r="AA1048" s="45" t="str">
        <f aca="false">IF(AND($Y1048="",$Z1048=""),"",ROUND(IFERROR(VALUE(LEFT($Y1048,1)),0)*12+IFERROR(VALUE(LEFT($Z1048,1)),0)*8,0))</f>
        <v/>
      </c>
      <c r="AB1048" s="45" t="str">
        <f aca="false">IF($AA1048="","",IF($AA1048&gt;=80,"A - call first",IF($AA1048&gt;=60,"B - worth pursuing",IF($AA1048&gt;=40,"C - nurture","D - do not spend time here"))))</f>
        <v/>
      </c>
      <c r="AC1048" s="46" t="str">
        <f aca="false">IF($C1048="","",IF($S1048="Converted","7 Certification / Enterprise opportunity",IF($S1048="Application Started","7 Certification / Enterprise opportunity",IF($S1048="Meeting Booked","6 Meeting / Application",IF(OR($S1048="Interested",$S1048="Info Requested"),"5 Interested",IF(OR($S1048="Declined",$S1048="Not Relevant"),"0 Closed - no",IF($R1048="Yes","4 Contacted",IF($N1048="Yes","2 Engaged",IF($M1048="Yes","1 Awareness",IF($AA1048&gt;=60,"3 Qualified","1 Awareness"))))))))))</f>
        <v/>
      </c>
    </row>
    <row r="1049" customFormat="false" ht="30" hidden="false" customHeight="true" outlineLevel="0" collapsed="false">
      <c r="A1049" s="36"/>
      <c r="B1049" s="37"/>
      <c r="C1049" s="37"/>
      <c r="D1049" s="37"/>
      <c r="E1049" s="37"/>
      <c r="F1049" s="37"/>
      <c r="G1049" s="37"/>
      <c r="H1049" s="37"/>
      <c r="I1049" s="37"/>
      <c r="J1049" s="47"/>
      <c r="K1049" s="41" t="str">
        <f aca="false">IF(J1049="","",IF(J1049&gt;=8,"Yes","Check"))</f>
        <v/>
      </c>
      <c r="L1049" s="38"/>
      <c r="M1049" s="47"/>
      <c r="N1049" s="47"/>
      <c r="O1049" s="37"/>
      <c r="P1049" s="38"/>
      <c r="Q1049" s="42" t="str">
        <f aca="false">IF(P1049="","",LEN(P1049))</f>
        <v/>
      </c>
      <c r="R1049" s="47"/>
      <c r="S1049" s="37"/>
      <c r="T1049" s="38"/>
      <c r="U1049" s="43" t="str">
        <f aca="false">IF(OR(R1049&lt;&gt;"Yes",A1049=""),"",A1049+4)</f>
        <v/>
      </c>
      <c r="V1049" s="47"/>
      <c r="W1049" s="38"/>
      <c r="X1049" s="38"/>
      <c r="Y1049" s="44"/>
      <c r="Z1049" s="44"/>
      <c r="AA1049" s="45" t="str">
        <f aca="false">IF(AND($Y1049="",$Z1049=""),"",ROUND(IFERROR(VALUE(LEFT($Y1049,1)),0)*12+IFERROR(VALUE(LEFT($Z1049,1)),0)*8,0))</f>
        <v/>
      </c>
      <c r="AB1049" s="45" t="str">
        <f aca="false">IF($AA1049="","",IF($AA1049&gt;=80,"A - call first",IF($AA1049&gt;=60,"B - worth pursuing",IF($AA1049&gt;=40,"C - nurture","D - do not spend time here"))))</f>
        <v/>
      </c>
      <c r="AC1049" s="46" t="str">
        <f aca="false">IF($C1049="","",IF($S1049="Converted","7 Certification / Enterprise opportunity",IF($S1049="Application Started","7 Certification / Enterprise opportunity",IF($S1049="Meeting Booked","6 Meeting / Application",IF(OR($S1049="Interested",$S1049="Info Requested"),"5 Interested",IF(OR($S1049="Declined",$S1049="Not Relevant"),"0 Closed - no",IF($R1049="Yes","4 Contacted",IF($N1049="Yes","2 Engaged",IF($M1049="Yes","1 Awareness",IF($AA1049&gt;=60,"3 Qualified","1 Awareness"))))))))))</f>
        <v/>
      </c>
    </row>
    <row r="1050" customFormat="false" ht="30" hidden="false" customHeight="true" outlineLevel="0" collapsed="false">
      <c r="A1050" s="36"/>
      <c r="B1050" s="37"/>
      <c r="C1050" s="37"/>
      <c r="D1050" s="37"/>
      <c r="E1050" s="37"/>
      <c r="F1050" s="37"/>
      <c r="G1050" s="37"/>
      <c r="H1050" s="37"/>
      <c r="I1050" s="37"/>
      <c r="J1050" s="47"/>
      <c r="K1050" s="41" t="str">
        <f aca="false">IF(J1050="","",IF(J1050&gt;=8,"Yes","Check"))</f>
        <v/>
      </c>
      <c r="L1050" s="38"/>
      <c r="M1050" s="47"/>
      <c r="N1050" s="47"/>
      <c r="O1050" s="37"/>
      <c r="P1050" s="38"/>
      <c r="Q1050" s="42" t="str">
        <f aca="false">IF(P1050="","",LEN(P1050))</f>
        <v/>
      </c>
      <c r="R1050" s="47"/>
      <c r="S1050" s="37"/>
      <c r="T1050" s="38"/>
      <c r="U1050" s="43" t="str">
        <f aca="false">IF(OR(R1050&lt;&gt;"Yes",A1050=""),"",A1050+4)</f>
        <v/>
      </c>
      <c r="V1050" s="47"/>
      <c r="W1050" s="38"/>
      <c r="X1050" s="38"/>
      <c r="Y1050" s="44"/>
      <c r="Z1050" s="44"/>
      <c r="AA1050" s="45" t="str">
        <f aca="false">IF(AND($Y1050="",$Z1050=""),"",ROUND(IFERROR(VALUE(LEFT($Y1050,1)),0)*12+IFERROR(VALUE(LEFT($Z1050,1)),0)*8,0))</f>
        <v/>
      </c>
      <c r="AB1050" s="45" t="str">
        <f aca="false">IF($AA1050="","",IF($AA1050&gt;=80,"A - call first",IF($AA1050&gt;=60,"B - worth pursuing",IF($AA1050&gt;=40,"C - nurture","D - do not spend time here"))))</f>
        <v/>
      </c>
      <c r="AC1050" s="46" t="str">
        <f aca="false">IF($C1050="","",IF($S1050="Converted","7 Certification / Enterprise opportunity",IF($S1050="Application Started","7 Certification / Enterprise opportunity",IF($S1050="Meeting Booked","6 Meeting / Application",IF(OR($S1050="Interested",$S1050="Info Requested"),"5 Interested",IF(OR($S1050="Declined",$S1050="Not Relevant"),"0 Closed - no",IF($R1050="Yes","4 Contacted",IF($N1050="Yes","2 Engaged",IF($M1050="Yes","1 Awareness",IF($AA1050&gt;=60,"3 Qualified","1 Awareness"))))))))))</f>
        <v/>
      </c>
    </row>
    <row r="1051" customFormat="false" ht="30" hidden="false" customHeight="true" outlineLevel="0" collapsed="false">
      <c r="A1051" s="36"/>
      <c r="B1051" s="37"/>
      <c r="C1051" s="37"/>
      <c r="D1051" s="37"/>
      <c r="E1051" s="37"/>
      <c r="F1051" s="37"/>
      <c r="G1051" s="37"/>
      <c r="H1051" s="37"/>
      <c r="I1051" s="37"/>
      <c r="J1051" s="47"/>
      <c r="K1051" s="41" t="str">
        <f aca="false">IF(J1051="","",IF(J1051&gt;=8,"Yes","Check"))</f>
        <v/>
      </c>
      <c r="L1051" s="38"/>
      <c r="M1051" s="47"/>
      <c r="N1051" s="47"/>
      <c r="O1051" s="37"/>
      <c r="P1051" s="38"/>
      <c r="Q1051" s="42" t="str">
        <f aca="false">IF(P1051="","",LEN(P1051))</f>
        <v/>
      </c>
      <c r="R1051" s="47"/>
      <c r="S1051" s="37"/>
      <c r="T1051" s="38"/>
      <c r="U1051" s="43" t="str">
        <f aca="false">IF(OR(R1051&lt;&gt;"Yes",A1051=""),"",A1051+4)</f>
        <v/>
      </c>
      <c r="V1051" s="47"/>
      <c r="W1051" s="38"/>
      <c r="X1051" s="38"/>
      <c r="Y1051" s="44"/>
      <c r="Z1051" s="44"/>
      <c r="AA1051" s="45" t="str">
        <f aca="false">IF(AND($Y1051="",$Z1051=""),"",ROUND(IFERROR(VALUE(LEFT($Y1051,1)),0)*12+IFERROR(VALUE(LEFT($Z1051,1)),0)*8,0))</f>
        <v/>
      </c>
      <c r="AB1051" s="45" t="str">
        <f aca="false">IF($AA1051="","",IF($AA1051&gt;=80,"A - call first",IF($AA1051&gt;=60,"B - worth pursuing",IF($AA1051&gt;=40,"C - nurture","D - do not spend time here"))))</f>
        <v/>
      </c>
      <c r="AC1051" s="46" t="str">
        <f aca="false">IF($C1051="","",IF($S1051="Converted","7 Certification / Enterprise opportunity",IF($S1051="Application Started","7 Certification / Enterprise opportunity",IF($S1051="Meeting Booked","6 Meeting / Application",IF(OR($S1051="Interested",$S1051="Info Requested"),"5 Interested",IF(OR($S1051="Declined",$S1051="Not Relevant"),"0 Closed - no",IF($R1051="Yes","4 Contacted",IF($N1051="Yes","2 Engaged",IF($M1051="Yes","1 Awareness",IF($AA1051&gt;=60,"3 Qualified","1 Awareness"))))))))))</f>
        <v/>
      </c>
    </row>
    <row r="1052" customFormat="false" ht="30" hidden="false" customHeight="true" outlineLevel="0" collapsed="false">
      <c r="A1052" s="36"/>
      <c r="B1052" s="37"/>
      <c r="C1052" s="37"/>
      <c r="D1052" s="37"/>
      <c r="E1052" s="37"/>
      <c r="F1052" s="37"/>
      <c r="G1052" s="37"/>
      <c r="H1052" s="37"/>
      <c r="I1052" s="37"/>
      <c r="J1052" s="47"/>
      <c r="K1052" s="41" t="str">
        <f aca="false">IF(J1052="","",IF(J1052&gt;=8,"Yes","Check"))</f>
        <v/>
      </c>
      <c r="L1052" s="38"/>
      <c r="M1052" s="47"/>
      <c r="N1052" s="47"/>
      <c r="O1052" s="37"/>
      <c r="P1052" s="38"/>
      <c r="Q1052" s="42" t="str">
        <f aca="false">IF(P1052="","",LEN(P1052))</f>
        <v/>
      </c>
      <c r="R1052" s="47"/>
      <c r="S1052" s="37"/>
      <c r="T1052" s="38"/>
      <c r="U1052" s="43" t="str">
        <f aca="false">IF(OR(R1052&lt;&gt;"Yes",A1052=""),"",A1052+4)</f>
        <v/>
      </c>
      <c r="V1052" s="47"/>
      <c r="W1052" s="38"/>
      <c r="X1052" s="38"/>
      <c r="Y1052" s="44"/>
      <c r="Z1052" s="44"/>
      <c r="AA1052" s="45" t="str">
        <f aca="false">IF(AND($Y1052="",$Z1052=""),"",ROUND(IFERROR(VALUE(LEFT($Y1052,1)),0)*12+IFERROR(VALUE(LEFT($Z1052,1)),0)*8,0))</f>
        <v/>
      </c>
      <c r="AB1052" s="45" t="str">
        <f aca="false">IF($AA1052="","",IF($AA1052&gt;=80,"A - call first",IF($AA1052&gt;=60,"B - worth pursuing",IF($AA1052&gt;=40,"C - nurture","D - do not spend time here"))))</f>
        <v/>
      </c>
      <c r="AC1052" s="46" t="str">
        <f aca="false">IF($C1052="","",IF($S1052="Converted","7 Certification / Enterprise opportunity",IF($S1052="Application Started","7 Certification / Enterprise opportunity",IF($S1052="Meeting Booked","6 Meeting / Application",IF(OR($S1052="Interested",$S1052="Info Requested"),"5 Interested",IF(OR($S1052="Declined",$S1052="Not Relevant"),"0 Closed - no",IF($R1052="Yes","4 Contacted",IF($N1052="Yes","2 Engaged",IF($M1052="Yes","1 Awareness",IF($AA1052&gt;=60,"3 Qualified","1 Awareness"))))))))))</f>
        <v/>
      </c>
    </row>
    <row r="1053" customFormat="false" ht="30" hidden="false" customHeight="true" outlineLevel="0" collapsed="false">
      <c r="A1053" s="36"/>
      <c r="B1053" s="37"/>
      <c r="C1053" s="37"/>
      <c r="D1053" s="37"/>
      <c r="E1053" s="37"/>
      <c r="F1053" s="37"/>
      <c r="G1053" s="37"/>
      <c r="H1053" s="37"/>
      <c r="I1053" s="37"/>
      <c r="J1053" s="47"/>
      <c r="K1053" s="41" t="str">
        <f aca="false">IF(J1053="","",IF(J1053&gt;=8,"Yes","Check"))</f>
        <v/>
      </c>
      <c r="L1053" s="38"/>
      <c r="M1053" s="47"/>
      <c r="N1053" s="47"/>
      <c r="O1053" s="37"/>
      <c r="P1053" s="38"/>
      <c r="Q1053" s="42" t="str">
        <f aca="false">IF(P1053="","",LEN(P1053))</f>
        <v/>
      </c>
      <c r="R1053" s="47"/>
      <c r="S1053" s="37"/>
      <c r="T1053" s="38"/>
      <c r="U1053" s="43" t="str">
        <f aca="false">IF(OR(R1053&lt;&gt;"Yes",A1053=""),"",A1053+4)</f>
        <v/>
      </c>
      <c r="V1053" s="47"/>
      <c r="W1053" s="38"/>
      <c r="X1053" s="38"/>
      <c r="Y1053" s="44"/>
      <c r="Z1053" s="44"/>
      <c r="AA1053" s="45" t="str">
        <f aca="false">IF(AND($Y1053="",$Z1053=""),"",ROUND(IFERROR(VALUE(LEFT($Y1053,1)),0)*12+IFERROR(VALUE(LEFT($Z1053,1)),0)*8,0))</f>
        <v/>
      </c>
      <c r="AB1053" s="45" t="str">
        <f aca="false">IF($AA1053="","",IF($AA1053&gt;=80,"A - call first",IF($AA1053&gt;=60,"B - worth pursuing",IF($AA1053&gt;=40,"C - nurture","D - do not spend time here"))))</f>
        <v/>
      </c>
      <c r="AC1053" s="46" t="str">
        <f aca="false">IF($C1053="","",IF($S1053="Converted","7 Certification / Enterprise opportunity",IF($S1053="Application Started","7 Certification / Enterprise opportunity",IF($S1053="Meeting Booked","6 Meeting / Application",IF(OR($S1053="Interested",$S1053="Info Requested"),"5 Interested",IF(OR($S1053="Declined",$S1053="Not Relevant"),"0 Closed - no",IF($R1053="Yes","4 Contacted",IF($N1053="Yes","2 Engaged",IF($M1053="Yes","1 Awareness",IF($AA1053&gt;=60,"3 Qualified","1 Awareness"))))))))))</f>
        <v/>
      </c>
    </row>
    <row r="1054" customFormat="false" ht="30" hidden="false" customHeight="true" outlineLevel="0" collapsed="false">
      <c r="A1054" s="36"/>
      <c r="B1054" s="37"/>
      <c r="C1054" s="37"/>
      <c r="D1054" s="37"/>
      <c r="E1054" s="37"/>
      <c r="F1054" s="37"/>
      <c r="G1054" s="37"/>
      <c r="H1054" s="37"/>
      <c r="I1054" s="37"/>
      <c r="J1054" s="47"/>
      <c r="K1054" s="41" t="str">
        <f aca="false">IF(J1054="","",IF(J1054&gt;=8,"Yes","Check"))</f>
        <v/>
      </c>
      <c r="L1054" s="38"/>
      <c r="M1054" s="47"/>
      <c r="N1054" s="47"/>
      <c r="O1054" s="37"/>
      <c r="P1054" s="38"/>
      <c r="Q1054" s="42" t="str">
        <f aca="false">IF(P1054="","",LEN(P1054))</f>
        <v/>
      </c>
      <c r="R1054" s="47"/>
      <c r="S1054" s="37"/>
      <c r="T1054" s="38"/>
      <c r="U1054" s="43" t="str">
        <f aca="false">IF(OR(R1054&lt;&gt;"Yes",A1054=""),"",A1054+4)</f>
        <v/>
      </c>
      <c r="V1054" s="47"/>
      <c r="W1054" s="38"/>
      <c r="X1054" s="38"/>
      <c r="Y1054" s="44"/>
      <c r="Z1054" s="44"/>
      <c r="AA1054" s="45" t="str">
        <f aca="false">IF(AND($Y1054="",$Z1054=""),"",ROUND(IFERROR(VALUE(LEFT($Y1054,1)),0)*12+IFERROR(VALUE(LEFT($Z1054,1)),0)*8,0))</f>
        <v/>
      </c>
      <c r="AB1054" s="45" t="str">
        <f aca="false">IF($AA1054="","",IF($AA1054&gt;=80,"A - call first",IF($AA1054&gt;=60,"B - worth pursuing",IF($AA1054&gt;=40,"C - nurture","D - do not spend time here"))))</f>
        <v/>
      </c>
      <c r="AC1054" s="46" t="str">
        <f aca="false">IF($C1054="","",IF($S1054="Converted","7 Certification / Enterprise opportunity",IF($S1054="Application Started","7 Certification / Enterprise opportunity",IF($S1054="Meeting Booked","6 Meeting / Application",IF(OR($S1054="Interested",$S1054="Info Requested"),"5 Interested",IF(OR($S1054="Declined",$S1054="Not Relevant"),"0 Closed - no",IF($R1054="Yes","4 Contacted",IF($N1054="Yes","2 Engaged",IF($M1054="Yes","1 Awareness",IF($AA1054&gt;=60,"3 Qualified","1 Awareness"))))))))))</f>
        <v/>
      </c>
    </row>
    <row r="1055" customFormat="false" ht="30" hidden="false" customHeight="true" outlineLevel="0" collapsed="false">
      <c r="A1055" s="36"/>
      <c r="B1055" s="37"/>
      <c r="C1055" s="37"/>
      <c r="D1055" s="37"/>
      <c r="E1055" s="37"/>
      <c r="F1055" s="37"/>
      <c r="G1055" s="37"/>
      <c r="H1055" s="37"/>
      <c r="I1055" s="37"/>
      <c r="J1055" s="47"/>
      <c r="K1055" s="41" t="str">
        <f aca="false">IF(J1055="","",IF(J1055&gt;=8,"Yes","Check"))</f>
        <v/>
      </c>
      <c r="L1055" s="38"/>
      <c r="M1055" s="47"/>
      <c r="N1055" s="47"/>
      <c r="O1055" s="37"/>
      <c r="P1055" s="38"/>
      <c r="Q1055" s="42" t="str">
        <f aca="false">IF(P1055="","",LEN(P1055))</f>
        <v/>
      </c>
      <c r="R1055" s="47"/>
      <c r="S1055" s="37"/>
      <c r="T1055" s="38"/>
      <c r="U1055" s="43" t="str">
        <f aca="false">IF(OR(R1055&lt;&gt;"Yes",A1055=""),"",A1055+4)</f>
        <v/>
      </c>
      <c r="V1055" s="47"/>
      <c r="W1055" s="38"/>
      <c r="X1055" s="38"/>
      <c r="Y1055" s="44"/>
      <c r="Z1055" s="44"/>
      <c r="AA1055" s="45" t="str">
        <f aca="false">IF(AND($Y1055="",$Z1055=""),"",ROUND(IFERROR(VALUE(LEFT($Y1055,1)),0)*12+IFERROR(VALUE(LEFT($Z1055,1)),0)*8,0))</f>
        <v/>
      </c>
      <c r="AB1055" s="45" t="str">
        <f aca="false">IF($AA1055="","",IF($AA1055&gt;=80,"A - call first",IF($AA1055&gt;=60,"B - worth pursuing",IF($AA1055&gt;=40,"C - nurture","D - do not spend time here"))))</f>
        <v/>
      </c>
      <c r="AC1055" s="46" t="str">
        <f aca="false">IF($C1055="","",IF($S1055="Converted","7 Certification / Enterprise opportunity",IF($S1055="Application Started","7 Certification / Enterprise opportunity",IF($S1055="Meeting Booked","6 Meeting / Application",IF(OR($S1055="Interested",$S1055="Info Requested"),"5 Interested",IF(OR($S1055="Declined",$S1055="Not Relevant"),"0 Closed - no",IF($R1055="Yes","4 Contacted",IF($N1055="Yes","2 Engaged",IF($M1055="Yes","1 Awareness",IF($AA1055&gt;=60,"3 Qualified","1 Awareness"))))))))))</f>
        <v/>
      </c>
    </row>
    <row r="1056" customFormat="false" ht="30" hidden="false" customHeight="true" outlineLevel="0" collapsed="false">
      <c r="A1056" s="36"/>
      <c r="B1056" s="37"/>
      <c r="C1056" s="37"/>
      <c r="D1056" s="37"/>
      <c r="E1056" s="37"/>
      <c r="F1056" s="37"/>
      <c r="G1056" s="37"/>
      <c r="H1056" s="37"/>
      <c r="I1056" s="37"/>
      <c r="J1056" s="47"/>
      <c r="K1056" s="41" t="str">
        <f aca="false">IF(J1056="","",IF(J1056&gt;=8,"Yes","Check"))</f>
        <v/>
      </c>
      <c r="L1056" s="38"/>
      <c r="M1056" s="47"/>
      <c r="N1056" s="47"/>
      <c r="O1056" s="37"/>
      <c r="P1056" s="38"/>
      <c r="Q1056" s="42" t="str">
        <f aca="false">IF(P1056="","",LEN(P1056))</f>
        <v/>
      </c>
      <c r="R1056" s="47"/>
      <c r="S1056" s="37"/>
      <c r="T1056" s="38"/>
      <c r="U1056" s="43" t="str">
        <f aca="false">IF(OR(R1056&lt;&gt;"Yes",A1056=""),"",A1056+4)</f>
        <v/>
      </c>
      <c r="V1056" s="47"/>
      <c r="W1056" s="38"/>
      <c r="X1056" s="38"/>
      <c r="Y1056" s="44"/>
      <c r="Z1056" s="44"/>
      <c r="AA1056" s="45" t="str">
        <f aca="false">IF(AND($Y1056="",$Z1056=""),"",ROUND(IFERROR(VALUE(LEFT($Y1056,1)),0)*12+IFERROR(VALUE(LEFT($Z1056,1)),0)*8,0))</f>
        <v/>
      </c>
      <c r="AB1056" s="45" t="str">
        <f aca="false">IF($AA1056="","",IF($AA1056&gt;=80,"A - call first",IF($AA1056&gt;=60,"B - worth pursuing",IF($AA1056&gt;=40,"C - nurture","D - do not spend time here"))))</f>
        <v/>
      </c>
      <c r="AC1056" s="46" t="str">
        <f aca="false">IF($C1056="","",IF($S1056="Converted","7 Certification / Enterprise opportunity",IF($S1056="Application Started","7 Certification / Enterprise opportunity",IF($S1056="Meeting Booked","6 Meeting / Application",IF(OR($S1056="Interested",$S1056="Info Requested"),"5 Interested",IF(OR($S1056="Declined",$S1056="Not Relevant"),"0 Closed - no",IF($R1056="Yes","4 Contacted",IF($N1056="Yes","2 Engaged",IF($M1056="Yes","1 Awareness",IF($AA1056&gt;=60,"3 Qualified","1 Awareness"))))))))))</f>
        <v/>
      </c>
    </row>
    <row r="1057" customFormat="false" ht="30" hidden="false" customHeight="true" outlineLevel="0" collapsed="false">
      <c r="A1057" s="36"/>
      <c r="B1057" s="37"/>
      <c r="C1057" s="37"/>
      <c r="D1057" s="37"/>
      <c r="E1057" s="37"/>
      <c r="F1057" s="37"/>
      <c r="G1057" s="37"/>
      <c r="H1057" s="37"/>
      <c r="I1057" s="37"/>
      <c r="J1057" s="47"/>
      <c r="K1057" s="41" t="str">
        <f aca="false">IF(J1057="","",IF(J1057&gt;=8,"Yes","Check"))</f>
        <v/>
      </c>
      <c r="L1057" s="38"/>
      <c r="M1057" s="47"/>
      <c r="N1057" s="47"/>
      <c r="O1057" s="37"/>
      <c r="P1057" s="38"/>
      <c r="Q1057" s="42" t="str">
        <f aca="false">IF(P1057="","",LEN(P1057))</f>
        <v/>
      </c>
      <c r="R1057" s="47"/>
      <c r="S1057" s="37"/>
      <c r="T1057" s="38"/>
      <c r="U1057" s="43" t="str">
        <f aca="false">IF(OR(R1057&lt;&gt;"Yes",A1057=""),"",A1057+4)</f>
        <v/>
      </c>
      <c r="V1057" s="47"/>
      <c r="W1057" s="38"/>
      <c r="X1057" s="38"/>
      <c r="Y1057" s="44"/>
      <c r="Z1057" s="44"/>
      <c r="AA1057" s="45" t="str">
        <f aca="false">IF(AND($Y1057="",$Z1057=""),"",ROUND(IFERROR(VALUE(LEFT($Y1057,1)),0)*12+IFERROR(VALUE(LEFT($Z1057,1)),0)*8,0))</f>
        <v/>
      </c>
      <c r="AB1057" s="45" t="str">
        <f aca="false">IF($AA1057="","",IF($AA1057&gt;=80,"A - call first",IF($AA1057&gt;=60,"B - worth pursuing",IF($AA1057&gt;=40,"C - nurture","D - do not spend time here"))))</f>
        <v/>
      </c>
      <c r="AC1057" s="46" t="str">
        <f aca="false">IF($C1057="","",IF($S1057="Converted","7 Certification / Enterprise opportunity",IF($S1057="Application Started","7 Certification / Enterprise opportunity",IF($S1057="Meeting Booked","6 Meeting / Application",IF(OR($S1057="Interested",$S1057="Info Requested"),"5 Interested",IF(OR($S1057="Declined",$S1057="Not Relevant"),"0 Closed - no",IF($R1057="Yes","4 Contacted",IF($N1057="Yes","2 Engaged",IF($M1057="Yes","1 Awareness",IF($AA1057&gt;=60,"3 Qualified","1 Awareness"))))))))))</f>
        <v/>
      </c>
    </row>
    <row r="1058" customFormat="false" ht="30" hidden="false" customHeight="true" outlineLevel="0" collapsed="false">
      <c r="A1058" s="36"/>
      <c r="B1058" s="37"/>
      <c r="C1058" s="37"/>
      <c r="D1058" s="37"/>
      <c r="E1058" s="37"/>
      <c r="F1058" s="37"/>
      <c r="G1058" s="37"/>
      <c r="H1058" s="37"/>
      <c r="I1058" s="37"/>
      <c r="J1058" s="47"/>
      <c r="K1058" s="41" t="str">
        <f aca="false">IF(J1058="","",IF(J1058&gt;=8,"Yes","Check"))</f>
        <v/>
      </c>
      <c r="L1058" s="38"/>
      <c r="M1058" s="47"/>
      <c r="N1058" s="47"/>
      <c r="O1058" s="37"/>
      <c r="P1058" s="38"/>
      <c r="Q1058" s="42" t="str">
        <f aca="false">IF(P1058="","",LEN(P1058))</f>
        <v/>
      </c>
      <c r="R1058" s="47"/>
      <c r="S1058" s="37"/>
      <c r="T1058" s="38"/>
      <c r="U1058" s="43" t="str">
        <f aca="false">IF(OR(R1058&lt;&gt;"Yes",A1058=""),"",A1058+4)</f>
        <v/>
      </c>
      <c r="V1058" s="47"/>
      <c r="W1058" s="38"/>
      <c r="X1058" s="38"/>
      <c r="Y1058" s="44"/>
      <c r="Z1058" s="44"/>
      <c r="AA1058" s="45" t="str">
        <f aca="false">IF(AND($Y1058="",$Z1058=""),"",ROUND(IFERROR(VALUE(LEFT($Y1058,1)),0)*12+IFERROR(VALUE(LEFT($Z1058,1)),0)*8,0))</f>
        <v/>
      </c>
      <c r="AB1058" s="45" t="str">
        <f aca="false">IF($AA1058="","",IF($AA1058&gt;=80,"A - call first",IF($AA1058&gt;=60,"B - worth pursuing",IF($AA1058&gt;=40,"C - nurture","D - do not spend time here"))))</f>
        <v/>
      </c>
      <c r="AC1058" s="46" t="str">
        <f aca="false">IF($C1058="","",IF($S1058="Converted","7 Certification / Enterprise opportunity",IF($S1058="Application Started","7 Certification / Enterprise opportunity",IF($S1058="Meeting Booked","6 Meeting / Application",IF(OR($S1058="Interested",$S1058="Info Requested"),"5 Interested",IF(OR($S1058="Declined",$S1058="Not Relevant"),"0 Closed - no",IF($R1058="Yes","4 Contacted",IF($N1058="Yes","2 Engaged",IF($M1058="Yes","1 Awareness",IF($AA1058&gt;=60,"3 Qualified","1 Awareness"))))))))))</f>
        <v/>
      </c>
    </row>
    <row r="1059" customFormat="false" ht="30" hidden="false" customHeight="true" outlineLevel="0" collapsed="false">
      <c r="A1059" s="36"/>
      <c r="B1059" s="37"/>
      <c r="C1059" s="37"/>
      <c r="D1059" s="37"/>
      <c r="E1059" s="37"/>
      <c r="F1059" s="37"/>
      <c r="G1059" s="37"/>
      <c r="H1059" s="37"/>
      <c r="I1059" s="37"/>
      <c r="J1059" s="47"/>
      <c r="K1059" s="41" t="str">
        <f aca="false">IF(J1059="","",IF(J1059&gt;=8,"Yes","Check"))</f>
        <v/>
      </c>
      <c r="L1059" s="38"/>
      <c r="M1059" s="47"/>
      <c r="N1059" s="47"/>
      <c r="O1059" s="37"/>
      <c r="P1059" s="38"/>
      <c r="Q1059" s="42" t="str">
        <f aca="false">IF(P1059="","",LEN(P1059))</f>
        <v/>
      </c>
      <c r="R1059" s="47"/>
      <c r="S1059" s="37"/>
      <c r="T1059" s="38"/>
      <c r="U1059" s="43" t="str">
        <f aca="false">IF(OR(R1059&lt;&gt;"Yes",A1059=""),"",A1059+4)</f>
        <v/>
      </c>
      <c r="V1059" s="47"/>
      <c r="W1059" s="38"/>
      <c r="X1059" s="38"/>
      <c r="Y1059" s="44"/>
      <c r="Z1059" s="44"/>
      <c r="AA1059" s="45" t="str">
        <f aca="false">IF(AND($Y1059="",$Z1059=""),"",ROUND(IFERROR(VALUE(LEFT($Y1059,1)),0)*12+IFERROR(VALUE(LEFT($Z1059,1)),0)*8,0))</f>
        <v/>
      </c>
      <c r="AB1059" s="45" t="str">
        <f aca="false">IF($AA1059="","",IF($AA1059&gt;=80,"A - call first",IF($AA1059&gt;=60,"B - worth pursuing",IF($AA1059&gt;=40,"C - nurture","D - do not spend time here"))))</f>
        <v/>
      </c>
      <c r="AC1059" s="46" t="str">
        <f aca="false">IF($C1059="","",IF($S1059="Converted","7 Certification / Enterprise opportunity",IF($S1059="Application Started","7 Certification / Enterprise opportunity",IF($S1059="Meeting Booked","6 Meeting / Application",IF(OR($S1059="Interested",$S1059="Info Requested"),"5 Interested",IF(OR($S1059="Declined",$S1059="Not Relevant"),"0 Closed - no",IF($R1059="Yes","4 Contacted",IF($N1059="Yes","2 Engaged",IF($M1059="Yes","1 Awareness",IF($AA1059&gt;=60,"3 Qualified","1 Awareness"))))))))))</f>
        <v/>
      </c>
    </row>
    <row r="1060" customFormat="false" ht="30" hidden="false" customHeight="true" outlineLevel="0" collapsed="false">
      <c r="A1060" s="36"/>
      <c r="B1060" s="37"/>
      <c r="C1060" s="37"/>
      <c r="D1060" s="37"/>
      <c r="E1060" s="37"/>
      <c r="F1060" s="37"/>
      <c r="G1060" s="37"/>
      <c r="H1060" s="37"/>
      <c r="I1060" s="37"/>
      <c r="J1060" s="47"/>
      <c r="K1060" s="41" t="str">
        <f aca="false">IF(J1060="","",IF(J1060&gt;=8,"Yes","Check"))</f>
        <v/>
      </c>
      <c r="L1060" s="38"/>
      <c r="M1060" s="47"/>
      <c r="N1060" s="47"/>
      <c r="O1060" s="37"/>
      <c r="P1060" s="38"/>
      <c r="Q1060" s="42" t="str">
        <f aca="false">IF(P1060="","",LEN(P1060))</f>
        <v/>
      </c>
      <c r="R1060" s="47"/>
      <c r="S1060" s="37"/>
      <c r="T1060" s="38"/>
      <c r="U1060" s="43" t="str">
        <f aca="false">IF(OR(R1060&lt;&gt;"Yes",A1060=""),"",A1060+4)</f>
        <v/>
      </c>
      <c r="V1060" s="47"/>
      <c r="W1060" s="38"/>
      <c r="X1060" s="38"/>
      <c r="Y1060" s="44"/>
      <c r="Z1060" s="44"/>
      <c r="AA1060" s="45" t="str">
        <f aca="false">IF(AND($Y1060="",$Z1060=""),"",ROUND(IFERROR(VALUE(LEFT($Y1060,1)),0)*12+IFERROR(VALUE(LEFT($Z1060,1)),0)*8,0))</f>
        <v/>
      </c>
      <c r="AB1060" s="45" t="str">
        <f aca="false">IF($AA1060="","",IF($AA1060&gt;=80,"A - call first",IF($AA1060&gt;=60,"B - worth pursuing",IF($AA1060&gt;=40,"C - nurture","D - do not spend time here"))))</f>
        <v/>
      </c>
      <c r="AC1060" s="46" t="str">
        <f aca="false">IF($C1060="","",IF($S1060="Converted","7 Certification / Enterprise opportunity",IF($S1060="Application Started","7 Certification / Enterprise opportunity",IF($S1060="Meeting Booked","6 Meeting / Application",IF(OR($S1060="Interested",$S1060="Info Requested"),"5 Interested",IF(OR($S1060="Declined",$S1060="Not Relevant"),"0 Closed - no",IF($R1060="Yes","4 Contacted",IF($N1060="Yes","2 Engaged",IF($M1060="Yes","1 Awareness",IF($AA1060&gt;=60,"3 Qualified","1 Awareness"))))))))))</f>
        <v/>
      </c>
    </row>
    <row r="1061" customFormat="false" ht="30" hidden="false" customHeight="true" outlineLevel="0" collapsed="false">
      <c r="A1061" s="36"/>
      <c r="B1061" s="37"/>
      <c r="C1061" s="37"/>
      <c r="D1061" s="37"/>
      <c r="E1061" s="37"/>
      <c r="F1061" s="37"/>
      <c r="G1061" s="37"/>
      <c r="H1061" s="37"/>
      <c r="I1061" s="37"/>
      <c r="J1061" s="47"/>
      <c r="K1061" s="41" t="str">
        <f aca="false">IF(J1061="","",IF(J1061&gt;=8,"Yes","Check"))</f>
        <v/>
      </c>
      <c r="L1061" s="38"/>
      <c r="M1061" s="47"/>
      <c r="N1061" s="47"/>
      <c r="O1061" s="37"/>
      <c r="P1061" s="38"/>
      <c r="Q1061" s="42" t="str">
        <f aca="false">IF(P1061="","",LEN(P1061))</f>
        <v/>
      </c>
      <c r="R1061" s="47"/>
      <c r="S1061" s="37"/>
      <c r="T1061" s="38"/>
      <c r="U1061" s="43" t="str">
        <f aca="false">IF(OR(R1061&lt;&gt;"Yes",A1061=""),"",A1061+4)</f>
        <v/>
      </c>
      <c r="V1061" s="47"/>
      <c r="W1061" s="38"/>
      <c r="X1061" s="38"/>
      <c r="Y1061" s="44"/>
      <c r="Z1061" s="44"/>
      <c r="AA1061" s="45" t="str">
        <f aca="false">IF(AND($Y1061="",$Z1061=""),"",ROUND(IFERROR(VALUE(LEFT($Y1061,1)),0)*12+IFERROR(VALUE(LEFT($Z1061,1)),0)*8,0))</f>
        <v/>
      </c>
      <c r="AB1061" s="45" t="str">
        <f aca="false">IF($AA1061="","",IF($AA1061&gt;=80,"A - call first",IF($AA1061&gt;=60,"B - worth pursuing",IF($AA1061&gt;=40,"C - nurture","D - do not spend time here"))))</f>
        <v/>
      </c>
      <c r="AC1061" s="46" t="str">
        <f aca="false">IF($C1061="","",IF($S1061="Converted","7 Certification / Enterprise opportunity",IF($S1061="Application Started","7 Certification / Enterprise opportunity",IF($S1061="Meeting Booked","6 Meeting / Application",IF(OR($S1061="Interested",$S1061="Info Requested"),"5 Interested",IF(OR($S1061="Declined",$S1061="Not Relevant"),"0 Closed - no",IF($R1061="Yes","4 Contacted",IF($N1061="Yes","2 Engaged",IF($M1061="Yes","1 Awareness",IF($AA1061&gt;=60,"3 Qualified","1 Awareness"))))))))))</f>
        <v/>
      </c>
    </row>
    <row r="1062" customFormat="false" ht="30" hidden="false" customHeight="true" outlineLevel="0" collapsed="false">
      <c r="A1062" s="36"/>
      <c r="B1062" s="37"/>
      <c r="C1062" s="37"/>
      <c r="D1062" s="37"/>
      <c r="E1062" s="37"/>
      <c r="F1062" s="37"/>
      <c r="G1062" s="37"/>
      <c r="H1062" s="37"/>
      <c r="I1062" s="37"/>
      <c r="J1062" s="47"/>
      <c r="K1062" s="41" t="str">
        <f aca="false">IF(J1062="","",IF(J1062&gt;=8,"Yes","Check"))</f>
        <v/>
      </c>
      <c r="L1062" s="38"/>
      <c r="M1062" s="47"/>
      <c r="N1062" s="47"/>
      <c r="O1062" s="37"/>
      <c r="P1062" s="38"/>
      <c r="Q1062" s="42" t="str">
        <f aca="false">IF(P1062="","",LEN(P1062))</f>
        <v/>
      </c>
      <c r="R1062" s="47"/>
      <c r="S1062" s="37"/>
      <c r="T1062" s="38"/>
      <c r="U1062" s="43" t="str">
        <f aca="false">IF(OR(R1062&lt;&gt;"Yes",A1062=""),"",A1062+4)</f>
        <v/>
      </c>
      <c r="V1062" s="47"/>
      <c r="W1062" s="38"/>
      <c r="X1062" s="38"/>
      <c r="Y1062" s="44"/>
      <c r="Z1062" s="44"/>
      <c r="AA1062" s="45" t="str">
        <f aca="false">IF(AND($Y1062="",$Z1062=""),"",ROUND(IFERROR(VALUE(LEFT($Y1062,1)),0)*12+IFERROR(VALUE(LEFT($Z1062,1)),0)*8,0))</f>
        <v/>
      </c>
      <c r="AB1062" s="45" t="str">
        <f aca="false">IF($AA1062="","",IF($AA1062&gt;=80,"A - call first",IF($AA1062&gt;=60,"B - worth pursuing",IF($AA1062&gt;=40,"C - nurture","D - do not spend time here"))))</f>
        <v/>
      </c>
      <c r="AC1062" s="46" t="str">
        <f aca="false">IF($C1062="","",IF($S1062="Converted","7 Certification / Enterprise opportunity",IF($S1062="Application Started","7 Certification / Enterprise opportunity",IF($S1062="Meeting Booked","6 Meeting / Application",IF(OR($S1062="Interested",$S1062="Info Requested"),"5 Interested",IF(OR($S1062="Declined",$S1062="Not Relevant"),"0 Closed - no",IF($R1062="Yes","4 Contacted",IF($N1062="Yes","2 Engaged",IF($M1062="Yes","1 Awareness",IF($AA1062&gt;=60,"3 Qualified","1 Awareness"))))))))))</f>
        <v/>
      </c>
    </row>
    <row r="1063" customFormat="false" ht="30" hidden="false" customHeight="true" outlineLevel="0" collapsed="false">
      <c r="A1063" s="36"/>
      <c r="B1063" s="37"/>
      <c r="C1063" s="37"/>
      <c r="D1063" s="37"/>
      <c r="E1063" s="37"/>
      <c r="F1063" s="37"/>
      <c r="G1063" s="37"/>
      <c r="H1063" s="37"/>
      <c r="I1063" s="37"/>
      <c r="J1063" s="47"/>
      <c r="K1063" s="41" t="str">
        <f aca="false">IF(J1063="","",IF(J1063&gt;=8,"Yes","Check"))</f>
        <v/>
      </c>
      <c r="L1063" s="38"/>
      <c r="M1063" s="47"/>
      <c r="N1063" s="47"/>
      <c r="O1063" s="37"/>
      <c r="P1063" s="38"/>
      <c r="Q1063" s="42" t="str">
        <f aca="false">IF(P1063="","",LEN(P1063))</f>
        <v/>
      </c>
      <c r="R1063" s="47"/>
      <c r="S1063" s="37"/>
      <c r="T1063" s="38"/>
      <c r="U1063" s="43" t="str">
        <f aca="false">IF(OR(R1063&lt;&gt;"Yes",A1063=""),"",A1063+4)</f>
        <v/>
      </c>
      <c r="V1063" s="47"/>
      <c r="W1063" s="38"/>
      <c r="X1063" s="38"/>
      <c r="Y1063" s="44"/>
      <c r="Z1063" s="44"/>
      <c r="AA1063" s="45" t="str">
        <f aca="false">IF(AND($Y1063="",$Z1063=""),"",ROUND(IFERROR(VALUE(LEFT($Y1063,1)),0)*12+IFERROR(VALUE(LEFT($Z1063,1)),0)*8,0))</f>
        <v/>
      </c>
      <c r="AB1063" s="45" t="str">
        <f aca="false">IF($AA1063="","",IF($AA1063&gt;=80,"A - call first",IF($AA1063&gt;=60,"B - worth pursuing",IF($AA1063&gt;=40,"C - nurture","D - do not spend time here"))))</f>
        <v/>
      </c>
      <c r="AC1063" s="46" t="str">
        <f aca="false">IF($C1063="","",IF($S1063="Converted","7 Certification / Enterprise opportunity",IF($S1063="Application Started","7 Certification / Enterprise opportunity",IF($S1063="Meeting Booked","6 Meeting / Application",IF(OR($S1063="Interested",$S1063="Info Requested"),"5 Interested",IF(OR($S1063="Declined",$S1063="Not Relevant"),"0 Closed - no",IF($R1063="Yes","4 Contacted",IF($N1063="Yes","2 Engaged",IF($M1063="Yes","1 Awareness",IF($AA1063&gt;=60,"3 Qualified","1 Awareness"))))))))))</f>
        <v/>
      </c>
    </row>
    <row r="1064" customFormat="false" ht="30" hidden="false" customHeight="true" outlineLevel="0" collapsed="false">
      <c r="A1064" s="36"/>
      <c r="B1064" s="37"/>
      <c r="C1064" s="37"/>
      <c r="D1064" s="37"/>
      <c r="E1064" s="37"/>
      <c r="F1064" s="37"/>
      <c r="G1064" s="37"/>
      <c r="H1064" s="37"/>
      <c r="I1064" s="37"/>
      <c r="J1064" s="47"/>
      <c r="K1064" s="41" t="str">
        <f aca="false">IF(J1064="","",IF(J1064&gt;=8,"Yes","Check"))</f>
        <v/>
      </c>
      <c r="L1064" s="38"/>
      <c r="M1064" s="47"/>
      <c r="N1064" s="47"/>
      <c r="O1064" s="37"/>
      <c r="P1064" s="38"/>
      <c r="Q1064" s="42" t="str">
        <f aca="false">IF(P1064="","",LEN(P1064))</f>
        <v/>
      </c>
      <c r="R1064" s="47"/>
      <c r="S1064" s="37"/>
      <c r="T1064" s="38"/>
      <c r="U1064" s="43" t="str">
        <f aca="false">IF(OR(R1064&lt;&gt;"Yes",A1064=""),"",A1064+4)</f>
        <v/>
      </c>
      <c r="V1064" s="47"/>
      <c r="W1064" s="38"/>
      <c r="X1064" s="38"/>
      <c r="Y1064" s="44"/>
      <c r="Z1064" s="44"/>
      <c r="AA1064" s="45" t="str">
        <f aca="false">IF(AND($Y1064="",$Z1064=""),"",ROUND(IFERROR(VALUE(LEFT($Y1064,1)),0)*12+IFERROR(VALUE(LEFT($Z1064,1)),0)*8,0))</f>
        <v/>
      </c>
      <c r="AB1064" s="45" t="str">
        <f aca="false">IF($AA1064="","",IF($AA1064&gt;=80,"A - call first",IF($AA1064&gt;=60,"B - worth pursuing",IF($AA1064&gt;=40,"C - nurture","D - do not spend time here"))))</f>
        <v/>
      </c>
      <c r="AC1064" s="46" t="str">
        <f aca="false">IF($C1064="","",IF($S1064="Converted","7 Certification / Enterprise opportunity",IF($S1064="Application Started","7 Certification / Enterprise opportunity",IF($S1064="Meeting Booked","6 Meeting / Application",IF(OR($S1064="Interested",$S1064="Info Requested"),"5 Interested",IF(OR($S1064="Declined",$S1064="Not Relevant"),"0 Closed - no",IF($R1064="Yes","4 Contacted",IF($N1064="Yes","2 Engaged",IF($M1064="Yes","1 Awareness",IF($AA1064&gt;=60,"3 Qualified","1 Awareness"))))))))))</f>
        <v/>
      </c>
    </row>
    <row r="1065" customFormat="false" ht="30" hidden="false" customHeight="true" outlineLevel="0" collapsed="false">
      <c r="A1065" s="36"/>
      <c r="B1065" s="37"/>
      <c r="C1065" s="37"/>
      <c r="D1065" s="37"/>
      <c r="E1065" s="37"/>
      <c r="F1065" s="37"/>
      <c r="G1065" s="37"/>
      <c r="H1065" s="37"/>
      <c r="I1065" s="37"/>
      <c r="J1065" s="47"/>
      <c r="K1065" s="41" t="str">
        <f aca="false">IF(J1065="","",IF(J1065&gt;=8,"Yes","Check"))</f>
        <v/>
      </c>
      <c r="L1065" s="38"/>
      <c r="M1065" s="47"/>
      <c r="N1065" s="47"/>
      <c r="O1065" s="37"/>
      <c r="P1065" s="38"/>
      <c r="Q1065" s="42" t="str">
        <f aca="false">IF(P1065="","",LEN(P1065))</f>
        <v/>
      </c>
      <c r="R1065" s="47"/>
      <c r="S1065" s="37"/>
      <c r="T1065" s="38"/>
      <c r="U1065" s="43" t="str">
        <f aca="false">IF(OR(R1065&lt;&gt;"Yes",A1065=""),"",A1065+4)</f>
        <v/>
      </c>
      <c r="V1065" s="47"/>
      <c r="W1065" s="38"/>
      <c r="X1065" s="38"/>
      <c r="Y1065" s="44"/>
      <c r="Z1065" s="44"/>
      <c r="AA1065" s="45" t="str">
        <f aca="false">IF(AND($Y1065="",$Z1065=""),"",ROUND(IFERROR(VALUE(LEFT($Y1065,1)),0)*12+IFERROR(VALUE(LEFT($Z1065,1)),0)*8,0))</f>
        <v/>
      </c>
      <c r="AB1065" s="45" t="str">
        <f aca="false">IF($AA1065="","",IF($AA1065&gt;=80,"A - call first",IF($AA1065&gt;=60,"B - worth pursuing",IF($AA1065&gt;=40,"C - nurture","D - do not spend time here"))))</f>
        <v/>
      </c>
      <c r="AC1065" s="46" t="str">
        <f aca="false">IF($C1065="","",IF($S1065="Converted","7 Certification / Enterprise opportunity",IF($S1065="Application Started","7 Certification / Enterprise opportunity",IF($S1065="Meeting Booked","6 Meeting / Application",IF(OR($S1065="Interested",$S1065="Info Requested"),"5 Interested",IF(OR($S1065="Declined",$S1065="Not Relevant"),"0 Closed - no",IF($R1065="Yes","4 Contacted",IF($N1065="Yes","2 Engaged",IF($M1065="Yes","1 Awareness",IF($AA1065&gt;=60,"3 Qualified","1 Awareness"))))))))))</f>
        <v/>
      </c>
    </row>
    <row r="1066" customFormat="false" ht="30" hidden="false" customHeight="true" outlineLevel="0" collapsed="false">
      <c r="A1066" s="36"/>
      <c r="B1066" s="37"/>
      <c r="C1066" s="37"/>
      <c r="D1066" s="37"/>
      <c r="E1066" s="37"/>
      <c r="F1066" s="37"/>
      <c r="G1066" s="37"/>
      <c r="H1066" s="37"/>
      <c r="I1066" s="37"/>
      <c r="J1066" s="47"/>
      <c r="K1066" s="41" t="str">
        <f aca="false">IF(J1066="","",IF(J1066&gt;=8,"Yes","Check"))</f>
        <v/>
      </c>
      <c r="L1066" s="38"/>
      <c r="M1066" s="47"/>
      <c r="N1066" s="47"/>
      <c r="O1066" s="37"/>
      <c r="P1066" s="38"/>
      <c r="Q1066" s="42" t="str">
        <f aca="false">IF(P1066="","",LEN(P1066))</f>
        <v/>
      </c>
      <c r="R1066" s="47"/>
      <c r="S1066" s="37"/>
      <c r="T1066" s="38"/>
      <c r="U1066" s="43" t="str">
        <f aca="false">IF(OR(R1066&lt;&gt;"Yes",A1066=""),"",A1066+4)</f>
        <v/>
      </c>
      <c r="V1066" s="47"/>
      <c r="W1066" s="38"/>
      <c r="X1066" s="38"/>
      <c r="Y1066" s="44"/>
      <c r="Z1066" s="44"/>
      <c r="AA1066" s="45" t="str">
        <f aca="false">IF(AND($Y1066="",$Z1066=""),"",ROUND(IFERROR(VALUE(LEFT($Y1066,1)),0)*12+IFERROR(VALUE(LEFT($Z1066,1)),0)*8,0))</f>
        <v/>
      </c>
      <c r="AB1066" s="45" t="str">
        <f aca="false">IF($AA1066="","",IF($AA1066&gt;=80,"A - call first",IF($AA1066&gt;=60,"B - worth pursuing",IF($AA1066&gt;=40,"C - nurture","D - do not spend time here"))))</f>
        <v/>
      </c>
      <c r="AC1066" s="46" t="str">
        <f aca="false">IF($C1066="","",IF($S1066="Converted","7 Certification / Enterprise opportunity",IF($S1066="Application Started","7 Certification / Enterprise opportunity",IF($S1066="Meeting Booked","6 Meeting / Application",IF(OR($S1066="Interested",$S1066="Info Requested"),"5 Interested",IF(OR($S1066="Declined",$S1066="Not Relevant"),"0 Closed - no",IF($R1066="Yes","4 Contacted",IF($N1066="Yes","2 Engaged",IF($M1066="Yes","1 Awareness",IF($AA1066&gt;=60,"3 Qualified","1 Awareness"))))))))))</f>
        <v/>
      </c>
    </row>
    <row r="1067" customFormat="false" ht="30" hidden="false" customHeight="true" outlineLevel="0" collapsed="false">
      <c r="A1067" s="36"/>
      <c r="B1067" s="37"/>
      <c r="C1067" s="37"/>
      <c r="D1067" s="37"/>
      <c r="E1067" s="37"/>
      <c r="F1067" s="37"/>
      <c r="G1067" s="37"/>
      <c r="H1067" s="37"/>
      <c r="I1067" s="37"/>
      <c r="J1067" s="47"/>
      <c r="K1067" s="41" t="str">
        <f aca="false">IF(J1067="","",IF(J1067&gt;=8,"Yes","Check"))</f>
        <v/>
      </c>
      <c r="L1067" s="38"/>
      <c r="M1067" s="47"/>
      <c r="N1067" s="47"/>
      <c r="O1067" s="37"/>
      <c r="P1067" s="38"/>
      <c r="Q1067" s="42" t="str">
        <f aca="false">IF(P1067="","",LEN(P1067))</f>
        <v/>
      </c>
      <c r="R1067" s="47"/>
      <c r="S1067" s="37"/>
      <c r="T1067" s="38"/>
      <c r="U1067" s="43" t="str">
        <f aca="false">IF(OR(R1067&lt;&gt;"Yes",A1067=""),"",A1067+4)</f>
        <v/>
      </c>
      <c r="V1067" s="47"/>
      <c r="W1067" s="38"/>
      <c r="X1067" s="38"/>
      <c r="Y1067" s="44"/>
      <c r="Z1067" s="44"/>
      <c r="AA1067" s="45" t="str">
        <f aca="false">IF(AND($Y1067="",$Z1067=""),"",ROUND(IFERROR(VALUE(LEFT($Y1067,1)),0)*12+IFERROR(VALUE(LEFT($Z1067,1)),0)*8,0))</f>
        <v/>
      </c>
      <c r="AB1067" s="45" t="str">
        <f aca="false">IF($AA1067="","",IF($AA1067&gt;=80,"A - call first",IF($AA1067&gt;=60,"B - worth pursuing",IF($AA1067&gt;=40,"C - nurture","D - do not spend time here"))))</f>
        <v/>
      </c>
      <c r="AC1067" s="46" t="str">
        <f aca="false">IF($C1067="","",IF($S1067="Converted","7 Certification / Enterprise opportunity",IF($S1067="Application Started","7 Certification / Enterprise opportunity",IF($S1067="Meeting Booked","6 Meeting / Application",IF(OR($S1067="Interested",$S1067="Info Requested"),"5 Interested",IF(OR($S1067="Declined",$S1067="Not Relevant"),"0 Closed - no",IF($R1067="Yes","4 Contacted",IF($N1067="Yes","2 Engaged",IF($M1067="Yes","1 Awareness",IF($AA1067&gt;=60,"3 Qualified","1 Awareness"))))))))))</f>
        <v/>
      </c>
    </row>
    <row r="1068" customFormat="false" ht="30" hidden="false" customHeight="true" outlineLevel="0" collapsed="false">
      <c r="A1068" s="36"/>
      <c r="B1068" s="37"/>
      <c r="C1068" s="37"/>
      <c r="D1068" s="37"/>
      <c r="E1068" s="37"/>
      <c r="F1068" s="37"/>
      <c r="G1068" s="37"/>
      <c r="H1068" s="37"/>
      <c r="I1068" s="37"/>
      <c r="J1068" s="47"/>
      <c r="K1068" s="41" t="str">
        <f aca="false">IF(J1068="","",IF(J1068&gt;=8,"Yes","Check"))</f>
        <v/>
      </c>
      <c r="L1068" s="38"/>
      <c r="M1068" s="47"/>
      <c r="N1068" s="47"/>
      <c r="O1068" s="37"/>
      <c r="P1068" s="38"/>
      <c r="Q1068" s="42" t="str">
        <f aca="false">IF(P1068="","",LEN(P1068))</f>
        <v/>
      </c>
      <c r="R1068" s="47"/>
      <c r="S1068" s="37"/>
      <c r="T1068" s="38"/>
      <c r="U1068" s="43" t="str">
        <f aca="false">IF(OR(R1068&lt;&gt;"Yes",A1068=""),"",A1068+4)</f>
        <v/>
      </c>
      <c r="V1068" s="47"/>
      <c r="W1068" s="38"/>
      <c r="X1068" s="38"/>
      <c r="Y1068" s="44"/>
      <c r="Z1068" s="44"/>
      <c r="AA1068" s="45" t="str">
        <f aca="false">IF(AND($Y1068="",$Z1068=""),"",ROUND(IFERROR(VALUE(LEFT($Y1068,1)),0)*12+IFERROR(VALUE(LEFT($Z1068,1)),0)*8,0))</f>
        <v/>
      </c>
      <c r="AB1068" s="45" t="str">
        <f aca="false">IF($AA1068="","",IF($AA1068&gt;=80,"A - call first",IF($AA1068&gt;=60,"B - worth pursuing",IF($AA1068&gt;=40,"C - nurture","D - do not spend time here"))))</f>
        <v/>
      </c>
      <c r="AC1068" s="46" t="str">
        <f aca="false">IF($C1068="","",IF($S1068="Converted","7 Certification / Enterprise opportunity",IF($S1068="Application Started","7 Certification / Enterprise opportunity",IF($S1068="Meeting Booked","6 Meeting / Application",IF(OR($S1068="Interested",$S1068="Info Requested"),"5 Interested",IF(OR($S1068="Declined",$S1068="Not Relevant"),"0 Closed - no",IF($R1068="Yes","4 Contacted",IF($N1068="Yes","2 Engaged",IF($M1068="Yes","1 Awareness",IF($AA1068&gt;=60,"3 Qualified","1 Awareness"))))))))))</f>
        <v/>
      </c>
    </row>
    <row r="1069" customFormat="false" ht="30" hidden="false" customHeight="true" outlineLevel="0" collapsed="false">
      <c r="A1069" s="36"/>
      <c r="B1069" s="37"/>
      <c r="C1069" s="37"/>
      <c r="D1069" s="37"/>
      <c r="E1069" s="37"/>
      <c r="F1069" s="37"/>
      <c r="G1069" s="37"/>
      <c r="H1069" s="37"/>
      <c r="I1069" s="37"/>
      <c r="J1069" s="47"/>
      <c r="K1069" s="41" t="str">
        <f aca="false">IF(J1069="","",IF(J1069&gt;=8,"Yes","Check"))</f>
        <v/>
      </c>
      <c r="L1069" s="38"/>
      <c r="M1069" s="47"/>
      <c r="N1069" s="47"/>
      <c r="O1069" s="37"/>
      <c r="P1069" s="38"/>
      <c r="Q1069" s="42" t="str">
        <f aca="false">IF(P1069="","",LEN(P1069))</f>
        <v/>
      </c>
      <c r="R1069" s="47"/>
      <c r="S1069" s="37"/>
      <c r="T1069" s="38"/>
      <c r="U1069" s="43" t="str">
        <f aca="false">IF(OR(R1069&lt;&gt;"Yes",A1069=""),"",A1069+4)</f>
        <v/>
      </c>
      <c r="V1069" s="47"/>
      <c r="W1069" s="38"/>
      <c r="X1069" s="38"/>
      <c r="Y1069" s="44"/>
      <c r="Z1069" s="44"/>
      <c r="AA1069" s="45" t="str">
        <f aca="false">IF(AND($Y1069="",$Z1069=""),"",ROUND(IFERROR(VALUE(LEFT($Y1069,1)),0)*12+IFERROR(VALUE(LEFT($Z1069,1)),0)*8,0))</f>
        <v/>
      </c>
      <c r="AB1069" s="45" t="str">
        <f aca="false">IF($AA1069="","",IF($AA1069&gt;=80,"A - call first",IF($AA1069&gt;=60,"B - worth pursuing",IF($AA1069&gt;=40,"C - nurture","D - do not spend time here"))))</f>
        <v/>
      </c>
      <c r="AC1069" s="46" t="str">
        <f aca="false">IF($C1069="","",IF($S1069="Converted","7 Certification / Enterprise opportunity",IF($S1069="Application Started","7 Certification / Enterprise opportunity",IF($S1069="Meeting Booked","6 Meeting / Application",IF(OR($S1069="Interested",$S1069="Info Requested"),"5 Interested",IF(OR($S1069="Declined",$S1069="Not Relevant"),"0 Closed - no",IF($R1069="Yes","4 Contacted",IF($N1069="Yes","2 Engaged",IF($M1069="Yes","1 Awareness",IF($AA1069&gt;=60,"3 Qualified","1 Awareness"))))))))))</f>
        <v/>
      </c>
    </row>
    <row r="1070" customFormat="false" ht="30" hidden="false" customHeight="true" outlineLevel="0" collapsed="false">
      <c r="A1070" s="36"/>
      <c r="B1070" s="37"/>
      <c r="C1070" s="37"/>
      <c r="D1070" s="37"/>
      <c r="E1070" s="37"/>
      <c r="F1070" s="37"/>
      <c r="G1070" s="37"/>
      <c r="H1070" s="37"/>
      <c r="I1070" s="37"/>
      <c r="J1070" s="47"/>
      <c r="K1070" s="41" t="str">
        <f aca="false">IF(J1070="","",IF(J1070&gt;=8,"Yes","Check"))</f>
        <v/>
      </c>
      <c r="L1070" s="38"/>
      <c r="M1070" s="47"/>
      <c r="N1070" s="47"/>
      <c r="O1070" s="37"/>
      <c r="P1070" s="38"/>
      <c r="Q1070" s="42" t="str">
        <f aca="false">IF(P1070="","",LEN(P1070))</f>
        <v/>
      </c>
      <c r="R1070" s="47"/>
      <c r="S1070" s="37"/>
      <c r="T1070" s="38"/>
      <c r="U1070" s="43" t="str">
        <f aca="false">IF(OR(R1070&lt;&gt;"Yes",A1070=""),"",A1070+4)</f>
        <v/>
      </c>
      <c r="V1070" s="47"/>
      <c r="W1070" s="38"/>
      <c r="X1070" s="38"/>
      <c r="Y1070" s="44"/>
      <c r="Z1070" s="44"/>
      <c r="AA1070" s="45" t="str">
        <f aca="false">IF(AND($Y1070="",$Z1070=""),"",ROUND(IFERROR(VALUE(LEFT($Y1070,1)),0)*12+IFERROR(VALUE(LEFT($Z1070,1)),0)*8,0))</f>
        <v/>
      </c>
      <c r="AB1070" s="45" t="str">
        <f aca="false">IF($AA1070="","",IF($AA1070&gt;=80,"A - call first",IF($AA1070&gt;=60,"B - worth pursuing",IF($AA1070&gt;=40,"C - nurture","D - do not spend time here"))))</f>
        <v/>
      </c>
      <c r="AC1070" s="46" t="str">
        <f aca="false">IF($C1070="","",IF($S1070="Converted","7 Certification / Enterprise opportunity",IF($S1070="Application Started","7 Certification / Enterprise opportunity",IF($S1070="Meeting Booked","6 Meeting / Application",IF(OR($S1070="Interested",$S1070="Info Requested"),"5 Interested",IF(OR($S1070="Declined",$S1070="Not Relevant"),"0 Closed - no",IF($R1070="Yes","4 Contacted",IF($N1070="Yes","2 Engaged",IF($M1070="Yes","1 Awareness",IF($AA1070&gt;=60,"3 Qualified","1 Awareness"))))))))))</f>
        <v/>
      </c>
    </row>
    <row r="1071" customFormat="false" ht="30" hidden="false" customHeight="true" outlineLevel="0" collapsed="false">
      <c r="A1071" s="36"/>
      <c r="B1071" s="37"/>
      <c r="C1071" s="37"/>
      <c r="D1071" s="37"/>
      <c r="E1071" s="37"/>
      <c r="F1071" s="37"/>
      <c r="G1071" s="37"/>
      <c r="H1071" s="37"/>
      <c r="I1071" s="37"/>
      <c r="J1071" s="47"/>
      <c r="K1071" s="41" t="str">
        <f aca="false">IF(J1071="","",IF(J1071&gt;=8,"Yes","Check"))</f>
        <v/>
      </c>
      <c r="L1071" s="38"/>
      <c r="M1071" s="47"/>
      <c r="N1071" s="47"/>
      <c r="O1071" s="37"/>
      <c r="P1071" s="38"/>
      <c r="Q1071" s="42" t="str">
        <f aca="false">IF(P1071="","",LEN(P1071))</f>
        <v/>
      </c>
      <c r="R1071" s="47"/>
      <c r="S1071" s="37"/>
      <c r="T1071" s="38"/>
      <c r="U1071" s="43" t="str">
        <f aca="false">IF(OR(R1071&lt;&gt;"Yes",A1071=""),"",A1071+4)</f>
        <v/>
      </c>
      <c r="V1071" s="47"/>
      <c r="W1071" s="38"/>
      <c r="X1071" s="38"/>
      <c r="Y1071" s="44"/>
      <c r="Z1071" s="44"/>
      <c r="AA1071" s="45" t="str">
        <f aca="false">IF(AND($Y1071="",$Z1071=""),"",ROUND(IFERROR(VALUE(LEFT($Y1071,1)),0)*12+IFERROR(VALUE(LEFT($Z1071,1)),0)*8,0))</f>
        <v/>
      </c>
      <c r="AB1071" s="45" t="str">
        <f aca="false">IF($AA1071="","",IF($AA1071&gt;=80,"A - call first",IF($AA1071&gt;=60,"B - worth pursuing",IF($AA1071&gt;=40,"C - nurture","D - do not spend time here"))))</f>
        <v/>
      </c>
      <c r="AC1071" s="46" t="str">
        <f aca="false">IF($C1071="","",IF($S1071="Converted","7 Certification / Enterprise opportunity",IF($S1071="Application Started","7 Certification / Enterprise opportunity",IF($S1071="Meeting Booked","6 Meeting / Application",IF(OR($S1071="Interested",$S1071="Info Requested"),"5 Interested",IF(OR($S1071="Declined",$S1071="Not Relevant"),"0 Closed - no",IF($R1071="Yes","4 Contacted",IF($N1071="Yes","2 Engaged",IF($M1071="Yes","1 Awareness",IF($AA1071&gt;=60,"3 Qualified","1 Awareness"))))))))))</f>
        <v/>
      </c>
    </row>
    <row r="1072" customFormat="false" ht="30" hidden="false" customHeight="true" outlineLevel="0" collapsed="false">
      <c r="A1072" s="36"/>
      <c r="B1072" s="37"/>
      <c r="C1072" s="37"/>
      <c r="D1072" s="37"/>
      <c r="E1072" s="37"/>
      <c r="F1072" s="37"/>
      <c r="G1072" s="37"/>
      <c r="H1072" s="37"/>
      <c r="I1072" s="37"/>
      <c r="J1072" s="47"/>
      <c r="K1072" s="41" t="str">
        <f aca="false">IF(J1072="","",IF(J1072&gt;=8,"Yes","Check"))</f>
        <v/>
      </c>
      <c r="L1072" s="38"/>
      <c r="M1072" s="47"/>
      <c r="N1072" s="47"/>
      <c r="O1072" s="37"/>
      <c r="P1072" s="38"/>
      <c r="Q1072" s="42" t="str">
        <f aca="false">IF(P1072="","",LEN(P1072))</f>
        <v/>
      </c>
      <c r="R1072" s="47"/>
      <c r="S1072" s="37"/>
      <c r="T1072" s="38"/>
      <c r="U1072" s="43" t="str">
        <f aca="false">IF(OR(R1072&lt;&gt;"Yes",A1072=""),"",A1072+4)</f>
        <v/>
      </c>
      <c r="V1072" s="47"/>
      <c r="W1072" s="38"/>
      <c r="X1072" s="38"/>
      <c r="Y1072" s="44"/>
      <c r="Z1072" s="44"/>
      <c r="AA1072" s="45" t="str">
        <f aca="false">IF(AND($Y1072="",$Z1072=""),"",ROUND(IFERROR(VALUE(LEFT($Y1072,1)),0)*12+IFERROR(VALUE(LEFT($Z1072,1)),0)*8,0))</f>
        <v/>
      </c>
      <c r="AB1072" s="45" t="str">
        <f aca="false">IF($AA1072="","",IF($AA1072&gt;=80,"A - call first",IF($AA1072&gt;=60,"B - worth pursuing",IF($AA1072&gt;=40,"C - nurture","D - do not spend time here"))))</f>
        <v/>
      </c>
      <c r="AC1072" s="46" t="str">
        <f aca="false">IF($C1072="","",IF($S1072="Converted","7 Certification / Enterprise opportunity",IF($S1072="Application Started","7 Certification / Enterprise opportunity",IF($S1072="Meeting Booked","6 Meeting / Application",IF(OR($S1072="Interested",$S1072="Info Requested"),"5 Interested",IF(OR($S1072="Declined",$S1072="Not Relevant"),"0 Closed - no",IF($R1072="Yes","4 Contacted",IF($N1072="Yes","2 Engaged",IF($M1072="Yes","1 Awareness",IF($AA1072&gt;=60,"3 Qualified","1 Awareness"))))))))))</f>
        <v/>
      </c>
    </row>
    <row r="1073" customFormat="false" ht="30" hidden="false" customHeight="true" outlineLevel="0" collapsed="false">
      <c r="A1073" s="36"/>
      <c r="B1073" s="37"/>
      <c r="C1073" s="37"/>
      <c r="D1073" s="37"/>
      <c r="E1073" s="37"/>
      <c r="F1073" s="37"/>
      <c r="G1073" s="37"/>
      <c r="H1073" s="37"/>
      <c r="I1073" s="37"/>
      <c r="J1073" s="47"/>
      <c r="K1073" s="41" t="str">
        <f aca="false">IF(J1073="","",IF(J1073&gt;=8,"Yes","Check"))</f>
        <v/>
      </c>
      <c r="L1073" s="38"/>
      <c r="M1073" s="47"/>
      <c r="N1073" s="47"/>
      <c r="O1073" s="37"/>
      <c r="P1073" s="38"/>
      <c r="Q1073" s="42" t="str">
        <f aca="false">IF(P1073="","",LEN(P1073))</f>
        <v/>
      </c>
      <c r="R1073" s="47"/>
      <c r="S1073" s="37"/>
      <c r="T1073" s="38"/>
      <c r="U1073" s="43" t="str">
        <f aca="false">IF(OR(R1073&lt;&gt;"Yes",A1073=""),"",A1073+4)</f>
        <v/>
      </c>
      <c r="V1073" s="47"/>
      <c r="W1073" s="38"/>
      <c r="X1073" s="38"/>
      <c r="Y1073" s="44"/>
      <c r="Z1073" s="44"/>
      <c r="AA1073" s="45" t="str">
        <f aca="false">IF(AND($Y1073="",$Z1073=""),"",ROUND(IFERROR(VALUE(LEFT($Y1073,1)),0)*12+IFERROR(VALUE(LEFT($Z1073,1)),0)*8,0))</f>
        <v/>
      </c>
      <c r="AB1073" s="45" t="str">
        <f aca="false">IF($AA1073="","",IF($AA1073&gt;=80,"A - call first",IF($AA1073&gt;=60,"B - worth pursuing",IF($AA1073&gt;=40,"C - nurture","D - do not spend time here"))))</f>
        <v/>
      </c>
      <c r="AC1073" s="46" t="str">
        <f aca="false">IF($C1073="","",IF($S1073="Converted","7 Certification / Enterprise opportunity",IF($S1073="Application Started","7 Certification / Enterprise opportunity",IF($S1073="Meeting Booked","6 Meeting / Application",IF(OR($S1073="Interested",$S1073="Info Requested"),"5 Interested",IF(OR($S1073="Declined",$S1073="Not Relevant"),"0 Closed - no",IF($R1073="Yes","4 Contacted",IF($N1073="Yes","2 Engaged",IF($M1073="Yes","1 Awareness",IF($AA1073&gt;=60,"3 Qualified","1 Awareness"))))))))))</f>
        <v/>
      </c>
    </row>
    <row r="1074" customFormat="false" ht="30" hidden="false" customHeight="true" outlineLevel="0" collapsed="false">
      <c r="A1074" s="36"/>
      <c r="B1074" s="37"/>
      <c r="C1074" s="37"/>
      <c r="D1074" s="37"/>
      <c r="E1074" s="37"/>
      <c r="F1074" s="37"/>
      <c r="G1074" s="37"/>
      <c r="H1074" s="37"/>
      <c r="I1074" s="37"/>
      <c r="J1074" s="47"/>
      <c r="K1074" s="41" t="str">
        <f aca="false">IF(J1074="","",IF(J1074&gt;=8,"Yes","Check"))</f>
        <v/>
      </c>
      <c r="L1074" s="38"/>
      <c r="M1074" s="47"/>
      <c r="N1074" s="47"/>
      <c r="O1074" s="37"/>
      <c r="P1074" s="38"/>
      <c r="Q1074" s="42" t="str">
        <f aca="false">IF(P1074="","",LEN(P1074))</f>
        <v/>
      </c>
      <c r="R1074" s="47"/>
      <c r="S1074" s="37"/>
      <c r="T1074" s="38"/>
      <c r="U1074" s="43" t="str">
        <f aca="false">IF(OR(R1074&lt;&gt;"Yes",A1074=""),"",A1074+4)</f>
        <v/>
      </c>
      <c r="V1074" s="47"/>
      <c r="W1074" s="38"/>
      <c r="X1074" s="38"/>
      <c r="Y1074" s="44"/>
      <c r="Z1074" s="44"/>
      <c r="AA1074" s="45" t="str">
        <f aca="false">IF(AND($Y1074="",$Z1074=""),"",ROUND(IFERROR(VALUE(LEFT($Y1074,1)),0)*12+IFERROR(VALUE(LEFT($Z1074,1)),0)*8,0))</f>
        <v/>
      </c>
      <c r="AB1074" s="45" t="str">
        <f aca="false">IF($AA1074="","",IF($AA1074&gt;=80,"A - call first",IF($AA1074&gt;=60,"B - worth pursuing",IF($AA1074&gt;=40,"C - nurture","D - do not spend time here"))))</f>
        <v/>
      </c>
      <c r="AC1074" s="46" t="str">
        <f aca="false">IF($C1074="","",IF($S1074="Converted","7 Certification / Enterprise opportunity",IF($S1074="Application Started","7 Certification / Enterprise opportunity",IF($S1074="Meeting Booked","6 Meeting / Application",IF(OR($S1074="Interested",$S1074="Info Requested"),"5 Interested",IF(OR($S1074="Declined",$S1074="Not Relevant"),"0 Closed - no",IF($R1074="Yes","4 Contacted",IF($N1074="Yes","2 Engaged",IF($M1074="Yes","1 Awareness",IF($AA1074&gt;=60,"3 Qualified","1 Awareness"))))))))))</f>
        <v/>
      </c>
    </row>
    <row r="1075" customFormat="false" ht="30" hidden="false" customHeight="true" outlineLevel="0" collapsed="false">
      <c r="A1075" s="36"/>
      <c r="B1075" s="37"/>
      <c r="C1075" s="37"/>
      <c r="D1075" s="37"/>
      <c r="E1075" s="37"/>
      <c r="F1075" s="37"/>
      <c r="G1075" s="37"/>
      <c r="H1075" s="37"/>
      <c r="I1075" s="37"/>
      <c r="J1075" s="47"/>
      <c r="K1075" s="41" t="str">
        <f aca="false">IF(J1075="","",IF(J1075&gt;=8,"Yes","Check"))</f>
        <v/>
      </c>
      <c r="L1075" s="38"/>
      <c r="M1075" s="47"/>
      <c r="N1075" s="47"/>
      <c r="O1075" s="37"/>
      <c r="P1075" s="38"/>
      <c r="Q1075" s="42" t="str">
        <f aca="false">IF(P1075="","",LEN(P1075))</f>
        <v/>
      </c>
      <c r="R1075" s="47"/>
      <c r="S1075" s="37"/>
      <c r="T1075" s="38"/>
      <c r="U1075" s="43" t="str">
        <f aca="false">IF(OR(R1075&lt;&gt;"Yes",A1075=""),"",A1075+4)</f>
        <v/>
      </c>
      <c r="V1075" s="47"/>
      <c r="W1075" s="38"/>
      <c r="X1075" s="38"/>
      <c r="Y1075" s="44"/>
      <c r="Z1075" s="44"/>
      <c r="AA1075" s="45" t="str">
        <f aca="false">IF(AND($Y1075="",$Z1075=""),"",ROUND(IFERROR(VALUE(LEFT($Y1075,1)),0)*12+IFERROR(VALUE(LEFT($Z1075,1)),0)*8,0))</f>
        <v/>
      </c>
      <c r="AB1075" s="45" t="str">
        <f aca="false">IF($AA1075="","",IF($AA1075&gt;=80,"A - call first",IF($AA1075&gt;=60,"B - worth pursuing",IF($AA1075&gt;=40,"C - nurture","D - do not spend time here"))))</f>
        <v/>
      </c>
      <c r="AC1075" s="46" t="str">
        <f aca="false">IF($C1075="","",IF($S1075="Converted","7 Certification / Enterprise opportunity",IF($S1075="Application Started","7 Certification / Enterprise opportunity",IF($S1075="Meeting Booked","6 Meeting / Application",IF(OR($S1075="Interested",$S1075="Info Requested"),"5 Interested",IF(OR($S1075="Declined",$S1075="Not Relevant"),"0 Closed - no",IF($R1075="Yes","4 Contacted",IF($N1075="Yes","2 Engaged",IF($M1075="Yes","1 Awareness",IF($AA1075&gt;=60,"3 Qualified","1 Awareness"))))))))))</f>
        <v/>
      </c>
    </row>
    <row r="1076" customFormat="false" ht="30" hidden="false" customHeight="true" outlineLevel="0" collapsed="false">
      <c r="A1076" s="36"/>
      <c r="B1076" s="37"/>
      <c r="C1076" s="37"/>
      <c r="D1076" s="37"/>
      <c r="E1076" s="37"/>
      <c r="F1076" s="37"/>
      <c r="G1076" s="37"/>
      <c r="H1076" s="37"/>
      <c r="I1076" s="37"/>
      <c r="J1076" s="47"/>
      <c r="K1076" s="41" t="str">
        <f aca="false">IF(J1076="","",IF(J1076&gt;=8,"Yes","Check"))</f>
        <v/>
      </c>
      <c r="L1076" s="38"/>
      <c r="M1076" s="47"/>
      <c r="N1076" s="47"/>
      <c r="O1076" s="37"/>
      <c r="P1076" s="38"/>
      <c r="Q1076" s="42" t="str">
        <f aca="false">IF(P1076="","",LEN(P1076))</f>
        <v/>
      </c>
      <c r="R1076" s="47"/>
      <c r="S1076" s="37"/>
      <c r="T1076" s="38"/>
      <c r="U1076" s="43" t="str">
        <f aca="false">IF(OR(R1076&lt;&gt;"Yes",A1076=""),"",A1076+4)</f>
        <v/>
      </c>
      <c r="V1076" s="47"/>
      <c r="W1076" s="38"/>
      <c r="X1076" s="38"/>
      <c r="Y1076" s="44"/>
      <c r="Z1076" s="44"/>
      <c r="AA1076" s="45" t="str">
        <f aca="false">IF(AND($Y1076="",$Z1076=""),"",ROUND(IFERROR(VALUE(LEFT($Y1076,1)),0)*12+IFERROR(VALUE(LEFT($Z1076,1)),0)*8,0))</f>
        <v/>
      </c>
      <c r="AB1076" s="45" t="str">
        <f aca="false">IF($AA1076="","",IF($AA1076&gt;=80,"A - call first",IF($AA1076&gt;=60,"B - worth pursuing",IF($AA1076&gt;=40,"C - nurture","D - do not spend time here"))))</f>
        <v/>
      </c>
      <c r="AC1076" s="46" t="str">
        <f aca="false">IF($C1076="","",IF($S1076="Converted","7 Certification / Enterprise opportunity",IF($S1076="Application Started","7 Certification / Enterprise opportunity",IF($S1076="Meeting Booked","6 Meeting / Application",IF(OR($S1076="Interested",$S1076="Info Requested"),"5 Interested",IF(OR($S1076="Declined",$S1076="Not Relevant"),"0 Closed - no",IF($R1076="Yes","4 Contacted",IF($N1076="Yes","2 Engaged",IF($M1076="Yes","1 Awareness",IF($AA1076&gt;=60,"3 Qualified","1 Awareness"))))))))))</f>
        <v/>
      </c>
    </row>
    <row r="1077" customFormat="false" ht="30" hidden="false" customHeight="true" outlineLevel="0" collapsed="false">
      <c r="A1077" s="36"/>
      <c r="B1077" s="37"/>
      <c r="C1077" s="37"/>
      <c r="D1077" s="37"/>
      <c r="E1077" s="37"/>
      <c r="F1077" s="37"/>
      <c r="G1077" s="37"/>
      <c r="H1077" s="37"/>
      <c r="I1077" s="37"/>
      <c r="J1077" s="47"/>
      <c r="K1077" s="41" t="str">
        <f aca="false">IF(J1077="","",IF(J1077&gt;=8,"Yes","Check"))</f>
        <v/>
      </c>
      <c r="L1077" s="38"/>
      <c r="M1077" s="47"/>
      <c r="N1077" s="47"/>
      <c r="O1077" s="37"/>
      <c r="P1077" s="38"/>
      <c r="Q1077" s="42" t="str">
        <f aca="false">IF(P1077="","",LEN(P1077))</f>
        <v/>
      </c>
      <c r="R1077" s="47"/>
      <c r="S1077" s="37"/>
      <c r="T1077" s="38"/>
      <c r="U1077" s="43" t="str">
        <f aca="false">IF(OR(R1077&lt;&gt;"Yes",A1077=""),"",A1077+4)</f>
        <v/>
      </c>
      <c r="V1077" s="47"/>
      <c r="W1077" s="38"/>
      <c r="X1077" s="38"/>
      <c r="Y1077" s="44"/>
      <c r="Z1077" s="44"/>
      <c r="AA1077" s="45" t="str">
        <f aca="false">IF(AND($Y1077="",$Z1077=""),"",ROUND(IFERROR(VALUE(LEFT($Y1077,1)),0)*12+IFERROR(VALUE(LEFT($Z1077,1)),0)*8,0))</f>
        <v/>
      </c>
      <c r="AB1077" s="45" t="str">
        <f aca="false">IF($AA1077="","",IF($AA1077&gt;=80,"A - call first",IF($AA1077&gt;=60,"B - worth pursuing",IF($AA1077&gt;=40,"C - nurture","D - do not spend time here"))))</f>
        <v/>
      </c>
      <c r="AC1077" s="46" t="str">
        <f aca="false">IF($C1077="","",IF($S1077="Converted","7 Certification / Enterprise opportunity",IF($S1077="Application Started","7 Certification / Enterprise opportunity",IF($S1077="Meeting Booked","6 Meeting / Application",IF(OR($S1077="Interested",$S1077="Info Requested"),"5 Interested",IF(OR($S1077="Declined",$S1077="Not Relevant"),"0 Closed - no",IF($R1077="Yes","4 Contacted",IF($N1077="Yes","2 Engaged",IF($M1077="Yes","1 Awareness",IF($AA1077&gt;=60,"3 Qualified","1 Awareness"))))))))))</f>
        <v/>
      </c>
    </row>
    <row r="1078" customFormat="false" ht="30" hidden="false" customHeight="true" outlineLevel="0" collapsed="false">
      <c r="A1078" s="36"/>
      <c r="B1078" s="37"/>
      <c r="C1078" s="37"/>
      <c r="D1078" s="37"/>
      <c r="E1078" s="37"/>
      <c r="F1078" s="37"/>
      <c r="G1078" s="37"/>
      <c r="H1078" s="37"/>
      <c r="I1078" s="37"/>
      <c r="J1078" s="47"/>
      <c r="K1078" s="41" t="str">
        <f aca="false">IF(J1078="","",IF(J1078&gt;=8,"Yes","Check"))</f>
        <v/>
      </c>
      <c r="L1078" s="38"/>
      <c r="M1078" s="47"/>
      <c r="N1078" s="47"/>
      <c r="O1078" s="37"/>
      <c r="P1078" s="38"/>
      <c r="Q1078" s="42" t="str">
        <f aca="false">IF(P1078="","",LEN(P1078))</f>
        <v/>
      </c>
      <c r="R1078" s="47"/>
      <c r="S1078" s="37"/>
      <c r="T1078" s="38"/>
      <c r="U1078" s="43" t="str">
        <f aca="false">IF(OR(R1078&lt;&gt;"Yes",A1078=""),"",A1078+4)</f>
        <v/>
      </c>
      <c r="V1078" s="47"/>
      <c r="W1078" s="38"/>
      <c r="X1078" s="38"/>
      <c r="Y1078" s="44"/>
      <c r="Z1078" s="44"/>
      <c r="AA1078" s="45" t="str">
        <f aca="false">IF(AND($Y1078="",$Z1078=""),"",ROUND(IFERROR(VALUE(LEFT($Y1078,1)),0)*12+IFERROR(VALUE(LEFT($Z1078,1)),0)*8,0))</f>
        <v/>
      </c>
      <c r="AB1078" s="45" t="str">
        <f aca="false">IF($AA1078="","",IF($AA1078&gt;=80,"A - call first",IF($AA1078&gt;=60,"B - worth pursuing",IF($AA1078&gt;=40,"C - nurture","D - do not spend time here"))))</f>
        <v/>
      </c>
      <c r="AC1078" s="46" t="str">
        <f aca="false">IF($C1078="","",IF($S1078="Converted","7 Certification / Enterprise opportunity",IF($S1078="Application Started","7 Certification / Enterprise opportunity",IF($S1078="Meeting Booked","6 Meeting / Application",IF(OR($S1078="Interested",$S1078="Info Requested"),"5 Interested",IF(OR($S1078="Declined",$S1078="Not Relevant"),"0 Closed - no",IF($R1078="Yes","4 Contacted",IF($N1078="Yes","2 Engaged",IF($M1078="Yes","1 Awareness",IF($AA1078&gt;=60,"3 Qualified","1 Awareness"))))))))))</f>
        <v/>
      </c>
    </row>
    <row r="1079" customFormat="false" ht="30" hidden="false" customHeight="true" outlineLevel="0" collapsed="false">
      <c r="A1079" s="36"/>
      <c r="B1079" s="37"/>
      <c r="C1079" s="37"/>
      <c r="D1079" s="37"/>
      <c r="E1079" s="37"/>
      <c r="F1079" s="37"/>
      <c r="G1079" s="37"/>
      <c r="H1079" s="37"/>
      <c r="I1079" s="37"/>
      <c r="J1079" s="47"/>
      <c r="K1079" s="41" t="str">
        <f aca="false">IF(J1079="","",IF(J1079&gt;=8,"Yes","Check"))</f>
        <v/>
      </c>
      <c r="L1079" s="38"/>
      <c r="M1079" s="47"/>
      <c r="N1079" s="47"/>
      <c r="O1079" s="37"/>
      <c r="P1079" s="38"/>
      <c r="Q1079" s="42" t="str">
        <f aca="false">IF(P1079="","",LEN(P1079))</f>
        <v/>
      </c>
      <c r="R1079" s="47"/>
      <c r="S1079" s="37"/>
      <c r="T1079" s="38"/>
      <c r="U1079" s="43" t="str">
        <f aca="false">IF(OR(R1079&lt;&gt;"Yes",A1079=""),"",A1079+4)</f>
        <v/>
      </c>
      <c r="V1079" s="47"/>
      <c r="W1079" s="38"/>
      <c r="X1079" s="38"/>
      <c r="Y1079" s="44"/>
      <c r="Z1079" s="44"/>
      <c r="AA1079" s="45" t="str">
        <f aca="false">IF(AND($Y1079="",$Z1079=""),"",ROUND(IFERROR(VALUE(LEFT($Y1079,1)),0)*12+IFERROR(VALUE(LEFT($Z1079,1)),0)*8,0))</f>
        <v/>
      </c>
      <c r="AB1079" s="45" t="str">
        <f aca="false">IF($AA1079="","",IF($AA1079&gt;=80,"A - call first",IF($AA1079&gt;=60,"B - worth pursuing",IF($AA1079&gt;=40,"C - nurture","D - do not spend time here"))))</f>
        <v/>
      </c>
      <c r="AC1079" s="46" t="str">
        <f aca="false">IF($C1079="","",IF($S1079="Converted","7 Certification / Enterprise opportunity",IF($S1079="Application Started","7 Certification / Enterprise opportunity",IF($S1079="Meeting Booked","6 Meeting / Application",IF(OR($S1079="Interested",$S1079="Info Requested"),"5 Interested",IF(OR($S1079="Declined",$S1079="Not Relevant"),"0 Closed - no",IF($R1079="Yes","4 Contacted",IF($N1079="Yes","2 Engaged",IF($M1079="Yes","1 Awareness",IF($AA1079&gt;=60,"3 Qualified","1 Awareness"))))))))))</f>
        <v/>
      </c>
    </row>
    <row r="1080" customFormat="false" ht="30" hidden="false" customHeight="true" outlineLevel="0" collapsed="false">
      <c r="A1080" s="36"/>
      <c r="B1080" s="37"/>
      <c r="C1080" s="37"/>
      <c r="D1080" s="37"/>
      <c r="E1080" s="37"/>
      <c r="F1080" s="37"/>
      <c r="G1080" s="37"/>
      <c r="H1080" s="37"/>
      <c r="I1080" s="37"/>
      <c r="J1080" s="47"/>
      <c r="K1080" s="41" t="str">
        <f aca="false">IF(J1080="","",IF(J1080&gt;=8,"Yes","Check"))</f>
        <v/>
      </c>
      <c r="L1080" s="38"/>
      <c r="M1080" s="47"/>
      <c r="N1080" s="47"/>
      <c r="O1080" s="37"/>
      <c r="P1080" s="38"/>
      <c r="Q1080" s="42" t="str">
        <f aca="false">IF(P1080="","",LEN(P1080))</f>
        <v/>
      </c>
      <c r="R1080" s="47"/>
      <c r="S1080" s="37"/>
      <c r="T1080" s="38"/>
      <c r="U1080" s="43" t="str">
        <f aca="false">IF(OR(R1080&lt;&gt;"Yes",A1080=""),"",A1080+4)</f>
        <v/>
      </c>
      <c r="V1080" s="47"/>
      <c r="W1080" s="38"/>
      <c r="X1080" s="38"/>
      <c r="Y1080" s="44"/>
      <c r="Z1080" s="44"/>
      <c r="AA1080" s="45" t="str">
        <f aca="false">IF(AND($Y1080="",$Z1080=""),"",ROUND(IFERROR(VALUE(LEFT($Y1080,1)),0)*12+IFERROR(VALUE(LEFT($Z1080,1)),0)*8,0))</f>
        <v/>
      </c>
      <c r="AB1080" s="45" t="str">
        <f aca="false">IF($AA1080="","",IF($AA1080&gt;=80,"A - call first",IF($AA1080&gt;=60,"B - worth pursuing",IF($AA1080&gt;=40,"C - nurture","D - do not spend time here"))))</f>
        <v/>
      </c>
      <c r="AC1080" s="46" t="str">
        <f aca="false">IF($C1080="","",IF($S1080="Converted","7 Certification / Enterprise opportunity",IF($S1080="Application Started","7 Certification / Enterprise opportunity",IF($S1080="Meeting Booked","6 Meeting / Application",IF(OR($S1080="Interested",$S1080="Info Requested"),"5 Interested",IF(OR($S1080="Declined",$S1080="Not Relevant"),"0 Closed - no",IF($R1080="Yes","4 Contacted",IF($N1080="Yes","2 Engaged",IF($M1080="Yes","1 Awareness",IF($AA1080&gt;=60,"3 Qualified","1 Awareness"))))))))))</f>
        <v/>
      </c>
    </row>
    <row r="1081" customFormat="false" ht="30" hidden="false" customHeight="true" outlineLevel="0" collapsed="false">
      <c r="A1081" s="36"/>
      <c r="B1081" s="37"/>
      <c r="C1081" s="37"/>
      <c r="D1081" s="37"/>
      <c r="E1081" s="37"/>
      <c r="F1081" s="37"/>
      <c r="G1081" s="37"/>
      <c r="H1081" s="37"/>
      <c r="I1081" s="37"/>
      <c r="J1081" s="47"/>
      <c r="K1081" s="41" t="str">
        <f aca="false">IF(J1081="","",IF(J1081&gt;=8,"Yes","Check"))</f>
        <v/>
      </c>
      <c r="L1081" s="38"/>
      <c r="M1081" s="47"/>
      <c r="N1081" s="47"/>
      <c r="O1081" s="37"/>
      <c r="P1081" s="38"/>
      <c r="Q1081" s="42" t="str">
        <f aca="false">IF(P1081="","",LEN(P1081))</f>
        <v/>
      </c>
      <c r="R1081" s="47"/>
      <c r="S1081" s="37"/>
      <c r="T1081" s="38"/>
      <c r="U1081" s="43" t="str">
        <f aca="false">IF(OR(R1081&lt;&gt;"Yes",A1081=""),"",A1081+4)</f>
        <v/>
      </c>
      <c r="V1081" s="47"/>
      <c r="W1081" s="38"/>
      <c r="X1081" s="38"/>
      <c r="Y1081" s="44"/>
      <c r="Z1081" s="44"/>
      <c r="AA1081" s="45" t="str">
        <f aca="false">IF(AND($Y1081="",$Z1081=""),"",ROUND(IFERROR(VALUE(LEFT($Y1081,1)),0)*12+IFERROR(VALUE(LEFT($Z1081,1)),0)*8,0))</f>
        <v/>
      </c>
      <c r="AB1081" s="45" t="str">
        <f aca="false">IF($AA1081="","",IF($AA1081&gt;=80,"A - call first",IF($AA1081&gt;=60,"B - worth pursuing",IF($AA1081&gt;=40,"C - nurture","D - do not spend time here"))))</f>
        <v/>
      </c>
      <c r="AC1081" s="46" t="str">
        <f aca="false">IF($C1081="","",IF($S1081="Converted","7 Certification / Enterprise opportunity",IF($S1081="Application Started","7 Certification / Enterprise opportunity",IF($S1081="Meeting Booked","6 Meeting / Application",IF(OR($S1081="Interested",$S1081="Info Requested"),"5 Interested",IF(OR($S1081="Declined",$S1081="Not Relevant"),"0 Closed - no",IF($R1081="Yes","4 Contacted",IF($N1081="Yes","2 Engaged",IF($M1081="Yes","1 Awareness",IF($AA1081&gt;=60,"3 Qualified","1 Awareness"))))))))))</f>
        <v/>
      </c>
    </row>
    <row r="1082" customFormat="false" ht="30" hidden="false" customHeight="true" outlineLevel="0" collapsed="false">
      <c r="A1082" s="36"/>
      <c r="B1082" s="37"/>
      <c r="C1082" s="37"/>
      <c r="D1082" s="37"/>
      <c r="E1082" s="37"/>
      <c r="F1082" s="37"/>
      <c r="G1082" s="37"/>
      <c r="H1082" s="37"/>
      <c r="I1082" s="37"/>
      <c r="J1082" s="47"/>
      <c r="K1082" s="41" t="str">
        <f aca="false">IF(J1082="","",IF(J1082&gt;=8,"Yes","Check"))</f>
        <v/>
      </c>
      <c r="L1082" s="38"/>
      <c r="M1082" s="47"/>
      <c r="N1082" s="47"/>
      <c r="O1082" s="37"/>
      <c r="P1082" s="38"/>
      <c r="Q1082" s="42" t="str">
        <f aca="false">IF(P1082="","",LEN(P1082))</f>
        <v/>
      </c>
      <c r="R1082" s="47"/>
      <c r="S1082" s="37"/>
      <c r="T1082" s="38"/>
      <c r="U1082" s="43" t="str">
        <f aca="false">IF(OR(R1082&lt;&gt;"Yes",A1082=""),"",A1082+4)</f>
        <v/>
      </c>
      <c r="V1082" s="47"/>
      <c r="W1082" s="38"/>
      <c r="X1082" s="38"/>
      <c r="Y1082" s="44"/>
      <c r="Z1082" s="44"/>
      <c r="AA1082" s="45" t="str">
        <f aca="false">IF(AND($Y1082="",$Z1082=""),"",ROUND(IFERROR(VALUE(LEFT($Y1082,1)),0)*12+IFERROR(VALUE(LEFT($Z1082,1)),0)*8,0))</f>
        <v/>
      </c>
      <c r="AB1082" s="45" t="str">
        <f aca="false">IF($AA1082="","",IF($AA1082&gt;=80,"A - call first",IF($AA1082&gt;=60,"B - worth pursuing",IF($AA1082&gt;=40,"C - nurture","D - do not spend time here"))))</f>
        <v/>
      </c>
      <c r="AC1082" s="46" t="str">
        <f aca="false">IF($C1082="","",IF($S1082="Converted","7 Certification / Enterprise opportunity",IF($S1082="Application Started","7 Certification / Enterprise opportunity",IF($S1082="Meeting Booked","6 Meeting / Application",IF(OR($S1082="Interested",$S1082="Info Requested"),"5 Interested",IF(OR($S1082="Declined",$S1082="Not Relevant"),"0 Closed - no",IF($R1082="Yes","4 Contacted",IF($N1082="Yes","2 Engaged",IF($M1082="Yes","1 Awareness",IF($AA1082&gt;=60,"3 Qualified","1 Awareness"))))))))))</f>
        <v/>
      </c>
    </row>
    <row r="1083" customFormat="false" ht="30" hidden="false" customHeight="true" outlineLevel="0" collapsed="false">
      <c r="A1083" s="36"/>
      <c r="B1083" s="37"/>
      <c r="C1083" s="37"/>
      <c r="D1083" s="37"/>
      <c r="E1083" s="37"/>
      <c r="F1083" s="37"/>
      <c r="G1083" s="37"/>
      <c r="H1083" s="37"/>
      <c r="I1083" s="37"/>
      <c r="J1083" s="47"/>
      <c r="K1083" s="41" t="str">
        <f aca="false">IF(J1083="","",IF(J1083&gt;=8,"Yes","Check"))</f>
        <v/>
      </c>
      <c r="L1083" s="38"/>
      <c r="M1083" s="47"/>
      <c r="N1083" s="47"/>
      <c r="O1083" s="37"/>
      <c r="P1083" s="38"/>
      <c r="Q1083" s="42" t="str">
        <f aca="false">IF(P1083="","",LEN(P1083))</f>
        <v/>
      </c>
      <c r="R1083" s="47"/>
      <c r="S1083" s="37"/>
      <c r="T1083" s="38"/>
      <c r="U1083" s="43" t="str">
        <f aca="false">IF(OR(R1083&lt;&gt;"Yes",A1083=""),"",A1083+4)</f>
        <v/>
      </c>
      <c r="V1083" s="47"/>
      <c r="W1083" s="38"/>
      <c r="X1083" s="38"/>
      <c r="Y1083" s="44"/>
      <c r="Z1083" s="44"/>
      <c r="AA1083" s="45" t="str">
        <f aca="false">IF(AND($Y1083="",$Z1083=""),"",ROUND(IFERROR(VALUE(LEFT($Y1083,1)),0)*12+IFERROR(VALUE(LEFT($Z1083,1)),0)*8,0))</f>
        <v/>
      </c>
      <c r="AB1083" s="45" t="str">
        <f aca="false">IF($AA1083="","",IF($AA1083&gt;=80,"A - call first",IF($AA1083&gt;=60,"B - worth pursuing",IF($AA1083&gt;=40,"C - nurture","D - do not spend time here"))))</f>
        <v/>
      </c>
      <c r="AC1083" s="46" t="str">
        <f aca="false">IF($C1083="","",IF($S1083="Converted","7 Certification / Enterprise opportunity",IF($S1083="Application Started","7 Certification / Enterprise opportunity",IF($S1083="Meeting Booked","6 Meeting / Application",IF(OR($S1083="Interested",$S1083="Info Requested"),"5 Interested",IF(OR($S1083="Declined",$S1083="Not Relevant"),"0 Closed - no",IF($R1083="Yes","4 Contacted",IF($N1083="Yes","2 Engaged",IF($M1083="Yes","1 Awareness",IF($AA1083&gt;=60,"3 Qualified","1 Awareness"))))))))))</f>
        <v/>
      </c>
    </row>
    <row r="1084" customFormat="false" ht="30" hidden="false" customHeight="true" outlineLevel="0" collapsed="false">
      <c r="A1084" s="36"/>
      <c r="B1084" s="37"/>
      <c r="C1084" s="37"/>
      <c r="D1084" s="37"/>
      <c r="E1084" s="37"/>
      <c r="F1084" s="37"/>
      <c r="G1084" s="37"/>
      <c r="H1084" s="37"/>
      <c r="I1084" s="37"/>
      <c r="J1084" s="47"/>
      <c r="K1084" s="41" t="str">
        <f aca="false">IF(J1084="","",IF(J1084&gt;=8,"Yes","Check"))</f>
        <v/>
      </c>
      <c r="L1084" s="38"/>
      <c r="M1084" s="47"/>
      <c r="N1084" s="47"/>
      <c r="O1084" s="37"/>
      <c r="P1084" s="38"/>
      <c r="Q1084" s="42" t="str">
        <f aca="false">IF(P1084="","",LEN(P1084))</f>
        <v/>
      </c>
      <c r="R1084" s="47"/>
      <c r="S1084" s="37"/>
      <c r="T1084" s="38"/>
      <c r="U1084" s="43" t="str">
        <f aca="false">IF(OR(R1084&lt;&gt;"Yes",A1084=""),"",A1084+4)</f>
        <v/>
      </c>
      <c r="V1084" s="47"/>
      <c r="W1084" s="38"/>
      <c r="X1084" s="38"/>
      <c r="Y1084" s="44"/>
      <c r="Z1084" s="44"/>
      <c r="AA1084" s="45" t="str">
        <f aca="false">IF(AND($Y1084="",$Z1084=""),"",ROUND(IFERROR(VALUE(LEFT($Y1084,1)),0)*12+IFERROR(VALUE(LEFT($Z1084,1)),0)*8,0))</f>
        <v/>
      </c>
      <c r="AB1084" s="45" t="str">
        <f aca="false">IF($AA1084="","",IF($AA1084&gt;=80,"A - call first",IF($AA1084&gt;=60,"B - worth pursuing",IF($AA1084&gt;=40,"C - nurture","D - do not spend time here"))))</f>
        <v/>
      </c>
      <c r="AC1084" s="46" t="str">
        <f aca="false">IF($C1084="","",IF($S1084="Converted","7 Certification / Enterprise opportunity",IF($S1084="Application Started","7 Certification / Enterprise opportunity",IF($S1084="Meeting Booked","6 Meeting / Application",IF(OR($S1084="Interested",$S1084="Info Requested"),"5 Interested",IF(OR($S1084="Declined",$S1084="Not Relevant"),"0 Closed - no",IF($R1084="Yes","4 Contacted",IF($N1084="Yes","2 Engaged",IF($M1084="Yes","1 Awareness",IF($AA1084&gt;=60,"3 Qualified","1 Awareness"))))))))))</f>
        <v/>
      </c>
    </row>
    <row r="1085" customFormat="false" ht="30" hidden="false" customHeight="true" outlineLevel="0" collapsed="false">
      <c r="A1085" s="36"/>
      <c r="B1085" s="37"/>
      <c r="C1085" s="37"/>
      <c r="D1085" s="37"/>
      <c r="E1085" s="37"/>
      <c r="F1085" s="37"/>
      <c r="G1085" s="37"/>
      <c r="H1085" s="37"/>
      <c r="I1085" s="37"/>
      <c r="J1085" s="47"/>
      <c r="K1085" s="41" t="str">
        <f aca="false">IF(J1085="","",IF(J1085&gt;=8,"Yes","Check"))</f>
        <v/>
      </c>
      <c r="L1085" s="38"/>
      <c r="M1085" s="47"/>
      <c r="N1085" s="47"/>
      <c r="O1085" s="37"/>
      <c r="P1085" s="38"/>
      <c r="Q1085" s="42" t="str">
        <f aca="false">IF(P1085="","",LEN(P1085))</f>
        <v/>
      </c>
      <c r="R1085" s="47"/>
      <c r="S1085" s="37"/>
      <c r="T1085" s="38"/>
      <c r="U1085" s="43" t="str">
        <f aca="false">IF(OR(R1085&lt;&gt;"Yes",A1085=""),"",A1085+4)</f>
        <v/>
      </c>
      <c r="V1085" s="47"/>
      <c r="W1085" s="38"/>
      <c r="X1085" s="38"/>
      <c r="Y1085" s="44"/>
      <c r="Z1085" s="44"/>
      <c r="AA1085" s="45" t="str">
        <f aca="false">IF(AND($Y1085="",$Z1085=""),"",ROUND(IFERROR(VALUE(LEFT($Y1085,1)),0)*12+IFERROR(VALUE(LEFT($Z1085,1)),0)*8,0))</f>
        <v/>
      </c>
      <c r="AB1085" s="45" t="str">
        <f aca="false">IF($AA1085="","",IF($AA1085&gt;=80,"A - call first",IF($AA1085&gt;=60,"B - worth pursuing",IF($AA1085&gt;=40,"C - nurture","D - do not spend time here"))))</f>
        <v/>
      </c>
      <c r="AC1085" s="46" t="str">
        <f aca="false">IF($C1085="","",IF($S1085="Converted","7 Certification / Enterprise opportunity",IF($S1085="Application Started","7 Certification / Enterprise opportunity",IF($S1085="Meeting Booked","6 Meeting / Application",IF(OR($S1085="Interested",$S1085="Info Requested"),"5 Interested",IF(OR($S1085="Declined",$S1085="Not Relevant"),"0 Closed - no",IF($R1085="Yes","4 Contacted",IF($N1085="Yes","2 Engaged",IF($M1085="Yes","1 Awareness",IF($AA1085&gt;=60,"3 Qualified","1 Awareness"))))))))))</f>
        <v/>
      </c>
    </row>
    <row r="1086" customFormat="false" ht="30" hidden="false" customHeight="true" outlineLevel="0" collapsed="false">
      <c r="A1086" s="36"/>
      <c r="B1086" s="37"/>
      <c r="C1086" s="37"/>
      <c r="D1086" s="37"/>
      <c r="E1086" s="37"/>
      <c r="F1086" s="37"/>
      <c r="G1086" s="37"/>
      <c r="H1086" s="37"/>
      <c r="I1086" s="37"/>
      <c r="J1086" s="47"/>
      <c r="K1086" s="41" t="str">
        <f aca="false">IF(J1086="","",IF(J1086&gt;=8,"Yes","Check"))</f>
        <v/>
      </c>
      <c r="L1086" s="38"/>
      <c r="M1086" s="47"/>
      <c r="N1086" s="47"/>
      <c r="O1086" s="37"/>
      <c r="P1086" s="38"/>
      <c r="Q1086" s="42" t="str">
        <f aca="false">IF(P1086="","",LEN(P1086))</f>
        <v/>
      </c>
      <c r="R1086" s="47"/>
      <c r="S1086" s="37"/>
      <c r="T1086" s="38"/>
      <c r="U1086" s="43" t="str">
        <f aca="false">IF(OR(R1086&lt;&gt;"Yes",A1086=""),"",A1086+4)</f>
        <v/>
      </c>
      <c r="V1086" s="47"/>
      <c r="W1086" s="38"/>
      <c r="X1086" s="38"/>
      <c r="Y1086" s="44"/>
      <c r="Z1086" s="44"/>
      <c r="AA1086" s="45" t="str">
        <f aca="false">IF(AND($Y1086="",$Z1086=""),"",ROUND(IFERROR(VALUE(LEFT($Y1086,1)),0)*12+IFERROR(VALUE(LEFT($Z1086,1)),0)*8,0))</f>
        <v/>
      </c>
      <c r="AB1086" s="45" t="str">
        <f aca="false">IF($AA1086="","",IF($AA1086&gt;=80,"A - call first",IF($AA1086&gt;=60,"B - worth pursuing",IF($AA1086&gt;=40,"C - nurture","D - do not spend time here"))))</f>
        <v/>
      </c>
      <c r="AC1086" s="46" t="str">
        <f aca="false">IF($C1086="","",IF($S1086="Converted","7 Certification / Enterprise opportunity",IF($S1086="Application Started","7 Certification / Enterprise opportunity",IF($S1086="Meeting Booked","6 Meeting / Application",IF(OR($S1086="Interested",$S1086="Info Requested"),"5 Interested",IF(OR($S1086="Declined",$S1086="Not Relevant"),"0 Closed - no",IF($R1086="Yes","4 Contacted",IF($N1086="Yes","2 Engaged",IF($M1086="Yes","1 Awareness",IF($AA1086&gt;=60,"3 Qualified","1 Awareness"))))))))))</f>
        <v/>
      </c>
    </row>
    <row r="1087" customFormat="false" ht="30" hidden="false" customHeight="true" outlineLevel="0" collapsed="false">
      <c r="A1087" s="36"/>
      <c r="B1087" s="37"/>
      <c r="C1087" s="37"/>
      <c r="D1087" s="37"/>
      <c r="E1087" s="37"/>
      <c r="F1087" s="37"/>
      <c r="G1087" s="37"/>
      <c r="H1087" s="37"/>
      <c r="I1087" s="37"/>
      <c r="J1087" s="47"/>
      <c r="K1087" s="41" t="str">
        <f aca="false">IF(J1087="","",IF(J1087&gt;=8,"Yes","Check"))</f>
        <v/>
      </c>
      <c r="L1087" s="38"/>
      <c r="M1087" s="47"/>
      <c r="N1087" s="47"/>
      <c r="O1087" s="37"/>
      <c r="P1087" s="38"/>
      <c r="Q1087" s="42" t="str">
        <f aca="false">IF(P1087="","",LEN(P1087))</f>
        <v/>
      </c>
      <c r="R1087" s="47"/>
      <c r="S1087" s="37"/>
      <c r="T1087" s="38"/>
      <c r="U1087" s="43" t="str">
        <f aca="false">IF(OR(R1087&lt;&gt;"Yes",A1087=""),"",A1087+4)</f>
        <v/>
      </c>
      <c r="V1087" s="47"/>
      <c r="W1087" s="38"/>
      <c r="X1087" s="38"/>
      <c r="Y1087" s="44"/>
      <c r="Z1087" s="44"/>
      <c r="AA1087" s="45" t="str">
        <f aca="false">IF(AND($Y1087="",$Z1087=""),"",ROUND(IFERROR(VALUE(LEFT($Y1087,1)),0)*12+IFERROR(VALUE(LEFT($Z1087,1)),0)*8,0))</f>
        <v/>
      </c>
      <c r="AB1087" s="45" t="str">
        <f aca="false">IF($AA1087="","",IF($AA1087&gt;=80,"A - call first",IF($AA1087&gt;=60,"B - worth pursuing",IF($AA1087&gt;=40,"C - nurture","D - do not spend time here"))))</f>
        <v/>
      </c>
      <c r="AC1087" s="46" t="str">
        <f aca="false">IF($C1087="","",IF($S1087="Converted","7 Certification / Enterprise opportunity",IF($S1087="Application Started","7 Certification / Enterprise opportunity",IF($S1087="Meeting Booked","6 Meeting / Application",IF(OR($S1087="Interested",$S1087="Info Requested"),"5 Interested",IF(OR($S1087="Declined",$S1087="Not Relevant"),"0 Closed - no",IF($R1087="Yes","4 Contacted",IF($N1087="Yes","2 Engaged",IF($M1087="Yes","1 Awareness",IF($AA1087&gt;=60,"3 Qualified","1 Awareness"))))))))))</f>
        <v/>
      </c>
    </row>
    <row r="1088" customFormat="false" ht="30" hidden="false" customHeight="true" outlineLevel="0" collapsed="false">
      <c r="A1088" s="36"/>
      <c r="B1088" s="37"/>
      <c r="C1088" s="37"/>
      <c r="D1088" s="37"/>
      <c r="E1088" s="37"/>
      <c r="F1088" s="37"/>
      <c r="G1088" s="37"/>
      <c r="H1088" s="37"/>
      <c r="I1088" s="37"/>
      <c r="J1088" s="47"/>
      <c r="K1088" s="41" t="str">
        <f aca="false">IF(J1088="","",IF(J1088&gt;=8,"Yes","Check"))</f>
        <v/>
      </c>
      <c r="L1088" s="38"/>
      <c r="M1088" s="47"/>
      <c r="N1088" s="47"/>
      <c r="O1088" s="37"/>
      <c r="P1088" s="38"/>
      <c r="Q1088" s="42" t="str">
        <f aca="false">IF(P1088="","",LEN(P1088))</f>
        <v/>
      </c>
      <c r="R1088" s="47"/>
      <c r="S1088" s="37"/>
      <c r="T1088" s="38"/>
      <c r="U1088" s="43" t="str">
        <f aca="false">IF(OR(R1088&lt;&gt;"Yes",A1088=""),"",A1088+4)</f>
        <v/>
      </c>
      <c r="V1088" s="47"/>
      <c r="W1088" s="38"/>
      <c r="X1088" s="38"/>
      <c r="Y1088" s="44"/>
      <c r="Z1088" s="44"/>
      <c r="AA1088" s="45" t="str">
        <f aca="false">IF(AND($Y1088="",$Z1088=""),"",ROUND(IFERROR(VALUE(LEFT($Y1088,1)),0)*12+IFERROR(VALUE(LEFT($Z1088,1)),0)*8,0))</f>
        <v/>
      </c>
      <c r="AB1088" s="45" t="str">
        <f aca="false">IF($AA1088="","",IF($AA1088&gt;=80,"A - call first",IF($AA1088&gt;=60,"B - worth pursuing",IF($AA1088&gt;=40,"C - nurture","D - do not spend time here"))))</f>
        <v/>
      </c>
      <c r="AC1088" s="46" t="str">
        <f aca="false">IF($C1088="","",IF($S1088="Converted","7 Certification / Enterprise opportunity",IF($S1088="Application Started","7 Certification / Enterprise opportunity",IF($S1088="Meeting Booked","6 Meeting / Application",IF(OR($S1088="Interested",$S1088="Info Requested"),"5 Interested",IF(OR($S1088="Declined",$S1088="Not Relevant"),"0 Closed - no",IF($R1088="Yes","4 Contacted",IF($N1088="Yes","2 Engaged",IF($M1088="Yes","1 Awareness",IF($AA1088&gt;=60,"3 Qualified","1 Awareness"))))))))))</f>
        <v/>
      </c>
    </row>
    <row r="1089" customFormat="false" ht="30" hidden="false" customHeight="true" outlineLevel="0" collapsed="false">
      <c r="A1089" s="36"/>
      <c r="B1089" s="37"/>
      <c r="C1089" s="37"/>
      <c r="D1089" s="37"/>
      <c r="E1089" s="37"/>
      <c r="F1089" s="37"/>
      <c r="G1089" s="37"/>
      <c r="H1089" s="37"/>
      <c r="I1089" s="37"/>
      <c r="J1089" s="47"/>
      <c r="K1089" s="41" t="str">
        <f aca="false">IF(J1089="","",IF(J1089&gt;=8,"Yes","Check"))</f>
        <v/>
      </c>
      <c r="L1089" s="38"/>
      <c r="M1089" s="47"/>
      <c r="N1089" s="47"/>
      <c r="O1089" s="37"/>
      <c r="P1089" s="38"/>
      <c r="Q1089" s="42" t="str">
        <f aca="false">IF(P1089="","",LEN(P1089))</f>
        <v/>
      </c>
      <c r="R1089" s="47"/>
      <c r="S1089" s="37"/>
      <c r="T1089" s="38"/>
      <c r="U1089" s="43" t="str">
        <f aca="false">IF(OR(R1089&lt;&gt;"Yes",A1089=""),"",A1089+4)</f>
        <v/>
      </c>
      <c r="V1089" s="47"/>
      <c r="W1089" s="38"/>
      <c r="X1089" s="38"/>
      <c r="Y1089" s="44"/>
      <c r="Z1089" s="44"/>
      <c r="AA1089" s="45" t="str">
        <f aca="false">IF(AND($Y1089="",$Z1089=""),"",ROUND(IFERROR(VALUE(LEFT($Y1089,1)),0)*12+IFERROR(VALUE(LEFT($Z1089,1)),0)*8,0))</f>
        <v/>
      </c>
      <c r="AB1089" s="45" t="str">
        <f aca="false">IF($AA1089="","",IF($AA1089&gt;=80,"A - call first",IF($AA1089&gt;=60,"B - worth pursuing",IF($AA1089&gt;=40,"C - nurture","D - do not spend time here"))))</f>
        <v/>
      </c>
      <c r="AC1089" s="46" t="str">
        <f aca="false">IF($C1089="","",IF($S1089="Converted","7 Certification / Enterprise opportunity",IF($S1089="Application Started","7 Certification / Enterprise opportunity",IF($S1089="Meeting Booked","6 Meeting / Application",IF(OR($S1089="Interested",$S1089="Info Requested"),"5 Interested",IF(OR($S1089="Declined",$S1089="Not Relevant"),"0 Closed - no",IF($R1089="Yes","4 Contacted",IF($N1089="Yes","2 Engaged",IF($M1089="Yes","1 Awareness",IF($AA1089&gt;=60,"3 Qualified","1 Awareness"))))))))))</f>
        <v/>
      </c>
    </row>
    <row r="1090" customFormat="false" ht="30" hidden="false" customHeight="true" outlineLevel="0" collapsed="false">
      <c r="A1090" s="36"/>
      <c r="B1090" s="37"/>
      <c r="C1090" s="37"/>
      <c r="D1090" s="37"/>
      <c r="E1090" s="37"/>
      <c r="F1090" s="37"/>
      <c r="G1090" s="37"/>
      <c r="H1090" s="37"/>
      <c r="I1090" s="37"/>
      <c r="J1090" s="47"/>
      <c r="K1090" s="41" t="str">
        <f aca="false">IF(J1090="","",IF(J1090&gt;=8,"Yes","Check"))</f>
        <v/>
      </c>
      <c r="L1090" s="38"/>
      <c r="M1090" s="47"/>
      <c r="N1090" s="47"/>
      <c r="O1090" s="37"/>
      <c r="P1090" s="38"/>
      <c r="Q1090" s="42" t="str">
        <f aca="false">IF(P1090="","",LEN(P1090))</f>
        <v/>
      </c>
      <c r="R1090" s="47"/>
      <c r="S1090" s="37"/>
      <c r="T1090" s="38"/>
      <c r="U1090" s="43" t="str">
        <f aca="false">IF(OR(R1090&lt;&gt;"Yes",A1090=""),"",A1090+4)</f>
        <v/>
      </c>
      <c r="V1090" s="47"/>
      <c r="W1090" s="38"/>
      <c r="X1090" s="38"/>
      <c r="Y1090" s="44"/>
      <c r="Z1090" s="44"/>
      <c r="AA1090" s="45" t="str">
        <f aca="false">IF(AND($Y1090="",$Z1090=""),"",ROUND(IFERROR(VALUE(LEFT($Y1090,1)),0)*12+IFERROR(VALUE(LEFT($Z1090,1)),0)*8,0))</f>
        <v/>
      </c>
      <c r="AB1090" s="45" t="str">
        <f aca="false">IF($AA1090="","",IF($AA1090&gt;=80,"A - call first",IF($AA1090&gt;=60,"B - worth pursuing",IF($AA1090&gt;=40,"C - nurture","D - do not spend time here"))))</f>
        <v/>
      </c>
      <c r="AC1090" s="46" t="str">
        <f aca="false">IF($C1090="","",IF($S1090="Converted","7 Certification / Enterprise opportunity",IF($S1090="Application Started","7 Certification / Enterprise opportunity",IF($S1090="Meeting Booked","6 Meeting / Application",IF(OR($S1090="Interested",$S1090="Info Requested"),"5 Interested",IF(OR($S1090="Declined",$S1090="Not Relevant"),"0 Closed - no",IF($R1090="Yes","4 Contacted",IF($N1090="Yes","2 Engaged",IF($M1090="Yes","1 Awareness",IF($AA1090&gt;=60,"3 Qualified","1 Awareness"))))))))))</f>
        <v/>
      </c>
    </row>
    <row r="1091" customFormat="false" ht="30" hidden="false" customHeight="true" outlineLevel="0" collapsed="false">
      <c r="A1091" s="36"/>
      <c r="B1091" s="37"/>
      <c r="C1091" s="37"/>
      <c r="D1091" s="37"/>
      <c r="E1091" s="37"/>
      <c r="F1091" s="37"/>
      <c r="G1091" s="37"/>
      <c r="H1091" s="37"/>
      <c r="I1091" s="37"/>
      <c r="J1091" s="47"/>
      <c r="K1091" s="41" t="str">
        <f aca="false">IF(J1091="","",IF(J1091&gt;=8,"Yes","Check"))</f>
        <v/>
      </c>
      <c r="L1091" s="38"/>
      <c r="M1091" s="47"/>
      <c r="N1091" s="47"/>
      <c r="O1091" s="37"/>
      <c r="P1091" s="38"/>
      <c r="Q1091" s="42" t="str">
        <f aca="false">IF(P1091="","",LEN(P1091))</f>
        <v/>
      </c>
      <c r="R1091" s="47"/>
      <c r="S1091" s="37"/>
      <c r="T1091" s="38"/>
      <c r="U1091" s="43" t="str">
        <f aca="false">IF(OR(R1091&lt;&gt;"Yes",A1091=""),"",A1091+4)</f>
        <v/>
      </c>
      <c r="V1091" s="47"/>
      <c r="W1091" s="38"/>
      <c r="X1091" s="38"/>
      <c r="Y1091" s="44"/>
      <c r="Z1091" s="44"/>
      <c r="AA1091" s="45" t="str">
        <f aca="false">IF(AND($Y1091="",$Z1091=""),"",ROUND(IFERROR(VALUE(LEFT($Y1091,1)),0)*12+IFERROR(VALUE(LEFT($Z1091,1)),0)*8,0))</f>
        <v/>
      </c>
      <c r="AB1091" s="45" t="str">
        <f aca="false">IF($AA1091="","",IF($AA1091&gt;=80,"A - call first",IF($AA1091&gt;=60,"B - worth pursuing",IF($AA1091&gt;=40,"C - nurture","D - do not spend time here"))))</f>
        <v/>
      </c>
      <c r="AC1091" s="46" t="str">
        <f aca="false">IF($C1091="","",IF($S1091="Converted","7 Certification / Enterprise opportunity",IF($S1091="Application Started","7 Certification / Enterprise opportunity",IF($S1091="Meeting Booked","6 Meeting / Application",IF(OR($S1091="Interested",$S1091="Info Requested"),"5 Interested",IF(OR($S1091="Declined",$S1091="Not Relevant"),"0 Closed - no",IF($R1091="Yes","4 Contacted",IF($N1091="Yes","2 Engaged",IF($M1091="Yes","1 Awareness",IF($AA1091&gt;=60,"3 Qualified","1 Awareness"))))))))))</f>
        <v/>
      </c>
    </row>
    <row r="1092" customFormat="false" ht="30" hidden="false" customHeight="true" outlineLevel="0" collapsed="false">
      <c r="A1092" s="36"/>
      <c r="B1092" s="37"/>
      <c r="C1092" s="37"/>
      <c r="D1092" s="37"/>
      <c r="E1092" s="37"/>
      <c r="F1092" s="37"/>
      <c r="G1092" s="37"/>
      <c r="H1092" s="37"/>
      <c r="I1092" s="37"/>
      <c r="J1092" s="47"/>
      <c r="K1092" s="41" t="str">
        <f aca="false">IF(J1092="","",IF(J1092&gt;=8,"Yes","Check"))</f>
        <v/>
      </c>
      <c r="L1092" s="38"/>
      <c r="M1092" s="47"/>
      <c r="N1092" s="47"/>
      <c r="O1092" s="37"/>
      <c r="P1092" s="38"/>
      <c r="Q1092" s="42" t="str">
        <f aca="false">IF(P1092="","",LEN(P1092))</f>
        <v/>
      </c>
      <c r="R1092" s="47"/>
      <c r="S1092" s="37"/>
      <c r="T1092" s="38"/>
      <c r="U1092" s="43" t="str">
        <f aca="false">IF(OR(R1092&lt;&gt;"Yes",A1092=""),"",A1092+4)</f>
        <v/>
      </c>
      <c r="V1092" s="47"/>
      <c r="W1092" s="38"/>
      <c r="X1092" s="38"/>
      <c r="Y1092" s="44"/>
      <c r="Z1092" s="44"/>
      <c r="AA1092" s="45" t="str">
        <f aca="false">IF(AND($Y1092="",$Z1092=""),"",ROUND(IFERROR(VALUE(LEFT($Y1092,1)),0)*12+IFERROR(VALUE(LEFT($Z1092,1)),0)*8,0))</f>
        <v/>
      </c>
      <c r="AB1092" s="45" t="str">
        <f aca="false">IF($AA1092="","",IF($AA1092&gt;=80,"A - call first",IF($AA1092&gt;=60,"B - worth pursuing",IF($AA1092&gt;=40,"C - nurture","D - do not spend time here"))))</f>
        <v/>
      </c>
      <c r="AC1092" s="46" t="str">
        <f aca="false">IF($C1092="","",IF($S1092="Converted","7 Certification / Enterprise opportunity",IF($S1092="Application Started","7 Certification / Enterprise opportunity",IF($S1092="Meeting Booked","6 Meeting / Application",IF(OR($S1092="Interested",$S1092="Info Requested"),"5 Interested",IF(OR($S1092="Declined",$S1092="Not Relevant"),"0 Closed - no",IF($R1092="Yes","4 Contacted",IF($N1092="Yes","2 Engaged",IF($M1092="Yes","1 Awareness",IF($AA1092&gt;=60,"3 Qualified","1 Awareness"))))))))))</f>
        <v/>
      </c>
    </row>
    <row r="1093" customFormat="false" ht="30" hidden="false" customHeight="true" outlineLevel="0" collapsed="false">
      <c r="A1093" s="36"/>
      <c r="B1093" s="37"/>
      <c r="C1093" s="37"/>
      <c r="D1093" s="37"/>
      <c r="E1093" s="37"/>
      <c r="F1093" s="37"/>
      <c r="G1093" s="37"/>
      <c r="H1093" s="37"/>
      <c r="I1093" s="37"/>
      <c r="J1093" s="47"/>
      <c r="K1093" s="41" t="str">
        <f aca="false">IF(J1093="","",IF(J1093&gt;=8,"Yes","Check"))</f>
        <v/>
      </c>
      <c r="L1093" s="38"/>
      <c r="M1093" s="47"/>
      <c r="N1093" s="47"/>
      <c r="O1093" s="37"/>
      <c r="P1093" s="38"/>
      <c r="Q1093" s="42" t="str">
        <f aca="false">IF(P1093="","",LEN(P1093))</f>
        <v/>
      </c>
      <c r="R1093" s="47"/>
      <c r="S1093" s="37"/>
      <c r="T1093" s="38"/>
      <c r="U1093" s="43" t="str">
        <f aca="false">IF(OR(R1093&lt;&gt;"Yes",A1093=""),"",A1093+4)</f>
        <v/>
      </c>
      <c r="V1093" s="47"/>
      <c r="W1093" s="38"/>
      <c r="X1093" s="38"/>
      <c r="Y1093" s="44"/>
      <c r="Z1093" s="44"/>
      <c r="AA1093" s="45" t="str">
        <f aca="false">IF(AND($Y1093="",$Z1093=""),"",ROUND(IFERROR(VALUE(LEFT($Y1093,1)),0)*12+IFERROR(VALUE(LEFT($Z1093,1)),0)*8,0))</f>
        <v/>
      </c>
      <c r="AB1093" s="45" t="str">
        <f aca="false">IF($AA1093="","",IF($AA1093&gt;=80,"A - call first",IF($AA1093&gt;=60,"B - worth pursuing",IF($AA1093&gt;=40,"C - nurture","D - do not spend time here"))))</f>
        <v/>
      </c>
      <c r="AC1093" s="46" t="str">
        <f aca="false">IF($C1093="","",IF($S1093="Converted","7 Certification / Enterprise opportunity",IF($S1093="Application Started","7 Certification / Enterprise opportunity",IF($S1093="Meeting Booked","6 Meeting / Application",IF(OR($S1093="Interested",$S1093="Info Requested"),"5 Interested",IF(OR($S1093="Declined",$S1093="Not Relevant"),"0 Closed - no",IF($R1093="Yes","4 Contacted",IF($N1093="Yes","2 Engaged",IF($M1093="Yes","1 Awareness",IF($AA1093&gt;=60,"3 Qualified","1 Awareness"))))))))))</f>
        <v/>
      </c>
    </row>
    <row r="1094" customFormat="false" ht="30" hidden="false" customHeight="true" outlineLevel="0" collapsed="false">
      <c r="A1094" s="36"/>
      <c r="B1094" s="37"/>
      <c r="C1094" s="37"/>
      <c r="D1094" s="37"/>
      <c r="E1094" s="37"/>
      <c r="F1094" s="37"/>
      <c r="G1094" s="37"/>
      <c r="H1094" s="37"/>
      <c r="I1094" s="37"/>
      <c r="J1094" s="47"/>
      <c r="K1094" s="41" t="str">
        <f aca="false">IF(J1094="","",IF(J1094&gt;=8,"Yes","Check"))</f>
        <v/>
      </c>
      <c r="L1094" s="38"/>
      <c r="M1094" s="47"/>
      <c r="N1094" s="47"/>
      <c r="O1094" s="37"/>
      <c r="P1094" s="38"/>
      <c r="Q1094" s="42" t="str">
        <f aca="false">IF(P1094="","",LEN(P1094))</f>
        <v/>
      </c>
      <c r="R1094" s="47"/>
      <c r="S1094" s="37"/>
      <c r="T1094" s="38"/>
      <c r="U1094" s="43" t="str">
        <f aca="false">IF(OR(R1094&lt;&gt;"Yes",A1094=""),"",A1094+4)</f>
        <v/>
      </c>
      <c r="V1094" s="47"/>
      <c r="W1094" s="38"/>
      <c r="X1094" s="38"/>
      <c r="Y1094" s="44"/>
      <c r="Z1094" s="44"/>
      <c r="AA1094" s="45" t="str">
        <f aca="false">IF(AND($Y1094="",$Z1094=""),"",ROUND(IFERROR(VALUE(LEFT($Y1094,1)),0)*12+IFERROR(VALUE(LEFT($Z1094,1)),0)*8,0))</f>
        <v/>
      </c>
      <c r="AB1094" s="45" t="str">
        <f aca="false">IF($AA1094="","",IF($AA1094&gt;=80,"A - call first",IF($AA1094&gt;=60,"B - worth pursuing",IF($AA1094&gt;=40,"C - nurture","D - do not spend time here"))))</f>
        <v/>
      </c>
      <c r="AC1094" s="46" t="str">
        <f aca="false">IF($C1094="","",IF($S1094="Converted","7 Certification / Enterprise opportunity",IF($S1094="Application Started","7 Certification / Enterprise opportunity",IF($S1094="Meeting Booked","6 Meeting / Application",IF(OR($S1094="Interested",$S1094="Info Requested"),"5 Interested",IF(OR($S1094="Declined",$S1094="Not Relevant"),"0 Closed - no",IF($R1094="Yes","4 Contacted",IF($N1094="Yes","2 Engaged",IF($M1094="Yes","1 Awareness",IF($AA1094&gt;=60,"3 Qualified","1 Awareness"))))))))))</f>
        <v/>
      </c>
    </row>
    <row r="1095" customFormat="false" ht="30" hidden="false" customHeight="true" outlineLevel="0" collapsed="false">
      <c r="A1095" s="36"/>
      <c r="B1095" s="37"/>
      <c r="C1095" s="37"/>
      <c r="D1095" s="37"/>
      <c r="E1095" s="37"/>
      <c r="F1095" s="37"/>
      <c r="G1095" s="37"/>
      <c r="H1095" s="37"/>
      <c r="I1095" s="37"/>
      <c r="J1095" s="47"/>
      <c r="K1095" s="41" t="str">
        <f aca="false">IF(J1095="","",IF(J1095&gt;=8,"Yes","Check"))</f>
        <v/>
      </c>
      <c r="L1095" s="38"/>
      <c r="M1095" s="47"/>
      <c r="N1095" s="47"/>
      <c r="O1095" s="37"/>
      <c r="P1095" s="38"/>
      <c r="Q1095" s="42" t="str">
        <f aca="false">IF(P1095="","",LEN(P1095))</f>
        <v/>
      </c>
      <c r="R1095" s="47"/>
      <c r="S1095" s="37"/>
      <c r="T1095" s="38"/>
      <c r="U1095" s="43" t="str">
        <f aca="false">IF(OR(R1095&lt;&gt;"Yes",A1095=""),"",A1095+4)</f>
        <v/>
      </c>
      <c r="V1095" s="47"/>
      <c r="W1095" s="38"/>
      <c r="X1095" s="38"/>
      <c r="Y1095" s="44"/>
      <c r="Z1095" s="44"/>
      <c r="AA1095" s="45" t="str">
        <f aca="false">IF(AND($Y1095="",$Z1095=""),"",ROUND(IFERROR(VALUE(LEFT($Y1095,1)),0)*12+IFERROR(VALUE(LEFT($Z1095,1)),0)*8,0))</f>
        <v/>
      </c>
      <c r="AB1095" s="45" t="str">
        <f aca="false">IF($AA1095="","",IF($AA1095&gt;=80,"A - call first",IF($AA1095&gt;=60,"B - worth pursuing",IF($AA1095&gt;=40,"C - nurture","D - do not spend time here"))))</f>
        <v/>
      </c>
      <c r="AC1095" s="46" t="str">
        <f aca="false">IF($C1095="","",IF($S1095="Converted","7 Certification / Enterprise opportunity",IF($S1095="Application Started","7 Certification / Enterprise opportunity",IF($S1095="Meeting Booked","6 Meeting / Application",IF(OR($S1095="Interested",$S1095="Info Requested"),"5 Interested",IF(OR($S1095="Declined",$S1095="Not Relevant"),"0 Closed - no",IF($R1095="Yes","4 Contacted",IF($N1095="Yes","2 Engaged",IF($M1095="Yes","1 Awareness",IF($AA1095&gt;=60,"3 Qualified","1 Awareness"))))))))))</f>
        <v/>
      </c>
    </row>
    <row r="1096" customFormat="false" ht="30" hidden="false" customHeight="true" outlineLevel="0" collapsed="false">
      <c r="A1096" s="36"/>
      <c r="B1096" s="37"/>
      <c r="C1096" s="37"/>
      <c r="D1096" s="37"/>
      <c r="E1096" s="37"/>
      <c r="F1096" s="37"/>
      <c r="G1096" s="37"/>
      <c r="H1096" s="37"/>
      <c r="I1096" s="37"/>
      <c r="J1096" s="47"/>
      <c r="K1096" s="41" t="str">
        <f aca="false">IF(J1096="","",IF(J1096&gt;=8,"Yes","Check"))</f>
        <v/>
      </c>
      <c r="L1096" s="38"/>
      <c r="M1096" s="47"/>
      <c r="N1096" s="47"/>
      <c r="O1096" s="37"/>
      <c r="P1096" s="38"/>
      <c r="Q1096" s="42" t="str">
        <f aca="false">IF(P1096="","",LEN(P1096))</f>
        <v/>
      </c>
      <c r="R1096" s="47"/>
      <c r="S1096" s="37"/>
      <c r="T1096" s="38"/>
      <c r="U1096" s="43" t="str">
        <f aca="false">IF(OR(R1096&lt;&gt;"Yes",A1096=""),"",A1096+4)</f>
        <v/>
      </c>
      <c r="V1096" s="47"/>
      <c r="W1096" s="38"/>
      <c r="X1096" s="38"/>
      <c r="Y1096" s="44"/>
      <c r="Z1096" s="44"/>
      <c r="AA1096" s="45" t="str">
        <f aca="false">IF(AND($Y1096="",$Z1096=""),"",ROUND(IFERROR(VALUE(LEFT($Y1096,1)),0)*12+IFERROR(VALUE(LEFT($Z1096,1)),0)*8,0))</f>
        <v/>
      </c>
      <c r="AB1096" s="45" t="str">
        <f aca="false">IF($AA1096="","",IF($AA1096&gt;=80,"A - call first",IF($AA1096&gt;=60,"B - worth pursuing",IF($AA1096&gt;=40,"C - nurture","D - do not spend time here"))))</f>
        <v/>
      </c>
      <c r="AC1096" s="46" t="str">
        <f aca="false">IF($C1096="","",IF($S1096="Converted","7 Certification / Enterprise opportunity",IF($S1096="Application Started","7 Certification / Enterprise opportunity",IF($S1096="Meeting Booked","6 Meeting / Application",IF(OR($S1096="Interested",$S1096="Info Requested"),"5 Interested",IF(OR($S1096="Declined",$S1096="Not Relevant"),"0 Closed - no",IF($R1096="Yes","4 Contacted",IF($N1096="Yes","2 Engaged",IF($M1096="Yes","1 Awareness",IF($AA1096&gt;=60,"3 Qualified","1 Awareness"))))))))))</f>
        <v/>
      </c>
    </row>
    <row r="1097" customFormat="false" ht="30" hidden="false" customHeight="true" outlineLevel="0" collapsed="false">
      <c r="A1097" s="36"/>
      <c r="B1097" s="37"/>
      <c r="C1097" s="37"/>
      <c r="D1097" s="37"/>
      <c r="E1097" s="37"/>
      <c r="F1097" s="37"/>
      <c r="G1097" s="37"/>
      <c r="H1097" s="37"/>
      <c r="I1097" s="37"/>
      <c r="J1097" s="47"/>
      <c r="K1097" s="41" t="str">
        <f aca="false">IF(J1097="","",IF(J1097&gt;=8,"Yes","Check"))</f>
        <v/>
      </c>
      <c r="L1097" s="38"/>
      <c r="M1097" s="47"/>
      <c r="N1097" s="47"/>
      <c r="O1097" s="37"/>
      <c r="P1097" s="38"/>
      <c r="Q1097" s="42" t="str">
        <f aca="false">IF(P1097="","",LEN(P1097))</f>
        <v/>
      </c>
      <c r="R1097" s="47"/>
      <c r="S1097" s="37"/>
      <c r="T1097" s="38"/>
      <c r="U1097" s="43" t="str">
        <f aca="false">IF(OR(R1097&lt;&gt;"Yes",A1097=""),"",A1097+4)</f>
        <v/>
      </c>
      <c r="V1097" s="47"/>
      <c r="W1097" s="38"/>
      <c r="X1097" s="38"/>
      <c r="Y1097" s="44"/>
      <c r="Z1097" s="44"/>
      <c r="AA1097" s="45" t="str">
        <f aca="false">IF(AND($Y1097="",$Z1097=""),"",ROUND(IFERROR(VALUE(LEFT($Y1097,1)),0)*12+IFERROR(VALUE(LEFT($Z1097,1)),0)*8,0))</f>
        <v/>
      </c>
      <c r="AB1097" s="45" t="str">
        <f aca="false">IF($AA1097="","",IF($AA1097&gt;=80,"A - call first",IF($AA1097&gt;=60,"B - worth pursuing",IF($AA1097&gt;=40,"C - nurture","D - do not spend time here"))))</f>
        <v/>
      </c>
      <c r="AC1097" s="46" t="str">
        <f aca="false">IF($C1097="","",IF($S1097="Converted","7 Certification / Enterprise opportunity",IF($S1097="Application Started","7 Certification / Enterprise opportunity",IF($S1097="Meeting Booked","6 Meeting / Application",IF(OR($S1097="Interested",$S1097="Info Requested"),"5 Interested",IF(OR($S1097="Declined",$S1097="Not Relevant"),"0 Closed - no",IF($R1097="Yes","4 Contacted",IF($N1097="Yes","2 Engaged",IF($M1097="Yes","1 Awareness",IF($AA1097&gt;=60,"3 Qualified","1 Awareness"))))))))))</f>
        <v/>
      </c>
    </row>
    <row r="1098" customFormat="false" ht="30" hidden="false" customHeight="true" outlineLevel="0" collapsed="false">
      <c r="A1098" s="36"/>
      <c r="B1098" s="37"/>
      <c r="C1098" s="37"/>
      <c r="D1098" s="37"/>
      <c r="E1098" s="37"/>
      <c r="F1098" s="37"/>
      <c r="G1098" s="37"/>
      <c r="H1098" s="37"/>
      <c r="I1098" s="37"/>
      <c r="J1098" s="47"/>
      <c r="K1098" s="41" t="str">
        <f aca="false">IF(J1098="","",IF(J1098&gt;=8,"Yes","Check"))</f>
        <v/>
      </c>
      <c r="L1098" s="38"/>
      <c r="M1098" s="47"/>
      <c r="N1098" s="47"/>
      <c r="O1098" s="37"/>
      <c r="P1098" s="38"/>
      <c r="Q1098" s="42" t="str">
        <f aca="false">IF(P1098="","",LEN(P1098))</f>
        <v/>
      </c>
      <c r="R1098" s="47"/>
      <c r="S1098" s="37"/>
      <c r="T1098" s="38"/>
      <c r="U1098" s="43" t="str">
        <f aca="false">IF(OR(R1098&lt;&gt;"Yes",A1098=""),"",A1098+4)</f>
        <v/>
      </c>
      <c r="V1098" s="47"/>
      <c r="W1098" s="38"/>
      <c r="X1098" s="38"/>
      <c r="Y1098" s="44"/>
      <c r="Z1098" s="44"/>
      <c r="AA1098" s="45" t="str">
        <f aca="false">IF(AND($Y1098="",$Z1098=""),"",ROUND(IFERROR(VALUE(LEFT($Y1098,1)),0)*12+IFERROR(VALUE(LEFT($Z1098,1)),0)*8,0))</f>
        <v/>
      </c>
      <c r="AB1098" s="45" t="str">
        <f aca="false">IF($AA1098="","",IF($AA1098&gt;=80,"A - call first",IF($AA1098&gt;=60,"B - worth pursuing",IF($AA1098&gt;=40,"C - nurture","D - do not spend time here"))))</f>
        <v/>
      </c>
      <c r="AC1098" s="46" t="str">
        <f aca="false">IF($C1098="","",IF($S1098="Converted","7 Certification / Enterprise opportunity",IF($S1098="Application Started","7 Certification / Enterprise opportunity",IF($S1098="Meeting Booked","6 Meeting / Application",IF(OR($S1098="Interested",$S1098="Info Requested"),"5 Interested",IF(OR($S1098="Declined",$S1098="Not Relevant"),"0 Closed - no",IF($R1098="Yes","4 Contacted",IF($N1098="Yes","2 Engaged",IF($M1098="Yes","1 Awareness",IF($AA1098&gt;=60,"3 Qualified","1 Awareness"))))))))))</f>
        <v/>
      </c>
    </row>
    <row r="1099" customFormat="false" ht="30" hidden="false" customHeight="true" outlineLevel="0" collapsed="false">
      <c r="A1099" s="36"/>
      <c r="B1099" s="37"/>
      <c r="C1099" s="37"/>
      <c r="D1099" s="37"/>
      <c r="E1099" s="37"/>
      <c r="F1099" s="37"/>
      <c r="G1099" s="37"/>
      <c r="H1099" s="37"/>
      <c r="I1099" s="37"/>
      <c r="J1099" s="47"/>
      <c r="K1099" s="41" t="str">
        <f aca="false">IF(J1099="","",IF(J1099&gt;=8,"Yes","Check"))</f>
        <v/>
      </c>
      <c r="L1099" s="38"/>
      <c r="M1099" s="47"/>
      <c r="N1099" s="47"/>
      <c r="O1099" s="37"/>
      <c r="P1099" s="38"/>
      <c r="Q1099" s="42" t="str">
        <f aca="false">IF(P1099="","",LEN(P1099))</f>
        <v/>
      </c>
      <c r="R1099" s="47"/>
      <c r="S1099" s="37"/>
      <c r="T1099" s="38"/>
      <c r="U1099" s="43" t="str">
        <f aca="false">IF(OR(R1099&lt;&gt;"Yes",A1099=""),"",A1099+4)</f>
        <v/>
      </c>
      <c r="V1099" s="47"/>
      <c r="W1099" s="38"/>
      <c r="X1099" s="38"/>
      <c r="Y1099" s="44"/>
      <c r="Z1099" s="44"/>
      <c r="AA1099" s="45" t="str">
        <f aca="false">IF(AND($Y1099="",$Z1099=""),"",ROUND(IFERROR(VALUE(LEFT($Y1099,1)),0)*12+IFERROR(VALUE(LEFT($Z1099,1)),0)*8,0))</f>
        <v/>
      </c>
      <c r="AB1099" s="45" t="str">
        <f aca="false">IF($AA1099="","",IF($AA1099&gt;=80,"A - call first",IF($AA1099&gt;=60,"B - worth pursuing",IF($AA1099&gt;=40,"C - nurture","D - do not spend time here"))))</f>
        <v/>
      </c>
      <c r="AC1099" s="46" t="str">
        <f aca="false">IF($C1099="","",IF($S1099="Converted","7 Certification / Enterprise opportunity",IF($S1099="Application Started","7 Certification / Enterprise opportunity",IF($S1099="Meeting Booked","6 Meeting / Application",IF(OR($S1099="Interested",$S1099="Info Requested"),"5 Interested",IF(OR($S1099="Declined",$S1099="Not Relevant"),"0 Closed - no",IF($R1099="Yes","4 Contacted",IF($N1099="Yes","2 Engaged",IF($M1099="Yes","1 Awareness",IF($AA1099&gt;=60,"3 Qualified","1 Awareness"))))))))))</f>
        <v/>
      </c>
    </row>
    <row r="1100" customFormat="false" ht="30" hidden="false" customHeight="true" outlineLevel="0" collapsed="false">
      <c r="A1100" s="36"/>
      <c r="B1100" s="37"/>
      <c r="C1100" s="37"/>
      <c r="D1100" s="37"/>
      <c r="E1100" s="37"/>
      <c r="F1100" s="37"/>
      <c r="G1100" s="37"/>
      <c r="H1100" s="37"/>
      <c r="I1100" s="37"/>
      <c r="J1100" s="47"/>
      <c r="K1100" s="41" t="str">
        <f aca="false">IF(J1100="","",IF(J1100&gt;=8,"Yes","Check"))</f>
        <v/>
      </c>
      <c r="L1100" s="38"/>
      <c r="M1100" s="47"/>
      <c r="N1100" s="47"/>
      <c r="O1100" s="37"/>
      <c r="P1100" s="38"/>
      <c r="Q1100" s="42" t="str">
        <f aca="false">IF(P1100="","",LEN(P1100))</f>
        <v/>
      </c>
      <c r="R1100" s="47"/>
      <c r="S1100" s="37"/>
      <c r="T1100" s="38"/>
      <c r="U1100" s="43" t="str">
        <f aca="false">IF(OR(R1100&lt;&gt;"Yes",A1100=""),"",A1100+4)</f>
        <v/>
      </c>
      <c r="V1100" s="47"/>
      <c r="W1100" s="38"/>
      <c r="X1100" s="38"/>
      <c r="Y1100" s="44"/>
      <c r="Z1100" s="44"/>
      <c r="AA1100" s="45" t="str">
        <f aca="false">IF(AND($Y1100="",$Z1100=""),"",ROUND(IFERROR(VALUE(LEFT($Y1100,1)),0)*12+IFERROR(VALUE(LEFT($Z1100,1)),0)*8,0))</f>
        <v/>
      </c>
      <c r="AB1100" s="45" t="str">
        <f aca="false">IF($AA1100="","",IF($AA1100&gt;=80,"A - call first",IF($AA1100&gt;=60,"B - worth pursuing",IF($AA1100&gt;=40,"C - nurture","D - do not spend time here"))))</f>
        <v/>
      </c>
      <c r="AC1100" s="46" t="str">
        <f aca="false">IF($C1100="","",IF($S1100="Converted","7 Certification / Enterprise opportunity",IF($S1100="Application Started","7 Certification / Enterprise opportunity",IF($S1100="Meeting Booked","6 Meeting / Application",IF(OR($S1100="Interested",$S1100="Info Requested"),"5 Interested",IF(OR($S1100="Declined",$S1100="Not Relevant"),"0 Closed - no",IF($R1100="Yes","4 Contacted",IF($N1100="Yes","2 Engaged",IF($M1100="Yes","1 Awareness",IF($AA1100&gt;=60,"3 Qualified","1 Awareness"))))))))))</f>
        <v/>
      </c>
    </row>
    <row r="1101" customFormat="false" ht="30" hidden="false" customHeight="true" outlineLevel="0" collapsed="false">
      <c r="A1101" s="36"/>
      <c r="B1101" s="37"/>
      <c r="C1101" s="37"/>
      <c r="D1101" s="37"/>
      <c r="E1101" s="37"/>
      <c r="F1101" s="37"/>
      <c r="G1101" s="37"/>
      <c r="H1101" s="37"/>
      <c r="I1101" s="37"/>
      <c r="J1101" s="47"/>
      <c r="K1101" s="41" t="str">
        <f aca="false">IF(J1101="","",IF(J1101&gt;=8,"Yes","Check"))</f>
        <v/>
      </c>
      <c r="L1101" s="38"/>
      <c r="M1101" s="47"/>
      <c r="N1101" s="47"/>
      <c r="O1101" s="37"/>
      <c r="P1101" s="38"/>
      <c r="Q1101" s="42" t="str">
        <f aca="false">IF(P1101="","",LEN(P1101))</f>
        <v/>
      </c>
      <c r="R1101" s="47"/>
      <c r="S1101" s="37"/>
      <c r="T1101" s="38"/>
      <c r="U1101" s="43" t="str">
        <f aca="false">IF(OR(R1101&lt;&gt;"Yes",A1101=""),"",A1101+4)</f>
        <v/>
      </c>
      <c r="V1101" s="47"/>
      <c r="W1101" s="38"/>
      <c r="X1101" s="38"/>
      <c r="Y1101" s="44"/>
      <c r="Z1101" s="44"/>
      <c r="AA1101" s="45" t="str">
        <f aca="false">IF(AND($Y1101="",$Z1101=""),"",ROUND(IFERROR(VALUE(LEFT($Y1101,1)),0)*12+IFERROR(VALUE(LEFT($Z1101,1)),0)*8,0))</f>
        <v/>
      </c>
      <c r="AB1101" s="45" t="str">
        <f aca="false">IF($AA1101="","",IF($AA1101&gt;=80,"A - call first",IF($AA1101&gt;=60,"B - worth pursuing",IF($AA1101&gt;=40,"C - nurture","D - do not spend time here"))))</f>
        <v/>
      </c>
      <c r="AC1101" s="46" t="str">
        <f aca="false">IF($C1101="","",IF($S1101="Converted","7 Certification / Enterprise opportunity",IF($S1101="Application Started","7 Certification / Enterprise opportunity",IF($S1101="Meeting Booked","6 Meeting / Application",IF(OR($S1101="Interested",$S1101="Info Requested"),"5 Interested",IF(OR($S1101="Declined",$S1101="Not Relevant"),"0 Closed - no",IF($R1101="Yes","4 Contacted",IF($N1101="Yes","2 Engaged",IF($M1101="Yes","1 Awareness",IF($AA1101&gt;=60,"3 Qualified","1 Awareness"))))))))))</f>
        <v/>
      </c>
    </row>
    <row r="1102" customFormat="false" ht="30" hidden="false" customHeight="true" outlineLevel="0" collapsed="false">
      <c r="A1102" s="36"/>
      <c r="B1102" s="37"/>
      <c r="C1102" s="37"/>
      <c r="D1102" s="37"/>
      <c r="E1102" s="37"/>
      <c r="F1102" s="37"/>
      <c r="G1102" s="37"/>
      <c r="H1102" s="37"/>
      <c r="I1102" s="37"/>
      <c r="J1102" s="47"/>
      <c r="K1102" s="41" t="str">
        <f aca="false">IF(J1102="","",IF(J1102&gt;=8,"Yes","Check"))</f>
        <v/>
      </c>
      <c r="L1102" s="38"/>
      <c r="M1102" s="47"/>
      <c r="N1102" s="47"/>
      <c r="O1102" s="37"/>
      <c r="P1102" s="38"/>
      <c r="Q1102" s="42" t="str">
        <f aca="false">IF(P1102="","",LEN(P1102))</f>
        <v/>
      </c>
      <c r="R1102" s="47"/>
      <c r="S1102" s="37"/>
      <c r="T1102" s="38"/>
      <c r="U1102" s="43" t="str">
        <f aca="false">IF(OR(R1102&lt;&gt;"Yes",A1102=""),"",A1102+4)</f>
        <v/>
      </c>
      <c r="V1102" s="47"/>
      <c r="W1102" s="38"/>
      <c r="X1102" s="38"/>
      <c r="Y1102" s="44"/>
      <c r="Z1102" s="44"/>
      <c r="AA1102" s="45" t="str">
        <f aca="false">IF(AND($Y1102="",$Z1102=""),"",ROUND(IFERROR(VALUE(LEFT($Y1102,1)),0)*12+IFERROR(VALUE(LEFT($Z1102,1)),0)*8,0))</f>
        <v/>
      </c>
      <c r="AB1102" s="45" t="str">
        <f aca="false">IF($AA1102="","",IF($AA1102&gt;=80,"A - call first",IF($AA1102&gt;=60,"B - worth pursuing",IF($AA1102&gt;=40,"C - nurture","D - do not spend time here"))))</f>
        <v/>
      </c>
      <c r="AC1102" s="46" t="str">
        <f aca="false">IF($C1102="","",IF($S1102="Converted","7 Certification / Enterprise opportunity",IF($S1102="Application Started","7 Certification / Enterprise opportunity",IF($S1102="Meeting Booked","6 Meeting / Application",IF(OR($S1102="Interested",$S1102="Info Requested"),"5 Interested",IF(OR($S1102="Declined",$S1102="Not Relevant"),"0 Closed - no",IF($R1102="Yes","4 Contacted",IF($N1102="Yes","2 Engaged",IF($M1102="Yes","1 Awareness",IF($AA1102&gt;=60,"3 Qualified","1 Awareness"))))))))))</f>
        <v/>
      </c>
    </row>
    <row r="1103" customFormat="false" ht="30" hidden="false" customHeight="true" outlineLevel="0" collapsed="false">
      <c r="A1103" s="36"/>
      <c r="B1103" s="37"/>
      <c r="C1103" s="37"/>
      <c r="D1103" s="37"/>
      <c r="E1103" s="37"/>
      <c r="F1103" s="37"/>
      <c r="G1103" s="37"/>
      <c r="H1103" s="37"/>
      <c r="I1103" s="37"/>
      <c r="J1103" s="47"/>
      <c r="K1103" s="41" t="str">
        <f aca="false">IF(J1103="","",IF(J1103&gt;=8,"Yes","Check"))</f>
        <v/>
      </c>
      <c r="L1103" s="38"/>
      <c r="M1103" s="47"/>
      <c r="N1103" s="47"/>
      <c r="O1103" s="37"/>
      <c r="P1103" s="38"/>
      <c r="Q1103" s="42" t="str">
        <f aca="false">IF(P1103="","",LEN(P1103))</f>
        <v/>
      </c>
      <c r="R1103" s="47"/>
      <c r="S1103" s="37"/>
      <c r="T1103" s="38"/>
      <c r="U1103" s="43" t="str">
        <f aca="false">IF(OR(R1103&lt;&gt;"Yes",A1103=""),"",A1103+4)</f>
        <v/>
      </c>
      <c r="V1103" s="47"/>
      <c r="W1103" s="38"/>
      <c r="X1103" s="38"/>
      <c r="Y1103" s="44"/>
      <c r="Z1103" s="44"/>
      <c r="AA1103" s="45" t="str">
        <f aca="false">IF(AND($Y1103="",$Z1103=""),"",ROUND(IFERROR(VALUE(LEFT($Y1103,1)),0)*12+IFERROR(VALUE(LEFT($Z1103,1)),0)*8,0))</f>
        <v/>
      </c>
      <c r="AB1103" s="45" t="str">
        <f aca="false">IF($AA1103="","",IF($AA1103&gt;=80,"A - call first",IF($AA1103&gt;=60,"B - worth pursuing",IF($AA1103&gt;=40,"C - nurture","D - do not spend time here"))))</f>
        <v/>
      </c>
      <c r="AC1103" s="46" t="str">
        <f aca="false">IF($C1103="","",IF($S1103="Converted","7 Certification / Enterprise opportunity",IF($S1103="Application Started","7 Certification / Enterprise opportunity",IF($S1103="Meeting Booked","6 Meeting / Application",IF(OR($S1103="Interested",$S1103="Info Requested"),"5 Interested",IF(OR($S1103="Declined",$S1103="Not Relevant"),"0 Closed - no",IF($R1103="Yes","4 Contacted",IF($N1103="Yes","2 Engaged",IF($M1103="Yes","1 Awareness",IF($AA1103&gt;=60,"3 Qualified","1 Awareness"))))))))))</f>
        <v/>
      </c>
    </row>
    <row r="1104" customFormat="false" ht="30" hidden="false" customHeight="true" outlineLevel="0" collapsed="false">
      <c r="A1104" s="36"/>
      <c r="B1104" s="37"/>
      <c r="C1104" s="37"/>
      <c r="D1104" s="37"/>
      <c r="E1104" s="37"/>
      <c r="F1104" s="37"/>
      <c r="G1104" s="37"/>
      <c r="H1104" s="37"/>
      <c r="I1104" s="37"/>
      <c r="J1104" s="47"/>
      <c r="K1104" s="41" t="str">
        <f aca="false">IF(J1104="","",IF(J1104&gt;=8,"Yes","Check"))</f>
        <v/>
      </c>
      <c r="L1104" s="38"/>
      <c r="M1104" s="47"/>
      <c r="N1104" s="47"/>
      <c r="O1104" s="37"/>
      <c r="P1104" s="38"/>
      <c r="Q1104" s="42" t="str">
        <f aca="false">IF(P1104="","",LEN(P1104))</f>
        <v/>
      </c>
      <c r="R1104" s="47"/>
      <c r="S1104" s="37"/>
      <c r="T1104" s="38"/>
      <c r="U1104" s="43" t="str">
        <f aca="false">IF(OR(R1104&lt;&gt;"Yes",A1104=""),"",A1104+4)</f>
        <v/>
      </c>
      <c r="V1104" s="47"/>
      <c r="W1104" s="38"/>
      <c r="X1104" s="38"/>
      <c r="Y1104" s="44"/>
      <c r="Z1104" s="44"/>
      <c r="AA1104" s="45" t="str">
        <f aca="false">IF(AND($Y1104="",$Z1104=""),"",ROUND(IFERROR(VALUE(LEFT($Y1104,1)),0)*12+IFERROR(VALUE(LEFT($Z1104,1)),0)*8,0))</f>
        <v/>
      </c>
      <c r="AB1104" s="45" t="str">
        <f aca="false">IF($AA1104="","",IF($AA1104&gt;=80,"A - call first",IF($AA1104&gt;=60,"B - worth pursuing",IF($AA1104&gt;=40,"C - nurture","D - do not spend time here"))))</f>
        <v/>
      </c>
      <c r="AC1104" s="46" t="str">
        <f aca="false">IF($C1104="","",IF($S1104="Converted","7 Certification / Enterprise opportunity",IF($S1104="Application Started","7 Certification / Enterprise opportunity",IF($S1104="Meeting Booked","6 Meeting / Application",IF(OR($S1104="Interested",$S1104="Info Requested"),"5 Interested",IF(OR($S1104="Declined",$S1104="Not Relevant"),"0 Closed - no",IF($R1104="Yes","4 Contacted",IF($N1104="Yes","2 Engaged",IF($M1104="Yes","1 Awareness",IF($AA1104&gt;=60,"3 Qualified","1 Awareness"))))))))))</f>
        <v/>
      </c>
    </row>
    <row r="1105" customFormat="false" ht="30" hidden="false" customHeight="true" outlineLevel="0" collapsed="false">
      <c r="A1105" s="36"/>
      <c r="B1105" s="37"/>
      <c r="C1105" s="37"/>
      <c r="D1105" s="37"/>
      <c r="E1105" s="37"/>
      <c r="F1105" s="37"/>
      <c r="G1105" s="37"/>
      <c r="H1105" s="37"/>
      <c r="I1105" s="37"/>
      <c r="J1105" s="47"/>
      <c r="K1105" s="41" t="str">
        <f aca="false">IF(J1105="","",IF(J1105&gt;=8,"Yes","Check"))</f>
        <v/>
      </c>
      <c r="L1105" s="38"/>
      <c r="M1105" s="47"/>
      <c r="N1105" s="47"/>
      <c r="O1105" s="37"/>
      <c r="P1105" s="38"/>
      <c r="Q1105" s="42" t="str">
        <f aca="false">IF(P1105="","",LEN(P1105))</f>
        <v/>
      </c>
      <c r="R1105" s="47"/>
      <c r="S1105" s="37"/>
      <c r="T1105" s="38"/>
      <c r="U1105" s="43" t="str">
        <f aca="false">IF(OR(R1105&lt;&gt;"Yes",A1105=""),"",A1105+4)</f>
        <v/>
      </c>
      <c r="V1105" s="47"/>
      <c r="W1105" s="38"/>
      <c r="X1105" s="38"/>
      <c r="Y1105" s="44"/>
      <c r="Z1105" s="44"/>
      <c r="AA1105" s="45" t="str">
        <f aca="false">IF(AND($Y1105="",$Z1105=""),"",ROUND(IFERROR(VALUE(LEFT($Y1105,1)),0)*12+IFERROR(VALUE(LEFT($Z1105,1)),0)*8,0))</f>
        <v/>
      </c>
      <c r="AB1105" s="45" t="str">
        <f aca="false">IF($AA1105="","",IF($AA1105&gt;=80,"A - call first",IF($AA1105&gt;=60,"B - worth pursuing",IF($AA1105&gt;=40,"C - nurture","D - do not spend time here"))))</f>
        <v/>
      </c>
      <c r="AC1105" s="46" t="str">
        <f aca="false">IF($C1105="","",IF($S1105="Converted","7 Certification / Enterprise opportunity",IF($S1105="Application Started","7 Certification / Enterprise opportunity",IF($S1105="Meeting Booked","6 Meeting / Application",IF(OR($S1105="Interested",$S1105="Info Requested"),"5 Interested",IF(OR($S1105="Declined",$S1105="Not Relevant"),"0 Closed - no",IF($R1105="Yes","4 Contacted",IF($N1105="Yes","2 Engaged",IF($M1105="Yes","1 Awareness",IF($AA1105&gt;=60,"3 Qualified","1 Awareness"))))))))))</f>
        <v/>
      </c>
    </row>
    <row r="1106" customFormat="false" ht="30" hidden="false" customHeight="true" outlineLevel="0" collapsed="false">
      <c r="A1106" s="36"/>
      <c r="B1106" s="37"/>
      <c r="C1106" s="37"/>
      <c r="D1106" s="37"/>
      <c r="E1106" s="37"/>
      <c r="F1106" s="37"/>
      <c r="G1106" s="37"/>
      <c r="H1106" s="37"/>
      <c r="I1106" s="37"/>
      <c r="J1106" s="47"/>
      <c r="K1106" s="41" t="str">
        <f aca="false">IF(J1106="","",IF(J1106&gt;=8,"Yes","Check"))</f>
        <v/>
      </c>
      <c r="L1106" s="38"/>
      <c r="M1106" s="47"/>
      <c r="N1106" s="47"/>
      <c r="O1106" s="37"/>
      <c r="P1106" s="38"/>
      <c r="Q1106" s="42" t="str">
        <f aca="false">IF(P1106="","",LEN(P1106))</f>
        <v/>
      </c>
      <c r="R1106" s="47"/>
      <c r="S1106" s="37"/>
      <c r="T1106" s="38"/>
      <c r="U1106" s="43" t="str">
        <f aca="false">IF(OR(R1106&lt;&gt;"Yes",A1106=""),"",A1106+4)</f>
        <v/>
      </c>
      <c r="V1106" s="47"/>
      <c r="W1106" s="38"/>
      <c r="X1106" s="38"/>
      <c r="Y1106" s="44"/>
      <c r="Z1106" s="44"/>
      <c r="AA1106" s="45" t="str">
        <f aca="false">IF(AND($Y1106="",$Z1106=""),"",ROUND(IFERROR(VALUE(LEFT($Y1106,1)),0)*12+IFERROR(VALUE(LEFT($Z1106,1)),0)*8,0))</f>
        <v/>
      </c>
      <c r="AB1106" s="45" t="str">
        <f aca="false">IF($AA1106="","",IF($AA1106&gt;=80,"A - call first",IF($AA1106&gt;=60,"B - worth pursuing",IF($AA1106&gt;=40,"C - nurture","D - do not spend time here"))))</f>
        <v/>
      </c>
      <c r="AC1106" s="46" t="str">
        <f aca="false">IF($C1106="","",IF($S1106="Converted","7 Certification / Enterprise opportunity",IF($S1106="Application Started","7 Certification / Enterprise opportunity",IF($S1106="Meeting Booked","6 Meeting / Application",IF(OR($S1106="Interested",$S1106="Info Requested"),"5 Interested",IF(OR($S1106="Declined",$S1106="Not Relevant"),"0 Closed - no",IF($R1106="Yes","4 Contacted",IF($N1106="Yes","2 Engaged",IF($M1106="Yes","1 Awareness",IF($AA1106&gt;=60,"3 Qualified","1 Awareness"))))))))))</f>
        <v/>
      </c>
    </row>
    <row r="1107" customFormat="false" ht="30" hidden="false" customHeight="true" outlineLevel="0" collapsed="false">
      <c r="A1107" s="36"/>
      <c r="B1107" s="37"/>
      <c r="C1107" s="37"/>
      <c r="D1107" s="37"/>
      <c r="E1107" s="37"/>
      <c r="F1107" s="37"/>
      <c r="G1107" s="37"/>
      <c r="H1107" s="37"/>
      <c r="I1107" s="37"/>
      <c r="J1107" s="47"/>
      <c r="K1107" s="41" t="str">
        <f aca="false">IF(J1107="","",IF(J1107&gt;=8,"Yes","Check"))</f>
        <v/>
      </c>
      <c r="L1107" s="38"/>
      <c r="M1107" s="47"/>
      <c r="N1107" s="47"/>
      <c r="O1107" s="37"/>
      <c r="P1107" s="38"/>
      <c r="Q1107" s="42" t="str">
        <f aca="false">IF(P1107="","",LEN(P1107))</f>
        <v/>
      </c>
      <c r="R1107" s="47"/>
      <c r="S1107" s="37"/>
      <c r="T1107" s="38"/>
      <c r="U1107" s="43" t="str">
        <f aca="false">IF(OR(R1107&lt;&gt;"Yes",A1107=""),"",A1107+4)</f>
        <v/>
      </c>
      <c r="V1107" s="47"/>
      <c r="W1107" s="38"/>
      <c r="X1107" s="38"/>
      <c r="Y1107" s="44"/>
      <c r="Z1107" s="44"/>
      <c r="AA1107" s="45" t="str">
        <f aca="false">IF(AND($Y1107="",$Z1107=""),"",ROUND(IFERROR(VALUE(LEFT($Y1107,1)),0)*12+IFERROR(VALUE(LEFT($Z1107,1)),0)*8,0))</f>
        <v/>
      </c>
      <c r="AB1107" s="45" t="str">
        <f aca="false">IF($AA1107="","",IF($AA1107&gt;=80,"A - call first",IF($AA1107&gt;=60,"B - worth pursuing",IF($AA1107&gt;=40,"C - nurture","D - do not spend time here"))))</f>
        <v/>
      </c>
      <c r="AC1107" s="46" t="str">
        <f aca="false">IF($C1107="","",IF($S1107="Converted","7 Certification / Enterprise opportunity",IF($S1107="Application Started","7 Certification / Enterprise opportunity",IF($S1107="Meeting Booked","6 Meeting / Application",IF(OR($S1107="Interested",$S1107="Info Requested"),"5 Interested",IF(OR($S1107="Declined",$S1107="Not Relevant"),"0 Closed - no",IF($R1107="Yes","4 Contacted",IF($N1107="Yes","2 Engaged",IF($M1107="Yes","1 Awareness",IF($AA1107&gt;=60,"3 Qualified","1 Awareness"))))))))))</f>
        <v/>
      </c>
    </row>
    <row r="1108" customFormat="false" ht="30" hidden="false" customHeight="true" outlineLevel="0" collapsed="false">
      <c r="A1108" s="36"/>
      <c r="B1108" s="37"/>
      <c r="C1108" s="37"/>
      <c r="D1108" s="37"/>
      <c r="E1108" s="37"/>
      <c r="F1108" s="37"/>
      <c r="G1108" s="37"/>
      <c r="H1108" s="37"/>
      <c r="I1108" s="37"/>
      <c r="J1108" s="47"/>
      <c r="K1108" s="41" t="str">
        <f aca="false">IF(J1108="","",IF(J1108&gt;=8,"Yes","Check"))</f>
        <v/>
      </c>
      <c r="L1108" s="38"/>
      <c r="M1108" s="47"/>
      <c r="N1108" s="47"/>
      <c r="O1108" s="37"/>
      <c r="P1108" s="38"/>
      <c r="Q1108" s="42" t="str">
        <f aca="false">IF(P1108="","",LEN(P1108))</f>
        <v/>
      </c>
      <c r="R1108" s="47"/>
      <c r="S1108" s="37"/>
      <c r="T1108" s="38"/>
      <c r="U1108" s="43" t="str">
        <f aca="false">IF(OR(R1108&lt;&gt;"Yes",A1108=""),"",A1108+4)</f>
        <v/>
      </c>
      <c r="V1108" s="47"/>
      <c r="W1108" s="38"/>
      <c r="X1108" s="38"/>
      <c r="Y1108" s="44"/>
      <c r="Z1108" s="44"/>
      <c r="AA1108" s="45" t="str">
        <f aca="false">IF(AND($Y1108="",$Z1108=""),"",ROUND(IFERROR(VALUE(LEFT($Y1108,1)),0)*12+IFERROR(VALUE(LEFT($Z1108,1)),0)*8,0))</f>
        <v/>
      </c>
      <c r="AB1108" s="45" t="str">
        <f aca="false">IF($AA1108="","",IF($AA1108&gt;=80,"A - call first",IF($AA1108&gt;=60,"B - worth pursuing",IF($AA1108&gt;=40,"C - nurture","D - do not spend time here"))))</f>
        <v/>
      </c>
      <c r="AC1108" s="46" t="str">
        <f aca="false">IF($C1108="","",IF($S1108="Converted","7 Certification / Enterprise opportunity",IF($S1108="Application Started","7 Certification / Enterprise opportunity",IF($S1108="Meeting Booked","6 Meeting / Application",IF(OR($S1108="Interested",$S1108="Info Requested"),"5 Interested",IF(OR($S1108="Declined",$S1108="Not Relevant"),"0 Closed - no",IF($R1108="Yes","4 Contacted",IF($N1108="Yes","2 Engaged",IF($M1108="Yes","1 Awareness",IF($AA1108&gt;=60,"3 Qualified","1 Awareness"))))))))))</f>
        <v/>
      </c>
    </row>
    <row r="1109" customFormat="false" ht="30" hidden="false" customHeight="true" outlineLevel="0" collapsed="false">
      <c r="A1109" s="36"/>
      <c r="B1109" s="37"/>
      <c r="C1109" s="37"/>
      <c r="D1109" s="37"/>
      <c r="E1109" s="37"/>
      <c r="F1109" s="37"/>
      <c r="G1109" s="37"/>
      <c r="H1109" s="37"/>
      <c r="I1109" s="37"/>
      <c r="J1109" s="47"/>
      <c r="K1109" s="41" t="str">
        <f aca="false">IF(J1109="","",IF(J1109&gt;=8,"Yes","Check"))</f>
        <v/>
      </c>
      <c r="L1109" s="38"/>
      <c r="M1109" s="47"/>
      <c r="N1109" s="47"/>
      <c r="O1109" s="37"/>
      <c r="P1109" s="38"/>
      <c r="Q1109" s="42" t="str">
        <f aca="false">IF(P1109="","",LEN(P1109))</f>
        <v/>
      </c>
      <c r="R1109" s="47"/>
      <c r="S1109" s="37"/>
      <c r="T1109" s="38"/>
      <c r="U1109" s="43" t="str">
        <f aca="false">IF(OR(R1109&lt;&gt;"Yes",A1109=""),"",A1109+4)</f>
        <v/>
      </c>
      <c r="V1109" s="47"/>
      <c r="W1109" s="38"/>
      <c r="X1109" s="38"/>
      <c r="Y1109" s="44"/>
      <c r="Z1109" s="44"/>
      <c r="AA1109" s="45" t="str">
        <f aca="false">IF(AND($Y1109="",$Z1109=""),"",ROUND(IFERROR(VALUE(LEFT($Y1109,1)),0)*12+IFERROR(VALUE(LEFT($Z1109,1)),0)*8,0))</f>
        <v/>
      </c>
      <c r="AB1109" s="45" t="str">
        <f aca="false">IF($AA1109="","",IF($AA1109&gt;=80,"A - call first",IF($AA1109&gt;=60,"B - worth pursuing",IF($AA1109&gt;=40,"C - nurture","D - do not spend time here"))))</f>
        <v/>
      </c>
      <c r="AC1109" s="46" t="str">
        <f aca="false">IF($C1109="","",IF($S1109="Converted","7 Certification / Enterprise opportunity",IF($S1109="Application Started","7 Certification / Enterprise opportunity",IF($S1109="Meeting Booked","6 Meeting / Application",IF(OR($S1109="Interested",$S1109="Info Requested"),"5 Interested",IF(OR($S1109="Declined",$S1109="Not Relevant"),"0 Closed - no",IF($R1109="Yes","4 Contacted",IF($N1109="Yes","2 Engaged",IF($M1109="Yes","1 Awareness",IF($AA1109&gt;=60,"3 Qualified","1 Awareness"))))))))))</f>
        <v/>
      </c>
    </row>
    <row r="1110" customFormat="false" ht="30" hidden="false" customHeight="true" outlineLevel="0" collapsed="false">
      <c r="A1110" s="36"/>
      <c r="B1110" s="37"/>
      <c r="C1110" s="37"/>
      <c r="D1110" s="37"/>
      <c r="E1110" s="37"/>
      <c r="F1110" s="37"/>
      <c r="G1110" s="37"/>
      <c r="H1110" s="37"/>
      <c r="I1110" s="37"/>
      <c r="J1110" s="47"/>
      <c r="K1110" s="41" t="str">
        <f aca="false">IF(J1110="","",IF(J1110&gt;=8,"Yes","Check"))</f>
        <v/>
      </c>
      <c r="L1110" s="38"/>
      <c r="M1110" s="47"/>
      <c r="N1110" s="47"/>
      <c r="O1110" s="37"/>
      <c r="P1110" s="38"/>
      <c r="Q1110" s="42" t="str">
        <f aca="false">IF(P1110="","",LEN(P1110))</f>
        <v/>
      </c>
      <c r="R1110" s="47"/>
      <c r="S1110" s="37"/>
      <c r="T1110" s="38"/>
      <c r="U1110" s="43" t="str">
        <f aca="false">IF(OR(R1110&lt;&gt;"Yes",A1110=""),"",A1110+4)</f>
        <v/>
      </c>
      <c r="V1110" s="47"/>
      <c r="W1110" s="38"/>
      <c r="X1110" s="38"/>
      <c r="Y1110" s="44"/>
      <c r="Z1110" s="44"/>
      <c r="AA1110" s="45" t="str">
        <f aca="false">IF(AND($Y1110="",$Z1110=""),"",ROUND(IFERROR(VALUE(LEFT($Y1110,1)),0)*12+IFERROR(VALUE(LEFT($Z1110,1)),0)*8,0))</f>
        <v/>
      </c>
      <c r="AB1110" s="45" t="str">
        <f aca="false">IF($AA1110="","",IF($AA1110&gt;=80,"A - call first",IF($AA1110&gt;=60,"B - worth pursuing",IF($AA1110&gt;=40,"C - nurture","D - do not spend time here"))))</f>
        <v/>
      </c>
      <c r="AC1110" s="46" t="str">
        <f aca="false">IF($C1110="","",IF($S1110="Converted","7 Certification / Enterprise opportunity",IF($S1110="Application Started","7 Certification / Enterprise opportunity",IF($S1110="Meeting Booked","6 Meeting / Application",IF(OR($S1110="Interested",$S1110="Info Requested"),"5 Interested",IF(OR($S1110="Declined",$S1110="Not Relevant"),"0 Closed - no",IF($R1110="Yes","4 Contacted",IF($N1110="Yes","2 Engaged",IF($M1110="Yes","1 Awareness",IF($AA1110&gt;=60,"3 Qualified","1 Awareness"))))))))))</f>
        <v/>
      </c>
    </row>
    <row r="1111" customFormat="false" ht="30" hidden="false" customHeight="true" outlineLevel="0" collapsed="false">
      <c r="A1111" s="36"/>
      <c r="B1111" s="37"/>
      <c r="C1111" s="37"/>
      <c r="D1111" s="37"/>
      <c r="E1111" s="37"/>
      <c r="F1111" s="37"/>
      <c r="G1111" s="37"/>
      <c r="H1111" s="37"/>
      <c r="I1111" s="37"/>
      <c r="J1111" s="47"/>
      <c r="K1111" s="41" t="str">
        <f aca="false">IF(J1111="","",IF(J1111&gt;=8,"Yes","Check"))</f>
        <v/>
      </c>
      <c r="L1111" s="38"/>
      <c r="M1111" s="47"/>
      <c r="N1111" s="47"/>
      <c r="O1111" s="37"/>
      <c r="P1111" s="38"/>
      <c r="Q1111" s="42" t="str">
        <f aca="false">IF(P1111="","",LEN(P1111))</f>
        <v/>
      </c>
      <c r="R1111" s="47"/>
      <c r="S1111" s="37"/>
      <c r="T1111" s="38"/>
      <c r="U1111" s="43" t="str">
        <f aca="false">IF(OR(R1111&lt;&gt;"Yes",A1111=""),"",A1111+4)</f>
        <v/>
      </c>
      <c r="V1111" s="47"/>
      <c r="W1111" s="38"/>
      <c r="X1111" s="38"/>
      <c r="Y1111" s="44"/>
      <c r="Z1111" s="44"/>
      <c r="AA1111" s="45" t="str">
        <f aca="false">IF(AND($Y1111="",$Z1111=""),"",ROUND(IFERROR(VALUE(LEFT($Y1111,1)),0)*12+IFERROR(VALUE(LEFT($Z1111,1)),0)*8,0))</f>
        <v/>
      </c>
      <c r="AB1111" s="45" t="str">
        <f aca="false">IF($AA1111="","",IF($AA1111&gt;=80,"A - call first",IF($AA1111&gt;=60,"B - worth pursuing",IF($AA1111&gt;=40,"C - nurture","D - do not spend time here"))))</f>
        <v/>
      </c>
      <c r="AC1111" s="46" t="str">
        <f aca="false">IF($C1111="","",IF($S1111="Converted","7 Certification / Enterprise opportunity",IF($S1111="Application Started","7 Certification / Enterprise opportunity",IF($S1111="Meeting Booked","6 Meeting / Application",IF(OR($S1111="Interested",$S1111="Info Requested"),"5 Interested",IF(OR($S1111="Declined",$S1111="Not Relevant"),"0 Closed - no",IF($R1111="Yes","4 Contacted",IF($N1111="Yes","2 Engaged",IF($M1111="Yes","1 Awareness",IF($AA1111&gt;=60,"3 Qualified","1 Awareness"))))))))))</f>
        <v/>
      </c>
    </row>
    <row r="1112" customFormat="false" ht="30" hidden="false" customHeight="true" outlineLevel="0" collapsed="false">
      <c r="A1112" s="36"/>
      <c r="B1112" s="37"/>
      <c r="C1112" s="37"/>
      <c r="D1112" s="37"/>
      <c r="E1112" s="37"/>
      <c r="F1112" s="37"/>
      <c r="G1112" s="37"/>
      <c r="H1112" s="37"/>
      <c r="I1112" s="37"/>
      <c r="J1112" s="47"/>
      <c r="K1112" s="41" t="str">
        <f aca="false">IF(J1112="","",IF(J1112&gt;=8,"Yes","Check"))</f>
        <v/>
      </c>
      <c r="L1112" s="38"/>
      <c r="M1112" s="47"/>
      <c r="N1112" s="47"/>
      <c r="O1112" s="37"/>
      <c r="P1112" s="38"/>
      <c r="Q1112" s="42" t="str">
        <f aca="false">IF(P1112="","",LEN(P1112))</f>
        <v/>
      </c>
      <c r="R1112" s="47"/>
      <c r="S1112" s="37"/>
      <c r="T1112" s="38"/>
      <c r="U1112" s="43" t="str">
        <f aca="false">IF(OR(R1112&lt;&gt;"Yes",A1112=""),"",A1112+4)</f>
        <v/>
      </c>
      <c r="V1112" s="47"/>
      <c r="W1112" s="38"/>
      <c r="X1112" s="38"/>
      <c r="Y1112" s="44"/>
      <c r="Z1112" s="44"/>
      <c r="AA1112" s="45" t="str">
        <f aca="false">IF(AND($Y1112="",$Z1112=""),"",ROUND(IFERROR(VALUE(LEFT($Y1112,1)),0)*12+IFERROR(VALUE(LEFT($Z1112,1)),0)*8,0))</f>
        <v/>
      </c>
      <c r="AB1112" s="45" t="str">
        <f aca="false">IF($AA1112="","",IF($AA1112&gt;=80,"A - call first",IF($AA1112&gt;=60,"B - worth pursuing",IF($AA1112&gt;=40,"C - nurture","D - do not spend time here"))))</f>
        <v/>
      </c>
      <c r="AC1112" s="46" t="str">
        <f aca="false">IF($C1112="","",IF($S1112="Converted","7 Certification / Enterprise opportunity",IF($S1112="Application Started","7 Certification / Enterprise opportunity",IF($S1112="Meeting Booked","6 Meeting / Application",IF(OR($S1112="Interested",$S1112="Info Requested"),"5 Interested",IF(OR($S1112="Declined",$S1112="Not Relevant"),"0 Closed - no",IF($R1112="Yes","4 Contacted",IF($N1112="Yes","2 Engaged",IF($M1112="Yes","1 Awareness",IF($AA1112&gt;=60,"3 Qualified","1 Awareness"))))))))))</f>
        <v/>
      </c>
    </row>
    <row r="1113" customFormat="false" ht="30" hidden="false" customHeight="true" outlineLevel="0" collapsed="false">
      <c r="A1113" s="36"/>
      <c r="B1113" s="37"/>
      <c r="C1113" s="37"/>
      <c r="D1113" s="37"/>
      <c r="E1113" s="37"/>
      <c r="F1113" s="37"/>
      <c r="G1113" s="37"/>
      <c r="H1113" s="37"/>
      <c r="I1113" s="37"/>
      <c r="J1113" s="47"/>
      <c r="K1113" s="41" t="str">
        <f aca="false">IF(J1113="","",IF(J1113&gt;=8,"Yes","Check"))</f>
        <v/>
      </c>
      <c r="L1113" s="38"/>
      <c r="M1113" s="47"/>
      <c r="N1113" s="47"/>
      <c r="O1113" s="37"/>
      <c r="P1113" s="38"/>
      <c r="Q1113" s="42" t="str">
        <f aca="false">IF(P1113="","",LEN(P1113))</f>
        <v/>
      </c>
      <c r="R1113" s="47"/>
      <c r="S1113" s="37"/>
      <c r="T1113" s="38"/>
      <c r="U1113" s="43" t="str">
        <f aca="false">IF(OR(R1113&lt;&gt;"Yes",A1113=""),"",A1113+4)</f>
        <v/>
      </c>
      <c r="V1113" s="47"/>
      <c r="W1113" s="38"/>
      <c r="X1113" s="38"/>
      <c r="Y1113" s="44"/>
      <c r="Z1113" s="44"/>
      <c r="AA1113" s="45" t="str">
        <f aca="false">IF(AND($Y1113="",$Z1113=""),"",ROUND(IFERROR(VALUE(LEFT($Y1113,1)),0)*12+IFERROR(VALUE(LEFT($Z1113,1)),0)*8,0))</f>
        <v/>
      </c>
      <c r="AB1113" s="45" t="str">
        <f aca="false">IF($AA1113="","",IF($AA1113&gt;=80,"A - call first",IF($AA1113&gt;=60,"B - worth pursuing",IF($AA1113&gt;=40,"C - nurture","D - do not spend time here"))))</f>
        <v/>
      </c>
      <c r="AC1113" s="46" t="str">
        <f aca="false">IF($C1113="","",IF($S1113="Converted","7 Certification / Enterprise opportunity",IF($S1113="Application Started","7 Certification / Enterprise opportunity",IF($S1113="Meeting Booked","6 Meeting / Application",IF(OR($S1113="Interested",$S1113="Info Requested"),"5 Interested",IF(OR($S1113="Declined",$S1113="Not Relevant"),"0 Closed - no",IF($R1113="Yes","4 Contacted",IF($N1113="Yes","2 Engaged",IF($M1113="Yes","1 Awareness",IF($AA1113&gt;=60,"3 Qualified","1 Awareness"))))))))))</f>
        <v/>
      </c>
    </row>
    <row r="1114" customFormat="false" ht="30" hidden="false" customHeight="true" outlineLevel="0" collapsed="false">
      <c r="A1114" s="36"/>
      <c r="B1114" s="37"/>
      <c r="C1114" s="37"/>
      <c r="D1114" s="37"/>
      <c r="E1114" s="37"/>
      <c r="F1114" s="37"/>
      <c r="G1114" s="37"/>
      <c r="H1114" s="37"/>
      <c r="I1114" s="37"/>
      <c r="J1114" s="47"/>
      <c r="K1114" s="41" t="str">
        <f aca="false">IF(J1114="","",IF(J1114&gt;=8,"Yes","Check"))</f>
        <v/>
      </c>
      <c r="L1114" s="38"/>
      <c r="M1114" s="47"/>
      <c r="N1114" s="47"/>
      <c r="O1114" s="37"/>
      <c r="P1114" s="38"/>
      <c r="Q1114" s="42" t="str">
        <f aca="false">IF(P1114="","",LEN(P1114))</f>
        <v/>
      </c>
      <c r="R1114" s="47"/>
      <c r="S1114" s="37"/>
      <c r="T1114" s="38"/>
      <c r="U1114" s="43" t="str">
        <f aca="false">IF(OR(R1114&lt;&gt;"Yes",A1114=""),"",A1114+4)</f>
        <v/>
      </c>
      <c r="V1114" s="47"/>
      <c r="W1114" s="38"/>
      <c r="X1114" s="38"/>
      <c r="Y1114" s="44"/>
      <c r="Z1114" s="44"/>
      <c r="AA1114" s="45" t="str">
        <f aca="false">IF(AND($Y1114="",$Z1114=""),"",ROUND(IFERROR(VALUE(LEFT($Y1114,1)),0)*12+IFERROR(VALUE(LEFT($Z1114,1)),0)*8,0))</f>
        <v/>
      </c>
      <c r="AB1114" s="45" t="str">
        <f aca="false">IF($AA1114="","",IF($AA1114&gt;=80,"A - call first",IF($AA1114&gt;=60,"B - worth pursuing",IF($AA1114&gt;=40,"C - nurture","D - do not spend time here"))))</f>
        <v/>
      </c>
      <c r="AC1114" s="46" t="str">
        <f aca="false">IF($C1114="","",IF($S1114="Converted","7 Certification / Enterprise opportunity",IF($S1114="Application Started","7 Certification / Enterprise opportunity",IF($S1114="Meeting Booked","6 Meeting / Application",IF(OR($S1114="Interested",$S1114="Info Requested"),"5 Interested",IF(OR($S1114="Declined",$S1114="Not Relevant"),"0 Closed - no",IF($R1114="Yes","4 Contacted",IF($N1114="Yes","2 Engaged",IF($M1114="Yes","1 Awareness",IF($AA1114&gt;=60,"3 Qualified","1 Awareness"))))))))))</f>
        <v/>
      </c>
    </row>
    <row r="1115" customFormat="false" ht="30" hidden="false" customHeight="true" outlineLevel="0" collapsed="false">
      <c r="A1115" s="36"/>
      <c r="B1115" s="37"/>
      <c r="C1115" s="37"/>
      <c r="D1115" s="37"/>
      <c r="E1115" s="37"/>
      <c r="F1115" s="37"/>
      <c r="G1115" s="37"/>
      <c r="H1115" s="37"/>
      <c r="I1115" s="37"/>
      <c r="J1115" s="47"/>
      <c r="K1115" s="41" t="str">
        <f aca="false">IF(J1115="","",IF(J1115&gt;=8,"Yes","Check"))</f>
        <v/>
      </c>
      <c r="L1115" s="38"/>
      <c r="M1115" s="47"/>
      <c r="N1115" s="47"/>
      <c r="O1115" s="37"/>
      <c r="P1115" s="38"/>
      <c r="Q1115" s="42" t="str">
        <f aca="false">IF(P1115="","",LEN(P1115))</f>
        <v/>
      </c>
      <c r="R1115" s="47"/>
      <c r="S1115" s="37"/>
      <c r="T1115" s="38"/>
      <c r="U1115" s="43" t="str">
        <f aca="false">IF(OR(R1115&lt;&gt;"Yes",A1115=""),"",A1115+4)</f>
        <v/>
      </c>
      <c r="V1115" s="47"/>
      <c r="W1115" s="38"/>
      <c r="X1115" s="38"/>
      <c r="Y1115" s="44"/>
      <c r="Z1115" s="44"/>
      <c r="AA1115" s="45" t="str">
        <f aca="false">IF(AND($Y1115="",$Z1115=""),"",ROUND(IFERROR(VALUE(LEFT($Y1115,1)),0)*12+IFERROR(VALUE(LEFT($Z1115,1)),0)*8,0))</f>
        <v/>
      </c>
      <c r="AB1115" s="45" t="str">
        <f aca="false">IF($AA1115="","",IF($AA1115&gt;=80,"A - call first",IF($AA1115&gt;=60,"B - worth pursuing",IF($AA1115&gt;=40,"C - nurture","D - do not spend time here"))))</f>
        <v/>
      </c>
      <c r="AC1115" s="46" t="str">
        <f aca="false">IF($C1115="","",IF($S1115="Converted","7 Certification / Enterprise opportunity",IF($S1115="Application Started","7 Certification / Enterprise opportunity",IF($S1115="Meeting Booked","6 Meeting / Application",IF(OR($S1115="Interested",$S1115="Info Requested"),"5 Interested",IF(OR($S1115="Declined",$S1115="Not Relevant"),"0 Closed - no",IF($R1115="Yes","4 Contacted",IF($N1115="Yes","2 Engaged",IF($M1115="Yes","1 Awareness",IF($AA1115&gt;=60,"3 Qualified","1 Awareness"))))))))))</f>
        <v/>
      </c>
    </row>
    <row r="1116" customFormat="false" ht="30" hidden="false" customHeight="true" outlineLevel="0" collapsed="false">
      <c r="A1116" s="36"/>
      <c r="B1116" s="37"/>
      <c r="C1116" s="37"/>
      <c r="D1116" s="37"/>
      <c r="E1116" s="37"/>
      <c r="F1116" s="37"/>
      <c r="G1116" s="37"/>
      <c r="H1116" s="37"/>
      <c r="I1116" s="37"/>
      <c r="J1116" s="47"/>
      <c r="K1116" s="41" t="str">
        <f aca="false">IF(J1116="","",IF(J1116&gt;=8,"Yes","Check"))</f>
        <v/>
      </c>
      <c r="L1116" s="38"/>
      <c r="M1116" s="47"/>
      <c r="N1116" s="47"/>
      <c r="O1116" s="37"/>
      <c r="P1116" s="38"/>
      <c r="Q1116" s="42" t="str">
        <f aca="false">IF(P1116="","",LEN(P1116))</f>
        <v/>
      </c>
      <c r="R1116" s="47"/>
      <c r="S1116" s="37"/>
      <c r="T1116" s="38"/>
      <c r="U1116" s="43" t="str">
        <f aca="false">IF(OR(R1116&lt;&gt;"Yes",A1116=""),"",A1116+4)</f>
        <v/>
      </c>
      <c r="V1116" s="47"/>
      <c r="W1116" s="38"/>
      <c r="X1116" s="38"/>
      <c r="Y1116" s="44"/>
      <c r="Z1116" s="44"/>
      <c r="AA1116" s="45" t="str">
        <f aca="false">IF(AND($Y1116="",$Z1116=""),"",ROUND(IFERROR(VALUE(LEFT($Y1116,1)),0)*12+IFERROR(VALUE(LEFT($Z1116,1)),0)*8,0))</f>
        <v/>
      </c>
      <c r="AB1116" s="45" t="str">
        <f aca="false">IF($AA1116="","",IF($AA1116&gt;=80,"A - call first",IF($AA1116&gt;=60,"B - worth pursuing",IF($AA1116&gt;=40,"C - nurture","D - do not spend time here"))))</f>
        <v/>
      </c>
      <c r="AC1116" s="46" t="str">
        <f aca="false">IF($C1116="","",IF($S1116="Converted","7 Certification / Enterprise opportunity",IF($S1116="Application Started","7 Certification / Enterprise opportunity",IF($S1116="Meeting Booked","6 Meeting / Application",IF(OR($S1116="Interested",$S1116="Info Requested"),"5 Interested",IF(OR($S1116="Declined",$S1116="Not Relevant"),"0 Closed - no",IF($R1116="Yes","4 Contacted",IF($N1116="Yes","2 Engaged",IF($M1116="Yes","1 Awareness",IF($AA1116&gt;=60,"3 Qualified","1 Awareness"))))))))))</f>
        <v/>
      </c>
    </row>
    <row r="1117" customFormat="false" ht="30" hidden="false" customHeight="true" outlineLevel="0" collapsed="false">
      <c r="A1117" s="36"/>
      <c r="B1117" s="37"/>
      <c r="C1117" s="37"/>
      <c r="D1117" s="37"/>
      <c r="E1117" s="37"/>
      <c r="F1117" s="37"/>
      <c r="G1117" s="37"/>
      <c r="H1117" s="37"/>
      <c r="I1117" s="37"/>
      <c r="J1117" s="47"/>
      <c r="K1117" s="41" t="str">
        <f aca="false">IF(J1117="","",IF(J1117&gt;=8,"Yes","Check"))</f>
        <v/>
      </c>
      <c r="L1117" s="38"/>
      <c r="M1117" s="47"/>
      <c r="N1117" s="47"/>
      <c r="O1117" s="37"/>
      <c r="P1117" s="38"/>
      <c r="Q1117" s="42" t="str">
        <f aca="false">IF(P1117="","",LEN(P1117))</f>
        <v/>
      </c>
      <c r="R1117" s="47"/>
      <c r="S1117" s="37"/>
      <c r="T1117" s="38"/>
      <c r="U1117" s="43" t="str">
        <f aca="false">IF(OR(R1117&lt;&gt;"Yes",A1117=""),"",A1117+4)</f>
        <v/>
      </c>
      <c r="V1117" s="47"/>
      <c r="W1117" s="38"/>
      <c r="X1117" s="38"/>
      <c r="Y1117" s="44"/>
      <c r="Z1117" s="44"/>
      <c r="AA1117" s="45" t="str">
        <f aca="false">IF(AND($Y1117="",$Z1117=""),"",ROUND(IFERROR(VALUE(LEFT($Y1117,1)),0)*12+IFERROR(VALUE(LEFT($Z1117,1)),0)*8,0))</f>
        <v/>
      </c>
      <c r="AB1117" s="45" t="str">
        <f aca="false">IF($AA1117="","",IF($AA1117&gt;=80,"A - call first",IF($AA1117&gt;=60,"B - worth pursuing",IF($AA1117&gt;=40,"C - nurture","D - do not spend time here"))))</f>
        <v/>
      </c>
      <c r="AC1117" s="46" t="str">
        <f aca="false">IF($C1117="","",IF($S1117="Converted","7 Certification / Enterprise opportunity",IF($S1117="Application Started","7 Certification / Enterprise opportunity",IF($S1117="Meeting Booked","6 Meeting / Application",IF(OR($S1117="Interested",$S1117="Info Requested"),"5 Interested",IF(OR($S1117="Declined",$S1117="Not Relevant"),"0 Closed - no",IF($R1117="Yes","4 Contacted",IF($N1117="Yes","2 Engaged",IF($M1117="Yes","1 Awareness",IF($AA1117&gt;=60,"3 Qualified","1 Awareness"))))))))))</f>
        <v/>
      </c>
    </row>
    <row r="1118" customFormat="false" ht="30" hidden="false" customHeight="true" outlineLevel="0" collapsed="false">
      <c r="A1118" s="36"/>
      <c r="B1118" s="37"/>
      <c r="C1118" s="37"/>
      <c r="D1118" s="37"/>
      <c r="E1118" s="37"/>
      <c r="F1118" s="37"/>
      <c r="G1118" s="37"/>
      <c r="H1118" s="37"/>
      <c r="I1118" s="37"/>
      <c r="J1118" s="47"/>
      <c r="K1118" s="41" t="str">
        <f aca="false">IF(J1118="","",IF(J1118&gt;=8,"Yes","Check"))</f>
        <v/>
      </c>
      <c r="L1118" s="38"/>
      <c r="M1118" s="47"/>
      <c r="N1118" s="47"/>
      <c r="O1118" s="37"/>
      <c r="P1118" s="38"/>
      <c r="Q1118" s="42" t="str">
        <f aca="false">IF(P1118="","",LEN(P1118))</f>
        <v/>
      </c>
      <c r="R1118" s="47"/>
      <c r="S1118" s="37"/>
      <c r="T1118" s="38"/>
      <c r="U1118" s="43" t="str">
        <f aca="false">IF(OR(R1118&lt;&gt;"Yes",A1118=""),"",A1118+4)</f>
        <v/>
      </c>
      <c r="V1118" s="47"/>
      <c r="W1118" s="38"/>
      <c r="X1118" s="38"/>
      <c r="Y1118" s="44"/>
      <c r="Z1118" s="44"/>
      <c r="AA1118" s="45" t="str">
        <f aca="false">IF(AND($Y1118="",$Z1118=""),"",ROUND(IFERROR(VALUE(LEFT($Y1118,1)),0)*12+IFERROR(VALUE(LEFT($Z1118,1)),0)*8,0))</f>
        <v/>
      </c>
      <c r="AB1118" s="45" t="str">
        <f aca="false">IF($AA1118="","",IF($AA1118&gt;=80,"A - call first",IF($AA1118&gt;=60,"B - worth pursuing",IF($AA1118&gt;=40,"C - nurture","D - do not spend time here"))))</f>
        <v/>
      </c>
      <c r="AC1118" s="46" t="str">
        <f aca="false">IF($C1118="","",IF($S1118="Converted","7 Certification / Enterprise opportunity",IF($S1118="Application Started","7 Certification / Enterprise opportunity",IF($S1118="Meeting Booked","6 Meeting / Application",IF(OR($S1118="Interested",$S1118="Info Requested"),"5 Interested",IF(OR($S1118="Declined",$S1118="Not Relevant"),"0 Closed - no",IF($R1118="Yes","4 Contacted",IF($N1118="Yes","2 Engaged",IF($M1118="Yes","1 Awareness",IF($AA1118&gt;=60,"3 Qualified","1 Awareness"))))))))))</f>
        <v/>
      </c>
    </row>
    <row r="1119" customFormat="false" ht="30" hidden="false" customHeight="true" outlineLevel="0" collapsed="false">
      <c r="A1119" s="36"/>
      <c r="B1119" s="37"/>
      <c r="C1119" s="37"/>
      <c r="D1119" s="37"/>
      <c r="E1119" s="37"/>
      <c r="F1119" s="37"/>
      <c r="G1119" s="37"/>
      <c r="H1119" s="37"/>
      <c r="I1119" s="37"/>
      <c r="J1119" s="47"/>
      <c r="K1119" s="41" t="str">
        <f aca="false">IF(J1119="","",IF(J1119&gt;=8,"Yes","Check"))</f>
        <v/>
      </c>
      <c r="L1119" s="38"/>
      <c r="M1119" s="47"/>
      <c r="N1119" s="47"/>
      <c r="O1119" s="37"/>
      <c r="P1119" s="38"/>
      <c r="Q1119" s="42" t="str">
        <f aca="false">IF(P1119="","",LEN(P1119))</f>
        <v/>
      </c>
      <c r="R1119" s="47"/>
      <c r="S1119" s="37"/>
      <c r="T1119" s="38"/>
      <c r="U1119" s="43" t="str">
        <f aca="false">IF(OR(R1119&lt;&gt;"Yes",A1119=""),"",A1119+4)</f>
        <v/>
      </c>
      <c r="V1119" s="47"/>
      <c r="W1119" s="38"/>
      <c r="X1119" s="38"/>
      <c r="Y1119" s="44"/>
      <c r="Z1119" s="44"/>
      <c r="AA1119" s="45" t="str">
        <f aca="false">IF(AND($Y1119="",$Z1119=""),"",ROUND(IFERROR(VALUE(LEFT($Y1119,1)),0)*12+IFERROR(VALUE(LEFT($Z1119,1)),0)*8,0))</f>
        <v/>
      </c>
      <c r="AB1119" s="45" t="str">
        <f aca="false">IF($AA1119="","",IF($AA1119&gt;=80,"A - call first",IF($AA1119&gt;=60,"B - worth pursuing",IF($AA1119&gt;=40,"C - nurture","D - do not spend time here"))))</f>
        <v/>
      </c>
      <c r="AC1119" s="46" t="str">
        <f aca="false">IF($C1119="","",IF($S1119="Converted","7 Certification / Enterprise opportunity",IF($S1119="Application Started","7 Certification / Enterprise opportunity",IF($S1119="Meeting Booked","6 Meeting / Application",IF(OR($S1119="Interested",$S1119="Info Requested"),"5 Interested",IF(OR($S1119="Declined",$S1119="Not Relevant"),"0 Closed - no",IF($R1119="Yes","4 Contacted",IF($N1119="Yes","2 Engaged",IF($M1119="Yes","1 Awareness",IF($AA1119&gt;=60,"3 Qualified","1 Awareness"))))))))))</f>
        <v/>
      </c>
    </row>
    <row r="1120" customFormat="false" ht="30" hidden="false" customHeight="true" outlineLevel="0" collapsed="false">
      <c r="A1120" s="36"/>
      <c r="B1120" s="37"/>
      <c r="C1120" s="37"/>
      <c r="D1120" s="37"/>
      <c r="E1120" s="37"/>
      <c r="F1120" s="37"/>
      <c r="G1120" s="37"/>
      <c r="H1120" s="37"/>
      <c r="I1120" s="37"/>
      <c r="J1120" s="47"/>
      <c r="K1120" s="41" t="str">
        <f aca="false">IF(J1120="","",IF(J1120&gt;=8,"Yes","Check"))</f>
        <v/>
      </c>
      <c r="L1120" s="38"/>
      <c r="M1120" s="47"/>
      <c r="N1120" s="47"/>
      <c r="O1120" s="37"/>
      <c r="P1120" s="38"/>
      <c r="Q1120" s="42" t="str">
        <f aca="false">IF(P1120="","",LEN(P1120))</f>
        <v/>
      </c>
      <c r="R1120" s="47"/>
      <c r="S1120" s="37"/>
      <c r="T1120" s="38"/>
      <c r="U1120" s="43" t="str">
        <f aca="false">IF(OR(R1120&lt;&gt;"Yes",A1120=""),"",A1120+4)</f>
        <v/>
      </c>
      <c r="V1120" s="47"/>
      <c r="W1120" s="38"/>
      <c r="X1120" s="38"/>
      <c r="Y1120" s="44"/>
      <c r="Z1120" s="44"/>
      <c r="AA1120" s="45" t="str">
        <f aca="false">IF(AND($Y1120="",$Z1120=""),"",ROUND(IFERROR(VALUE(LEFT($Y1120,1)),0)*12+IFERROR(VALUE(LEFT($Z1120,1)),0)*8,0))</f>
        <v/>
      </c>
      <c r="AB1120" s="45" t="str">
        <f aca="false">IF($AA1120="","",IF($AA1120&gt;=80,"A - call first",IF($AA1120&gt;=60,"B - worth pursuing",IF($AA1120&gt;=40,"C - nurture","D - do not spend time here"))))</f>
        <v/>
      </c>
      <c r="AC1120" s="46" t="str">
        <f aca="false">IF($C1120="","",IF($S1120="Converted","7 Certification / Enterprise opportunity",IF($S1120="Application Started","7 Certification / Enterprise opportunity",IF($S1120="Meeting Booked","6 Meeting / Application",IF(OR($S1120="Interested",$S1120="Info Requested"),"5 Interested",IF(OR($S1120="Declined",$S1120="Not Relevant"),"0 Closed - no",IF($R1120="Yes","4 Contacted",IF($N1120="Yes","2 Engaged",IF($M1120="Yes","1 Awareness",IF($AA1120&gt;=60,"3 Qualified","1 Awareness"))))))))))</f>
        <v/>
      </c>
    </row>
    <row r="1121" customFormat="false" ht="30" hidden="false" customHeight="true" outlineLevel="0" collapsed="false">
      <c r="A1121" s="36"/>
      <c r="B1121" s="37"/>
      <c r="C1121" s="37"/>
      <c r="D1121" s="37"/>
      <c r="E1121" s="37"/>
      <c r="F1121" s="37"/>
      <c r="G1121" s="37"/>
      <c r="H1121" s="37"/>
      <c r="I1121" s="37"/>
      <c r="J1121" s="47"/>
      <c r="K1121" s="41" t="str">
        <f aca="false">IF(J1121="","",IF(J1121&gt;=8,"Yes","Check"))</f>
        <v/>
      </c>
      <c r="L1121" s="38"/>
      <c r="M1121" s="47"/>
      <c r="N1121" s="47"/>
      <c r="O1121" s="37"/>
      <c r="P1121" s="38"/>
      <c r="Q1121" s="42" t="str">
        <f aca="false">IF(P1121="","",LEN(P1121))</f>
        <v/>
      </c>
      <c r="R1121" s="47"/>
      <c r="S1121" s="37"/>
      <c r="T1121" s="38"/>
      <c r="U1121" s="43" t="str">
        <f aca="false">IF(OR(R1121&lt;&gt;"Yes",A1121=""),"",A1121+4)</f>
        <v/>
      </c>
      <c r="V1121" s="47"/>
      <c r="W1121" s="38"/>
      <c r="X1121" s="38"/>
      <c r="Y1121" s="44"/>
      <c r="Z1121" s="44"/>
      <c r="AA1121" s="45" t="str">
        <f aca="false">IF(AND($Y1121="",$Z1121=""),"",ROUND(IFERROR(VALUE(LEFT($Y1121,1)),0)*12+IFERROR(VALUE(LEFT($Z1121,1)),0)*8,0))</f>
        <v/>
      </c>
      <c r="AB1121" s="45" t="str">
        <f aca="false">IF($AA1121="","",IF($AA1121&gt;=80,"A - call first",IF($AA1121&gt;=60,"B - worth pursuing",IF($AA1121&gt;=40,"C - nurture","D - do not spend time here"))))</f>
        <v/>
      </c>
      <c r="AC1121" s="46" t="str">
        <f aca="false">IF($C1121="","",IF($S1121="Converted","7 Certification / Enterprise opportunity",IF($S1121="Application Started","7 Certification / Enterprise opportunity",IF($S1121="Meeting Booked","6 Meeting / Application",IF(OR($S1121="Interested",$S1121="Info Requested"),"5 Interested",IF(OR($S1121="Declined",$S1121="Not Relevant"),"0 Closed - no",IF($R1121="Yes","4 Contacted",IF($N1121="Yes","2 Engaged",IF($M1121="Yes","1 Awareness",IF($AA1121&gt;=60,"3 Qualified","1 Awareness"))))))))))</f>
        <v/>
      </c>
    </row>
    <row r="1122" customFormat="false" ht="30" hidden="false" customHeight="true" outlineLevel="0" collapsed="false">
      <c r="A1122" s="36"/>
      <c r="B1122" s="37"/>
      <c r="C1122" s="37"/>
      <c r="D1122" s="37"/>
      <c r="E1122" s="37"/>
      <c r="F1122" s="37"/>
      <c r="G1122" s="37"/>
      <c r="H1122" s="37"/>
      <c r="I1122" s="37"/>
      <c r="J1122" s="47"/>
      <c r="K1122" s="41" t="str">
        <f aca="false">IF(J1122="","",IF(J1122&gt;=8,"Yes","Check"))</f>
        <v/>
      </c>
      <c r="L1122" s="38"/>
      <c r="M1122" s="47"/>
      <c r="N1122" s="47"/>
      <c r="O1122" s="37"/>
      <c r="P1122" s="38"/>
      <c r="Q1122" s="42" t="str">
        <f aca="false">IF(P1122="","",LEN(P1122))</f>
        <v/>
      </c>
      <c r="R1122" s="47"/>
      <c r="S1122" s="37"/>
      <c r="T1122" s="38"/>
      <c r="U1122" s="43" t="str">
        <f aca="false">IF(OR(R1122&lt;&gt;"Yes",A1122=""),"",A1122+4)</f>
        <v/>
      </c>
      <c r="V1122" s="47"/>
      <c r="W1122" s="38"/>
      <c r="X1122" s="38"/>
      <c r="Y1122" s="44"/>
      <c r="Z1122" s="44"/>
      <c r="AA1122" s="45" t="str">
        <f aca="false">IF(AND($Y1122="",$Z1122=""),"",ROUND(IFERROR(VALUE(LEFT($Y1122,1)),0)*12+IFERROR(VALUE(LEFT($Z1122,1)),0)*8,0))</f>
        <v/>
      </c>
      <c r="AB1122" s="45" t="str">
        <f aca="false">IF($AA1122="","",IF($AA1122&gt;=80,"A - call first",IF($AA1122&gt;=60,"B - worth pursuing",IF($AA1122&gt;=40,"C - nurture","D - do not spend time here"))))</f>
        <v/>
      </c>
      <c r="AC1122" s="46" t="str">
        <f aca="false">IF($C1122="","",IF($S1122="Converted","7 Certification / Enterprise opportunity",IF($S1122="Application Started","7 Certification / Enterprise opportunity",IF($S1122="Meeting Booked","6 Meeting / Application",IF(OR($S1122="Interested",$S1122="Info Requested"),"5 Interested",IF(OR($S1122="Declined",$S1122="Not Relevant"),"0 Closed - no",IF($R1122="Yes","4 Contacted",IF($N1122="Yes","2 Engaged",IF($M1122="Yes","1 Awareness",IF($AA1122&gt;=60,"3 Qualified","1 Awareness"))))))))))</f>
        <v/>
      </c>
    </row>
    <row r="1123" customFormat="false" ht="30" hidden="false" customHeight="true" outlineLevel="0" collapsed="false">
      <c r="A1123" s="36"/>
      <c r="B1123" s="37"/>
      <c r="C1123" s="37"/>
      <c r="D1123" s="37"/>
      <c r="E1123" s="37"/>
      <c r="F1123" s="37"/>
      <c r="G1123" s="37"/>
      <c r="H1123" s="37"/>
      <c r="I1123" s="37"/>
      <c r="J1123" s="47"/>
      <c r="K1123" s="41" t="str">
        <f aca="false">IF(J1123="","",IF(J1123&gt;=8,"Yes","Check"))</f>
        <v/>
      </c>
      <c r="L1123" s="38"/>
      <c r="M1123" s="47"/>
      <c r="N1123" s="47"/>
      <c r="O1123" s="37"/>
      <c r="P1123" s="38"/>
      <c r="Q1123" s="42" t="str">
        <f aca="false">IF(P1123="","",LEN(P1123))</f>
        <v/>
      </c>
      <c r="R1123" s="47"/>
      <c r="S1123" s="37"/>
      <c r="T1123" s="38"/>
      <c r="U1123" s="43" t="str">
        <f aca="false">IF(OR(R1123&lt;&gt;"Yes",A1123=""),"",A1123+4)</f>
        <v/>
      </c>
      <c r="V1123" s="47"/>
      <c r="W1123" s="38"/>
      <c r="X1123" s="38"/>
      <c r="Y1123" s="44"/>
      <c r="Z1123" s="44"/>
      <c r="AA1123" s="45" t="str">
        <f aca="false">IF(AND($Y1123="",$Z1123=""),"",ROUND(IFERROR(VALUE(LEFT($Y1123,1)),0)*12+IFERROR(VALUE(LEFT($Z1123,1)),0)*8,0))</f>
        <v/>
      </c>
      <c r="AB1123" s="45" t="str">
        <f aca="false">IF($AA1123="","",IF($AA1123&gt;=80,"A - call first",IF($AA1123&gt;=60,"B - worth pursuing",IF($AA1123&gt;=40,"C - nurture","D - do not spend time here"))))</f>
        <v/>
      </c>
      <c r="AC1123" s="46" t="str">
        <f aca="false">IF($C1123="","",IF($S1123="Converted","7 Certification / Enterprise opportunity",IF($S1123="Application Started","7 Certification / Enterprise opportunity",IF($S1123="Meeting Booked","6 Meeting / Application",IF(OR($S1123="Interested",$S1123="Info Requested"),"5 Interested",IF(OR($S1123="Declined",$S1123="Not Relevant"),"0 Closed - no",IF($R1123="Yes","4 Contacted",IF($N1123="Yes","2 Engaged",IF($M1123="Yes","1 Awareness",IF($AA1123&gt;=60,"3 Qualified","1 Awareness"))))))))))</f>
        <v/>
      </c>
    </row>
    <row r="1124" customFormat="false" ht="30" hidden="false" customHeight="true" outlineLevel="0" collapsed="false">
      <c r="A1124" s="36"/>
      <c r="B1124" s="37"/>
      <c r="C1124" s="37"/>
      <c r="D1124" s="37"/>
      <c r="E1124" s="37"/>
      <c r="F1124" s="37"/>
      <c r="G1124" s="37"/>
      <c r="H1124" s="37"/>
      <c r="I1124" s="37"/>
      <c r="J1124" s="47"/>
      <c r="K1124" s="41" t="str">
        <f aca="false">IF(J1124="","",IF(J1124&gt;=8,"Yes","Check"))</f>
        <v/>
      </c>
      <c r="L1124" s="38"/>
      <c r="M1124" s="47"/>
      <c r="N1124" s="47"/>
      <c r="O1124" s="37"/>
      <c r="P1124" s="38"/>
      <c r="Q1124" s="42" t="str">
        <f aca="false">IF(P1124="","",LEN(P1124))</f>
        <v/>
      </c>
      <c r="R1124" s="47"/>
      <c r="S1124" s="37"/>
      <c r="T1124" s="38"/>
      <c r="U1124" s="43" t="str">
        <f aca="false">IF(OR(R1124&lt;&gt;"Yes",A1124=""),"",A1124+4)</f>
        <v/>
      </c>
      <c r="V1124" s="47"/>
      <c r="W1124" s="38"/>
      <c r="X1124" s="38"/>
      <c r="Y1124" s="44"/>
      <c r="Z1124" s="44"/>
      <c r="AA1124" s="45" t="str">
        <f aca="false">IF(AND($Y1124="",$Z1124=""),"",ROUND(IFERROR(VALUE(LEFT($Y1124,1)),0)*12+IFERROR(VALUE(LEFT($Z1124,1)),0)*8,0))</f>
        <v/>
      </c>
      <c r="AB1124" s="45" t="str">
        <f aca="false">IF($AA1124="","",IF($AA1124&gt;=80,"A - call first",IF($AA1124&gt;=60,"B - worth pursuing",IF($AA1124&gt;=40,"C - nurture","D - do not spend time here"))))</f>
        <v/>
      </c>
      <c r="AC1124" s="46" t="str">
        <f aca="false">IF($C1124="","",IF($S1124="Converted","7 Certification / Enterprise opportunity",IF($S1124="Application Started","7 Certification / Enterprise opportunity",IF($S1124="Meeting Booked","6 Meeting / Application",IF(OR($S1124="Interested",$S1124="Info Requested"),"5 Interested",IF(OR($S1124="Declined",$S1124="Not Relevant"),"0 Closed - no",IF($R1124="Yes","4 Contacted",IF($N1124="Yes","2 Engaged",IF($M1124="Yes","1 Awareness",IF($AA1124&gt;=60,"3 Qualified","1 Awareness"))))))))))</f>
        <v/>
      </c>
    </row>
    <row r="1125" customFormat="false" ht="30" hidden="false" customHeight="true" outlineLevel="0" collapsed="false">
      <c r="A1125" s="36"/>
      <c r="B1125" s="37"/>
      <c r="C1125" s="37"/>
      <c r="D1125" s="37"/>
      <c r="E1125" s="37"/>
      <c r="F1125" s="37"/>
      <c r="G1125" s="37"/>
      <c r="H1125" s="37"/>
      <c r="I1125" s="37"/>
      <c r="J1125" s="47"/>
      <c r="K1125" s="41" t="str">
        <f aca="false">IF(J1125="","",IF(J1125&gt;=8,"Yes","Check"))</f>
        <v/>
      </c>
      <c r="L1125" s="38"/>
      <c r="M1125" s="47"/>
      <c r="N1125" s="47"/>
      <c r="O1125" s="37"/>
      <c r="P1125" s="38"/>
      <c r="Q1125" s="42" t="str">
        <f aca="false">IF(P1125="","",LEN(P1125))</f>
        <v/>
      </c>
      <c r="R1125" s="47"/>
      <c r="S1125" s="37"/>
      <c r="T1125" s="38"/>
      <c r="U1125" s="43" t="str">
        <f aca="false">IF(OR(R1125&lt;&gt;"Yes",A1125=""),"",A1125+4)</f>
        <v/>
      </c>
      <c r="V1125" s="47"/>
      <c r="W1125" s="38"/>
      <c r="X1125" s="38"/>
      <c r="Y1125" s="44"/>
      <c r="Z1125" s="44"/>
      <c r="AA1125" s="45" t="str">
        <f aca="false">IF(AND($Y1125="",$Z1125=""),"",ROUND(IFERROR(VALUE(LEFT($Y1125,1)),0)*12+IFERROR(VALUE(LEFT($Z1125,1)),0)*8,0))</f>
        <v/>
      </c>
      <c r="AB1125" s="45" t="str">
        <f aca="false">IF($AA1125="","",IF($AA1125&gt;=80,"A - call first",IF($AA1125&gt;=60,"B - worth pursuing",IF($AA1125&gt;=40,"C - nurture","D - do not spend time here"))))</f>
        <v/>
      </c>
      <c r="AC1125" s="46" t="str">
        <f aca="false">IF($C1125="","",IF($S1125="Converted","7 Certification / Enterprise opportunity",IF($S1125="Application Started","7 Certification / Enterprise opportunity",IF($S1125="Meeting Booked","6 Meeting / Application",IF(OR($S1125="Interested",$S1125="Info Requested"),"5 Interested",IF(OR($S1125="Declined",$S1125="Not Relevant"),"0 Closed - no",IF($R1125="Yes","4 Contacted",IF($N1125="Yes","2 Engaged",IF($M1125="Yes","1 Awareness",IF($AA1125&gt;=60,"3 Qualified","1 Awareness"))))))))))</f>
        <v/>
      </c>
    </row>
    <row r="1126" customFormat="false" ht="30" hidden="false" customHeight="true" outlineLevel="0" collapsed="false">
      <c r="A1126" s="36"/>
      <c r="B1126" s="37"/>
      <c r="C1126" s="37"/>
      <c r="D1126" s="37"/>
      <c r="E1126" s="37"/>
      <c r="F1126" s="37"/>
      <c r="G1126" s="37"/>
      <c r="H1126" s="37"/>
      <c r="I1126" s="37"/>
      <c r="J1126" s="47"/>
      <c r="K1126" s="41" t="str">
        <f aca="false">IF(J1126="","",IF(J1126&gt;=8,"Yes","Check"))</f>
        <v/>
      </c>
      <c r="L1126" s="38"/>
      <c r="M1126" s="47"/>
      <c r="N1126" s="47"/>
      <c r="O1126" s="37"/>
      <c r="P1126" s="38"/>
      <c r="Q1126" s="42" t="str">
        <f aca="false">IF(P1126="","",LEN(P1126))</f>
        <v/>
      </c>
      <c r="R1126" s="47"/>
      <c r="S1126" s="37"/>
      <c r="T1126" s="38"/>
      <c r="U1126" s="43" t="str">
        <f aca="false">IF(OR(R1126&lt;&gt;"Yes",A1126=""),"",A1126+4)</f>
        <v/>
      </c>
      <c r="V1126" s="47"/>
      <c r="W1126" s="38"/>
      <c r="X1126" s="38"/>
      <c r="Y1126" s="44"/>
      <c r="Z1126" s="44"/>
      <c r="AA1126" s="45" t="str">
        <f aca="false">IF(AND($Y1126="",$Z1126=""),"",ROUND(IFERROR(VALUE(LEFT($Y1126,1)),0)*12+IFERROR(VALUE(LEFT($Z1126,1)),0)*8,0))</f>
        <v/>
      </c>
      <c r="AB1126" s="45" t="str">
        <f aca="false">IF($AA1126="","",IF($AA1126&gt;=80,"A - call first",IF($AA1126&gt;=60,"B - worth pursuing",IF($AA1126&gt;=40,"C - nurture","D - do not spend time here"))))</f>
        <v/>
      </c>
      <c r="AC1126" s="46" t="str">
        <f aca="false">IF($C1126="","",IF($S1126="Converted","7 Certification / Enterprise opportunity",IF($S1126="Application Started","7 Certification / Enterprise opportunity",IF($S1126="Meeting Booked","6 Meeting / Application",IF(OR($S1126="Interested",$S1126="Info Requested"),"5 Interested",IF(OR($S1126="Declined",$S1126="Not Relevant"),"0 Closed - no",IF($R1126="Yes","4 Contacted",IF($N1126="Yes","2 Engaged",IF($M1126="Yes","1 Awareness",IF($AA1126&gt;=60,"3 Qualified","1 Awareness"))))))))))</f>
        <v/>
      </c>
    </row>
    <row r="1127" customFormat="false" ht="30" hidden="false" customHeight="true" outlineLevel="0" collapsed="false">
      <c r="A1127" s="36"/>
      <c r="B1127" s="37"/>
      <c r="C1127" s="37"/>
      <c r="D1127" s="37"/>
      <c r="E1127" s="37"/>
      <c r="F1127" s="37"/>
      <c r="G1127" s="37"/>
      <c r="H1127" s="37"/>
      <c r="I1127" s="37"/>
      <c r="J1127" s="47"/>
      <c r="K1127" s="41" t="str">
        <f aca="false">IF(J1127="","",IF(J1127&gt;=8,"Yes","Check"))</f>
        <v/>
      </c>
      <c r="L1127" s="38"/>
      <c r="M1127" s="47"/>
      <c r="N1127" s="47"/>
      <c r="O1127" s="37"/>
      <c r="P1127" s="38"/>
      <c r="Q1127" s="42" t="str">
        <f aca="false">IF(P1127="","",LEN(P1127))</f>
        <v/>
      </c>
      <c r="R1127" s="47"/>
      <c r="S1127" s="37"/>
      <c r="T1127" s="38"/>
      <c r="U1127" s="43" t="str">
        <f aca="false">IF(OR(R1127&lt;&gt;"Yes",A1127=""),"",A1127+4)</f>
        <v/>
      </c>
      <c r="V1127" s="47"/>
      <c r="W1127" s="38"/>
      <c r="X1127" s="38"/>
      <c r="Y1127" s="44"/>
      <c r="Z1127" s="44"/>
      <c r="AA1127" s="45" t="str">
        <f aca="false">IF(AND($Y1127="",$Z1127=""),"",ROUND(IFERROR(VALUE(LEFT($Y1127,1)),0)*12+IFERROR(VALUE(LEFT($Z1127,1)),0)*8,0))</f>
        <v/>
      </c>
      <c r="AB1127" s="45" t="str">
        <f aca="false">IF($AA1127="","",IF($AA1127&gt;=80,"A - call first",IF($AA1127&gt;=60,"B - worth pursuing",IF($AA1127&gt;=40,"C - nurture","D - do not spend time here"))))</f>
        <v/>
      </c>
      <c r="AC1127" s="46" t="str">
        <f aca="false">IF($C1127="","",IF($S1127="Converted","7 Certification / Enterprise opportunity",IF($S1127="Application Started","7 Certification / Enterprise opportunity",IF($S1127="Meeting Booked","6 Meeting / Application",IF(OR($S1127="Interested",$S1127="Info Requested"),"5 Interested",IF(OR($S1127="Declined",$S1127="Not Relevant"),"0 Closed - no",IF($R1127="Yes","4 Contacted",IF($N1127="Yes","2 Engaged",IF($M1127="Yes","1 Awareness",IF($AA1127&gt;=60,"3 Qualified","1 Awareness"))))))))))</f>
        <v/>
      </c>
    </row>
    <row r="1128" customFormat="false" ht="30" hidden="false" customHeight="true" outlineLevel="0" collapsed="false">
      <c r="A1128" s="36"/>
      <c r="B1128" s="37"/>
      <c r="C1128" s="37"/>
      <c r="D1128" s="37"/>
      <c r="E1128" s="37"/>
      <c r="F1128" s="37"/>
      <c r="G1128" s="37"/>
      <c r="H1128" s="37"/>
      <c r="I1128" s="37"/>
      <c r="J1128" s="47"/>
      <c r="K1128" s="41" t="str">
        <f aca="false">IF(J1128="","",IF(J1128&gt;=8,"Yes","Check"))</f>
        <v/>
      </c>
      <c r="L1128" s="38"/>
      <c r="M1128" s="47"/>
      <c r="N1128" s="47"/>
      <c r="O1128" s="37"/>
      <c r="P1128" s="38"/>
      <c r="Q1128" s="42" t="str">
        <f aca="false">IF(P1128="","",LEN(P1128))</f>
        <v/>
      </c>
      <c r="R1128" s="47"/>
      <c r="S1128" s="37"/>
      <c r="T1128" s="38"/>
      <c r="U1128" s="43" t="str">
        <f aca="false">IF(OR(R1128&lt;&gt;"Yes",A1128=""),"",A1128+4)</f>
        <v/>
      </c>
      <c r="V1128" s="47"/>
      <c r="W1128" s="38"/>
      <c r="X1128" s="38"/>
      <c r="Y1128" s="44"/>
      <c r="Z1128" s="44"/>
      <c r="AA1128" s="45" t="str">
        <f aca="false">IF(AND($Y1128="",$Z1128=""),"",ROUND(IFERROR(VALUE(LEFT($Y1128,1)),0)*12+IFERROR(VALUE(LEFT($Z1128,1)),0)*8,0))</f>
        <v/>
      </c>
      <c r="AB1128" s="45" t="str">
        <f aca="false">IF($AA1128="","",IF($AA1128&gt;=80,"A - call first",IF($AA1128&gt;=60,"B - worth pursuing",IF($AA1128&gt;=40,"C - nurture","D - do not spend time here"))))</f>
        <v/>
      </c>
      <c r="AC1128" s="46" t="str">
        <f aca="false">IF($C1128="","",IF($S1128="Converted","7 Certification / Enterprise opportunity",IF($S1128="Application Started","7 Certification / Enterprise opportunity",IF($S1128="Meeting Booked","6 Meeting / Application",IF(OR($S1128="Interested",$S1128="Info Requested"),"5 Interested",IF(OR($S1128="Declined",$S1128="Not Relevant"),"0 Closed - no",IF($R1128="Yes","4 Contacted",IF($N1128="Yes","2 Engaged",IF($M1128="Yes","1 Awareness",IF($AA1128&gt;=60,"3 Qualified","1 Awareness"))))))))))</f>
        <v/>
      </c>
    </row>
    <row r="1129" customFormat="false" ht="30" hidden="false" customHeight="true" outlineLevel="0" collapsed="false">
      <c r="A1129" s="36"/>
      <c r="B1129" s="37"/>
      <c r="C1129" s="37"/>
      <c r="D1129" s="37"/>
      <c r="E1129" s="37"/>
      <c r="F1129" s="37"/>
      <c r="G1129" s="37"/>
      <c r="H1129" s="37"/>
      <c r="I1129" s="37"/>
      <c r="J1129" s="47"/>
      <c r="K1129" s="41" t="str">
        <f aca="false">IF(J1129="","",IF(J1129&gt;=8,"Yes","Check"))</f>
        <v/>
      </c>
      <c r="L1129" s="38"/>
      <c r="M1129" s="47"/>
      <c r="N1129" s="47"/>
      <c r="O1129" s="37"/>
      <c r="P1129" s="38"/>
      <c r="Q1129" s="42" t="str">
        <f aca="false">IF(P1129="","",LEN(P1129))</f>
        <v/>
      </c>
      <c r="R1129" s="47"/>
      <c r="S1129" s="37"/>
      <c r="T1129" s="38"/>
      <c r="U1129" s="43" t="str">
        <f aca="false">IF(OR(R1129&lt;&gt;"Yes",A1129=""),"",A1129+4)</f>
        <v/>
      </c>
      <c r="V1129" s="47"/>
      <c r="W1129" s="38"/>
      <c r="X1129" s="38"/>
      <c r="Y1129" s="44"/>
      <c r="Z1129" s="44"/>
      <c r="AA1129" s="45" t="str">
        <f aca="false">IF(AND($Y1129="",$Z1129=""),"",ROUND(IFERROR(VALUE(LEFT($Y1129,1)),0)*12+IFERROR(VALUE(LEFT($Z1129,1)),0)*8,0))</f>
        <v/>
      </c>
      <c r="AB1129" s="45" t="str">
        <f aca="false">IF($AA1129="","",IF($AA1129&gt;=80,"A - call first",IF($AA1129&gt;=60,"B - worth pursuing",IF($AA1129&gt;=40,"C - nurture","D - do not spend time here"))))</f>
        <v/>
      </c>
      <c r="AC1129" s="46" t="str">
        <f aca="false">IF($C1129="","",IF($S1129="Converted","7 Certification / Enterprise opportunity",IF($S1129="Application Started","7 Certification / Enterprise opportunity",IF($S1129="Meeting Booked","6 Meeting / Application",IF(OR($S1129="Interested",$S1129="Info Requested"),"5 Interested",IF(OR($S1129="Declined",$S1129="Not Relevant"),"0 Closed - no",IF($R1129="Yes","4 Contacted",IF($N1129="Yes","2 Engaged",IF($M1129="Yes","1 Awareness",IF($AA1129&gt;=60,"3 Qualified","1 Awareness"))))))))))</f>
        <v/>
      </c>
    </row>
    <row r="1130" customFormat="false" ht="30" hidden="false" customHeight="true" outlineLevel="0" collapsed="false">
      <c r="A1130" s="36"/>
      <c r="B1130" s="37"/>
      <c r="C1130" s="37"/>
      <c r="D1130" s="37"/>
      <c r="E1130" s="37"/>
      <c r="F1130" s="37"/>
      <c r="G1130" s="37"/>
      <c r="H1130" s="37"/>
      <c r="I1130" s="37"/>
      <c r="J1130" s="47"/>
      <c r="K1130" s="41" t="str">
        <f aca="false">IF(J1130="","",IF(J1130&gt;=8,"Yes","Check"))</f>
        <v/>
      </c>
      <c r="L1130" s="38"/>
      <c r="M1130" s="47"/>
      <c r="N1130" s="47"/>
      <c r="O1130" s="37"/>
      <c r="P1130" s="38"/>
      <c r="Q1130" s="42" t="str">
        <f aca="false">IF(P1130="","",LEN(P1130))</f>
        <v/>
      </c>
      <c r="R1130" s="47"/>
      <c r="S1130" s="37"/>
      <c r="T1130" s="38"/>
      <c r="U1130" s="43" t="str">
        <f aca="false">IF(OR(R1130&lt;&gt;"Yes",A1130=""),"",A1130+4)</f>
        <v/>
      </c>
      <c r="V1130" s="47"/>
      <c r="W1130" s="38"/>
      <c r="X1130" s="38"/>
      <c r="Y1130" s="44"/>
      <c r="Z1130" s="44"/>
      <c r="AA1130" s="45" t="str">
        <f aca="false">IF(AND($Y1130="",$Z1130=""),"",ROUND(IFERROR(VALUE(LEFT($Y1130,1)),0)*12+IFERROR(VALUE(LEFT($Z1130,1)),0)*8,0))</f>
        <v/>
      </c>
      <c r="AB1130" s="45" t="str">
        <f aca="false">IF($AA1130="","",IF($AA1130&gt;=80,"A - call first",IF($AA1130&gt;=60,"B - worth pursuing",IF($AA1130&gt;=40,"C - nurture","D - do not spend time here"))))</f>
        <v/>
      </c>
      <c r="AC1130" s="46" t="str">
        <f aca="false">IF($C1130="","",IF($S1130="Converted","7 Certification / Enterprise opportunity",IF($S1130="Application Started","7 Certification / Enterprise opportunity",IF($S1130="Meeting Booked","6 Meeting / Application",IF(OR($S1130="Interested",$S1130="Info Requested"),"5 Interested",IF(OR($S1130="Declined",$S1130="Not Relevant"),"0 Closed - no",IF($R1130="Yes","4 Contacted",IF($N1130="Yes","2 Engaged",IF($M1130="Yes","1 Awareness",IF($AA1130&gt;=60,"3 Qualified","1 Awareness"))))))))))</f>
        <v/>
      </c>
    </row>
    <row r="1131" customFormat="false" ht="30" hidden="false" customHeight="true" outlineLevel="0" collapsed="false">
      <c r="A1131" s="36"/>
      <c r="B1131" s="37"/>
      <c r="C1131" s="37"/>
      <c r="D1131" s="37"/>
      <c r="E1131" s="37"/>
      <c r="F1131" s="37"/>
      <c r="G1131" s="37"/>
      <c r="H1131" s="37"/>
      <c r="I1131" s="37"/>
      <c r="J1131" s="47"/>
      <c r="K1131" s="41" t="str">
        <f aca="false">IF(J1131="","",IF(J1131&gt;=8,"Yes","Check"))</f>
        <v/>
      </c>
      <c r="L1131" s="38"/>
      <c r="M1131" s="47"/>
      <c r="N1131" s="47"/>
      <c r="O1131" s="37"/>
      <c r="P1131" s="38"/>
      <c r="Q1131" s="42" t="str">
        <f aca="false">IF(P1131="","",LEN(P1131))</f>
        <v/>
      </c>
      <c r="R1131" s="47"/>
      <c r="S1131" s="37"/>
      <c r="T1131" s="38"/>
      <c r="U1131" s="43" t="str">
        <f aca="false">IF(OR(R1131&lt;&gt;"Yes",A1131=""),"",A1131+4)</f>
        <v/>
      </c>
      <c r="V1131" s="47"/>
      <c r="W1131" s="38"/>
      <c r="X1131" s="38"/>
      <c r="Y1131" s="44"/>
      <c r="Z1131" s="44"/>
      <c r="AA1131" s="45" t="str">
        <f aca="false">IF(AND($Y1131="",$Z1131=""),"",ROUND(IFERROR(VALUE(LEFT($Y1131,1)),0)*12+IFERROR(VALUE(LEFT($Z1131,1)),0)*8,0))</f>
        <v/>
      </c>
      <c r="AB1131" s="45" t="str">
        <f aca="false">IF($AA1131="","",IF($AA1131&gt;=80,"A - call first",IF($AA1131&gt;=60,"B - worth pursuing",IF($AA1131&gt;=40,"C - nurture","D - do not spend time here"))))</f>
        <v/>
      </c>
      <c r="AC1131" s="46" t="str">
        <f aca="false">IF($C1131="","",IF($S1131="Converted","7 Certification / Enterprise opportunity",IF($S1131="Application Started","7 Certification / Enterprise opportunity",IF($S1131="Meeting Booked","6 Meeting / Application",IF(OR($S1131="Interested",$S1131="Info Requested"),"5 Interested",IF(OR($S1131="Declined",$S1131="Not Relevant"),"0 Closed - no",IF($R1131="Yes","4 Contacted",IF($N1131="Yes","2 Engaged",IF($M1131="Yes","1 Awareness",IF($AA1131&gt;=60,"3 Qualified","1 Awareness"))))))))))</f>
        <v/>
      </c>
    </row>
    <row r="1132" customFormat="false" ht="30" hidden="false" customHeight="true" outlineLevel="0" collapsed="false">
      <c r="A1132" s="36"/>
      <c r="B1132" s="37"/>
      <c r="C1132" s="37"/>
      <c r="D1132" s="37"/>
      <c r="E1132" s="37"/>
      <c r="F1132" s="37"/>
      <c r="G1132" s="37"/>
      <c r="H1132" s="37"/>
      <c r="I1132" s="37"/>
      <c r="J1132" s="47"/>
      <c r="K1132" s="41" t="str">
        <f aca="false">IF(J1132="","",IF(J1132&gt;=8,"Yes","Check"))</f>
        <v/>
      </c>
      <c r="L1132" s="38"/>
      <c r="M1132" s="47"/>
      <c r="N1132" s="47"/>
      <c r="O1132" s="37"/>
      <c r="P1132" s="38"/>
      <c r="Q1132" s="42" t="str">
        <f aca="false">IF(P1132="","",LEN(P1132))</f>
        <v/>
      </c>
      <c r="R1132" s="47"/>
      <c r="S1132" s="37"/>
      <c r="T1132" s="38"/>
      <c r="U1132" s="43" t="str">
        <f aca="false">IF(OR(R1132&lt;&gt;"Yes",A1132=""),"",A1132+4)</f>
        <v/>
      </c>
      <c r="V1132" s="47"/>
      <c r="W1132" s="38"/>
      <c r="X1132" s="38"/>
      <c r="Y1132" s="44"/>
      <c r="Z1132" s="44"/>
      <c r="AA1132" s="45" t="str">
        <f aca="false">IF(AND($Y1132="",$Z1132=""),"",ROUND(IFERROR(VALUE(LEFT($Y1132,1)),0)*12+IFERROR(VALUE(LEFT($Z1132,1)),0)*8,0))</f>
        <v/>
      </c>
      <c r="AB1132" s="45" t="str">
        <f aca="false">IF($AA1132="","",IF($AA1132&gt;=80,"A - call first",IF($AA1132&gt;=60,"B - worth pursuing",IF($AA1132&gt;=40,"C - nurture","D - do not spend time here"))))</f>
        <v/>
      </c>
      <c r="AC1132" s="46" t="str">
        <f aca="false">IF($C1132="","",IF($S1132="Converted","7 Certification / Enterprise opportunity",IF($S1132="Application Started","7 Certification / Enterprise opportunity",IF($S1132="Meeting Booked","6 Meeting / Application",IF(OR($S1132="Interested",$S1132="Info Requested"),"5 Interested",IF(OR($S1132="Declined",$S1132="Not Relevant"),"0 Closed - no",IF($R1132="Yes","4 Contacted",IF($N1132="Yes","2 Engaged",IF($M1132="Yes","1 Awareness",IF($AA1132&gt;=60,"3 Qualified","1 Awareness"))))))))))</f>
        <v/>
      </c>
    </row>
    <row r="1133" customFormat="false" ht="30" hidden="false" customHeight="true" outlineLevel="0" collapsed="false">
      <c r="A1133" s="36"/>
      <c r="B1133" s="37"/>
      <c r="C1133" s="37"/>
      <c r="D1133" s="37"/>
      <c r="E1133" s="37"/>
      <c r="F1133" s="37"/>
      <c r="G1133" s="37"/>
      <c r="H1133" s="37"/>
      <c r="I1133" s="37"/>
      <c r="J1133" s="47"/>
      <c r="K1133" s="41" t="str">
        <f aca="false">IF(J1133="","",IF(J1133&gt;=8,"Yes","Check"))</f>
        <v/>
      </c>
      <c r="L1133" s="38"/>
      <c r="M1133" s="47"/>
      <c r="N1133" s="47"/>
      <c r="O1133" s="37"/>
      <c r="P1133" s="38"/>
      <c r="Q1133" s="42" t="str">
        <f aca="false">IF(P1133="","",LEN(P1133))</f>
        <v/>
      </c>
      <c r="R1133" s="47"/>
      <c r="S1133" s="37"/>
      <c r="T1133" s="38"/>
      <c r="U1133" s="43" t="str">
        <f aca="false">IF(OR(R1133&lt;&gt;"Yes",A1133=""),"",A1133+4)</f>
        <v/>
      </c>
      <c r="V1133" s="47"/>
      <c r="W1133" s="38"/>
      <c r="X1133" s="38"/>
      <c r="Y1133" s="44"/>
      <c r="Z1133" s="44"/>
      <c r="AA1133" s="45" t="str">
        <f aca="false">IF(AND($Y1133="",$Z1133=""),"",ROUND(IFERROR(VALUE(LEFT($Y1133,1)),0)*12+IFERROR(VALUE(LEFT($Z1133,1)),0)*8,0))</f>
        <v/>
      </c>
      <c r="AB1133" s="45" t="str">
        <f aca="false">IF($AA1133="","",IF($AA1133&gt;=80,"A - call first",IF($AA1133&gt;=60,"B - worth pursuing",IF($AA1133&gt;=40,"C - nurture","D - do not spend time here"))))</f>
        <v/>
      </c>
      <c r="AC1133" s="46" t="str">
        <f aca="false">IF($C1133="","",IF($S1133="Converted","7 Certification / Enterprise opportunity",IF($S1133="Application Started","7 Certification / Enterprise opportunity",IF($S1133="Meeting Booked","6 Meeting / Application",IF(OR($S1133="Interested",$S1133="Info Requested"),"5 Interested",IF(OR($S1133="Declined",$S1133="Not Relevant"),"0 Closed - no",IF($R1133="Yes","4 Contacted",IF($N1133="Yes","2 Engaged",IF($M1133="Yes","1 Awareness",IF($AA1133&gt;=60,"3 Qualified","1 Awareness"))))))))))</f>
        <v/>
      </c>
    </row>
    <row r="1134" customFormat="false" ht="30" hidden="false" customHeight="true" outlineLevel="0" collapsed="false">
      <c r="A1134" s="36"/>
      <c r="B1134" s="37"/>
      <c r="C1134" s="37"/>
      <c r="D1134" s="37"/>
      <c r="E1134" s="37"/>
      <c r="F1134" s="37"/>
      <c r="G1134" s="37"/>
      <c r="H1134" s="37"/>
      <c r="I1134" s="37"/>
      <c r="J1134" s="47"/>
      <c r="K1134" s="41" t="str">
        <f aca="false">IF(J1134="","",IF(J1134&gt;=8,"Yes","Check"))</f>
        <v/>
      </c>
      <c r="L1134" s="38"/>
      <c r="M1134" s="47"/>
      <c r="N1134" s="47"/>
      <c r="O1134" s="37"/>
      <c r="P1134" s="38"/>
      <c r="Q1134" s="42" t="str">
        <f aca="false">IF(P1134="","",LEN(P1134))</f>
        <v/>
      </c>
      <c r="R1134" s="47"/>
      <c r="S1134" s="37"/>
      <c r="T1134" s="38"/>
      <c r="U1134" s="43" t="str">
        <f aca="false">IF(OR(R1134&lt;&gt;"Yes",A1134=""),"",A1134+4)</f>
        <v/>
      </c>
      <c r="V1134" s="47"/>
      <c r="W1134" s="38"/>
      <c r="X1134" s="38"/>
      <c r="Y1134" s="44"/>
      <c r="Z1134" s="44"/>
      <c r="AA1134" s="45" t="str">
        <f aca="false">IF(AND($Y1134="",$Z1134=""),"",ROUND(IFERROR(VALUE(LEFT($Y1134,1)),0)*12+IFERROR(VALUE(LEFT($Z1134,1)),0)*8,0))</f>
        <v/>
      </c>
      <c r="AB1134" s="45" t="str">
        <f aca="false">IF($AA1134="","",IF($AA1134&gt;=80,"A - call first",IF($AA1134&gt;=60,"B - worth pursuing",IF($AA1134&gt;=40,"C - nurture","D - do not spend time here"))))</f>
        <v/>
      </c>
      <c r="AC1134" s="46" t="str">
        <f aca="false">IF($C1134="","",IF($S1134="Converted","7 Certification / Enterprise opportunity",IF($S1134="Application Started","7 Certification / Enterprise opportunity",IF($S1134="Meeting Booked","6 Meeting / Application",IF(OR($S1134="Interested",$S1134="Info Requested"),"5 Interested",IF(OR($S1134="Declined",$S1134="Not Relevant"),"0 Closed - no",IF($R1134="Yes","4 Contacted",IF($N1134="Yes","2 Engaged",IF($M1134="Yes","1 Awareness",IF($AA1134&gt;=60,"3 Qualified","1 Awareness"))))))))))</f>
        <v/>
      </c>
    </row>
    <row r="1135" customFormat="false" ht="30" hidden="false" customHeight="true" outlineLevel="0" collapsed="false">
      <c r="A1135" s="36"/>
      <c r="B1135" s="37"/>
      <c r="C1135" s="37"/>
      <c r="D1135" s="37"/>
      <c r="E1135" s="37"/>
      <c r="F1135" s="37"/>
      <c r="G1135" s="37"/>
      <c r="H1135" s="37"/>
      <c r="I1135" s="37"/>
      <c r="J1135" s="47"/>
      <c r="K1135" s="41" t="str">
        <f aca="false">IF(J1135="","",IF(J1135&gt;=8,"Yes","Check"))</f>
        <v/>
      </c>
      <c r="L1135" s="38"/>
      <c r="M1135" s="47"/>
      <c r="N1135" s="47"/>
      <c r="O1135" s="37"/>
      <c r="P1135" s="38"/>
      <c r="Q1135" s="42" t="str">
        <f aca="false">IF(P1135="","",LEN(P1135))</f>
        <v/>
      </c>
      <c r="R1135" s="47"/>
      <c r="S1135" s="37"/>
      <c r="T1135" s="38"/>
      <c r="U1135" s="43" t="str">
        <f aca="false">IF(OR(R1135&lt;&gt;"Yes",A1135=""),"",A1135+4)</f>
        <v/>
      </c>
      <c r="V1135" s="47"/>
      <c r="W1135" s="38"/>
      <c r="X1135" s="38"/>
      <c r="Y1135" s="44"/>
      <c r="Z1135" s="44"/>
      <c r="AA1135" s="45" t="str">
        <f aca="false">IF(AND($Y1135="",$Z1135=""),"",ROUND(IFERROR(VALUE(LEFT($Y1135,1)),0)*12+IFERROR(VALUE(LEFT($Z1135,1)),0)*8,0))</f>
        <v/>
      </c>
      <c r="AB1135" s="45" t="str">
        <f aca="false">IF($AA1135="","",IF($AA1135&gt;=80,"A - call first",IF($AA1135&gt;=60,"B - worth pursuing",IF($AA1135&gt;=40,"C - nurture","D - do not spend time here"))))</f>
        <v/>
      </c>
      <c r="AC1135" s="46" t="str">
        <f aca="false">IF($C1135="","",IF($S1135="Converted","7 Certification / Enterprise opportunity",IF($S1135="Application Started","7 Certification / Enterprise opportunity",IF($S1135="Meeting Booked","6 Meeting / Application",IF(OR($S1135="Interested",$S1135="Info Requested"),"5 Interested",IF(OR($S1135="Declined",$S1135="Not Relevant"),"0 Closed - no",IF($R1135="Yes","4 Contacted",IF($N1135="Yes","2 Engaged",IF($M1135="Yes","1 Awareness",IF($AA1135&gt;=60,"3 Qualified","1 Awareness"))))))))))</f>
        <v/>
      </c>
    </row>
    <row r="1136" customFormat="false" ht="30" hidden="false" customHeight="true" outlineLevel="0" collapsed="false">
      <c r="A1136" s="36"/>
      <c r="B1136" s="37"/>
      <c r="C1136" s="37"/>
      <c r="D1136" s="37"/>
      <c r="E1136" s="37"/>
      <c r="F1136" s="37"/>
      <c r="G1136" s="37"/>
      <c r="H1136" s="37"/>
      <c r="I1136" s="37"/>
      <c r="J1136" s="47"/>
      <c r="K1136" s="41" t="str">
        <f aca="false">IF(J1136="","",IF(J1136&gt;=8,"Yes","Check"))</f>
        <v/>
      </c>
      <c r="L1136" s="38"/>
      <c r="M1136" s="47"/>
      <c r="N1136" s="47"/>
      <c r="O1136" s="37"/>
      <c r="P1136" s="38"/>
      <c r="Q1136" s="42" t="str">
        <f aca="false">IF(P1136="","",LEN(P1136))</f>
        <v/>
      </c>
      <c r="R1136" s="47"/>
      <c r="S1136" s="37"/>
      <c r="T1136" s="38"/>
      <c r="U1136" s="43" t="str">
        <f aca="false">IF(OR(R1136&lt;&gt;"Yes",A1136=""),"",A1136+4)</f>
        <v/>
      </c>
      <c r="V1136" s="47"/>
      <c r="W1136" s="38"/>
      <c r="X1136" s="38"/>
      <c r="Y1136" s="44"/>
      <c r="Z1136" s="44"/>
      <c r="AA1136" s="45" t="str">
        <f aca="false">IF(AND($Y1136="",$Z1136=""),"",ROUND(IFERROR(VALUE(LEFT($Y1136,1)),0)*12+IFERROR(VALUE(LEFT($Z1136,1)),0)*8,0))</f>
        <v/>
      </c>
      <c r="AB1136" s="45" t="str">
        <f aca="false">IF($AA1136="","",IF($AA1136&gt;=80,"A - call first",IF($AA1136&gt;=60,"B - worth pursuing",IF($AA1136&gt;=40,"C - nurture","D - do not spend time here"))))</f>
        <v/>
      </c>
      <c r="AC1136" s="46" t="str">
        <f aca="false">IF($C1136="","",IF($S1136="Converted","7 Certification / Enterprise opportunity",IF($S1136="Application Started","7 Certification / Enterprise opportunity",IF($S1136="Meeting Booked","6 Meeting / Application",IF(OR($S1136="Interested",$S1136="Info Requested"),"5 Interested",IF(OR($S1136="Declined",$S1136="Not Relevant"),"0 Closed - no",IF($R1136="Yes","4 Contacted",IF($N1136="Yes","2 Engaged",IF($M1136="Yes","1 Awareness",IF($AA1136&gt;=60,"3 Qualified","1 Awareness"))))))))))</f>
        <v/>
      </c>
    </row>
    <row r="1137" customFormat="false" ht="30" hidden="false" customHeight="true" outlineLevel="0" collapsed="false">
      <c r="A1137" s="36"/>
      <c r="B1137" s="37"/>
      <c r="C1137" s="37"/>
      <c r="D1137" s="37"/>
      <c r="E1137" s="37"/>
      <c r="F1137" s="37"/>
      <c r="G1137" s="37"/>
      <c r="H1137" s="37"/>
      <c r="I1137" s="37"/>
      <c r="J1137" s="47"/>
      <c r="K1137" s="41" t="str">
        <f aca="false">IF(J1137="","",IF(J1137&gt;=8,"Yes","Check"))</f>
        <v/>
      </c>
      <c r="L1137" s="38"/>
      <c r="M1137" s="47"/>
      <c r="N1137" s="47"/>
      <c r="O1137" s="37"/>
      <c r="P1137" s="38"/>
      <c r="Q1137" s="42" t="str">
        <f aca="false">IF(P1137="","",LEN(P1137))</f>
        <v/>
      </c>
      <c r="R1137" s="47"/>
      <c r="S1137" s="37"/>
      <c r="T1137" s="38"/>
      <c r="U1137" s="43" t="str">
        <f aca="false">IF(OR(R1137&lt;&gt;"Yes",A1137=""),"",A1137+4)</f>
        <v/>
      </c>
      <c r="V1137" s="47"/>
      <c r="W1137" s="38"/>
      <c r="X1137" s="38"/>
      <c r="Y1137" s="44"/>
      <c r="Z1137" s="44"/>
      <c r="AA1137" s="45" t="str">
        <f aca="false">IF(AND($Y1137="",$Z1137=""),"",ROUND(IFERROR(VALUE(LEFT($Y1137,1)),0)*12+IFERROR(VALUE(LEFT($Z1137,1)),0)*8,0))</f>
        <v/>
      </c>
      <c r="AB1137" s="45" t="str">
        <f aca="false">IF($AA1137="","",IF($AA1137&gt;=80,"A - call first",IF($AA1137&gt;=60,"B - worth pursuing",IF($AA1137&gt;=40,"C - nurture","D - do not spend time here"))))</f>
        <v/>
      </c>
      <c r="AC1137" s="46" t="str">
        <f aca="false">IF($C1137="","",IF($S1137="Converted","7 Certification / Enterprise opportunity",IF($S1137="Application Started","7 Certification / Enterprise opportunity",IF($S1137="Meeting Booked","6 Meeting / Application",IF(OR($S1137="Interested",$S1137="Info Requested"),"5 Interested",IF(OR($S1137="Declined",$S1137="Not Relevant"),"0 Closed - no",IF($R1137="Yes","4 Contacted",IF($N1137="Yes","2 Engaged",IF($M1137="Yes","1 Awareness",IF($AA1137&gt;=60,"3 Qualified","1 Awareness"))))))))))</f>
        <v/>
      </c>
    </row>
    <row r="1138" customFormat="false" ht="30" hidden="false" customHeight="true" outlineLevel="0" collapsed="false">
      <c r="A1138" s="36"/>
      <c r="B1138" s="37"/>
      <c r="C1138" s="37"/>
      <c r="D1138" s="37"/>
      <c r="E1138" s="37"/>
      <c r="F1138" s="37"/>
      <c r="G1138" s="37"/>
      <c r="H1138" s="37"/>
      <c r="I1138" s="37"/>
      <c r="J1138" s="47"/>
      <c r="K1138" s="41" t="str">
        <f aca="false">IF(J1138="","",IF(J1138&gt;=8,"Yes","Check"))</f>
        <v/>
      </c>
      <c r="L1138" s="38"/>
      <c r="M1138" s="47"/>
      <c r="N1138" s="47"/>
      <c r="O1138" s="37"/>
      <c r="P1138" s="38"/>
      <c r="Q1138" s="42" t="str">
        <f aca="false">IF(P1138="","",LEN(P1138))</f>
        <v/>
      </c>
      <c r="R1138" s="47"/>
      <c r="S1138" s="37"/>
      <c r="T1138" s="38"/>
      <c r="U1138" s="43" t="str">
        <f aca="false">IF(OR(R1138&lt;&gt;"Yes",A1138=""),"",A1138+4)</f>
        <v/>
      </c>
      <c r="V1138" s="47"/>
      <c r="W1138" s="38"/>
      <c r="X1138" s="38"/>
      <c r="Y1138" s="44"/>
      <c r="Z1138" s="44"/>
      <c r="AA1138" s="45" t="str">
        <f aca="false">IF(AND($Y1138="",$Z1138=""),"",ROUND(IFERROR(VALUE(LEFT($Y1138,1)),0)*12+IFERROR(VALUE(LEFT($Z1138,1)),0)*8,0))</f>
        <v/>
      </c>
      <c r="AB1138" s="45" t="str">
        <f aca="false">IF($AA1138="","",IF($AA1138&gt;=80,"A - call first",IF($AA1138&gt;=60,"B - worth pursuing",IF($AA1138&gt;=40,"C - nurture","D - do not spend time here"))))</f>
        <v/>
      </c>
      <c r="AC1138" s="46" t="str">
        <f aca="false">IF($C1138="","",IF($S1138="Converted","7 Certification / Enterprise opportunity",IF($S1138="Application Started","7 Certification / Enterprise opportunity",IF($S1138="Meeting Booked","6 Meeting / Application",IF(OR($S1138="Interested",$S1138="Info Requested"),"5 Interested",IF(OR($S1138="Declined",$S1138="Not Relevant"),"0 Closed - no",IF($R1138="Yes","4 Contacted",IF($N1138="Yes","2 Engaged",IF($M1138="Yes","1 Awareness",IF($AA1138&gt;=60,"3 Qualified","1 Awareness"))))))))))</f>
        <v/>
      </c>
    </row>
    <row r="1139" customFormat="false" ht="30" hidden="false" customHeight="true" outlineLevel="0" collapsed="false">
      <c r="A1139" s="36"/>
      <c r="B1139" s="37"/>
      <c r="C1139" s="37"/>
      <c r="D1139" s="37"/>
      <c r="E1139" s="37"/>
      <c r="F1139" s="37"/>
      <c r="G1139" s="37"/>
      <c r="H1139" s="37"/>
      <c r="I1139" s="37"/>
      <c r="J1139" s="47"/>
      <c r="K1139" s="41" t="str">
        <f aca="false">IF(J1139="","",IF(J1139&gt;=8,"Yes","Check"))</f>
        <v/>
      </c>
      <c r="L1139" s="38"/>
      <c r="M1139" s="47"/>
      <c r="N1139" s="47"/>
      <c r="O1139" s="37"/>
      <c r="P1139" s="38"/>
      <c r="Q1139" s="42" t="str">
        <f aca="false">IF(P1139="","",LEN(P1139))</f>
        <v/>
      </c>
      <c r="R1139" s="47"/>
      <c r="S1139" s="37"/>
      <c r="T1139" s="38"/>
      <c r="U1139" s="43" t="str">
        <f aca="false">IF(OR(R1139&lt;&gt;"Yes",A1139=""),"",A1139+4)</f>
        <v/>
      </c>
      <c r="V1139" s="47"/>
      <c r="W1139" s="38"/>
      <c r="X1139" s="38"/>
      <c r="Y1139" s="44"/>
      <c r="Z1139" s="44"/>
      <c r="AA1139" s="45" t="str">
        <f aca="false">IF(AND($Y1139="",$Z1139=""),"",ROUND(IFERROR(VALUE(LEFT($Y1139,1)),0)*12+IFERROR(VALUE(LEFT($Z1139,1)),0)*8,0))</f>
        <v/>
      </c>
      <c r="AB1139" s="45" t="str">
        <f aca="false">IF($AA1139="","",IF($AA1139&gt;=80,"A - call first",IF($AA1139&gt;=60,"B - worth pursuing",IF($AA1139&gt;=40,"C - nurture","D - do not spend time here"))))</f>
        <v/>
      </c>
      <c r="AC1139" s="46" t="str">
        <f aca="false">IF($C1139="","",IF($S1139="Converted","7 Certification / Enterprise opportunity",IF($S1139="Application Started","7 Certification / Enterprise opportunity",IF($S1139="Meeting Booked","6 Meeting / Application",IF(OR($S1139="Interested",$S1139="Info Requested"),"5 Interested",IF(OR($S1139="Declined",$S1139="Not Relevant"),"0 Closed - no",IF($R1139="Yes","4 Contacted",IF($N1139="Yes","2 Engaged",IF($M1139="Yes","1 Awareness",IF($AA1139&gt;=60,"3 Qualified","1 Awareness"))))))))))</f>
        <v/>
      </c>
    </row>
    <row r="1140" customFormat="false" ht="30" hidden="false" customHeight="true" outlineLevel="0" collapsed="false">
      <c r="A1140" s="36"/>
      <c r="B1140" s="37"/>
      <c r="C1140" s="37"/>
      <c r="D1140" s="37"/>
      <c r="E1140" s="37"/>
      <c r="F1140" s="37"/>
      <c r="G1140" s="37"/>
      <c r="H1140" s="37"/>
      <c r="I1140" s="37"/>
      <c r="J1140" s="47"/>
      <c r="K1140" s="41" t="str">
        <f aca="false">IF(J1140="","",IF(J1140&gt;=8,"Yes","Check"))</f>
        <v/>
      </c>
      <c r="L1140" s="38"/>
      <c r="M1140" s="47"/>
      <c r="N1140" s="47"/>
      <c r="O1140" s="37"/>
      <c r="P1140" s="38"/>
      <c r="Q1140" s="42" t="str">
        <f aca="false">IF(P1140="","",LEN(P1140))</f>
        <v/>
      </c>
      <c r="R1140" s="47"/>
      <c r="S1140" s="37"/>
      <c r="T1140" s="38"/>
      <c r="U1140" s="43" t="str">
        <f aca="false">IF(OR(R1140&lt;&gt;"Yes",A1140=""),"",A1140+4)</f>
        <v/>
      </c>
      <c r="V1140" s="47"/>
      <c r="W1140" s="38"/>
      <c r="X1140" s="38"/>
      <c r="Y1140" s="44"/>
      <c r="Z1140" s="44"/>
      <c r="AA1140" s="45" t="str">
        <f aca="false">IF(AND($Y1140="",$Z1140=""),"",ROUND(IFERROR(VALUE(LEFT($Y1140,1)),0)*12+IFERROR(VALUE(LEFT($Z1140,1)),0)*8,0))</f>
        <v/>
      </c>
      <c r="AB1140" s="45" t="str">
        <f aca="false">IF($AA1140="","",IF($AA1140&gt;=80,"A - call first",IF($AA1140&gt;=60,"B - worth pursuing",IF($AA1140&gt;=40,"C - nurture","D - do not spend time here"))))</f>
        <v/>
      </c>
      <c r="AC1140" s="46" t="str">
        <f aca="false">IF($C1140="","",IF($S1140="Converted","7 Certification / Enterprise opportunity",IF($S1140="Application Started","7 Certification / Enterprise opportunity",IF($S1140="Meeting Booked","6 Meeting / Application",IF(OR($S1140="Interested",$S1140="Info Requested"),"5 Interested",IF(OR($S1140="Declined",$S1140="Not Relevant"),"0 Closed - no",IF($R1140="Yes","4 Contacted",IF($N1140="Yes","2 Engaged",IF($M1140="Yes","1 Awareness",IF($AA1140&gt;=60,"3 Qualified","1 Awareness"))))))))))</f>
        <v/>
      </c>
    </row>
    <row r="1141" customFormat="false" ht="30" hidden="false" customHeight="true" outlineLevel="0" collapsed="false">
      <c r="A1141" s="36"/>
      <c r="B1141" s="37"/>
      <c r="C1141" s="37"/>
      <c r="D1141" s="37"/>
      <c r="E1141" s="37"/>
      <c r="F1141" s="37"/>
      <c r="G1141" s="37"/>
      <c r="H1141" s="37"/>
      <c r="I1141" s="37"/>
      <c r="J1141" s="47"/>
      <c r="K1141" s="41" t="str">
        <f aca="false">IF(J1141="","",IF(J1141&gt;=8,"Yes","Check"))</f>
        <v/>
      </c>
      <c r="L1141" s="38"/>
      <c r="M1141" s="47"/>
      <c r="N1141" s="47"/>
      <c r="O1141" s="37"/>
      <c r="P1141" s="38"/>
      <c r="Q1141" s="42" t="str">
        <f aca="false">IF(P1141="","",LEN(P1141))</f>
        <v/>
      </c>
      <c r="R1141" s="47"/>
      <c r="S1141" s="37"/>
      <c r="T1141" s="38"/>
      <c r="U1141" s="43" t="str">
        <f aca="false">IF(OR(R1141&lt;&gt;"Yes",A1141=""),"",A1141+4)</f>
        <v/>
      </c>
      <c r="V1141" s="47"/>
      <c r="W1141" s="38"/>
      <c r="X1141" s="38"/>
      <c r="Y1141" s="44"/>
      <c r="Z1141" s="44"/>
      <c r="AA1141" s="45" t="str">
        <f aca="false">IF(AND($Y1141="",$Z1141=""),"",ROUND(IFERROR(VALUE(LEFT($Y1141,1)),0)*12+IFERROR(VALUE(LEFT($Z1141,1)),0)*8,0))</f>
        <v/>
      </c>
      <c r="AB1141" s="45" t="str">
        <f aca="false">IF($AA1141="","",IF($AA1141&gt;=80,"A - call first",IF($AA1141&gt;=60,"B - worth pursuing",IF($AA1141&gt;=40,"C - nurture","D - do not spend time here"))))</f>
        <v/>
      </c>
      <c r="AC1141" s="46" t="str">
        <f aca="false">IF($C1141="","",IF($S1141="Converted","7 Certification / Enterprise opportunity",IF($S1141="Application Started","7 Certification / Enterprise opportunity",IF($S1141="Meeting Booked","6 Meeting / Application",IF(OR($S1141="Interested",$S1141="Info Requested"),"5 Interested",IF(OR($S1141="Declined",$S1141="Not Relevant"),"0 Closed - no",IF($R1141="Yes","4 Contacted",IF($N1141="Yes","2 Engaged",IF($M1141="Yes","1 Awareness",IF($AA1141&gt;=60,"3 Qualified","1 Awareness"))))))))))</f>
        <v/>
      </c>
    </row>
    <row r="1142" customFormat="false" ht="30" hidden="false" customHeight="true" outlineLevel="0" collapsed="false">
      <c r="A1142" s="36"/>
      <c r="B1142" s="37"/>
      <c r="C1142" s="37"/>
      <c r="D1142" s="37"/>
      <c r="E1142" s="37"/>
      <c r="F1142" s="37"/>
      <c r="G1142" s="37"/>
      <c r="H1142" s="37"/>
      <c r="I1142" s="37"/>
      <c r="J1142" s="47"/>
      <c r="K1142" s="41" t="str">
        <f aca="false">IF(J1142="","",IF(J1142&gt;=8,"Yes","Check"))</f>
        <v/>
      </c>
      <c r="L1142" s="38"/>
      <c r="M1142" s="47"/>
      <c r="N1142" s="47"/>
      <c r="O1142" s="37"/>
      <c r="P1142" s="38"/>
      <c r="Q1142" s="42" t="str">
        <f aca="false">IF(P1142="","",LEN(P1142))</f>
        <v/>
      </c>
      <c r="R1142" s="47"/>
      <c r="S1142" s="37"/>
      <c r="T1142" s="38"/>
      <c r="U1142" s="43" t="str">
        <f aca="false">IF(OR(R1142&lt;&gt;"Yes",A1142=""),"",A1142+4)</f>
        <v/>
      </c>
      <c r="V1142" s="47"/>
      <c r="W1142" s="38"/>
      <c r="X1142" s="38"/>
      <c r="Y1142" s="44"/>
      <c r="Z1142" s="44"/>
      <c r="AA1142" s="45" t="str">
        <f aca="false">IF(AND($Y1142="",$Z1142=""),"",ROUND(IFERROR(VALUE(LEFT($Y1142,1)),0)*12+IFERROR(VALUE(LEFT($Z1142,1)),0)*8,0))</f>
        <v/>
      </c>
      <c r="AB1142" s="45" t="str">
        <f aca="false">IF($AA1142="","",IF($AA1142&gt;=80,"A - call first",IF($AA1142&gt;=60,"B - worth pursuing",IF($AA1142&gt;=40,"C - nurture","D - do not spend time here"))))</f>
        <v/>
      </c>
      <c r="AC1142" s="46" t="str">
        <f aca="false">IF($C1142="","",IF($S1142="Converted","7 Certification / Enterprise opportunity",IF($S1142="Application Started","7 Certification / Enterprise opportunity",IF($S1142="Meeting Booked","6 Meeting / Application",IF(OR($S1142="Interested",$S1142="Info Requested"),"5 Interested",IF(OR($S1142="Declined",$S1142="Not Relevant"),"0 Closed - no",IF($R1142="Yes","4 Contacted",IF($N1142="Yes","2 Engaged",IF($M1142="Yes","1 Awareness",IF($AA1142&gt;=60,"3 Qualified","1 Awareness"))))))))))</f>
        <v/>
      </c>
    </row>
    <row r="1143" customFormat="false" ht="30" hidden="false" customHeight="true" outlineLevel="0" collapsed="false">
      <c r="A1143" s="36"/>
      <c r="B1143" s="37"/>
      <c r="C1143" s="37"/>
      <c r="D1143" s="37"/>
      <c r="E1143" s="37"/>
      <c r="F1143" s="37"/>
      <c r="G1143" s="37"/>
      <c r="H1143" s="37"/>
      <c r="I1143" s="37"/>
      <c r="J1143" s="47"/>
      <c r="K1143" s="41" t="str">
        <f aca="false">IF(J1143="","",IF(J1143&gt;=8,"Yes","Check"))</f>
        <v/>
      </c>
      <c r="L1143" s="38"/>
      <c r="M1143" s="47"/>
      <c r="N1143" s="47"/>
      <c r="O1143" s="37"/>
      <c r="P1143" s="38"/>
      <c r="Q1143" s="42" t="str">
        <f aca="false">IF(P1143="","",LEN(P1143))</f>
        <v/>
      </c>
      <c r="R1143" s="47"/>
      <c r="S1143" s="37"/>
      <c r="T1143" s="38"/>
      <c r="U1143" s="43" t="str">
        <f aca="false">IF(OR(R1143&lt;&gt;"Yes",A1143=""),"",A1143+4)</f>
        <v/>
      </c>
      <c r="V1143" s="47"/>
      <c r="W1143" s="38"/>
      <c r="X1143" s="38"/>
      <c r="Y1143" s="44"/>
      <c r="Z1143" s="44"/>
      <c r="AA1143" s="45" t="str">
        <f aca="false">IF(AND($Y1143="",$Z1143=""),"",ROUND(IFERROR(VALUE(LEFT($Y1143,1)),0)*12+IFERROR(VALUE(LEFT($Z1143,1)),0)*8,0))</f>
        <v/>
      </c>
      <c r="AB1143" s="45" t="str">
        <f aca="false">IF($AA1143="","",IF($AA1143&gt;=80,"A - call first",IF($AA1143&gt;=60,"B - worth pursuing",IF($AA1143&gt;=40,"C - nurture","D - do not spend time here"))))</f>
        <v/>
      </c>
      <c r="AC1143" s="46" t="str">
        <f aca="false">IF($C1143="","",IF($S1143="Converted","7 Certification / Enterprise opportunity",IF($S1143="Application Started","7 Certification / Enterprise opportunity",IF($S1143="Meeting Booked","6 Meeting / Application",IF(OR($S1143="Interested",$S1143="Info Requested"),"5 Interested",IF(OR($S1143="Declined",$S1143="Not Relevant"),"0 Closed - no",IF($R1143="Yes","4 Contacted",IF($N1143="Yes","2 Engaged",IF($M1143="Yes","1 Awareness",IF($AA1143&gt;=60,"3 Qualified","1 Awareness"))))))))))</f>
        <v/>
      </c>
    </row>
    <row r="1144" customFormat="false" ht="30" hidden="false" customHeight="true" outlineLevel="0" collapsed="false">
      <c r="A1144" s="36"/>
      <c r="B1144" s="37"/>
      <c r="C1144" s="37"/>
      <c r="D1144" s="37"/>
      <c r="E1144" s="37"/>
      <c r="F1144" s="37"/>
      <c r="G1144" s="37"/>
      <c r="H1144" s="37"/>
      <c r="I1144" s="37"/>
      <c r="J1144" s="47"/>
      <c r="K1144" s="41" t="str">
        <f aca="false">IF(J1144="","",IF(J1144&gt;=8,"Yes","Check"))</f>
        <v/>
      </c>
      <c r="L1144" s="38"/>
      <c r="M1144" s="47"/>
      <c r="N1144" s="47"/>
      <c r="O1144" s="37"/>
      <c r="P1144" s="38"/>
      <c r="Q1144" s="42" t="str">
        <f aca="false">IF(P1144="","",LEN(P1144))</f>
        <v/>
      </c>
      <c r="R1144" s="47"/>
      <c r="S1144" s="37"/>
      <c r="T1144" s="38"/>
      <c r="U1144" s="43" t="str">
        <f aca="false">IF(OR(R1144&lt;&gt;"Yes",A1144=""),"",A1144+4)</f>
        <v/>
      </c>
      <c r="V1144" s="47"/>
      <c r="W1144" s="38"/>
      <c r="X1144" s="38"/>
      <c r="Y1144" s="44"/>
      <c r="Z1144" s="44"/>
      <c r="AA1144" s="45" t="str">
        <f aca="false">IF(AND($Y1144="",$Z1144=""),"",ROUND(IFERROR(VALUE(LEFT($Y1144,1)),0)*12+IFERROR(VALUE(LEFT($Z1144,1)),0)*8,0))</f>
        <v/>
      </c>
      <c r="AB1144" s="45" t="str">
        <f aca="false">IF($AA1144="","",IF($AA1144&gt;=80,"A - call first",IF($AA1144&gt;=60,"B - worth pursuing",IF($AA1144&gt;=40,"C - nurture","D - do not spend time here"))))</f>
        <v/>
      </c>
      <c r="AC1144" s="46" t="str">
        <f aca="false">IF($C1144="","",IF($S1144="Converted","7 Certification / Enterprise opportunity",IF($S1144="Application Started","7 Certification / Enterprise opportunity",IF($S1144="Meeting Booked","6 Meeting / Application",IF(OR($S1144="Interested",$S1144="Info Requested"),"5 Interested",IF(OR($S1144="Declined",$S1144="Not Relevant"),"0 Closed - no",IF($R1144="Yes","4 Contacted",IF($N1144="Yes","2 Engaged",IF($M1144="Yes","1 Awareness",IF($AA1144&gt;=60,"3 Qualified","1 Awareness"))))))))))</f>
        <v/>
      </c>
    </row>
    <row r="1145" customFormat="false" ht="30" hidden="false" customHeight="true" outlineLevel="0" collapsed="false">
      <c r="A1145" s="36"/>
      <c r="B1145" s="37"/>
      <c r="C1145" s="37"/>
      <c r="D1145" s="37"/>
      <c r="E1145" s="37"/>
      <c r="F1145" s="37"/>
      <c r="G1145" s="37"/>
      <c r="H1145" s="37"/>
      <c r="I1145" s="37"/>
      <c r="J1145" s="47"/>
      <c r="K1145" s="41" t="str">
        <f aca="false">IF(J1145="","",IF(J1145&gt;=8,"Yes","Check"))</f>
        <v/>
      </c>
      <c r="L1145" s="38"/>
      <c r="M1145" s="47"/>
      <c r="N1145" s="47"/>
      <c r="O1145" s="37"/>
      <c r="P1145" s="38"/>
      <c r="Q1145" s="42" t="str">
        <f aca="false">IF(P1145="","",LEN(P1145))</f>
        <v/>
      </c>
      <c r="R1145" s="47"/>
      <c r="S1145" s="37"/>
      <c r="T1145" s="38"/>
      <c r="U1145" s="43" t="str">
        <f aca="false">IF(OR(R1145&lt;&gt;"Yes",A1145=""),"",A1145+4)</f>
        <v/>
      </c>
      <c r="V1145" s="47"/>
      <c r="W1145" s="38"/>
      <c r="X1145" s="38"/>
      <c r="Y1145" s="44"/>
      <c r="Z1145" s="44"/>
      <c r="AA1145" s="45" t="str">
        <f aca="false">IF(AND($Y1145="",$Z1145=""),"",ROUND(IFERROR(VALUE(LEFT($Y1145,1)),0)*12+IFERROR(VALUE(LEFT($Z1145,1)),0)*8,0))</f>
        <v/>
      </c>
      <c r="AB1145" s="45" t="str">
        <f aca="false">IF($AA1145="","",IF($AA1145&gt;=80,"A - call first",IF($AA1145&gt;=60,"B - worth pursuing",IF($AA1145&gt;=40,"C - nurture","D - do not spend time here"))))</f>
        <v/>
      </c>
      <c r="AC1145" s="46" t="str">
        <f aca="false">IF($C1145="","",IF($S1145="Converted","7 Certification / Enterprise opportunity",IF($S1145="Application Started","7 Certification / Enterprise opportunity",IF($S1145="Meeting Booked","6 Meeting / Application",IF(OR($S1145="Interested",$S1145="Info Requested"),"5 Interested",IF(OR($S1145="Declined",$S1145="Not Relevant"),"0 Closed - no",IF($R1145="Yes","4 Contacted",IF($N1145="Yes","2 Engaged",IF($M1145="Yes","1 Awareness",IF($AA1145&gt;=60,"3 Qualified","1 Awareness"))))))))))</f>
        <v/>
      </c>
    </row>
    <row r="1146" customFormat="false" ht="30" hidden="false" customHeight="true" outlineLevel="0" collapsed="false">
      <c r="A1146" s="36"/>
      <c r="B1146" s="37"/>
      <c r="C1146" s="37"/>
      <c r="D1146" s="37"/>
      <c r="E1146" s="37"/>
      <c r="F1146" s="37"/>
      <c r="G1146" s="37"/>
      <c r="H1146" s="37"/>
      <c r="I1146" s="37"/>
      <c r="J1146" s="47"/>
      <c r="K1146" s="41" t="str">
        <f aca="false">IF(J1146="","",IF(J1146&gt;=8,"Yes","Check"))</f>
        <v/>
      </c>
      <c r="L1146" s="38"/>
      <c r="M1146" s="47"/>
      <c r="N1146" s="47"/>
      <c r="O1146" s="37"/>
      <c r="P1146" s="38"/>
      <c r="Q1146" s="42" t="str">
        <f aca="false">IF(P1146="","",LEN(P1146))</f>
        <v/>
      </c>
      <c r="R1146" s="47"/>
      <c r="S1146" s="37"/>
      <c r="T1146" s="38"/>
      <c r="U1146" s="43" t="str">
        <f aca="false">IF(OR(R1146&lt;&gt;"Yes",A1146=""),"",A1146+4)</f>
        <v/>
      </c>
      <c r="V1146" s="47"/>
      <c r="W1146" s="38"/>
      <c r="X1146" s="38"/>
      <c r="Y1146" s="44"/>
      <c r="Z1146" s="44"/>
      <c r="AA1146" s="45" t="str">
        <f aca="false">IF(AND($Y1146="",$Z1146=""),"",ROUND(IFERROR(VALUE(LEFT($Y1146,1)),0)*12+IFERROR(VALUE(LEFT($Z1146,1)),0)*8,0))</f>
        <v/>
      </c>
      <c r="AB1146" s="45" t="str">
        <f aca="false">IF($AA1146="","",IF($AA1146&gt;=80,"A - call first",IF($AA1146&gt;=60,"B - worth pursuing",IF($AA1146&gt;=40,"C - nurture","D - do not spend time here"))))</f>
        <v/>
      </c>
      <c r="AC1146" s="46" t="str">
        <f aca="false">IF($C1146="","",IF($S1146="Converted","7 Certification / Enterprise opportunity",IF($S1146="Application Started","7 Certification / Enterprise opportunity",IF($S1146="Meeting Booked","6 Meeting / Application",IF(OR($S1146="Interested",$S1146="Info Requested"),"5 Interested",IF(OR($S1146="Declined",$S1146="Not Relevant"),"0 Closed - no",IF($R1146="Yes","4 Contacted",IF($N1146="Yes","2 Engaged",IF($M1146="Yes","1 Awareness",IF($AA1146&gt;=60,"3 Qualified","1 Awareness"))))))))))</f>
        <v/>
      </c>
    </row>
    <row r="1147" customFormat="false" ht="30" hidden="false" customHeight="true" outlineLevel="0" collapsed="false">
      <c r="A1147" s="36"/>
      <c r="B1147" s="37"/>
      <c r="C1147" s="37"/>
      <c r="D1147" s="37"/>
      <c r="E1147" s="37"/>
      <c r="F1147" s="37"/>
      <c r="G1147" s="37"/>
      <c r="H1147" s="37"/>
      <c r="I1147" s="37"/>
      <c r="J1147" s="47"/>
      <c r="K1147" s="41" t="str">
        <f aca="false">IF(J1147="","",IF(J1147&gt;=8,"Yes","Check"))</f>
        <v/>
      </c>
      <c r="L1147" s="38"/>
      <c r="M1147" s="47"/>
      <c r="N1147" s="47"/>
      <c r="O1147" s="37"/>
      <c r="P1147" s="38"/>
      <c r="Q1147" s="42" t="str">
        <f aca="false">IF(P1147="","",LEN(P1147))</f>
        <v/>
      </c>
      <c r="R1147" s="47"/>
      <c r="S1147" s="37"/>
      <c r="T1147" s="38"/>
      <c r="U1147" s="43" t="str">
        <f aca="false">IF(OR(R1147&lt;&gt;"Yes",A1147=""),"",A1147+4)</f>
        <v/>
      </c>
      <c r="V1147" s="47"/>
      <c r="W1147" s="38"/>
      <c r="X1147" s="38"/>
      <c r="Y1147" s="44"/>
      <c r="Z1147" s="44"/>
      <c r="AA1147" s="45" t="str">
        <f aca="false">IF(AND($Y1147="",$Z1147=""),"",ROUND(IFERROR(VALUE(LEFT($Y1147,1)),0)*12+IFERROR(VALUE(LEFT($Z1147,1)),0)*8,0))</f>
        <v/>
      </c>
      <c r="AB1147" s="45" t="str">
        <f aca="false">IF($AA1147="","",IF($AA1147&gt;=80,"A - call first",IF($AA1147&gt;=60,"B - worth pursuing",IF($AA1147&gt;=40,"C - nurture","D - do not spend time here"))))</f>
        <v/>
      </c>
      <c r="AC1147" s="46" t="str">
        <f aca="false">IF($C1147="","",IF($S1147="Converted","7 Certification / Enterprise opportunity",IF($S1147="Application Started","7 Certification / Enterprise opportunity",IF($S1147="Meeting Booked","6 Meeting / Application",IF(OR($S1147="Interested",$S1147="Info Requested"),"5 Interested",IF(OR($S1147="Declined",$S1147="Not Relevant"),"0 Closed - no",IF($R1147="Yes","4 Contacted",IF($N1147="Yes","2 Engaged",IF($M1147="Yes","1 Awareness",IF($AA1147&gt;=60,"3 Qualified","1 Awareness"))))))))))</f>
        <v/>
      </c>
    </row>
    <row r="1148" customFormat="false" ht="30" hidden="false" customHeight="true" outlineLevel="0" collapsed="false">
      <c r="A1148" s="36"/>
      <c r="B1148" s="37"/>
      <c r="C1148" s="37"/>
      <c r="D1148" s="37"/>
      <c r="E1148" s="37"/>
      <c r="F1148" s="37"/>
      <c r="G1148" s="37"/>
      <c r="H1148" s="37"/>
      <c r="I1148" s="37"/>
      <c r="J1148" s="47"/>
      <c r="K1148" s="41" t="str">
        <f aca="false">IF(J1148="","",IF(J1148&gt;=8,"Yes","Check"))</f>
        <v/>
      </c>
      <c r="L1148" s="38"/>
      <c r="M1148" s="47"/>
      <c r="N1148" s="47"/>
      <c r="O1148" s="37"/>
      <c r="P1148" s="38"/>
      <c r="Q1148" s="42" t="str">
        <f aca="false">IF(P1148="","",LEN(P1148))</f>
        <v/>
      </c>
      <c r="R1148" s="47"/>
      <c r="S1148" s="37"/>
      <c r="T1148" s="38"/>
      <c r="U1148" s="43" t="str">
        <f aca="false">IF(OR(R1148&lt;&gt;"Yes",A1148=""),"",A1148+4)</f>
        <v/>
      </c>
      <c r="V1148" s="47"/>
      <c r="W1148" s="38"/>
      <c r="X1148" s="38"/>
      <c r="Y1148" s="44"/>
      <c r="Z1148" s="44"/>
      <c r="AA1148" s="45" t="str">
        <f aca="false">IF(AND($Y1148="",$Z1148=""),"",ROUND(IFERROR(VALUE(LEFT($Y1148,1)),0)*12+IFERROR(VALUE(LEFT($Z1148,1)),0)*8,0))</f>
        <v/>
      </c>
      <c r="AB1148" s="45" t="str">
        <f aca="false">IF($AA1148="","",IF($AA1148&gt;=80,"A - call first",IF($AA1148&gt;=60,"B - worth pursuing",IF($AA1148&gt;=40,"C - nurture","D - do not spend time here"))))</f>
        <v/>
      </c>
      <c r="AC1148" s="46" t="str">
        <f aca="false">IF($C1148="","",IF($S1148="Converted","7 Certification / Enterprise opportunity",IF($S1148="Application Started","7 Certification / Enterprise opportunity",IF($S1148="Meeting Booked","6 Meeting / Application",IF(OR($S1148="Interested",$S1148="Info Requested"),"5 Interested",IF(OR($S1148="Declined",$S1148="Not Relevant"),"0 Closed - no",IF($R1148="Yes","4 Contacted",IF($N1148="Yes","2 Engaged",IF($M1148="Yes","1 Awareness",IF($AA1148&gt;=60,"3 Qualified","1 Awareness"))))))))))</f>
        <v/>
      </c>
    </row>
    <row r="1149" customFormat="false" ht="30" hidden="false" customHeight="true" outlineLevel="0" collapsed="false">
      <c r="A1149" s="36"/>
      <c r="B1149" s="37"/>
      <c r="C1149" s="37"/>
      <c r="D1149" s="37"/>
      <c r="E1149" s="37"/>
      <c r="F1149" s="37"/>
      <c r="G1149" s="37"/>
      <c r="H1149" s="37"/>
      <c r="I1149" s="37"/>
      <c r="J1149" s="47"/>
      <c r="K1149" s="41" t="str">
        <f aca="false">IF(J1149="","",IF(J1149&gt;=8,"Yes","Check"))</f>
        <v/>
      </c>
      <c r="L1149" s="38"/>
      <c r="M1149" s="47"/>
      <c r="N1149" s="47"/>
      <c r="O1149" s="37"/>
      <c r="P1149" s="38"/>
      <c r="Q1149" s="42" t="str">
        <f aca="false">IF(P1149="","",LEN(P1149))</f>
        <v/>
      </c>
      <c r="R1149" s="47"/>
      <c r="S1149" s="37"/>
      <c r="T1149" s="38"/>
      <c r="U1149" s="43" t="str">
        <f aca="false">IF(OR(R1149&lt;&gt;"Yes",A1149=""),"",A1149+4)</f>
        <v/>
      </c>
      <c r="V1149" s="47"/>
      <c r="W1149" s="38"/>
      <c r="X1149" s="38"/>
      <c r="Y1149" s="44"/>
      <c r="Z1149" s="44"/>
      <c r="AA1149" s="45" t="str">
        <f aca="false">IF(AND($Y1149="",$Z1149=""),"",ROUND(IFERROR(VALUE(LEFT($Y1149,1)),0)*12+IFERROR(VALUE(LEFT($Z1149,1)),0)*8,0))</f>
        <v/>
      </c>
      <c r="AB1149" s="45" t="str">
        <f aca="false">IF($AA1149="","",IF($AA1149&gt;=80,"A - call first",IF($AA1149&gt;=60,"B - worth pursuing",IF($AA1149&gt;=40,"C - nurture","D - do not spend time here"))))</f>
        <v/>
      </c>
      <c r="AC1149" s="46" t="str">
        <f aca="false">IF($C1149="","",IF($S1149="Converted","7 Certification / Enterprise opportunity",IF($S1149="Application Started","7 Certification / Enterprise opportunity",IF($S1149="Meeting Booked","6 Meeting / Application",IF(OR($S1149="Interested",$S1149="Info Requested"),"5 Interested",IF(OR($S1149="Declined",$S1149="Not Relevant"),"0 Closed - no",IF($R1149="Yes","4 Contacted",IF($N1149="Yes","2 Engaged",IF($M1149="Yes","1 Awareness",IF($AA1149&gt;=60,"3 Qualified","1 Awareness"))))))))))</f>
        <v/>
      </c>
    </row>
    <row r="1150" customFormat="false" ht="30" hidden="false" customHeight="true" outlineLevel="0" collapsed="false">
      <c r="A1150" s="36"/>
      <c r="B1150" s="37"/>
      <c r="C1150" s="37"/>
      <c r="D1150" s="37"/>
      <c r="E1150" s="37"/>
      <c r="F1150" s="37"/>
      <c r="G1150" s="37"/>
      <c r="H1150" s="37"/>
      <c r="I1150" s="37"/>
      <c r="J1150" s="47"/>
      <c r="K1150" s="41" t="str">
        <f aca="false">IF(J1150="","",IF(J1150&gt;=8,"Yes","Check"))</f>
        <v/>
      </c>
      <c r="L1150" s="38"/>
      <c r="M1150" s="47"/>
      <c r="N1150" s="47"/>
      <c r="O1150" s="37"/>
      <c r="P1150" s="38"/>
      <c r="Q1150" s="42" t="str">
        <f aca="false">IF(P1150="","",LEN(P1150))</f>
        <v/>
      </c>
      <c r="R1150" s="47"/>
      <c r="S1150" s="37"/>
      <c r="T1150" s="38"/>
      <c r="U1150" s="43" t="str">
        <f aca="false">IF(OR(R1150&lt;&gt;"Yes",A1150=""),"",A1150+4)</f>
        <v/>
      </c>
      <c r="V1150" s="47"/>
      <c r="W1150" s="38"/>
      <c r="X1150" s="38"/>
      <c r="Y1150" s="44"/>
      <c r="Z1150" s="44"/>
      <c r="AA1150" s="45" t="str">
        <f aca="false">IF(AND($Y1150="",$Z1150=""),"",ROUND(IFERROR(VALUE(LEFT($Y1150,1)),0)*12+IFERROR(VALUE(LEFT($Z1150,1)),0)*8,0))</f>
        <v/>
      </c>
      <c r="AB1150" s="45" t="str">
        <f aca="false">IF($AA1150="","",IF($AA1150&gt;=80,"A - call first",IF($AA1150&gt;=60,"B - worth pursuing",IF($AA1150&gt;=40,"C - nurture","D - do not spend time here"))))</f>
        <v/>
      </c>
      <c r="AC1150" s="46" t="str">
        <f aca="false">IF($C1150="","",IF($S1150="Converted","7 Certification / Enterprise opportunity",IF($S1150="Application Started","7 Certification / Enterprise opportunity",IF($S1150="Meeting Booked","6 Meeting / Application",IF(OR($S1150="Interested",$S1150="Info Requested"),"5 Interested",IF(OR($S1150="Declined",$S1150="Not Relevant"),"0 Closed - no",IF($R1150="Yes","4 Contacted",IF($N1150="Yes","2 Engaged",IF($M1150="Yes","1 Awareness",IF($AA1150&gt;=60,"3 Qualified","1 Awareness"))))))))))</f>
        <v/>
      </c>
    </row>
    <row r="1151" customFormat="false" ht="30" hidden="false" customHeight="true" outlineLevel="0" collapsed="false">
      <c r="A1151" s="36"/>
      <c r="B1151" s="37"/>
      <c r="C1151" s="37"/>
      <c r="D1151" s="37"/>
      <c r="E1151" s="37"/>
      <c r="F1151" s="37"/>
      <c r="G1151" s="37"/>
      <c r="H1151" s="37"/>
      <c r="I1151" s="37"/>
      <c r="J1151" s="47"/>
      <c r="K1151" s="41" t="str">
        <f aca="false">IF(J1151="","",IF(J1151&gt;=8,"Yes","Check"))</f>
        <v/>
      </c>
      <c r="L1151" s="38"/>
      <c r="M1151" s="47"/>
      <c r="N1151" s="47"/>
      <c r="O1151" s="37"/>
      <c r="P1151" s="38"/>
      <c r="Q1151" s="42" t="str">
        <f aca="false">IF(P1151="","",LEN(P1151))</f>
        <v/>
      </c>
      <c r="R1151" s="47"/>
      <c r="S1151" s="37"/>
      <c r="T1151" s="38"/>
      <c r="U1151" s="43" t="str">
        <f aca="false">IF(OR(R1151&lt;&gt;"Yes",A1151=""),"",A1151+4)</f>
        <v/>
      </c>
      <c r="V1151" s="47"/>
      <c r="W1151" s="38"/>
      <c r="X1151" s="38"/>
      <c r="Y1151" s="44"/>
      <c r="Z1151" s="44"/>
      <c r="AA1151" s="45" t="str">
        <f aca="false">IF(AND($Y1151="",$Z1151=""),"",ROUND(IFERROR(VALUE(LEFT($Y1151,1)),0)*12+IFERROR(VALUE(LEFT($Z1151,1)),0)*8,0))</f>
        <v/>
      </c>
      <c r="AB1151" s="45" t="str">
        <f aca="false">IF($AA1151="","",IF($AA1151&gt;=80,"A - call first",IF($AA1151&gt;=60,"B - worth pursuing",IF($AA1151&gt;=40,"C - nurture","D - do not spend time here"))))</f>
        <v/>
      </c>
      <c r="AC1151" s="46" t="str">
        <f aca="false">IF($C1151="","",IF($S1151="Converted","7 Certification / Enterprise opportunity",IF($S1151="Application Started","7 Certification / Enterprise opportunity",IF($S1151="Meeting Booked","6 Meeting / Application",IF(OR($S1151="Interested",$S1151="Info Requested"),"5 Interested",IF(OR($S1151="Declined",$S1151="Not Relevant"),"0 Closed - no",IF($R1151="Yes","4 Contacted",IF($N1151="Yes","2 Engaged",IF($M1151="Yes","1 Awareness",IF($AA1151&gt;=60,"3 Qualified","1 Awareness"))))))))))</f>
        <v/>
      </c>
    </row>
    <row r="1152" customFormat="false" ht="30" hidden="false" customHeight="true" outlineLevel="0" collapsed="false">
      <c r="A1152" s="36"/>
      <c r="B1152" s="37"/>
      <c r="C1152" s="37"/>
      <c r="D1152" s="37"/>
      <c r="E1152" s="37"/>
      <c r="F1152" s="37"/>
      <c r="G1152" s="37"/>
      <c r="H1152" s="37"/>
      <c r="I1152" s="37"/>
      <c r="J1152" s="47"/>
      <c r="K1152" s="41" t="str">
        <f aca="false">IF(J1152="","",IF(J1152&gt;=8,"Yes","Check"))</f>
        <v/>
      </c>
      <c r="L1152" s="38"/>
      <c r="M1152" s="47"/>
      <c r="N1152" s="47"/>
      <c r="O1152" s="37"/>
      <c r="P1152" s="38"/>
      <c r="Q1152" s="42" t="str">
        <f aca="false">IF(P1152="","",LEN(P1152))</f>
        <v/>
      </c>
      <c r="R1152" s="47"/>
      <c r="S1152" s="37"/>
      <c r="T1152" s="38"/>
      <c r="U1152" s="43" t="str">
        <f aca="false">IF(OR(R1152&lt;&gt;"Yes",A1152=""),"",A1152+4)</f>
        <v/>
      </c>
      <c r="V1152" s="47"/>
      <c r="W1152" s="38"/>
      <c r="X1152" s="38"/>
      <c r="Y1152" s="44"/>
      <c r="Z1152" s="44"/>
      <c r="AA1152" s="45" t="str">
        <f aca="false">IF(AND($Y1152="",$Z1152=""),"",ROUND(IFERROR(VALUE(LEFT($Y1152,1)),0)*12+IFERROR(VALUE(LEFT($Z1152,1)),0)*8,0))</f>
        <v/>
      </c>
      <c r="AB1152" s="45" t="str">
        <f aca="false">IF($AA1152="","",IF($AA1152&gt;=80,"A - call first",IF($AA1152&gt;=60,"B - worth pursuing",IF($AA1152&gt;=40,"C - nurture","D - do not spend time here"))))</f>
        <v/>
      </c>
      <c r="AC1152" s="46" t="str">
        <f aca="false">IF($C1152="","",IF($S1152="Converted","7 Certification / Enterprise opportunity",IF($S1152="Application Started","7 Certification / Enterprise opportunity",IF($S1152="Meeting Booked","6 Meeting / Application",IF(OR($S1152="Interested",$S1152="Info Requested"),"5 Interested",IF(OR($S1152="Declined",$S1152="Not Relevant"),"0 Closed - no",IF($R1152="Yes","4 Contacted",IF($N1152="Yes","2 Engaged",IF($M1152="Yes","1 Awareness",IF($AA1152&gt;=60,"3 Qualified","1 Awareness"))))))))))</f>
        <v/>
      </c>
    </row>
    <row r="1153" customFormat="false" ht="30" hidden="false" customHeight="true" outlineLevel="0" collapsed="false">
      <c r="A1153" s="36"/>
      <c r="B1153" s="37"/>
      <c r="C1153" s="37"/>
      <c r="D1153" s="37"/>
      <c r="E1153" s="37"/>
      <c r="F1153" s="37"/>
      <c r="G1153" s="37"/>
      <c r="H1153" s="37"/>
      <c r="I1153" s="37"/>
      <c r="J1153" s="47"/>
      <c r="K1153" s="41" t="str">
        <f aca="false">IF(J1153="","",IF(J1153&gt;=8,"Yes","Check"))</f>
        <v/>
      </c>
      <c r="L1153" s="38"/>
      <c r="M1153" s="47"/>
      <c r="N1153" s="47"/>
      <c r="O1153" s="37"/>
      <c r="P1153" s="38"/>
      <c r="Q1153" s="42" t="str">
        <f aca="false">IF(P1153="","",LEN(P1153))</f>
        <v/>
      </c>
      <c r="R1153" s="47"/>
      <c r="S1153" s="37"/>
      <c r="T1153" s="38"/>
      <c r="U1153" s="43" t="str">
        <f aca="false">IF(OR(R1153&lt;&gt;"Yes",A1153=""),"",A1153+4)</f>
        <v/>
      </c>
      <c r="V1153" s="47"/>
      <c r="W1153" s="38"/>
      <c r="X1153" s="38"/>
      <c r="Y1153" s="44"/>
      <c r="Z1153" s="44"/>
      <c r="AA1153" s="45" t="str">
        <f aca="false">IF(AND($Y1153="",$Z1153=""),"",ROUND(IFERROR(VALUE(LEFT($Y1153,1)),0)*12+IFERROR(VALUE(LEFT($Z1153,1)),0)*8,0))</f>
        <v/>
      </c>
      <c r="AB1153" s="45" t="str">
        <f aca="false">IF($AA1153="","",IF($AA1153&gt;=80,"A - call first",IF($AA1153&gt;=60,"B - worth pursuing",IF($AA1153&gt;=40,"C - nurture","D - do not spend time here"))))</f>
        <v/>
      </c>
      <c r="AC1153" s="46" t="str">
        <f aca="false">IF($C1153="","",IF($S1153="Converted","7 Certification / Enterprise opportunity",IF($S1153="Application Started","7 Certification / Enterprise opportunity",IF($S1153="Meeting Booked","6 Meeting / Application",IF(OR($S1153="Interested",$S1153="Info Requested"),"5 Interested",IF(OR($S1153="Declined",$S1153="Not Relevant"),"0 Closed - no",IF($R1153="Yes","4 Contacted",IF($N1153="Yes","2 Engaged",IF($M1153="Yes","1 Awareness",IF($AA1153&gt;=60,"3 Qualified","1 Awareness"))))))))))</f>
        <v/>
      </c>
    </row>
    <row r="1154" customFormat="false" ht="30" hidden="false" customHeight="true" outlineLevel="0" collapsed="false">
      <c r="A1154" s="36"/>
      <c r="B1154" s="37"/>
      <c r="C1154" s="37"/>
      <c r="D1154" s="37"/>
      <c r="E1154" s="37"/>
      <c r="F1154" s="37"/>
      <c r="G1154" s="37"/>
      <c r="H1154" s="37"/>
      <c r="I1154" s="37"/>
      <c r="J1154" s="47"/>
      <c r="K1154" s="41" t="str">
        <f aca="false">IF(J1154="","",IF(J1154&gt;=8,"Yes","Check"))</f>
        <v/>
      </c>
      <c r="L1154" s="38"/>
      <c r="M1154" s="47"/>
      <c r="N1154" s="47"/>
      <c r="O1154" s="37"/>
      <c r="P1154" s="38"/>
      <c r="Q1154" s="42" t="str">
        <f aca="false">IF(P1154="","",LEN(P1154))</f>
        <v/>
      </c>
      <c r="R1154" s="47"/>
      <c r="S1154" s="37"/>
      <c r="T1154" s="38"/>
      <c r="U1154" s="43" t="str">
        <f aca="false">IF(OR(R1154&lt;&gt;"Yes",A1154=""),"",A1154+4)</f>
        <v/>
      </c>
      <c r="V1154" s="47"/>
      <c r="W1154" s="38"/>
      <c r="X1154" s="38"/>
      <c r="Y1154" s="44"/>
      <c r="Z1154" s="44"/>
      <c r="AA1154" s="45" t="str">
        <f aca="false">IF(AND($Y1154="",$Z1154=""),"",ROUND(IFERROR(VALUE(LEFT($Y1154,1)),0)*12+IFERROR(VALUE(LEFT($Z1154,1)),0)*8,0))</f>
        <v/>
      </c>
      <c r="AB1154" s="45" t="str">
        <f aca="false">IF($AA1154="","",IF($AA1154&gt;=80,"A - call first",IF($AA1154&gt;=60,"B - worth pursuing",IF($AA1154&gt;=40,"C - nurture","D - do not spend time here"))))</f>
        <v/>
      </c>
      <c r="AC1154" s="46" t="str">
        <f aca="false">IF($C1154="","",IF($S1154="Converted","7 Certification / Enterprise opportunity",IF($S1154="Application Started","7 Certification / Enterprise opportunity",IF($S1154="Meeting Booked","6 Meeting / Application",IF(OR($S1154="Interested",$S1154="Info Requested"),"5 Interested",IF(OR($S1154="Declined",$S1154="Not Relevant"),"0 Closed - no",IF($R1154="Yes","4 Contacted",IF($N1154="Yes","2 Engaged",IF($M1154="Yes","1 Awareness",IF($AA1154&gt;=60,"3 Qualified","1 Awareness"))))))))))</f>
        <v/>
      </c>
    </row>
    <row r="1155" customFormat="false" ht="30" hidden="false" customHeight="true" outlineLevel="0" collapsed="false">
      <c r="A1155" s="36"/>
      <c r="B1155" s="37"/>
      <c r="C1155" s="37"/>
      <c r="D1155" s="37"/>
      <c r="E1155" s="37"/>
      <c r="F1155" s="37"/>
      <c r="G1155" s="37"/>
      <c r="H1155" s="37"/>
      <c r="I1155" s="37"/>
      <c r="J1155" s="47"/>
      <c r="K1155" s="41" t="str">
        <f aca="false">IF(J1155="","",IF(J1155&gt;=8,"Yes","Check"))</f>
        <v/>
      </c>
      <c r="L1155" s="38"/>
      <c r="M1155" s="47"/>
      <c r="N1155" s="47"/>
      <c r="O1155" s="37"/>
      <c r="P1155" s="38"/>
      <c r="Q1155" s="42" t="str">
        <f aca="false">IF(P1155="","",LEN(P1155))</f>
        <v/>
      </c>
      <c r="R1155" s="47"/>
      <c r="S1155" s="37"/>
      <c r="T1155" s="38"/>
      <c r="U1155" s="43" t="str">
        <f aca="false">IF(OR(R1155&lt;&gt;"Yes",A1155=""),"",A1155+4)</f>
        <v/>
      </c>
      <c r="V1155" s="47"/>
      <c r="W1155" s="38"/>
      <c r="X1155" s="38"/>
      <c r="Y1155" s="44"/>
      <c r="Z1155" s="44"/>
      <c r="AA1155" s="45" t="str">
        <f aca="false">IF(AND($Y1155="",$Z1155=""),"",ROUND(IFERROR(VALUE(LEFT($Y1155,1)),0)*12+IFERROR(VALUE(LEFT($Z1155,1)),0)*8,0))</f>
        <v/>
      </c>
      <c r="AB1155" s="45" t="str">
        <f aca="false">IF($AA1155="","",IF($AA1155&gt;=80,"A - call first",IF($AA1155&gt;=60,"B - worth pursuing",IF($AA1155&gt;=40,"C - nurture","D - do not spend time here"))))</f>
        <v/>
      </c>
      <c r="AC1155" s="46" t="str">
        <f aca="false">IF($C1155="","",IF($S1155="Converted","7 Certification / Enterprise opportunity",IF($S1155="Application Started","7 Certification / Enterprise opportunity",IF($S1155="Meeting Booked","6 Meeting / Application",IF(OR($S1155="Interested",$S1155="Info Requested"),"5 Interested",IF(OR($S1155="Declined",$S1155="Not Relevant"),"0 Closed - no",IF($R1155="Yes","4 Contacted",IF($N1155="Yes","2 Engaged",IF($M1155="Yes","1 Awareness",IF($AA1155&gt;=60,"3 Qualified","1 Awareness"))))))))))</f>
        <v/>
      </c>
    </row>
    <row r="1156" customFormat="false" ht="30" hidden="false" customHeight="true" outlineLevel="0" collapsed="false">
      <c r="A1156" s="36"/>
      <c r="B1156" s="37"/>
      <c r="C1156" s="37"/>
      <c r="D1156" s="37"/>
      <c r="E1156" s="37"/>
      <c r="F1156" s="37"/>
      <c r="G1156" s="37"/>
      <c r="H1156" s="37"/>
      <c r="I1156" s="37"/>
      <c r="J1156" s="47"/>
      <c r="K1156" s="41" t="str">
        <f aca="false">IF(J1156="","",IF(J1156&gt;=8,"Yes","Check"))</f>
        <v/>
      </c>
      <c r="L1156" s="38"/>
      <c r="M1156" s="47"/>
      <c r="N1156" s="47"/>
      <c r="O1156" s="37"/>
      <c r="P1156" s="38"/>
      <c r="Q1156" s="42" t="str">
        <f aca="false">IF(P1156="","",LEN(P1156))</f>
        <v/>
      </c>
      <c r="R1156" s="47"/>
      <c r="S1156" s="37"/>
      <c r="T1156" s="38"/>
      <c r="U1156" s="43" t="str">
        <f aca="false">IF(OR(R1156&lt;&gt;"Yes",A1156=""),"",A1156+4)</f>
        <v/>
      </c>
      <c r="V1156" s="47"/>
      <c r="W1156" s="38"/>
      <c r="X1156" s="38"/>
      <c r="Y1156" s="44"/>
      <c r="Z1156" s="44"/>
      <c r="AA1156" s="45" t="str">
        <f aca="false">IF(AND($Y1156="",$Z1156=""),"",ROUND(IFERROR(VALUE(LEFT($Y1156,1)),0)*12+IFERROR(VALUE(LEFT($Z1156,1)),0)*8,0))</f>
        <v/>
      </c>
      <c r="AB1156" s="45" t="str">
        <f aca="false">IF($AA1156="","",IF($AA1156&gt;=80,"A - call first",IF($AA1156&gt;=60,"B - worth pursuing",IF($AA1156&gt;=40,"C - nurture","D - do not spend time here"))))</f>
        <v/>
      </c>
      <c r="AC1156" s="46" t="str">
        <f aca="false">IF($C1156="","",IF($S1156="Converted","7 Certification / Enterprise opportunity",IF($S1156="Application Started","7 Certification / Enterprise opportunity",IF($S1156="Meeting Booked","6 Meeting / Application",IF(OR($S1156="Interested",$S1156="Info Requested"),"5 Interested",IF(OR($S1156="Declined",$S1156="Not Relevant"),"0 Closed - no",IF($R1156="Yes","4 Contacted",IF($N1156="Yes","2 Engaged",IF($M1156="Yes","1 Awareness",IF($AA1156&gt;=60,"3 Qualified","1 Awareness"))))))))))</f>
        <v/>
      </c>
    </row>
    <row r="1157" customFormat="false" ht="30" hidden="false" customHeight="true" outlineLevel="0" collapsed="false">
      <c r="A1157" s="36"/>
      <c r="B1157" s="37"/>
      <c r="C1157" s="37"/>
      <c r="D1157" s="37"/>
      <c r="E1157" s="37"/>
      <c r="F1157" s="37"/>
      <c r="G1157" s="37"/>
      <c r="H1157" s="37"/>
      <c r="I1157" s="37"/>
      <c r="J1157" s="47"/>
      <c r="K1157" s="41" t="str">
        <f aca="false">IF(J1157="","",IF(J1157&gt;=8,"Yes","Check"))</f>
        <v/>
      </c>
      <c r="L1157" s="38"/>
      <c r="M1157" s="47"/>
      <c r="N1157" s="47"/>
      <c r="O1157" s="37"/>
      <c r="P1157" s="38"/>
      <c r="Q1157" s="42" t="str">
        <f aca="false">IF(P1157="","",LEN(P1157))</f>
        <v/>
      </c>
      <c r="R1157" s="47"/>
      <c r="S1157" s="37"/>
      <c r="T1157" s="38"/>
      <c r="U1157" s="43" t="str">
        <f aca="false">IF(OR(R1157&lt;&gt;"Yes",A1157=""),"",A1157+4)</f>
        <v/>
      </c>
      <c r="V1157" s="47"/>
      <c r="W1157" s="38"/>
      <c r="X1157" s="38"/>
      <c r="Y1157" s="44"/>
      <c r="Z1157" s="44"/>
      <c r="AA1157" s="45" t="str">
        <f aca="false">IF(AND($Y1157="",$Z1157=""),"",ROUND(IFERROR(VALUE(LEFT($Y1157,1)),0)*12+IFERROR(VALUE(LEFT($Z1157,1)),0)*8,0))</f>
        <v/>
      </c>
      <c r="AB1157" s="45" t="str">
        <f aca="false">IF($AA1157="","",IF($AA1157&gt;=80,"A - call first",IF($AA1157&gt;=60,"B - worth pursuing",IF($AA1157&gt;=40,"C - nurture","D - do not spend time here"))))</f>
        <v/>
      </c>
      <c r="AC1157" s="46" t="str">
        <f aca="false">IF($C1157="","",IF($S1157="Converted","7 Certification / Enterprise opportunity",IF($S1157="Application Started","7 Certification / Enterprise opportunity",IF($S1157="Meeting Booked","6 Meeting / Application",IF(OR($S1157="Interested",$S1157="Info Requested"),"5 Interested",IF(OR($S1157="Declined",$S1157="Not Relevant"),"0 Closed - no",IF($R1157="Yes","4 Contacted",IF($N1157="Yes","2 Engaged",IF($M1157="Yes","1 Awareness",IF($AA1157&gt;=60,"3 Qualified","1 Awareness"))))))))))</f>
        <v/>
      </c>
    </row>
    <row r="1158" customFormat="false" ht="30" hidden="false" customHeight="true" outlineLevel="0" collapsed="false">
      <c r="A1158" s="36"/>
      <c r="B1158" s="37"/>
      <c r="C1158" s="37"/>
      <c r="D1158" s="37"/>
      <c r="E1158" s="37"/>
      <c r="F1158" s="37"/>
      <c r="G1158" s="37"/>
      <c r="H1158" s="37"/>
      <c r="I1158" s="37"/>
      <c r="J1158" s="47"/>
      <c r="K1158" s="41" t="str">
        <f aca="false">IF(J1158="","",IF(J1158&gt;=8,"Yes","Check"))</f>
        <v/>
      </c>
      <c r="L1158" s="38"/>
      <c r="M1158" s="47"/>
      <c r="N1158" s="47"/>
      <c r="O1158" s="37"/>
      <c r="P1158" s="38"/>
      <c r="Q1158" s="42" t="str">
        <f aca="false">IF(P1158="","",LEN(P1158))</f>
        <v/>
      </c>
      <c r="R1158" s="47"/>
      <c r="S1158" s="37"/>
      <c r="T1158" s="38"/>
      <c r="U1158" s="43" t="str">
        <f aca="false">IF(OR(R1158&lt;&gt;"Yes",A1158=""),"",A1158+4)</f>
        <v/>
      </c>
      <c r="V1158" s="47"/>
      <c r="W1158" s="38"/>
      <c r="X1158" s="38"/>
      <c r="Y1158" s="44"/>
      <c r="Z1158" s="44"/>
      <c r="AA1158" s="45" t="str">
        <f aca="false">IF(AND($Y1158="",$Z1158=""),"",ROUND(IFERROR(VALUE(LEFT($Y1158,1)),0)*12+IFERROR(VALUE(LEFT($Z1158,1)),0)*8,0))</f>
        <v/>
      </c>
      <c r="AB1158" s="45" t="str">
        <f aca="false">IF($AA1158="","",IF($AA1158&gt;=80,"A - call first",IF($AA1158&gt;=60,"B - worth pursuing",IF($AA1158&gt;=40,"C - nurture","D - do not spend time here"))))</f>
        <v/>
      </c>
      <c r="AC1158" s="46" t="str">
        <f aca="false">IF($C1158="","",IF($S1158="Converted","7 Certification / Enterprise opportunity",IF($S1158="Application Started","7 Certification / Enterprise opportunity",IF($S1158="Meeting Booked","6 Meeting / Application",IF(OR($S1158="Interested",$S1158="Info Requested"),"5 Interested",IF(OR($S1158="Declined",$S1158="Not Relevant"),"0 Closed - no",IF($R1158="Yes","4 Contacted",IF($N1158="Yes","2 Engaged",IF($M1158="Yes","1 Awareness",IF($AA1158&gt;=60,"3 Qualified","1 Awareness"))))))))))</f>
        <v/>
      </c>
    </row>
    <row r="1159" customFormat="false" ht="30" hidden="false" customHeight="true" outlineLevel="0" collapsed="false">
      <c r="A1159" s="36"/>
      <c r="B1159" s="37"/>
      <c r="C1159" s="37"/>
      <c r="D1159" s="37"/>
      <c r="E1159" s="37"/>
      <c r="F1159" s="37"/>
      <c r="G1159" s="37"/>
      <c r="H1159" s="37"/>
      <c r="I1159" s="37"/>
      <c r="J1159" s="47"/>
      <c r="K1159" s="41" t="str">
        <f aca="false">IF(J1159="","",IF(J1159&gt;=8,"Yes","Check"))</f>
        <v/>
      </c>
      <c r="L1159" s="38"/>
      <c r="M1159" s="47"/>
      <c r="N1159" s="47"/>
      <c r="O1159" s="37"/>
      <c r="P1159" s="38"/>
      <c r="Q1159" s="42" t="str">
        <f aca="false">IF(P1159="","",LEN(P1159))</f>
        <v/>
      </c>
      <c r="R1159" s="47"/>
      <c r="S1159" s="37"/>
      <c r="T1159" s="38"/>
      <c r="U1159" s="43" t="str">
        <f aca="false">IF(OR(R1159&lt;&gt;"Yes",A1159=""),"",A1159+4)</f>
        <v/>
      </c>
      <c r="V1159" s="47"/>
      <c r="W1159" s="38"/>
      <c r="X1159" s="38"/>
      <c r="Y1159" s="44"/>
      <c r="Z1159" s="44"/>
      <c r="AA1159" s="45" t="str">
        <f aca="false">IF(AND($Y1159="",$Z1159=""),"",ROUND(IFERROR(VALUE(LEFT($Y1159,1)),0)*12+IFERROR(VALUE(LEFT($Z1159,1)),0)*8,0))</f>
        <v/>
      </c>
      <c r="AB1159" s="45" t="str">
        <f aca="false">IF($AA1159="","",IF($AA1159&gt;=80,"A - call first",IF($AA1159&gt;=60,"B - worth pursuing",IF($AA1159&gt;=40,"C - nurture","D - do not spend time here"))))</f>
        <v/>
      </c>
      <c r="AC1159" s="46" t="str">
        <f aca="false">IF($C1159="","",IF($S1159="Converted","7 Certification / Enterprise opportunity",IF($S1159="Application Started","7 Certification / Enterprise opportunity",IF($S1159="Meeting Booked","6 Meeting / Application",IF(OR($S1159="Interested",$S1159="Info Requested"),"5 Interested",IF(OR($S1159="Declined",$S1159="Not Relevant"),"0 Closed - no",IF($R1159="Yes","4 Contacted",IF($N1159="Yes","2 Engaged",IF($M1159="Yes","1 Awareness",IF($AA1159&gt;=60,"3 Qualified","1 Awareness"))))))))))</f>
        <v/>
      </c>
    </row>
    <row r="1160" customFormat="false" ht="30" hidden="false" customHeight="true" outlineLevel="0" collapsed="false">
      <c r="A1160" s="36"/>
      <c r="B1160" s="37"/>
      <c r="C1160" s="37"/>
      <c r="D1160" s="37"/>
      <c r="E1160" s="37"/>
      <c r="F1160" s="37"/>
      <c r="G1160" s="37"/>
      <c r="H1160" s="37"/>
      <c r="I1160" s="37"/>
      <c r="J1160" s="47"/>
      <c r="K1160" s="41" t="str">
        <f aca="false">IF(J1160="","",IF(J1160&gt;=8,"Yes","Check"))</f>
        <v/>
      </c>
      <c r="L1160" s="38"/>
      <c r="M1160" s="47"/>
      <c r="N1160" s="47"/>
      <c r="O1160" s="37"/>
      <c r="P1160" s="38"/>
      <c r="Q1160" s="42" t="str">
        <f aca="false">IF(P1160="","",LEN(P1160))</f>
        <v/>
      </c>
      <c r="R1160" s="47"/>
      <c r="S1160" s="37"/>
      <c r="T1160" s="38"/>
      <c r="U1160" s="43" t="str">
        <f aca="false">IF(OR(R1160&lt;&gt;"Yes",A1160=""),"",A1160+4)</f>
        <v/>
      </c>
      <c r="V1160" s="47"/>
      <c r="W1160" s="38"/>
      <c r="X1160" s="38"/>
      <c r="Y1160" s="44"/>
      <c r="Z1160" s="44"/>
      <c r="AA1160" s="45" t="str">
        <f aca="false">IF(AND($Y1160="",$Z1160=""),"",ROUND(IFERROR(VALUE(LEFT($Y1160,1)),0)*12+IFERROR(VALUE(LEFT($Z1160,1)),0)*8,0))</f>
        <v/>
      </c>
      <c r="AB1160" s="45" t="str">
        <f aca="false">IF($AA1160="","",IF($AA1160&gt;=80,"A - call first",IF($AA1160&gt;=60,"B - worth pursuing",IF($AA1160&gt;=40,"C - nurture","D - do not spend time here"))))</f>
        <v/>
      </c>
      <c r="AC1160" s="46" t="str">
        <f aca="false">IF($C1160="","",IF($S1160="Converted","7 Certification / Enterprise opportunity",IF($S1160="Application Started","7 Certification / Enterprise opportunity",IF($S1160="Meeting Booked","6 Meeting / Application",IF(OR($S1160="Interested",$S1160="Info Requested"),"5 Interested",IF(OR($S1160="Declined",$S1160="Not Relevant"),"0 Closed - no",IF($R1160="Yes","4 Contacted",IF($N1160="Yes","2 Engaged",IF($M1160="Yes","1 Awareness",IF($AA1160&gt;=60,"3 Qualified","1 Awareness"))))))))))</f>
        <v/>
      </c>
    </row>
    <row r="1161" customFormat="false" ht="30" hidden="false" customHeight="true" outlineLevel="0" collapsed="false">
      <c r="A1161" s="36"/>
      <c r="B1161" s="37"/>
      <c r="C1161" s="37"/>
      <c r="D1161" s="37"/>
      <c r="E1161" s="37"/>
      <c r="F1161" s="37"/>
      <c r="G1161" s="37"/>
      <c r="H1161" s="37"/>
      <c r="I1161" s="37"/>
      <c r="J1161" s="47"/>
      <c r="K1161" s="41" t="str">
        <f aca="false">IF(J1161="","",IF(J1161&gt;=8,"Yes","Check"))</f>
        <v/>
      </c>
      <c r="L1161" s="38"/>
      <c r="M1161" s="47"/>
      <c r="N1161" s="47"/>
      <c r="O1161" s="37"/>
      <c r="P1161" s="38"/>
      <c r="Q1161" s="42" t="str">
        <f aca="false">IF(P1161="","",LEN(P1161))</f>
        <v/>
      </c>
      <c r="R1161" s="47"/>
      <c r="S1161" s="37"/>
      <c r="T1161" s="38"/>
      <c r="U1161" s="43" t="str">
        <f aca="false">IF(OR(R1161&lt;&gt;"Yes",A1161=""),"",A1161+4)</f>
        <v/>
      </c>
      <c r="V1161" s="47"/>
      <c r="W1161" s="38"/>
      <c r="X1161" s="38"/>
      <c r="Y1161" s="44"/>
      <c r="Z1161" s="44"/>
      <c r="AA1161" s="45" t="str">
        <f aca="false">IF(AND($Y1161="",$Z1161=""),"",ROUND(IFERROR(VALUE(LEFT($Y1161,1)),0)*12+IFERROR(VALUE(LEFT($Z1161,1)),0)*8,0))</f>
        <v/>
      </c>
      <c r="AB1161" s="45" t="str">
        <f aca="false">IF($AA1161="","",IF($AA1161&gt;=80,"A - call first",IF($AA1161&gt;=60,"B - worth pursuing",IF($AA1161&gt;=40,"C - nurture","D - do not spend time here"))))</f>
        <v/>
      </c>
      <c r="AC1161" s="46" t="str">
        <f aca="false">IF($C1161="","",IF($S1161="Converted","7 Certification / Enterprise opportunity",IF($S1161="Application Started","7 Certification / Enterprise opportunity",IF($S1161="Meeting Booked","6 Meeting / Application",IF(OR($S1161="Interested",$S1161="Info Requested"),"5 Interested",IF(OR($S1161="Declined",$S1161="Not Relevant"),"0 Closed - no",IF($R1161="Yes","4 Contacted",IF($N1161="Yes","2 Engaged",IF($M1161="Yes","1 Awareness",IF($AA1161&gt;=60,"3 Qualified","1 Awareness"))))))))))</f>
        <v/>
      </c>
    </row>
    <row r="1162" customFormat="false" ht="30" hidden="false" customHeight="true" outlineLevel="0" collapsed="false">
      <c r="A1162" s="36"/>
      <c r="B1162" s="37"/>
      <c r="C1162" s="37"/>
      <c r="D1162" s="37"/>
      <c r="E1162" s="37"/>
      <c r="F1162" s="37"/>
      <c r="G1162" s="37"/>
      <c r="H1162" s="37"/>
      <c r="I1162" s="37"/>
      <c r="J1162" s="47"/>
      <c r="K1162" s="41" t="str">
        <f aca="false">IF(J1162="","",IF(J1162&gt;=8,"Yes","Check"))</f>
        <v/>
      </c>
      <c r="L1162" s="38"/>
      <c r="M1162" s="47"/>
      <c r="N1162" s="47"/>
      <c r="O1162" s="37"/>
      <c r="P1162" s="38"/>
      <c r="Q1162" s="42" t="str">
        <f aca="false">IF(P1162="","",LEN(P1162))</f>
        <v/>
      </c>
      <c r="R1162" s="47"/>
      <c r="S1162" s="37"/>
      <c r="T1162" s="38"/>
      <c r="U1162" s="43" t="str">
        <f aca="false">IF(OR(R1162&lt;&gt;"Yes",A1162=""),"",A1162+4)</f>
        <v/>
      </c>
      <c r="V1162" s="47"/>
      <c r="W1162" s="38"/>
      <c r="X1162" s="38"/>
      <c r="Y1162" s="44"/>
      <c r="Z1162" s="44"/>
      <c r="AA1162" s="45" t="str">
        <f aca="false">IF(AND($Y1162="",$Z1162=""),"",ROUND(IFERROR(VALUE(LEFT($Y1162,1)),0)*12+IFERROR(VALUE(LEFT($Z1162,1)),0)*8,0))</f>
        <v/>
      </c>
      <c r="AB1162" s="45" t="str">
        <f aca="false">IF($AA1162="","",IF($AA1162&gt;=80,"A - call first",IF($AA1162&gt;=60,"B - worth pursuing",IF($AA1162&gt;=40,"C - nurture","D - do not spend time here"))))</f>
        <v/>
      </c>
      <c r="AC1162" s="46" t="str">
        <f aca="false">IF($C1162="","",IF($S1162="Converted","7 Certification / Enterprise opportunity",IF($S1162="Application Started","7 Certification / Enterprise opportunity",IF($S1162="Meeting Booked","6 Meeting / Application",IF(OR($S1162="Interested",$S1162="Info Requested"),"5 Interested",IF(OR($S1162="Declined",$S1162="Not Relevant"),"0 Closed - no",IF($R1162="Yes","4 Contacted",IF($N1162="Yes","2 Engaged",IF($M1162="Yes","1 Awareness",IF($AA1162&gt;=60,"3 Qualified","1 Awareness"))))))))))</f>
        <v/>
      </c>
    </row>
    <row r="1163" customFormat="false" ht="30" hidden="false" customHeight="true" outlineLevel="0" collapsed="false">
      <c r="A1163" s="36"/>
      <c r="B1163" s="37"/>
      <c r="C1163" s="37"/>
      <c r="D1163" s="37"/>
      <c r="E1163" s="37"/>
      <c r="F1163" s="37"/>
      <c r="G1163" s="37"/>
      <c r="H1163" s="37"/>
      <c r="I1163" s="37"/>
      <c r="J1163" s="47"/>
      <c r="K1163" s="41" t="str">
        <f aca="false">IF(J1163="","",IF(J1163&gt;=8,"Yes","Check"))</f>
        <v/>
      </c>
      <c r="L1163" s="38"/>
      <c r="M1163" s="47"/>
      <c r="N1163" s="47"/>
      <c r="O1163" s="37"/>
      <c r="P1163" s="38"/>
      <c r="Q1163" s="42" t="str">
        <f aca="false">IF(P1163="","",LEN(P1163))</f>
        <v/>
      </c>
      <c r="R1163" s="47"/>
      <c r="S1163" s="37"/>
      <c r="T1163" s="38"/>
      <c r="U1163" s="43" t="str">
        <f aca="false">IF(OR(R1163&lt;&gt;"Yes",A1163=""),"",A1163+4)</f>
        <v/>
      </c>
      <c r="V1163" s="47"/>
      <c r="W1163" s="38"/>
      <c r="X1163" s="38"/>
      <c r="Y1163" s="44"/>
      <c r="Z1163" s="44"/>
      <c r="AA1163" s="45" t="str">
        <f aca="false">IF(AND($Y1163="",$Z1163=""),"",ROUND(IFERROR(VALUE(LEFT($Y1163,1)),0)*12+IFERROR(VALUE(LEFT($Z1163,1)),0)*8,0))</f>
        <v/>
      </c>
      <c r="AB1163" s="45" t="str">
        <f aca="false">IF($AA1163="","",IF($AA1163&gt;=80,"A - call first",IF($AA1163&gt;=60,"B - worth pursuing",IF($AA1163&gt;=40,"C - nurture","D - do not spend time here"))))</f>
        <v/>
      </c>
      <c r="AC1163" s="46" t="str">
        <f aca="false">IF($C1163="","",IF($S1163="Converted","7 Certification / Enterprise opportunity",IF($S1163="Application Started","7 Certification / Enterprise opportunity",IF($S1163="Meeting Booked","6 Meeting / Application",IF(OR($S1163="Interested",$S1163="Info Requested"),"5 Interested",IF(OR($S1163="Declined",$S1163="Not Relevant"),"0 Closed - no",IF($R1163="Yes","4 Contacted",IF($N1163="Yes","2 Engaged",IF($M1163="Yes","1 Awareness",IF($AA1163&gt;=60,"3 Qualified","1 Awareness"))))))))))</f>
        <v/>
      </c>
    </row>
    <row r="1164" customFormat="false" ht="30" hidden="false" customHeight="true" outlineLevel="0" collapsed="false">
      <c r="A1164" s="36"/>
      <c r="B1164" s="37"/>
      <c r="C1164" s="37"/>
      <c r="D1164" s="37"/>
      <c r="E1164" s="37"/>
      <c r="F1164" s="37"/>
      <c r="G1164" s="37"/>
      <c r="H1164" s="37"/>
      <c r="I1164" s="37"/>
      <c r="J1164" s="47"/>
      <c r="K1164" s="41" t="str">
        <f aca="false">IF(J1164="","",IF(J1164&gt;=8,"Yes","Check"))</f>
        <v/>
      </c>
      <c r="L1164" s="38"/>
      <c r="M1164" s="47"/>
      <c r="N1164" s="47"/>
      <c r="O1164" s="37"/>
      <c r="P1164" s="38"/>
      <c r="Q1164" s="42" t="str">
        <f aca="false">IF(P1164="","",LEN(P1164))</f>
        <v/>
      </c>
      <c r="R1164" s="47"/>
      <c r="S1164" s="37"/>
      <c r="T1164" s="38"/>
      <c r="U1164" s="43" t="str">
        <f aca="false">IF(OR(R1164&lt;&gt;"Yes",A1164=""),"",A1164+4)</f>
        <v/>
      </c>
      <c r="V1164" s="47"/>
      <c r="W1164" s="38"/>
      <c r="X1164" s="38"/>
      <c r="Y1164" s="44"/>
      <c r="Z1164" s="44"/>
      <c r="AA1164" s="45" t="str">
        <f aca="false">IF(AND($Y1164="",$Z1164=""),"",ROUND(IFERROR(VALUE(LEFT($Y1164,1)),0)*12+IFERROR(VALUE(LEFT($Z1164,1)),0)*8,0))</f>
        <v/>
      </c>
      <c r="AB1164" s="45" t="str">
        <f aca="false">IF($AA1164="","",IF($AA1164&gt;=80,"A - call first",IF($AA1164&gt;=60,"B - worth pursuing",IF($AA1164&gt;=40,"C - nurture","D - do not spend time here"))))</f>
        <v/>
      </c>
      <c r="AC1164" s="46" t="str">
        <f aca="false">IF($C1164="","",IF($S1164="Converted","7 Certification / Enterprise opportunity",IF($S1164="Application Started","7 Certification / Enterprise opportunity",IF($S1164="Meeting Booked","6 Meeting / Application",IF(OR($S1164="Interested",$S1164="Info Requested"),"5 Interested",IF(OR($S1164="Declined",$S1164="Not Relevant"),"0 Closed - no",IF($R1164="Yes","4 Contacted",IF($N1164="Yes","2 Engaged",IF($M1164="Yes","1 Awareness",IF($AA1164&gt;=60,"3 Qualified","1 Awareness"))))))))))</f>
        <v/>
      </c>
    </row>
    <row r="1165" customFormat="false" ht="30" hidden="false" customHeight="true" outlineLevel="0" collapsed="false">
      <c r="A1165" s="36"/>
      <c r="B1165" s="37"/>
      <c r="C1165" s="37"/>
      <c r="D1165" s="37"/>
      <c r="E1165" s="37"/>
      <c r="F1165" s="37"/>
      <c r="G1165" s="37"/>
      <c r="H1165" s="37"/>
      <c r="I1165" s="37"/>
      <c r="J1165" s="47"/>
      <c r="K1165" s="41" t="str">
        <f aca="false">IF(J1165="","",IF(J1165&gt;=8,"Yes","Check"))</f>
        <v/>
      </c>
      <c r="L1165" s="38"/>
      <c r="M1165" s="47"/>
      <c r="N1165" s="47"/>
      <c r="O1165" s="37"/>
      <c r="P1165" s="38"/>
      <c r="Q1165" s="42" t="str">
        <f aca="false">IF(P1165="","",LEN(P1165))</f>
        <v/>
      </c>
      <c r="R1165" s="47"/>
      <c r="S1165" s="37"/>
      <c r="T1165" s="38"/>
      <c r="U1165" s="43" t="str">
        <f aca="false">IF(OR(R1165&lt;&gt;"Yes",A1165=""),"",A1165+4)</f>
        <v/>
      </c>
      <c r="V1165" s="47"/>
      <c r="W1165" s="38"/>
      <c r="X1165" s="38"/>
      <c r="Y1165" s="44"/>
      <c r="Z1165" s="44"/>
      <c r="AA1165" s="45" t="str">
        <f aca="false">IF(AND($Y1165="",$Z1165=""),"",ROUND(IFERROR(VALUE(LEFT($Y1165,1)),0)*12+IFERROR(VALUE(LEFT($Z1165,1)),0)*8,0))</f>
        <v/>
      </c>
      <c r="AB1165" s="45" t="str">
        <f aca="false">IF($AA1165="","",IF($AA1165&gt;=80,"A - call first",IF($AA1165&gt;=60,"B - worth pursuing",IF($AA1165&gt;=40,"C - nurture","D - do not spend time here"))))</f>
        <v/>
      </c>
      <c r="AC1165" s="46" t="str">
        <f aca="false">IF($C1165="","",IF($S1165="Converted","7 Certification / Enterprise opportunity",IF($S1165="Application Started","7 Certification / Enterprise opportunity",IF($S1165="Meeting Booked","6 Meeting / Application",IF(OR($S1165="Interested",$S1165="Info Requested"),"5 Interested",IF(OR($S1165="Declined",$S1165="Not Relevant"),"0 Closed - no",IF($R1165="Yes","4 Contacted",IF($N1165="Yes","2 Engaged",IF($M1165="Yes","1 Awareness",IF($AA1165&gt;=60,"3 Qualified","1 Awareness"))))))))))</f>
        <v/>
      </c>
    </row>
    <row r="1166" customFormat="false" ht="30" hidden="false" customHeight="true" outlineLevel="0" collapsed="false">
      <c r="A1166" s="36"/>
      <c r="B1166" s="37"/>
      <c r="C1166" s="37"/>
      <c r="D1166" s="37"/>
      <c r="E1166" s="37"/>
      <c r="F1166" s="37"/>
      <c r="G1166" s="37"/>
      <c r="H1166" s="37"/>
      <c r="I1166" s="37"/>
      <c r="J1166" s="47"/>
      <c r="K1166" s="41" t="str">
        <f aca="false">IF(J1166="","",IF(J1166&gt;=8,"Yes","Check"))</f>
        <v/>
      </c>
      <c r="L1166" s="38"/>
      <c r="M1166" s="47"/>
      <c r="N1166" s="47"/>
      <c r="O1166" s="37"/>
      <c r="P1166" s="38"/>
      <c r="Q1166" s="42" t="str">
        <f aca="false">IF(P1166="","",LEN(P1166))</f>
        <v/>
      </c>
      <c r="R1166" s="47"/>
      <c r="S1166" s="37"/>
      <c r="T1166" s="38"/>
      <c r="U1166" s="43" t="str">
        <f aca="false">IF(OR(R1166&lt;&gt;"Yes",A1166=""),"",A1166+4)</f>
        <v/>
      </c>
      <c r="V1166" s="47"/>
      <c r="W1166" s="38"/>
      <c r="X1166" s="38"/>
      <c r="Y1166" s="44"/>
      <c r="Z1166" s="44"/>
      <c r="AA1166" s="45" t="str">
        <f aca="false">IF(AND($Y1166="",$Z1166=""),"",ROUND(IFERROR(VALUE(LEFT($Y1166,1)),0)*12+IFERROR(VALUE(LEFT($Z1166,1)),0)*8,0))</f>
        <v/>
      </c>
      <c r="AB1166" s="45" t="str">
        <f aca="false">IF($AA1166="","",IF($AA1166&gt;=80,"A - call first",IF($AA1166&gt;=60,"B - worth pursuing",IF($AA1166&gt;=40,"C - nurture","D - do not spend time here"))))</f>
        <v/>
      </c>
      <c r="AC1166" s="46" t="str">
        <f aca="false">IF($C1166="","",IF($S1166="Converted","7 Certification / Enterprise opportunity",IF($S1166="Application Started","7 Certification / Enterprise opportunity",IF($S1166="Meeting Booked","6 Meeting / Application",IF(OR($S1166="Interested",$S1166="Info Requested"),"5 Interested",IF(OR($S1166="Declined",$S1166="Not Relevant"),"0 Closed - no",IF($R1166="Yes","4 Contacted",IF($N1166="Yes","2 Engaged",IF($M1166="Yes","1 Awareness",IF($AA1166&gt;=60,"3 Qualified","1 Awareness"))))))))))</f>
        <v/>
      </c>
    </row>
    <row r="1167" customFormat="false" ht="30" hidden="false" customHeight="true" outlineLevel="0" collapsed="false">
      <c r="A1167" s="36"/>
      <c r="B1167" s="37"/>
      <c r="C1167" s="37"/>
      <c r="D1167" s="37"/>
      <c r="E1167" s="37"/>
      <c r="F1167" s="37"/>
      <c r="G1167" s="37"/>
      <c r="H1167" s="37"/>
      <c r="I1167" s="37"/>
      <c r="J1167" s="47"/>
      <c r="K1167" s="41" t="str">
        <f aca="false">IF(J1167="","",IF(J1167&gt;=8,"Yes","Check"))</f>
        <v/>
      </c>
      <c r="L1167" s="38"/>
      <c r="M1167" s="47"/>
      <c r="N1167" s="47"/>
      <c r="O1167" s="37"/>
      <c r="P1167" s="38"/>
      <c r="Q1167" s="42" t="str">
        <f aca="false">IF(P1167="","",LEN(P1167))</f>
        <v/>
      </c>
      <c r="R1167" s="47"/>
      <c r="S1167" s="37"/>
      <c r="T1167" s="38"/>
      <c r="U1167" s="43" t="str">
        <f aca="false">IF(OR(R1167&lt;&gt;"Yes",A1167=""),"",A1167+4)</f>
        <v/>
      </c>
      <c r="V1167" s="47"/>
      <c r="W1167" s="38"/>
      <c r="X1167" s="38"/>
      <c r="Y1167" s="44"/>
      <c r="Z1167" s="44"/>
      <c r="AA1167" s="45" t="str">
        <f aca="false">IF(AND($Y1167="",$Z1167=""),"",ROUND(IFERROR(VALUE(LEFT($Y1167,1)),0)*12+IFERROR(VALUE(LEFT($Z1167,1)),0)*8,0))</f>
        <v/>
      </c>
      <c r="AB1167" s="45" t="str">
        <f aca="false">IF($AA1167="","",IF($AA1167&gt;=80,"A - call first",IF($AA1167&gt;=60,"B - worth pursuing",IF($AA1167&gt;=40,"C - nurture","D - do not spend time here"))))</f>
        <v/>
      </c>
      <c r="AC1167" s="46" t="str">
        <f aca="false">IF($C1167="","",IF($S1167="Converted","7 Certification / Enterprise opportunity",IF($S1167="Application Started","7 Certification / Enterprise opportunity",IF($S1167="Meeting Booked","6 Meeting / Application",IF(OR($S1167="Interested",$S1167="Info Requested"),"5 Interested",IF(OR($S1167="Declined",$S1167="Not Relevant"),"0 Closed - no",IF($R1167="Yes","4 Contacted",IF($N1167="Yes","2 Engaged",IF($M1167="Yes","1 Awareness",IF($AA1167&gt;=60,"3 Qualified","1 Awareness"))))))))))</f>
        <v/>
      </c>
    </row>
    <row r="1168" customFormat="false" ht="30" hidden="false" customHeight="true" outlineLevel="0" collapsed="false">
      <c r="A1168" s="36"/>
      <c r="B1168" s="37"/>
      <c r="C1168" s="37"/>
      <c r="D1168" s="37"/>
      <c r="E1168" s="37"/>
      <c r="F1168" s="37"/>
      <c r="G1168" s="37"/>
      <c r="H1168" s="37"/>
      <c r="I1168" s="37"/>
      <c r="J1168" s="47"/>
      <c r="K1168" s="41" t="str">
        <f aca="false">IF(J1168="","",IF(J1168&gt;=8,"Yes","Check"))</f>
        <v/>
      </c>
      <c r="L1168" s="38"/>
      <c r="M1168" s="47"/>
      <c r="N1168" s="47"/>
      <c r="O1168" s="37"/>
      <c r="P1168" s="38"/>
      <c r="Q1168" s="42" t="str">
        <f aca="false">IF(P1168="","",LEN(P1168))</f>
        <v/>
      </c>
      <c r="R1168" s="47"/>
      <c r="S1168" s="37"/>
      <c r="T1168" s="38"/>
      <c r="U1168" s="43" t="str">
        <f aca="false">IF(OR(R1168&lt;&gt;"Yes",A1168=""),"",A1168+4)</f>
        <v/>
      </c>
      <c r="V1168" s="47"/>
      <c r="W1168" s="38"/>
      <c r="X1168" s="38"/>
      <c r="Y1168" s="44"/>
      <c r="Z1168" s="44"/>
      <c r="AA1168" s="45" t="str">
        <f aca="false">IF(AND($Y1168="",$Z1168=""),"",ROUND(IFERROR(VALUE(LEFT($Y1168,1)),0)*12+IFERROR(VALUE(LEFT($Z1168,1)),0)*8,0))</f>
        <v/>
      </c>
      <c r="AB1168" s="45" t="str">
        <f aca="false">IF($AA1168="","",IF($AA1168&gt;=80,"A - call first",IF($AA1168&gt;=60,"B - worth pursuing",IF($AA1168&gt;=40,"C - nurture","D - do not spend time here"))))</f>
        <v/>
      </c>
      <c r="AC1168" s="46" t="str">
        <f aca="false">IF($C1168="","",IF($S1168="Converted","7 Certification / Enterprise opportunity",IF($S1168="Application Started","7 Certification / Enterprise opportunity",IF($S1168="Meeting Booked","6 Meeting / Application",IF(OR($S1168="Interested",$S1168="Info Requested"),"5 Interested",IF(OR($S1168="Declined",$S1168="Not Relevant"),"0 Closed - no",IF($R1168="Yes","4 Contacted",IF($N1168="Yes","2 Engaged",IF($M1168="Yes","1 Awareness",IF($AA1168&gt;=60,"3 Qualified","1 Awareness"))))))))))</f>
        <v/>
      </c>
    </row>
    <row r="1169" customFormat="false" ht="30" hidden="false" customHeight="true" outlineLevel="0" collapsed="false">
      <c r="A1169" s="36"/>
      <c r="B1169" s="37"/>
      <c r="C1169" s="37"/>
      <c r="D1169" s="37"/>
      <c r="E1169" s="37"/>
      <c r="F1169" s="37"/>
      <c r="G1169" s="37"/>
      <c r="H1169" s="37"/>
      <c r="I1169" s="37"/>
      <c r="J1169" s="47"/>
      <c r="K1169" s="41" t="str">
        <f aca="false">IF(J1169="","",IF(J1169&gt;=8,"Yes","Check"))</f>
        <v/>
      </c>
      <c r="L1169" s="38"/>
      <c r="M1169" s="47"/>
      <c r="N1169" s="47"/>
      <c r="O1169" s="37"/>
      <c r="P1169" s="38"/>
      <c r="Q1169" s="42" t="str">
        <f aca="false">IF(P1169="","",LEN(P1169))</f>
        <v/>
      </c>
      <c r="R1169" s="47"/>
      <c r="S1169" s="37"/>
      <c r="T1169" s="38"/>
      <c r="U1169" s="43" t="str">
        <f aca="false">IF(OR(R1169&lt;&gt;"Yes",A1169=""),"",A1169+4)</f>
        <v/>
      </c>
      <c r="V1169" s="47"/>
      <c r="W1169" s="38"/>
      <c r="X1169" s="38"/>
      <c r="Y1169" s="44"/>
      <c r="Z1169" s="44"/>
      <c r="AA1169" s="45" t="str">
        <f aca="false">IF(AND($Y1169="",$Z1169=""),"",ROUND(IFERROR(VALUE(LEFT($Y1169,1)),0)*12+IFERROR(VALUE(LEFT($Z1169,1)),0)*8,0))</f>
        <v/>
      </c>
      <c r="AB1169" s="45" t="str">
        <f aca="false">IF($AA1169="","",IF($AA1169&gt;=80,"A - call first",IF($AA1169&gt;=60,"B - worth pursuing",IF($AA1169&gt;=40,"C - nurture","D - do not spend time here"))))</f>
        <v/>
      </c>
      <c r="AC1169" s="46" t="str">
        <f aca="false">IF($C1169="","",IF($S1169="Converted","7 Certification / Enterprise opportunity",IF($S1169="Application Started","7 Certification / Enterprise opportunity",IF($S1169="Meeting Booked","6 Meeting / Application",IF(OR($S1169="Interested",$S1169="Info Requested"),"5 Interested",IF(OR($S1169="Declined",$S1169="Not Relevant"),"0 Closed - no",IF($R1169="Yes","4 Contacted",IF($N1169="Yes","2 Engaged",IF($M1169="Yes","1 Awareness",IF($AA1169&gt;=60,"3 Qualified","1 Awareness"))))))))))</f>
        <v/>
      </c>
    </row>
    <row r="1170" customFormat="false" ht="30" hidden="false" customHeight="true" outlineLevel="0" collapsed="false">
      <c r="A1170" s="36"/>
      <c r="B1170" s="37"/>
      <c r="C1170" s="37"/>
      <c r="D1170" s="37"/>
      <c r="E1170" s="37"/>
      <c r="F1170" s="37"/>
      <c r="G1170" s="37"/>
      <c r="H1170" s="37"/>
      <c r="I1170" s="37"/>
      <c r="J1170" s="47"/>
      <c r="K1170" s="41" t="str">
        <f aca="false">IF(J1170="","",IF(J1170&gt;=8,"Yes","Check"))</f>
        <v/>
      </c>
      <c r="L1170" s="38"/>
      <c r="M1170" s="47"/>
      <c r="N1170" s="47"/>
      <c r="O1170" s="37"/>
      <c r="P1170" s="38"/>
      <c r="Q1170" s="42" t="str">
        <f aca="false">IF(P1170="","",LEN(P1170))</f>
        <v/>
      </c>
      <c r="R1170" s="47"/>
      <c r="S1170" s="37"/>
      <c r="T1170" s="38"/>
      <c r="U1170" s="43" t="str">
        <f aca="false">IF(OR(R1170&lt;&gt;"Yes",A1170=""),"",A1170+4)</f>
        <v/>
      </c>
      <c r="V1170" s="47"/>
      <c r="W1170" s="38"/>
      <c r="X1170" s="38"/>
      <c r="Y1170" s="44"/>
      <c r="Z1170" s="44"/>
      <c r="AA1170" s="45" t="str">
        <f aca="false">IF(AND($Y1170="",$Z1170=""),"",ROUND(IFERROR(VALUE(LEFT($Y1170,1)),0)*12+IFERROR(VALUE(LEFT($Z1170,1)),0)*8,0))</f>
        <v/>
      </c>
      <c r="AB1170" s="45" t="str">
        <f aca="false">IF($AA1170="","",IF($AA1170&gt;=80,"A - call first",IF($AA1170&gt;=60,"B - worth pursuing",IF($AA1170&gt;=40,"C - nurture","D - do not spend time here"))))</f>
        <v/>
      </c>
      <c r="AC1170" s="46" t="str">
        <f aca="false">IF($C1170="","",IF($S1170="Converted","7 Certification / Enterprise opportunity",IF($S1170="Application Started","7 Certification / Enterprise opportunity",IF($S1170="Meeting Booked","6 Meeting / Application",IF(OR($S1170="Interested",$S1170="Info Requested"),"5 Interested",IF(OR($S1170="Declined",$S1170="Not Relevant"),"0 Closed - no",IF($R1170="Yes","4 Contacted",IF($N1170="Yes","2 Engaged",IF($M1170="Yes","1 Awareness",IF($AA1170&gt;=60,"3 Qualified","1 Awareness"))))))))))</f>
        <v/>
      </c>
    </row>
    <row r="1171" customFormat="false" ht="30" hidden="false" customHeight="true" outlineLevel="0" collapsed="false">
      <c r="A1171" s="36"/>
      <c r="B1171" s="37"/>
      <c r="C1171" s="37"/>
      <c r="D1171" s="37"/>
      <c r="E1171" s="37"/>
      <c r="F1171" s="37"/>
      <c r="G1171" s="37"/>
      <c r="H1171" s="37"/>
      <c r="I1171" s="37"/>
      <c r="J1171" s="47"/>
      <c r="K1171" s="41" t="str">
        <f aca="false">IF(J1171="","",IF(J1171&gt;=8,"Yes","Check"))</f>
        <v/>
      </c>
      <c r="L1171" s="38"/>
      <c r="M1171" s="47"/>
      <c r="N1171" s="47"/>
      <c r="O1171" s="37"/>
      <c r="P1171" s="38"/>
      <c r="Q1171" s="42" t="str">
        <f aca="false">IF(P1171="","",LEN(P1171))</f>
        <v/>
      </c>
      <c r="R1171" s="47"/>
      <c r="S1171" s="37"/>
      <c r="T1171" s="38"/>
      <c r="U1171" s="43" t="str">
        <f aca="false">IF(OR(R1171&lt;&gt;"Yes",A1171=""),"",A1171+4)</f>
        <v/>
      </c>
      <c r="V1171" s="47"/>
      <c r="W1171" s="38"/>
      <c r="X1171" s="38"/>
      <c r="Y1171" s="44"/>
      <c r="Z1171" s="44"/>
      <c r="AA1171" s="45" t="str">
        <f aca="false">IF(AND($Y1171="",$Z1171=""),"",ROUND(IFERROR(VALUE(LEFT($Y1171,1)),0)*12+IFERROR(VALUE(LEFT($Z1171,1)),0)*8,0))</f>
        <v/>
      </c>
      <c r="AB1171" s="45" t="str">
        <f aca="false">IF($AA1171="","",IF($AA1171&gt;=80,"A - call first",IF($AA1171&gt;=60,"B - worth pursuing",IF($AA1171&gt;=40,"C - nurture","D - do not spend time here"))))</f>
        <v/>
      </c>
      <c r="AC1171" s="46" t="str">
        <f aca="false">IF($C1171="","",IF($S1171="Converted","7 Certification / Enterprise opportunity",IF($S1171="Application Started","7 Certification / Enterprise opportunity",IF($S1171="Meeting Booked","6 Meeting / Application",IF(OR($S1171="Interested",$S1171="Info Requested"),"5 Interested",IF(OR($S1171="Declined",$S1171="Not Relevant"),"0 Closed - no",IF($R1171="Yes","4 Contacted",IF($N1171="Yes","2 Engaged",IF($M1171="Yes","1 Awareness",IF($AA1171&gt;=60,"3 Qualified","1 Awareness"))))))))))</f>
        <v/>
      </c>
    </row>
    <row r="1172" customFormat="false" ht="30" hidden="false" customHeight="true" outlineLevel="0" collapsed="false">
      <c r="A1172" s="36"/>
      <c r="B1172" s="37"/>
      <c r="C1172" s="37"/>
      <c r="D1172" s="37"/>
      <c r="E1172" s="37"/>
      <c r="F1172" s="37"/>
      <c r="G1172" s="37"/>
      <c r="H1172" s="37"/>
      <c r="I1172" s="37"/>
      <c r="J1172" s="47"/>
      <c r="K1172" s="41" t="str">
        <f aca="false">IF(J1172="","",IF(J1172&gt;=8,"Yes","Check"))</f>
        <v/>
      </c>
      <c r="L1172" s="38"/>
      <c r="M1172" s="47"/>
      <c r="N1172" s="47"/>
      <c r="O1172" s="37"/>
      <c r="P1172" s="38"/>
      <c r="Q1172" s="42" t="str">
        <f aca="false">IF(P1172="","",LEN(P1172))</f>
        <v/>
      </c>
      <c r="R1172" s="47"/>
      <c r="S1172" s="37"/>
      <c r="T1172" s="38"/>
      <c r="U1172" s="43" t="str">
        <f aca="false">IF(OR(R1172&lt;&gt;"Yes",A1172=""),"",A1172+4)</f>
        <v/>
      </c>
      <c r="V1172" s="47"/>
      <c r="W1172" s="38"/>
      <c r="X1172" s="38"/>
      <c r="Y1172" s="44"/>
      <c r="Z1172" s="44"/>
      <c r="AA1172" s="45" t="str">
        <f aca="false">IF(AND($Y1172="",$Z1172=""),"",ROUND(IFERROR(VALUE(LEFT($Y1172,1)),0)*12+IFERROR(VALUE(LEFT($Z1172,1)),0)*8,0))</f>
        <v/>
      </c>
      <c r="AB1172" s="45" t="str">
        <f aca="false">IF($AA1172="","",IF($AA1172&gt;=80,"A - call first",IF($AA1172&gt;=60,"B - worth pursuing",IF($AA1172&gt;=40,"C - nurture","D - do not spend time here"))))</f>
        <v/>
      </c>
      <c r="AC1172" s="46" t="str">
        <f aca="false">IF($C1172="","",IF($S1172="Converted","7 Certification / Enterprise opportunity",IF($S1172="Application Started","7 Certification / Enterprise opportunity",IF($S1172="Meeting Booked","6 Meeting / Application",IF(OR($S1172="Interested",$S1172="Info Requested"),"5 Interested",IF(OR($S1172="Declined",$S1172="Not Relevant"),"0 Closed - no",IF($R1172="Yes","4 Contacted",IF($N1172="Yes","2 Engaged",IF($M1172="Yes","1 Awareness",IF($AA1172&gt;=60,"3 Qualified","1 Awareness"))))))))))</f>
        <v/>
      </c>
    </row>
    <row r="1173" customFormat="false" ht="30" hidden="false" customHeight="true" outlineLevel="0" collapsed="false">
      <c r="A1173" s="36"/>
      <c r="B1173" s="37"/>
      <c r="C1173" s="37"/>
      <c r="D1173" s="37"/>
      <c r="E1173" s="37"/>
      <c r="F1173" s="37"/>
      <c r="G1173" s="37"/>
      <c r="H1173" s="37"/>
      <c r="I1173" s="37"/>
      <c r="J1173" s="47"/>
      <c r="K1173" s="41" t="str">
        <f aca="false">IF(J1173="","",IF(J1173&gt;=8,"Yes","Check"))</f>
        <v/>
      </c>
      <c r="L1173" s="38"/>
      <c r="M1173" s="47"/>
      <c r="N1173" s="47"/>
      <c r="O1173" s="37"/>
      <c r="P1173" s="38"/>
      <c r="Q1173" s="42" t="str">
        <f aca="false">IF(P1173="","",LEN(P1173))</f>
        <v/>
      </c>
      <c r="R1173" s="47"/>
      <c r="S1173" s="37"/>
      <c r="T1173" s="38"/>
      <c r="U1173" s="43" t="str">
        <f aca="false">IF(OR(R1173&lt;&gt;"Yes",A1173=""),"",A1173+4)</f>
        <v/>
      </c>
      <c r="V1173" s="47"/>
      <c r="W1173" s="38"/>
      <c r="X1173" s="38"/>
      <c r="Y1173" s="44"/>
      <c r="Z1173" s="44"/>
      <c r="AA1173" s="45" t="str">
        <f aca="false">IF(AND($Y1173="",$Z1173=""),"",ROUND(IFERROR(VALUE(LEFT($Y1173,1)),0)*12+IFERROR(VALUE(LEFT($Z1173,1)),0)*8,0))</f>
        <v/>
      </c>
      <c r="AB1173" s="45" t="str">
        <f aca="false">IF($AA1173="","",IF($AA1173&gt;=80,"A - call first",IF($AA1173&gt;=60,"B - worth pursuing",IF($AA1173&gt;=40,"C - nurture","D - do not spend time here"))))</f>
        <v/>
      </c>
      <c r="AC1173" s="46" t="str">
        <f aca="false">IF($C1173="","",IF($S1173="Converted","7 Certification / Enterprise opportunity",IF($S1173="Application Started","7 Certification / Enterprise opportunity",IF($S1173="Meeting Booked","6 Meeting / Application",IF(OR($S1173="Interested",$S1173="Info Requested"),"5 Interested",IF(OR($S1173="Declined",$S1173="Not Relevant"),"0 Closed - no",IF($R1173="Yes","4 Contacted",IF($N1173="Yes","2 Engaged",IF($M1173="Yes","1 Awareness",IF($AA1173&gt;=60,"3 Qualified","1 Awareness"))))))))))</f>
        <v/>
      </c>
    </row>
    <row r="1174" customFormat="false" ht="30" hidden="false" customHeight="true" outlineLevel="0" collapsed="false">
      <c r="A1174" s="36"/>
      <c r="B1174" s="37"/>
      <c r="C1174" s="37"/>
      <c r="D1174" s="37"/>
      <c r="E1174" s="37"/>
      <c r="F1174" s="37"/>
      <c r="G1174" s="37"/>
      <c r="H1174" s="37"/>
      <c r="I1174" s="37"/>
      <c r="J1174" s="47"/>
      <c r="K1174" s="41" t="str">
        <f aca="false">IF(J1174="","",IF(J1174&gt;=8,"Yes","Check"))</f>
        <v/>
      </c>
      <c r="L1174" s="38"/>
      <c r="M1174" s="47"/>
      <c r="N1174" s="47"/>
      <c r="O1174" s="37"/>
      <c r="P1174" s="38"/>
      <c r="Q1174" s="42" t="str">
        <f aca="false">IF(P1174="","",LEN(P1174))</f>
        <v/>
      </c>
      <c r="R1174" s="47"/>
      <c r="S1174" s="37"/>
      <c r="T1174" s="38"/>
      <c r="U1174" s="43" t="str">
        <f aca="false">IF(OR(R1174&lt;&gt;"Yes",A1174=""),"",A1174+4)</f>
        <v/>
      </c>
      <c r="V1174" s="47"/>
      <c r="W1174" s="38"/>
      <c r="X1174" s="38"/>
      <c r="Y1174" s="44"/>
      <c r="Z1174" s="44"/>
      <c r="AA1174" s="45" t="str">
        <f aca="false">IF(AND($Y1174="",$Z1174=""),"",ROUND(IFERROR(VALUE(LEFT($Y1174,1)),0)*12+IFERROR(VALUE(LEFT($Z1174,1)),0)*8,0))</f>
        <v/>
      </c>
      <c r="AB1174" s="45" t="str">
        <f aca="false">IF($AA1174="","",IF($AA1174&gt;=80,"A - call first",IF($AA1174&gt;=60,"B - worth pursuing",IF($AA1174&gt;=40,"C - nurture","D - do not spend time here"))))</f>
        <v/>
      </c>
      <c r="AC1174" s="46" t="str">
        <f aca="false">IF($C1174="","",IF($S1174="Converted","7 Certification / Enterprise opportunity",IF($S1174="Application Started","7 Certification / Enterprise opportunity",IF($S1174="Meeting Booked","6 Meeting / Application",IF(OR($S1174="Interested",$S1174="Info Requested"),"5 Interested",IF(OR($S1174="Declined",$S1174="Not Relevant"),"0 Closed - no",IF($R1174="Yes","4 Contacted",IF($N1174="Yes","2 Engaged",IF($M1174="Yes","1 Awareness",IF($AA1174&gt;=60,"3 Qualified","1 Awareness"))))))))))</f>
        <v/>
      </c>
    </row>
    <row r="1175" customFormat="false" ht="30" hidden="false" customHeight="true" outlineLevel="0" collapsed="false">
      <c r="A1175" s="36"/>
      <c r="B1175" s="37"/>
      <c r="C1175" s="37"/>
      <c r="D1175" s="37"/>
      <c r="E1175" s="37"/>
      <c r="F1175" s="37"/>
      <c r="G1175" s="37"/>
      <c r="H1175" s="37"/>
      <c r="I1175" s="37"/>
      <c r="J1175" s="47"/>
      <c r="K1175" s="41" t="str">
        <f aca="false">IF(J1175="","",IF(J1175&gt;=8,"Yes","Check"))</f>
        <v/>
      </c>
      <c r="L1175" s="38"/>
      <c r="M1175" s="47"/>
      <c r="N1175" s="47"/>
      <c r="O1175" s="37"/>
      <c r="P1175" s="38"/>
      <c r="Q1175" s="42" t="str">
        <f aca="false">IF(P1175="","",LEN(P1175))</f>
        <v/>
      </c>
      <c r="R1175" s="47"/>
      <c r="S1175" s="37"/>
      <c r="T1175" s="38"/>
      <c r="U1175" s="43" t="str">
        <f aca="false">IF(OR(R1175&lt;&gt;"Yes",A1175=""),"",A1175+4)</f>
        <v/>
      </c>
      <c r="V1175" s="47"/>
      <c r="W1175" s="38"/>
      <c r="X1175" s="38"/>
      <c r="Y1175" s="44"/>
      <c r="Z1175" s="44"/>
      <c r="AA1175" s="45" t="str">
        <f aca="false">IF(AND($Y1175="",$Z1175=""),"",ROUND(IFERROR(VALUE(LEFT($Y1175,1)),0)*12+IFERROR(VALUE(LEFT($Z1175,1)),0)*8,0))</f>
        <v/>
      </c>
      <c r="AB1175" s="45" t="str">
        <f aca="false">IF($AA1175="","",IF($AA1175&gt;=80,"A - call first",IF($AA1175&gt;=60,"B - worth pursuing",IF($AA1175&gt;=40,"C - nurture","D - do not spend time here"))))</f>
        <v/>
      </c>
      <c r="AC1175" s="46" t="str">
        <f aca="false">IF($C1175="","",IF($S1175="Converted","7 Certification / Enterprise opportunity",IF($S1175="Application Started","7 Certification / Enterprise opportunity",IF($S1175="Meeting Booked","6 Meeting / Application",IF(OR($S1175="Interested",$S1175="Info Requested"),"5 Interested",IF(OR($S1175="Declined",$S1175="Not Relevant"),"0 Closed - no",IF($R1175="Yes","4 Contacted",IF($N1175="Yes","2 Engaged",IF($M1175="Yes","1 Awareness",IF($AA1175&gt;=60,"3 Qualified","1 Awareness"))))))))))</f>
        <v/>
      </c>
    </row>
    <row r="1176" customFormat="false" ht="30" hidden="false" customHeight="true" outlineLevel="0" collapsed="false">
      <c r="A1176" s="36"/>
      <c r="B1176" s="37"/>
      <c r="C1176" s="37"/>
      <c r="D1176" s="37"/>
      <c r="E1176" s="37"/>
      <c r="F1176" s="37"/>
      <c r="G1176" s="37"/>
      <c r="H1176" s="37"/>
      <c r="I1176" s="37"/>
      <c r="J1176" s="47"/>
      <c r="K1176" s="41" t="str">
        <f aca="false">IF(J1176="","",IF(J1176&gt;=8,"Yes","Check"))</f>
        <v/>
      </c>
      <c r="L1176" s="38"/>
      <c r="M1176" s="47"/>
      <c r="N1176" s="47"/>
      <c r="O1176" s="37"/>
      <c r="P1176" s="38"/>
      <c r="Q1176" s="42" t="str">
        <f aca="false">IF(P1176="","",LEN(P1176))</f>
        <v/>
      </c>
      <c r="R1176" s="47"/>
      <c r="S1176" s="37"/>
      <c r="T1176" s="38"/>
      <c r="U1176" s="43" t="str">
        <f aca="false">IF(OR(R1176&lt;&gt;"Yes",A1176=""),"",A1176+4)</f>
        <v/>
      </c>
      <c r="V1176" s="47"/>
      <c r="W1176" s="38"/>
      <c r="X1176" s="38"/>
      <c r="Y1176" s="44"/>
      <c r="Z1176" s="44"/>
      <c r="AA1176" s="45" t="str">
        <f aca="false">IF(AND($Y1176="",$Z1176=""),"",ROUND(IFERROR(VALUE(LEFT($Y1176,1)),0)*12+IFERROR(VALUE(LEFT($Z1176,1)),0)*8,0))</f>
        <v/>
      </c>
      <c r="AB1176" s="45" t="str">
        <f aca="false">IF($AA1176="","",IF($AA1176&gt;=80,"A - call first",IF($AA1176&gt;=60,"B - worth pursuing",IF($AA1176&gt;=40,"C - nurture","D - do not spend time here"))))</f>
        <v/>
      </c>
      <c r="AC1176" s="46" t="str">
        <f aca="false">IF($C1176="","",IF($S1176="Converted","7 Certification / Enterprise opportunity",IF($S1176="Application Started","7 Certification / Enterprise opportunity",IF($S1176="Meeting Booked","6 Meeting / Application",IF(OR($S1176="Interested",$S1176="Info Requested"),"5 Interested",IF(OR($S1176="Declined",$S1176="Not Relevant"),"0 Closed - no",IF($R1176="Yes","4 Contacted",IF($N1176="Yes","2 Engaged",IF($M1176="Yes","1 Awareness",IF($AA1176&gt;=60,"3 Qualified","1 Awareness"))))))))))</f>
        <v/>
      </c>
    </row>
    <row r="1177" customFormat="false" ht="30" hidden="false" customHeight="true" outlineLevel="0" collapsed="false">
      <c r="A1177" s="36"/>
      <c r="B1177" s="37"/>
      <c r="C1177" s="37"/>
      <c r="D1177" s="37"/>
      <c r="E1177" s="37"/>
      <c r="F1177" s="37"/>
      <c r="G1177" s="37"/>
      <c r="H1177" s="37"/>
      <c r="I1177" s="37"/>
      <c r="J1177" s="47"/>
      <c r="K1177" s="41" t="str">
        <f aca="false">IF(J1177="","",IF(J1177&gt;=8,"Yes","Check"))</f>
        <v/>
      </c>
      <c r="L1177" s="38"/>
      <c r="M1177" s="47"/>
      <c r="N1177" s="47"/>
      <c r="O1177" s="37"/>
      <c r="P1177" s="38"/>
      <c r="Q1177" s="42" t="str">
        <f aca="false">IF(P1177="","",LEN(P1177))</f>
        <v/>
      </c>
      <c r="R1177" s="47"/>
      <c r="S1177" s="37"/>
      <c r="T1177" s="38"/>
      <c r="U1177" s="43" t="str">
        <f aca="false">IF(OR(R1177&lt;&gt;"Yes",A1177=""),"",A1177+4)</f>
        <v/>
      </c>
      <c r="V1177" s="47"/>
      <c r="W1177" s="38"/>
      <c r="X1177" s="38"/>
      <c r="Y1177" s="44"/>
      <c r="Z1177" s="44"/>
      <c r="AA1177" s="45" t="str">
        <f aca="false">IF(AND($Y1177="",$Z1177=""),"",ROUND(IFERROR(VALUE(LEFT($Y1177,1)),0)*12+IFERROR(VALUE(LEFT($Z1177,1)),0)*8,0))</f>
        <v/>
      </c>
      <c r="AB1177" s="45" t="str">
        <f aca="false">IF($AA1177="","",IF($AA1177&gt;=80,"A - call first",IF($AA1177&gt;=60,"B - worth pursuing",IF($AA1177&gt;=40,"C - nurture","D - do not spend time here"))))</f>
        <v/>
      </c>
      <c r="AC1177" s="46" t="str">
        <f aca="false">IF($C1177="","",IF($S1177="Converted","7 Certification / Enterprise opportunity",IF($S1177="Application Started","7 Certification / Enterprise opportunity",IF($S1177="Meeting Booked","6 Meeting / Application",IF(OR($S1177="Interested",$S1177="Info Requested"),"5 Interested",IF(OR($S1177="Declined",$S1177="Not Relevant"),"0 Closed - no",IF($R1177="Yes","4 Contacted",IF($N1177="Yes","2 Engaged",IF($M1177="Yes","1 Awareness",IF($AA1177&gt;=60,"3 Qualified","1 Awareness"))))))))))</f>
        <v/>
      </c>
    </row>
    <row r="1178" customFormat="false" ht="30" hidden="false" customHeight="true" outlineLevel="0" collapsed="false">
      <c r="A1178" s="36"/>
      <c r="B1178" s="37"/>
      <c r="C1178" s="37"/>
      <c r="D1178" s="37"/>
      <c r="E1178" s="37"/>
      <c r="F1178" s="37"/>
      <c r="G1178" s="37"/>
      <c r="H1178" s="37"/>
      <c r="I1178" s="37"/>
      <c r="J1178" s="47"/>
      <c r="K1178" s="41" t="str">
        <f aca="false">IF(J1178="","",IF(J1178&gt;=8,"Yes","Check"))</f>
        <v/>
      </c>
      <c r="L1178" s="38"/>
      <c r="M1178" s="47"/>
      <c r="N1178" s="47"/>
      <c r="O1178" s="37"/>
      <c r="P1178" s="38"/>
      <c r="Q1178" s="42" t="str">
        <f aca="false">IF(P1178="","",LEN(P1178))</f>
        <v/>
      </c>
      <c r="R1178" s="47"/>
      <c r="S1178" s="37"/>
      <c r="T1178" s="38"/>
      <c r="U1178" s="43" t="str">
        <f aca="false">IF(OR(R1178&lt;&gt;"Yes",A1178=""),"",A1178+4)</f>
        <v/>
      </c>
      <c r="V1178" s="47"/>
      <c r="W1178" s="38"/>
      <c r="X1178" s="38"/>
      <c r="Y1178" s="44"/>
      <c r="Z1178" s="44"/>
      <c r="AA1178" s="45" t="str">
        <f aca="false">IF(AND($Y1178="",$Z1178=""),"",ROUND(IFERROR(VALUE(LEFT($Y1178,1)),0)*12+IFERROR(VALUE(LEFT($Z1178,1)),0)*8,0))</f>
        <v/>
      </c>
      <c r="AB1178" s="45" t="str">
        <f aca="false">IF($AA1178="","",IF($AA1178&gt;=80,"A - call first",IF($AA1178&gt;=60,"B - worth pursuing",IF($AA1178&gt;=40,"C - nurture","D - do not spend time here"))))</f>
        <v/>
      </c>
      <c r="AC1178" s="46" t="str">
        <f aca="false">IF($C1178="","",IF($S1178="Converted","7 Certification / Enterprise opportunity",IF($S1178="Application Started","7 Certification / Enterprise opportunity",IF($S1178="Meeting Booked","6 Meeting / Application",IF(OR($S1178="Interested",$S1178="Info Requested"),"5 Interested",IF(OR($S1178="Declined",$S1178="Not Relevant"),"0 Closed - no",IF($R1178="Yes","4 Contacted",IF($N1178="Yes","2 Engaged",IF($M1178="Yes","1 Awareness",IF($AA1178&gt;=60,"3 Qualified","1 Awareness"))))))))))</f>
        <v/>
      </c>
    </row>
    <row r="1179" customFormat="false" ht="30" hidden="false" customHeight="true" outlineLevel="0" collapsed="false">
      <c r="A1179" s="36"/>
      <c r="B1179" s="37"/>
      <c r="C1179" s="37"/>
      <c r="D1179" s="37"/>
      <c r="E1179" s="37"/>
      <c r="F1179" s="37"/>
      <c r="G1179" s="37"/>
      <c r="H1179" s="37"/>
      <c r="I1179" s="37"/>
      <c r="J1179" s="47"/>
      <c r="K1179" s="41" t="str">
        <f aca="false">IF(J1179="","",IF(J1179&gt;=8,"Yes","Check"))</f>
        <v/>
      </c>
      <c r="L1179" s="38"/>
      <c r="M1179" s="47"/>
      <c r="N1179" s="47"/>
      <c r="O1179" s="37"/>
      <c r="P1179" s="38"/>
      <c r="Q1179" s="42" t="str">
        <f aca="false">IF(P1179="","",LEN(P1179))</f>
        <v/>
      </c>
      <c r="R1179" s="47"/>
      <c r="S1179" s="37"/>
      <c r="T1179" s="38"/>
      <c r="U1179" s="43" t="str">
        <f aca="false">IF(OR(R1179&lt;&gt;"Yes",A1179=""),"",A1179+4)</f>
        <v/>
      </c>
      <c r="V1179" s="47"/>
      <c r="W1179" s="38"/>
      <c r="X1179" s="38"/>
      <c r="Y1179" s="44"/>
      <c r="Z1179" s="44"/>
      <c r="AA1179" s="45" t="str">
        <f aca="false">IF(AND($Y1179="",$Z1179=""),"",ROUND(IFERROR(VALUE(LEFT($Y1179,1)),0)*12+IFERROR(VALUE(LEFT($Z1179,1)),0)*8,0))</f>
        <v/>
      </c>
      <c r="AB1179" s="45" t="str">
        <f aca="false">IF($AA1179="","",IF($AA1179&gt;=80,"A - call first",IF($AA1179&gt;=60,"B - worth pursuing",IF($AA1179&gt;=40,"C - nurture","D - do not spend time here"))))</f>
        <v/>
      </c>
      <c r="AC1179" s="46" t="str">
        <f aca="false">IF($C1179="","",IF($S1179="Converted","7 Certification / Enterprise opportunity",IF($S1179="Application Started","7 Certification / Enterprise opportunity",IF($S1179="Meeting Booked","6 Meeting / Application",IF(OR($S1179="Interested",$S1179="Info Requested"),"5 Interested",IF(OR($S1179="Declined",$S1179="Not Relevant"),"0 Closed - no",IF($R1179="Yes","4 Contacted",IF($N1179="Yes","2 Engaged",IF($M1179="Yes","1 Awareness",IF($AA1179&gt;=60,"3 Qualified","1 Awareness"))))))))))</f>
        <v/>
      </c>
    </row>
    <row r="1180" customFormat="false" ht="30" hidden="false" customHeight="true" outlineLevel="0" collapsed="false">
      <c r="A1180" s="36"/>
      <c r="B1180" s="37"/>
      <c r="C1180" s="37"/>
      <c r="D1180" s="37"/>
      <c r="E1180" s="37"/>
      <c r="F1180" s="37"/>
      <c r="G1180" s="37"/>
      <c r="H1180" s="37"/>
      <c r="I1180" s="37"/>
      <c r="J1180" s="47"/>
      <c r="K1180" s="41" t="str">
        <f aca="false">IF(J1180="","",IF(J1180&gt;=8,"Yes","Check"))</f>
        <v/>
      </c>
      <c r="L1180" s="38"/>
      <c r="M1180" s="47"/>
      <c r="N1180" s="47"/>
      <c r="O1180" s="37"/>
      <c r="P1180" s="38"/>
      <c r="Q1180" s="42" t="str">
        <f aca="false">IF(P1180="","",LEN(P1180))</f>
        <v/>
      </c>
      <c r="R1180" s="47"/>
      <c r="S1180" s="37"/>
      <c r="T1180" s="38"/>
      <c r="U1180" s="43" t="str">
        <f aca="false">IF(OR(R1180&lt;&gt;"Yes",A1180=""),"",A1180+4)</f>
        <v/>
      </c>
      <c r="V1180" s="47"/>
      <c r="W1180" s="38"/>
      <c r="X1180" s="38"/>
      <c r="Y1180" s="44"/>
      <c r="Z1180" s="44"/>
      <c r="AA1180" s="45" t="str">
        <f aca="false">IF(AND($Y1180="",$Z1180=""),"",ROUND(IFERROR(VALUE(LEFT($Y1180,1)),0)*12+IFERROR(VALUE(LEFT($Z1180,1)),0)*8,0))</f>
        <v/>
      </c>
      <c r="AB1180" s="45" t="str">
        <f aca="false">IF($AA1180="","",IF($AA1180&gt;=80,"A - call first",IF($AA1180&gt;=60,"B - worth pursuing",IF($AA1180&gt;=40,"C - nurture","D - do not spend time here"))))</f>
        <v/>
      </c>
      <c r="AC1180" s="46" t="str">
        <f aca="false">IF($C1180="","",IF($S1180="Converted","7 Certification / Enterprise opportunity",IF($S1180="Application Started","7 Certification / Enterprise opportunity",IF($S1180="Meeting Booked","6 Meeting / Application",IF(OR($S1180="Interested",$S1180="Info Requested"),"5 Interested",IF(OR($S1180="Declined",$S1180="Not Relevant"),"0 Closed - no",IF($R1180="Yes","4 Contacted",IF($N1180="Yes","2 Engaged",IF($M1180="Yes","1 Awareness",IF($AA1180&gt;=60,"3 Qualified","1 Awareness"))))))))))</f>
        <v/>
      </c>
    </row>
    <row r="1181" customFormat="false" ht="30" hidden="false" customHeight="true" outlineLevel="0" collapsed="false">
      <c r="A1181" s="36"/>
      <c r="B1181" s="37"/>
      <c r="C1181" s="37"/>
      <c r="D1181" s="37"/>
      <c r="E1181" s="37"/>
      <c r="F1181" s="37"/>
      <c r="G1181" s="37"/>
      <c r="H1181" s="37"/>
      <c r="I1181" s="37"/>
      <c r="J1181" s="47"/>
      <c r="K1181" s="41" t="str">
        <f aca="false">IF(J1181="","",IF(J1181&gt;=8,"Yes","Check"))</f>
        <v/>
      </c>
      <c r="L1181" s="38"/>
      <c r="M1181" s="47"/>
      <c r="N1181" s="47"/>
      <c r="O1181" s="37"/>
      <c r="P1181" s="38"/>
      <c r="Q1181" s="42" t="str">
        <f aca="false">IF(P1181="","",LEN(P1181))</f>
        <v/>
      </c>
      <c r="R1181" s="47"/>
      <c r="S1181" s="37"/>
      <c r="T1181" s="38"/>
      <c r="U1181" s="43" t="str">
        <f aca="false">IF(OR(R1181&lt;&gt;"Yes",A1181=""),"",A1181+4)</f>
        <v/>
      </c>
      <c r="V1181" s="47"/>
      <c r="W1181" s="38"/>
      <c r="X1181" s="38"/>
      <c r="Y1181" s="44"/>
      <c r="Z1181" s="44"/>
      <c r="AA1181" s="45" t="str">
        <f aca="false">IF(AND($Y1181="",$Z1181=""),"",ROUND(IFERROR(VALUE(LEFT($Y1181,1)),0)*12+IFERROR(VALUE(LEFT($Z1181,1)),0)*8,0))</f>
        <v/>
      </c>
      <c r="AB1181" s="45" t="str">
        <f aca="false">IF($AA1181="","",IF($AA1181&gt;=80,"A - call first",IF($AA1181&gt;=60,"B - worth pursuing",IF($AA1181&gt;=40,"C - nurture","D - do not spend time here"))))</f>
        <v/>
      </c>
      <c r="AC1181" s="46" t="str">
        <f aca="false">IF($C1181="","",IF($S1181="Converted","7 Certification / Enterprise opportunity",IF($S1181="Application Started","7 Certification / Enterprise opportunity",IF($S1181="Meeting Booked","6 Meeting / Application",IF(OR($S1181="Interested",$S1181="Info Requested"),"5 Interested",IF(OR($S1181="Declined",$S1181="Not Relevant"),"0 Closed - no",IF($R1181="Yes","4 Contacted",IF($N1181="Yes","2 Engaged",IF($M1181="Yes","1 Awareness",IF($AA1181&gt;=60,"3 Qualified","1 Awareness"))))))))))</f>
        <v/>
      </c>
    </row>
    <row r="1182" customFormat="false" ht="30" hidden="false" customHeight="true" outlineLevel="0" collapsed="false">
      <c r="A1182" s="36"/>
      <c r="B1182" s="37"/>
      <c r="C1182" s="37"/>
      <c r="D1182" s="37"/>
      <c r="E1182" s="37"/>
      <c r="F1182" s="37"/>
      <c r="G1182" s="37"/>
      <c r="H1182" s="37"/>
      <c r="I1182" s="37"/>
      <c r="J1182" s="47"/>
      <c r="K1182" s="41" t="str">
        <f aca="false">IF(J1182="","",IF(J1182&gt;=8,"Yes","Check"))</f>
        <v/>
      </c>
      <c r="L1182" s="38"/>
      <c r="M1182" s="47"/>
      <c r="N1182" s="47"/>
      <c r="O1182" s="37"/>
      <c r="P1182" s="38"/>
      <c r="Q1182" s="42" t="str">
        <f aca="false">IF(P1182="","",LEN(P1182))</f>
        <v/>
      </c>
      <c r="R1182" s="47"/>
      <c r="S1182" s="37"/>
      <c r="T1182" s="38"/>
      <c r="U1182" s="43" t="str">
        <f aca="false">IF(OR(R1182&lt;&gt;"Yes",A1182=""),"",A1182+4)</f>
        <v/>
      </c>
      <c r="V1182" s="47"/>
      <c r="W1182" s="38"/>
      <c r="X1182" s="38"/>
      <c r="Y1182" s="44"/>
      <c r="Z1182" s="44"/>
      <c r="AA1182" s="45" t="str">
        <f aca="false">IF(AND($Y1182="",$Z1182=""),"",ROUND(IFERROR(VALUE(LEFT($Y1182,1)),0)*12+IFERROR(VALUE(LEFT($Z1182,1)),0)*8,0))</f>
        <v/>
      </c>
      <c r="AB1182" s="45" t="str">
        <f aca="false">IF($AA1182="","",IF($AA1182&gt;=80,"A - call first",IF($AA1182&gt;=60,"B - worth pursuing",IF($AA1182&gt;=40,"C - nurture","D - do not spend time here"))))</f>
        <v/>
      </c>
      <c r="AC1182" s="46" t="str">
        <f aca="false">IF($C1182="","",IF($S1182="Converted","7 Certification / Enterprise opportunity",IF($S1182="Application Started","7 Certification / Enterprise opportunity",IF($S1182="Meeting Booked","6 Meeting / Application",IF(OR($S1182="Interested",$S1182="Info Requested"),"5 Interested",IF(OR($S1182="Declined",$S1182="Not Relevant"),"0 Closed - no",IF($R1182="Yes","4 Contacted",IF($N1182="Yes","2 Engaged",IF($M1182="Yes","1 Awareness",IF($AA1182&gt;=60,"3 Qualified","1 Awareness"))))))))))</f>
        <v/>
      </c>
    </row>
    <row r="1183" customFormat="false" ht="30" hidden="false" customHeight="true" outlineLevel="0" collapsed="false">
      <c r="A1183" s="36"/>
      <c r="B1183" s="37"/>
      <c r="C1183" s="37"/>
      <c r="D1183" s="37"/>
      <c r="E1183" s="37"/>
      <c r="F1183" s="37"/>
      <c r="G1183" s="37"/>
      <c r="H1183" s="37"/>
      <c r="I1183" s="37"/>
      <c r="J1183" s="47"/>
      <c r="K1183" s="41" t="str">
        <f aca="false">IF(J1183="","",IF(J1183&gt;=8,"Yes","Check"))</f>
        <v/>
      </c>
      <c r="L1183" s="38"/>
      <c r="M1183" s="47"/>
      <c r="N1183" s="47"/>
      <c r="O1183" s="37"/>
      <c r="P1183" s="38"/>
      <c r="Q1183" s="42" t="str">
        <f aca="false">IF(P1183="","",LEN(P1183))</f>
        <v/>
      </c>
      <c r="R1183" s="47"/>
      <c r="S1183" s="37"/>
      <c r="T1183" s="38"/>
      <c r="U1183" s="43" t="str">
        <f aca="false">IF(OR(R1183&lt;&gt;"Yes",A1183=""),"",A1183+4)</f>
        <v/>
      </c>
      <c r="V1183" s="47"/>
      <c r="W1183" s="38"/>
      <c r="X1183" s="38"/>
      <c r="Y1183" s="44"/>
      <c r="Z1183" s="44"/>
      <c r="AA1183" s="45" t="str">
        <f aca="false">IF(AND($Y1183="",$Z1183=""),"",ROUND(IFERROR(VALUE(LEFT($Y1183,1)),0)*12+IFERROR(VALUE(LEFT($Z1183,1)),0)*8,0))</f>
        <v/>
      </c>
      <c r="AB1183" s="45" t="str">
        <f aca="false">IF($AA1183="","",IF($AA1183&gt;=80,"A - call first",IF($AA1183&gt;=60,"B - worth pursuing",IF($AA1183&gt;=40,"C - nurture","D - do not spend time here"))))</f>
        <v/>
      </c>
      <c r="AC1183" s="46" t="str">
        <f aca="false">IF($C1183="","",IF($S1183="Converted","7 Certification / Enterprise opportunity",IF($S1183="Application Started","7 Certification / Enterprise opportunity",IF($S1183="Meeting Booked","6 Meeting / Application",IF(OR($S1183="Interested",$S1183="Info Requested"),"5 Interested",IF(OR($S1183="Declined",$S1183="Not Relevant"),"0 Closed - no",IF($R1183="Yes","4 Contacted",IF($N1183="Yes","2 Engaged",IF($M1183="Yes","1 Awareness",IF($AA1183&gt;=60,"3 Qualified","1 Awareness"))))))))))</f>
        <v/>
      </c>
    </row>
    <row r="1184" customFormat="false" ht="30" hidden="false" customHeight="true" outlineLevel="0" collapsed="false">
      <c r="A1184" s="36"/>
      <c r="B1184" s="37"/>
      <c r="C1184" s="37"/>
      <c r="D1184" s="37"/>
      <c r="E1184" s="37"/>
      <c r="F1184" s="37"/>
      <c r="G1184" s="37"/>
      <c r="H1184" s="37"/>
      <c r="I1184" s="37"/>
      <c r="J1184" s="47"/>
      <c r="K1184" s="41" t="str">
        <f aca="false">IF(J1184="","",IF(J1184&gt;=8,"Yes","Check"))</f>
        <v/>
      </c>
      <c r="L1184" s="38"/>
      <c r="M1184" s="47"/>
      <c r="N1184" s="47"/>
      <c r="O1184" s="37"/>
      <c r="P1184" s="38"/>
      <c r="Q1184" s="42" t="str">
        <f aca="false">IF(P1184="","",LEN(P1184))</f>
        <v/>
      </c>
      <c r="R1184" s="47"/>
      <c r="S1184" s="37"/>
      <c r="T1184" s="38"/>
      <c r="U1184" s="43" t="str">
        <f aca="false">IF(OR(R1184&lt;&gt;"Yes",A1184=""),"",A1184+4)</f>
        <v/>
      </c>
      <c r="V1184" s="47"/>
      <c r="W1184" s="38"/>
      <c r="X1184" s="38"/>
      <c r="Y1184" s="44"/>
      <c r="Z1184" s="44"/>
      <c r="AA1184" s="45" t="str">
        <f aca="false">IF(AND($Y1184="",$Z1184=""),"",ROUND(IFERROR(VALUE(LEFT($Y1184,1)),0)*12+IFERROR(VALUE(LEFT($Z1184,1)),0)*8,0))</f>
        <v/>
      </c>
      <c r="AB1184" s="45" t="str">
        <f aca="false">IF($AA1184="","",IF($AA1184&gt;=80,"A - call first",IF($AA1184&gt;=60,"B - worth pursuing",IF($AA1184&gt;=40,"C - nurture","D - do not spend time here"))))</f>
        <v/>
      </c>
      <c r="AC1184" s="46" t="str">
        <f aca="false">IF($C1184="","",IF($S1184="Converted","7 Certification / Enterprise opportunity",IF($S1184="Application Started","7 Certification / Enterprise opportunity",IF($S1184="Meeting Booked","6 Meeting / Application",IF(OR($S1184="Interested",$S1184="Info Requested"),"5 Interested",IF(OR($S1184="Declined",$S1184="Not Relevant"),"0 Closed - no",IF($R1184="Yes","4 Contacted",IF($N1184="Yes","2 Engaged",IF($M1184="Yes","1 Awareness",IF($AA1184&gt;=60,"3 Qualified","1 Awareness"))))))))))</f>
        <v/>
      </c>
    </row>
    <row r="1185" customFormat="false" ht="30" hidden="false" customHeight="true" outlineLevel="0" collapsed="false">
      <c r="A1185" s="36"/>
      <c r="B1185" s="37"/>
      <c r="C1185" s="37"/>
      <c r="D1185" s="37"/>
      <c r="E1185" s="37"/>
      <c r="F1185" s="37"/>
      <c r="G1185" s="37"/>
      <c r="H1185" s="37"/>
      <c r="I1185" s="37"/>
      <c r="J1185" s="47"/>
      <c r="K1185" s="41" t="str">
        <f aca="false">IF(J1185="","",IF(J1185&gt;=8,"Yes","Check"))</f>
        <v/>
      </c>
      <c r="L1185" s="38"/>
      <c r="M1185" s="47"/>
      <c r="N1185" s="47"/>
      <c r="O1185" s="37"/>
      <c r="P1185" s="38"/>
      <c r="Q1185" s="42" t="str">
        <f aca="false">IF(P1185="","",LEN(P1185))</f>
        <v/>
      </c>
      <c r="R1185" s="47"/>
      <c r="S1185" s="37"/>
      <c r="T1185" s="38"/>
      <c r="U1185" s="43" t="str">
        <f aca="false">IF(OR(R1185&lt;&gt;"Yes",A1185=""),"",A1185+4)</f>
        <v/>
      </c>
      <c r="V1185" s="47"/>
      <c r="W1185" s="38"/>
      <c r="X1185" s="38"/>
      <c r="Y1185" s="44"/>
      <c r="Z1185" s="44"/>
      <c r="AA1185" s="45" t="str">
        <f aca="false">IF(AND($Y1185="",$Z1185=""),"",ROUND(IFERROR(VALUE(LEFT($Y1185,1)),0)*12+IFERROR(VALUE(LEFT($Z1185,1)),0)*8,0))</f>
        <v/>
      </c>
      <c r="AB1185" s="45" t="str">
        <f aca="false">IF($AA1185="","",IF($AA1185&gt;=80,"A - call first",IF($AA1185&gt;=60,"B - worth pursuing",IF($AA1185&gt;=40,"C - nurture","D - do not spend time here"))))</f>
        <v/>
      </c>
      <c r="AC1185" s="46" t="str">
        <f aca="false">IF($C1185="","",IF($S1185="Converted","7 Certification / Enterprise opportunity",IF($S1185="Application Started","7 Certification / Enterprise opportunity",IF($S1185="Meeting Booked","6 Meeting / Application",IF(OR($S1185="Interested",$S1185="Info Requested"),"5 Interested",IF(OR($S1185="Declined",$S1185="Not Relevant"),"0 Closed - no",IF($R1185="Yes","4 Contacted",IF($N1185="Yes","2 Engaged",IF($M1185="Yes","1 Awareness",IF($AA1185&gt;=60,"3 Qualified","1 Awareness"))))))))))</f>
        <v/>
      </c>
    </row>
    <row r="1186" customFormat="false" ht="30" hidden="false" customHeight="true" outlineLevel="0" collapsed="false">
      <c r="A1186" s="36"/>
      <c r="B1186" s="37"/>
      <c r="C1186" s="37"/>
      <c r="D1186" s="37"/>
      <c r="E1186" s="37"/>
      <c r="F1186" s="37"/>
      <c r="G1186" s="37"/>
      <c r="H1186" s="37"/>
      <c r="I1186" s="37"/>
      <c r="J1186" s="47"/>
      <c r="K1186" s="41" t="str">
        <f aca="false">IF(J1186="","",IF(J1186&gt;=8,"Yes","Check"))</f>
        <v/>
      </c>
      <c r="L1186" s="38"/>
      <c r="M1186" s="47"/>
      <c r="N1186" s="47"/>
      <c r="O1186" s="37"/>
      <c r="P1186" s="38"/>
      <c r="Q1186" s="42" t="str">
        <f aca="false">IF(P1186="","",LEN(P1186))</f>
        <v/>
      </c>
      <c r="R1186" s="47"/>
      <c r="S1186" s="37"/>
      <c r="T1186" s="38"/>
      <c r="U1186" s="43" t="str">
        <f aca="false">IF(OR(R1186&lt;&gt;"Yes",A1186=""),"",A1186+4)</f>
        <v/>
      </c>
      <c r="V1186" s="47"/>
      <c r="W1186" s="38"/>
      <c r="X1186" s="38"/>
      <c r="Y1186" s="44"/>
      <c r="Z1186" s="44"/>
      <c r="AA1186" s="45" t="str">
        <f aca="false">IF(AND($Y1186="",$Z1186=""),"",ROUND(IFERROR(VALUE(LEFT($Y1186,1)),0)*12+IFERROR(VALUE(LEFT($Z1186,1)),0)*8,0))</f>
        <v/>
      </c>
      <c r="AB1186" s="45" t="str">
        <f aca="false">IF($AA1186="","",IF($AA1186&gt;=80,"A - call first",IF($AA1186&gt;=60,"B - worth pursuing",IF($AA1186&gt;=40,"C - nurture","D - do not spend time here"))))</f>
        <v/>
      </c>
      <c r="AC1186" s="46" t="str">
        <f aca="false">IF($C1186="","",IF($S1186="Converted","7 Certification / Enterprise opportunity",IF($S1186="Application Started","7 Certification / Enterprise opportunity",IF($S1186="Meeting Booked","6 Meeting / Application",IF(OR($S1186="Interested",$S1186="Info Requested"),"5 Interested",IF(OR($S1186="Declined",$S1186="Not Relevant"),"0 Closed - no",IF($R1186="Yes","4 Contacted",IF($N1186="Yes","2 Engaged",IF($M1186="Yes","1 Awareness",IF($AA1186&gt;=60,"3 Qualified","1 Awareness"))))))))))</f>
        <v/>
      </c>
    </row>
    <row r="1187" customFormat="false" ht="30" hidden="false" customHeight="true" outlineLevel="0" collapsed="false">
      <c r="A1187" s="36"/>
      <c r="B1187" s="37"/>
      <c r="C1187" s="37"/>
      <c r="D1187" s="37"/>
      <c r="E1187" s="37"/>
      <c r="F1187" s="37"/>
      <c r="G1187" s="37"/>
      <c r="H1187" s="37"/>
      <c r="I1187" s="37"/>
      <c r="J1187" s="47"/>
      <c r="K1187" s="41" t="str">
        <f aca="false">IF(J1187="","",IF(J1187&gt;=8,"Yes","Check"))</f>
        <v/>
      </c>
      <c r="L1187" s="38"/>
      <c r="M1187" s="47"/>
      <c r="N1187" s="47"/>
      <c r="O1187" s="37"/>
      <c r="P1187" s="38"/>
      <c r="Q1187" s="42" t="str">
        <f aca="false">IF(P1187="","",LEN(P1187))</f>
        <v/>
      </c>
      <c r="R1187" s="47"/>
      <c r="S1187" s="37"/>
      <c r="T1187" s="38"/>
      <c r="U1187" s="43" t="str">
        <f aca="false">IF(OR(R1187&lt;&gt;"Yes",A1187=""),"",A1187+4)</f>
        <v/>
      </c>
      <c r="V1187" s="47"/>
      <c r="W1187" s="38"/>
      <c r="X1187" s="38"/>
      <c r="Y1187" s="44"/>
      <c r="Z1187" s="44"/>
      <c r="AA1187" s="45" t="str">
        <f aca="false">IF(AND($Y1187="",$Z1187=""),"",ROUND(IFERROR(VALUE(LEFT($Y1187,1)),0)*12+IFERROR(VALUE(LEFT($Z1187,1)),0)*8,0))</f>
        <v/>
      </c>
      <c r="AB1187" s="45" t="str">
        <f aca="false">IF($AA1187="","",IF($AA1187&gt;=80,"A - call first",IF($AA1187&gt;=60,"B - worth pursuing",IF($AA1187&gt;=40,"C - nurture","D - do not spend time here"))))</f>
        <v/>
      </c>
      <c r="AC1187" s="46" t="str">
        <f aca="false">IF($C1187="","",IF($S1187="Converted","7 Certification / Enterprise opportunity",IF($S1187="Application Started","7 Certification / Enterprise opportunity",IF($S1187="Meeting Booked","6 Meeting / Application",IF(OR($S1187="Interested",$S1187="Info Requested"),"5 Interested",IF(OR($S1187="Declined",$S1187="Not Relevant"),"0 Closed - no",IF($R1187="Yes","4 Contacted",IF($N1187="Yes","2 Engaged",IF($M1187="Yes","1 Awareness",IF($AA1187&gt;=60,"3 Qualified","1 Awareness"))))))))))</f>
        <v/>
      </c>
    </row>
    <row r="1188" customFormat="false" ht="30" hidden="false" customHeight="true" outlineLevel="0" collapsed="false">
      <c r="A1188" s="36"/>
      <c r="B1188" s="37"/>
      <c r="C1188" s="37"/>
      <c r="D1188" s="37"/>
      <c r="E1188" s="37"/>
      <c r="F1188" s="37"/>
      <c r="G1188" s="37"/>
      <c r="H1188" s="37"/>
      <c r="I1188" s="37"/>
      <c r="J1188" s="47"/>
      <c r="K1188" s="41" t="str">
        <f aca="false">IF(J1188="","",IF(J1188&gt;=8,"Yes","Check"))</f>
        <v/>
      </c>
      <c r="L1188" s="38"/>
      <c r="M1188" s="47"/>
      <c r="N1188" s="47"/>
      <c r="O1188" s="37"/>
      <c r="P1188" s="38"/>
      <c r="Q1188" s="42" t="str">
        <f aca="false">IF(P1188="","",LEN(P1188))</f>
        <v/>
      </c>
      <c r="R1188" s="47"/>
      <c r="S1188" s="37"/>
      <c r="T1188" s="38"/>
      <c r="U1188" s="43" t="str">
        <f aca="false">IF(OR(R1188&lt;&gt;"Yes",A1188=""),"",A1188+4)</f>
        <v/>
      </c>
      <c r="V1188" s="47"/>
      <c r="W1188" s="38"/>
      <c r="X1188" s="38"/>
      <c r="Y1188" s="44"/>
      <c r="Z1188" s="44"/>
      <c r="AA1188" s="45" t="str">
        <f aca="false">IF(AND($Y1188="",$Z1188=""),"",ROUND(IFERROR(VALUE(LEFT($Y1188,1)),0)*12+IFERROR(VALUE(LEFT($Z1188,1)),0)*8,0))</f>
        <v/>
      </c>
      <c r="AB1188" s="45" t="str">
        <f aca="false">IF($AA1188="","",IF($AA1188&gt;=80,"A - call first",IF($AA1188&gt;=60,"B - worth pursuing",IF($AA1188&gt;=40,"C - nurture","D - do not spend time here"))))</f>
        <v/>
      </c>
      <c r="AC1188" s="46" t="str">
        <f aca="false">IF($C1188="","",IF($S1188="Converted","7 Certification / Enterprise opportunity",IF($S1188="Application Started","7 Certification / Enterprise opportunity",IF($S1188="Meeting Booked","6 Meeting / Application",IF(OR($S1188="Interested",$S1188="Info Requested"),"5 Interested",IF(OR($S1188="Declined",$S1188="Not Relevant"),"0 Closed - no",IF($R1188="Yes","4 Contacted",IF($N1188="Yes","2 Engaged",IF($M1188="Yes","1 Awareness",IF($AA1188&gt;=60,"3 Qualified","1 Awareness"))))))))))</f>
        <v/>
      </c>
    </row>
    <row r="1189" customFormat="false" ht="30" hidden="false" customHeight="true" outlineLevel="0" collapsed="false">
      <c r="A1189" s="36"/>
      <c r="B1189" s="37"/>
      <c r="C1189" s="37"/>
      <c r="D1189" s="37"/>
      <c r="E1189" s="37"/>
      <c r="F1189" s="37"/>
      <c r="G1189" s="37"/>
      <c r="H1189" s="37"/>
      <c r="I1189" s="37"/>
      <c r="J1189" s="47"/>
      <c r="K1189" s="41" t="str">
        <f aca="false">IF(J1189="","",IF(J1189&gt;=8,"Yes","Check"))</f>
        <v/>
      </c>
      <c r="L1189" s="38"/>
      <c r="M1189" s="47"/>
      <c r="N1189" s="47"/>
      <c r="O1189" s="37"/>
      <c r="P1189" s="38"/>
      <c r="Q1189" s="42" t="str">
        <f aca="false">IF(P1189="","",LEN(P1189))</f>
        <v/>
      </c>
      <c r="R1189" s="47"/>
      <c r="S1189" s="37"/>
      <c r="T1189" s="38"/>
      <c r="U1189" s="43" t="str">
        <f aca="false">IF(OR(R1189&lt;&gt;"Yes",A1189=""),"",A1189+4)</f>
        <v/>
      </c>
      <c r="V1189" s="47"/>
      <c r="W1189" s="38"/>
      <c r="X1189" s="38"/>
      <c r="Y1189" s="44"/>
      <c r="Z1189" s="44"/>
      <c r="AA1189" s="45" t="str">
        <f aca="false">IF(AND($Y1189="",$Z1189=""),"",ROUND(IFERROR(VALUE(LEFT($Y1189,1)),0)*12+IFERROR(VALUE(LEFT($Z1189,1)),0)*8,0))</f>
        <v/>
      </c>
      <c r="AB1189" s="45" t="str">
        <f aca="false">IF($AA1189="","",IF($AA1189&gt;=80,"A - call first",IF($AA1189&gt;=60,"B - worth pursuing",IF($AA1189&gt;=40,"C - nurture","D - do not spend time here"))))</f>
        <v/>
      </c>
      <c r="AC1189" s="46" t="str">
        <f aca="false">IF($C1189="","",IF($S1189="Converted","7 Certification / Enterprise opportunity",IF($S1189="Application Started","7 Certification / Enterprise opportunity",IF($S1189="Meeting Booked","6 Meeting / Application",IF(OR($S1189="Interested",$S1189="Info Requested"),"5 Interested",IF(OR($S1189="Declined",$S1189="Not Relevant"),"0 Closed - no",IF($R1189="Yes","4 Contacted",IF($N1189="Yes","2 Engaged",IF($M1189="Yes","1 Awareness",IF($AA1189&gt;=60,"3 Qualified","1 Awareness"))))))))))</f>
        <v/>
      </c>
    </row>
    <row r="1190" customFormat="false" ht="30" hidden="false" customHeight="true" outlineLevel="0" collapsed="false">
      <c r="A1190" s="36"/>
      <c r="B1190" s="37"/>
      <c r="C1190" s="37"/>
      <c r="D1190" s="37"/>
      <c r="E1190" s="37"/>
      <c r="F1190" s="37"/>
      <c r="G1190" s="37"/>
      <c r="H1190" s="37"/>
      <c r="I1190" s="37"/>
      <c r="J1190" s="47"/>
      <c r="K1190" s="41" t="str">
        <f aca="false">IF(J1190="","",IF(J1190&gt;=8,"Yes","Check"))</f>
        <v/>
      </c>
      <c r="L1190" s="38"/>
      <c r="M1190" s="47"/>
      <c r="N1190" s="47"/>
      <c r="O1190" s="37"/>
      <c r="P1190" s="38"/>
      <c r="Q1190" s="42" t="str">
        <f aca="false">IF(P1190="","",LEN(P1190))</f>
        <v/>
      </c>
      <c r="R1190" s="47"/>
      <c r="S1190" s="37"/>
      <c r="T1190" s="38"/>
      <c r="U1190" s="43" t="str">
        <f aca="false">IF(OR(R1190&lt;&gt;"Yes",A1190=""),"",A1190+4)</f>
        <v/>
      </c>
      <c r="V1190" s="47"/>
      <c r="W1190" s="38"/>
      <c r="X1190" s="38"/>
      <c r="Y1190" s="44"/>
      <c r="Z1190" s="44"/>
      <c r="AA1190" s="45" t="str">
        <f aca="false">IF(AND($Y1190="",$Z1190=""),"",ROUND(IFERROR(VALUE(LEFT($Y1190,1)),0)*12+IFERROR(VALUE(LEFT($Z1190,1)),0)*8,0))</f>
        <v/>
      </c>
      <c r="AB1190" s="45" t="str">
        <f aca="false">IF($AA1190="","",IF($AA1190&gt;=80,"A - call first",IF($AA1190&gt;=60,"B - worth pursuing",IF($AA1190&gt;=40,"C - nurture","D - do not spend time here"))))</f>
        <v/>
      </c>
      <c r="AC1190" s="46" t="str">
        <f aca="false">IF($C1190="","",IF($S1190="Converted","7 Certification / Enterprise opportunity",IF($S1190="Application Started","7 Certification / Enterprise opportunity",IF($S1190="Meeting Booked","6 Meeting / Application",IF(OR($S1190="Interested",$S1190="Info Requested"),"5 Interested",IF(OR($S1190="Declined",$S1190="Not Relevant"),"0 Closed - no",IF($R1190="Yes","4 Contacted",IF($N1190="Yes","2 Engaged",IF($M1190="Yes","1 Awareness",IF($AA1190&gt;=60,"3 Qualified","1 Awareness"))))))))))</f>
        <v/>
      </c>
    </row>
    <row r="1191" customFormat="false" ht="30" hidden="false" customHeight="true" outlineLevel="0" collapsed="false">
      <c r="A1191" s="36"/>
      <c r="B1191" s="37"/>
      <c r="C1191" s="37"/>
      <c r="D1191" s="37"/>
      <c r="E1191" s="37"/>
      <c r="F1191" s="37"/>
      <c r="G1191" s="37"/>
      <c r="H1191" s="37"/>
      <c r="I1191" s="37"/>
      <c r="J1191" s="47"/>
      <c r="K1191" s="41" t="str">
        <f aca="false">IF(J1191="","",IF(J1191&gt;=8,"Yes","Check"))</f>
        <v/>
      </c>
      <c r="L1191" s="38"/>
      <c r="M1191" s="47"/>
      <c r="N1191" s="47"/>
      <c r="O1191" s="37"/>
      <c r="P1191" s="38"/>
      <c r="Q1191" s="42" t="str">
        <f aca="false">IF(P1191="","",LEN(P1191))</f>
        <v/>
      </c>
      <c r="R1191" s="47"/>
      <c r="S1191" s="37"/>
      <c r="T1191" s="38"/>
      <c r="U1191" s="43" t="str">
        <f aca="false">IF(OR(R1191&lt;&gt;"Yes",A1191=""),"",A1191+4)</f>
        <v/>
      </c>
      <c r="V1191" s="47"/>
      <c r="W1191" s="38"/>
      <c r="X1191" s="38"/>
      <c r="Y1191" s="44"/>
      <c r="Z1191" s="44"/>
      <c r="AA1191" s="45" t="str">
        <f aca="false">IF(AND($Y1191="",$Z1191=""),"",ROUND(IFERROR(VALUE(LEFT($Y1191,1)),0)*12+IFERROR(VALUE(LEFT($Z1191,1)),0)*8,0))</f>
        <v/>
      </c>
      <c r="AB1191" s="45" t="str">
        <f aca="false">IF($AA1191="","",IF($AA1191&gt;=80,"A - call first",IF($AA1191&gt;=60,"B - worth pursuing",IF($AA1191&gt;=40,"C - nurture","D - do not spend time here"))))</f>
        <v/>
      </c>
      <c r="AC1191" s="46" t="str">
        <f aca="false">IF($C1191="","",IF($S1191="Converted","7 Certification / Enterprise opportunity",IF($S1191="Application Started","7 Certification / Enterprise opportunity",IF($S1191="Meeting Booked","6 Meeting / Application",IF(OR($S1191="Interested",$S1191="Info Requested"),"5 Interested",IF(OR($S1191="Declined",$S1191="Not Relevant"),"0 Closed - no",IF($R1191="Yes","4 Contacted",IF($N1191="Yes","2 Engaged",IF($M1191="Yes","1 Awareness",IF($AA1191&gt;=60,"3 Qualified","1 Awareness"))))))))))</f>
        <v/>
      </c>
    </row>
    <row r="1192" customFormat="false" ht="30" hidden="false" customHeight="true" outlineLevel="0" collapsed="false">
      <c r="A1192" s="36"/>
      <c r="B1192" s="37"/>
      <c r="C1192" s="37"/>
      <c r="D1192" s="37"/>
      <c r="E1192" s="37"/>
      <c r="F1192" s="37"/>
      <c r="G1192" s="37"/>
      <c r="H1192" s="37"/>
      <c r="I1192" s="37"/>
      <c r="J1192" s="47"/>
      <c r="K1192" s="41" t="str">
        <f aca="false">IF(J1192="","",IF(J1192&gt;=8,"Yes","Check"))</f>
        <v/>
      </c>
      <c r="L1192" s="38"/>
      <c r="M1192" s="47"/>
      <c r="N1192" s="47"/>
      <c r="O1192" s="37"/>
      <c r="P1192" s="38"/>
      <c r="Q1192" s="42" t="str">
        <f aca="false">IF(P1192="","",LEN(P1192))</f>
        <v/>
      </c>
      <c r="R1192" s="47"/>
      <c r="S1192" s="37"/>
      <c r="T1192" s="38"/>
      <c r="U1192" s="43" t="str">
        <f aca="false">IF(OR(R1192&lt;&gt;"Yes",A1192=""),"",A1192+4)</f>
        <v/>
      </c>
      <c r="V1192" s="47"/>
      <c r="W1192" s="38"/>
      <c r="X1192" s="38"/>
      <c r="Y1192" s="44"/>
      <c r="Z1192" s="44"/>
      <c r="AA1192" s="45" t="str">
        <f aca="false">IF(AND($Y1192="",$Z1192=""),"",ROUND(IFERROR(VALUE(LEFT($Y1192,1)),0)*12+IFERROR(VALUE(LEFT($Z1192,1)),0)*8,0))</f>
        <v/>
      </c>
      <c r="AB1192" s="45" t="str">
        <f aca="false">IF($AA1192="","",IF($AA1192&gt;=80,"A - call first",IF($AA1192&gt;=60,"B - worth pursuing",IF($AA1192&gt;=40,"C - nurture","D - do not spend time here"))))</f>
        <v/>
      </c>
      <c r="AC1192" s="46" t="str">
        <f aca="false">IF($C1192="","",IF($S1192="Converted","7 Certification / Enterprise opportunity",IF($S1192="Application Started","7 Certification / Enterprise opportunity",IF($S1192="Meeting Booked","6 Meeting / Application",IF(OR($S1192="Interested",$S1192="Info Requested"),"5 Interested",IF(OR($S1192="Declined",$S1192="Not Relevant"),"0 Closed - no",IF($R1192="Yes","4 Contacted",IF($N1192="Yes","2 Engaged",IF($M1192="Yes","1 Awareness",IF($AA1192&gt;=60,"3 Qualified","1 Awareness"))))))))))</f>
        <v/>
      </c>
    </row>
    <row r="1193" customFormat="false" ht="30" hidden="false" customHeight="true" outlineLevel="0" collapsed="false">
      <c r="A1193" s="36"/>
      <c r="B1193" s="37"/>
      <c r="C1193" s="37"/>
      <c r="D1193" s="37"/>
      <c r="E1193" s="37"/>
      <c r="F1193" s="37"/>
      <c r="G1193" s="37"/>
      <c r="H1193" s="37"/>
      <c r="I1193" s="37"/>
      <c r="J1193" s="47"/>
      <c r="K1193" s="41" t="str">
        <f aca="false">IF(J1193="","",IF(J1193&gt;=8,"Yes","Check"))</f>
        <v/>
      </c>
      <c r="L1193" s="38"/>
      <c r="M1193" s="47"/>
      <c r="N1193" s="47"/>
      <c r="O1193" s="37"/>
      <c r="P1193" s="38"/>
      <c r="Q1193" s="42" t="str">
        <f aca="false">IF(P1193="","",LEN(P1193))</f>
        <v/>
      </c>
      <c r="R1193" s="47"/>
      <c r="S1193" s="37"/>
      <c r="T1193" s="38"/>
      <c r="U1193" s="43" t="str">
        <f aca="false">IF(OR(R1193&lt;&gt;"Yes",A1193=""),"",A1193+4)</f>
        <v/>
      </c>
      <c r="V1193" s="47"/>
      <c r="W1193" s="38"/>
      <c r="X1193" s="38"/>
      <c r="Y1193" s="44"/>
      <c r="Z1193" s="44"/>
      <c r="AA1193" s="45" t="str">
        <f aca="false">IF(AND($Y1193="",$Z1193=""),"",ROUND(IFERROR(VALUE(LEFT($Y1193,1)),0)*12+IFERROR(VALUE(LEFT($Z1193,1)),0)*8,0))</f>
        <v/>
      </c>
      <c r="AB1193" s="45" t="str">
        <f aca="false">IF($AA1193="","",IF($AA1193&gt;=80,"A - call first",IF($AA1193&gt;=60,"B - worth pursuing",IF($AA1193&gt;=40,"C - nurture","D - do not spend time here"))))</f>
        <v/>
      </c>
      <c r="AC1193" s="46" t="str">
        <f aca="false">IF($C1193="","",IF($S1193="Converted","7 Certification / Enterprise opportunity",IF($S1193="Application Started","7 Certification / Enterprise opportunity",IF($S1193="Meeting Booked","6 Meeting / Application",IF(OR($S1193="Interested",$S1193="Info Requested"),"5 Interested",IF(OR($S1193="Declined",$S1193="Not Relevant"),"0 Closed - no",IF($R1193="Yes","4 Contacted",IF($N1193="Yes","2 Engaged",IF($M1193="Yes","1 Awareness",IF($AA1193&gt;=60,"3 Qualified","1 Awareness"))))))))))</f>
        <v/>
      </c>
    </row>
    <row r="1194" customFormat="false" ht="30" hidden="false" customHeight="true" outlineLevel="0" collapsed="false">
      <c r="A1194" s="36"/>
      <c r="B1194" s="37"/>
      <c r="C1194" s="37"/>
      <c r="D1194" s="37"/>
      <c r="E1194" s="37"/>
      <c r="F1194" s="37"/>
      <c r="G1194" s="37"/>
      <c r="H1194" s="37"/>
      <c r="I1194" s="37"/>
      <c r="J1194" s="47"/>
      <c r="K1194" s="41" t="str">
        <f aca="false">IF(J1194="","",IF(J1194&gt;=8,"Yes","Check"))</f>
        <v/>
      </c>
      <c r="L1194" s="38"/>
      <c r="M1194" s="47"/>
      <c r="N1194" s="47"/>
      <c r="O1194" s="37"/>
      <c r="P1194" s="38"/>
      <c r="Q1194" s="42" t="str">
        <f aca="false">IF(P1194="","",LEN(P1194))</f>
        <v/>
      </c>
      <c r="R1194" s="47"/>
      <c r="S1194" s="37"/>
      <c r="T1194" s="38"/>
      <c r="U1194" s="43" t="str">
        <f aca="false">IF(OR(R1194&lt;&gt;"Yes",A1194=""),"",A1194+4)</f>
        <v/>
      </c>
      <c r="V1194" s="47"/>
      <c r="W1194" s="38"/>
      <c r="X1194" s="38"/>
      <c r="Y1194" s="44"/>
      <c r="Z1194" s="44"/>
      <c r="AA1194" s="45" t="str">
        <f aca="false">IF(AND($Y1194="",$Z1194=""),"",ROUND(IFERROR(VALUE(LEFT($Y1194,1)),0)*12+IFERROR(VALUE(LEFT($Z1194,1)),0)*8,0))</f>
        <v/>
      </c>
      <c r="AB1194" s="45" t="str">
        <f aca="false">IF($AA1194="","",IF($AA1194&gt;=80,"A - call first",IF($AA1194&gt;=60,"B - worth pursuing",IF($AA1194&gt;=40,"C - nurture","D - do not spend time here"))))</f>
        <v/>
      </c>
      <c r="AC1194" s="46" t="str">
        <f aca="false">IF($C1194="","",IF($S1194="Converted","7 Certification / Enterprise opportunity",IF($S1194="Application Started","7 Certification / Enterprise opportunity",IF($S1194="Meeting Booked","6 Meeting / Application",IF(OR($S1194="Interested",$S1194="Info Requested"),"5 Interested",IF(OR($S1194="Declined",$S1194="Not Relevant"),"0 Closed - no",IF($R1194="Yes","4 Contacted",IF($N1194="Yes","2 Engaged",IF($M1194="Yes","1 Awareness",IF($AA1194&gt;=60,"3 Qualified","1 Awareness"))))))))))</f>
        <v/>
      </c>
    </row>
    <row r="1195" customFormat="false" ht="30" hidden="false" customHeight="true" outlineLevel="0" collapsed="false">
      <c r="A1195" s="36"/>
      <c r="B1195" s="37"/>
      <c r="C1195" s="37"/>
      <c r="D1195" s="37"/>
      <c r="E1195" s="37"/>
      <c r="F1195" s="37"/>
      <c r="G1195" s="37"/>
      <c r="H1195" s="37"/>
      <c r="I1195" s="37"/>
      <c r="J1195" s="47"/>
      <c r="K1195" s="41" t="str">
        <f aca="false">IF(J1195="","",IF(J1195&gt;=8,"Yes","Check"))</f>
        <v/>
      </c>
      <c r="L1195" s="38"/>
      <c r="M1195" s="47"/>
      <c r="N1195" s="47"/>
      <c r="O1195" s="37"/>
      <c r="P1195" s="38"/>
      <c r="Q1195" s="42" t="str">
        <f aca="false">IF(P1195="","",LEN(P1195))</f>
        <v/>
      </c>
      <c r="R1195" s="47"/>
      <c r="S1195" s="37"/>
      <c r="T1195" s="38"/>
      <c r="U1195" s="43" t="str">
        <f aca="false">IF(OR(R1195&lt;&gt;"Yes",A1195=""),"",A1195+4)</f>
        <v/>
      </c>
      <c r="V1195" s="47"/>
      <c r="W1195" s="38"/>
      <c r="X1195" s="38"/>
      <c r="Y1195" s="44"/>
      <c r="Z1195" s="44"/>
      <c r="AA1195" s="45" t="str">
        <f aca="false">IF(AND($Y1195="",$Z1195=""),"",ROUND(IFERROR(VALUE(LEFT($Y1195,1)),0)*12+IFERROR(VALUE(LEFT($Z1195,1)),0)*8,0))</f>
        <v/>
      </c>
      <c r="AB1195" s="45" t="str">
        <f aca="false">IF($AA1195="","",IF($AA1195&gt;=80,"A - call first",IF($AA1195&gt;=60,"B - worth pursuing",IF($AA1195&gt;=40,"C - nurture","D - do not spend time here"))))</f>
        <v/>
      </c>
      <c r="AC1195" s="46" t="str">
        <f aca="false">IF($C1195="","",IF($S1195="Converted","7 Certification / Enterprise opportunity",IF($S1195="Application Started","7 Certification / Enterprise opportunity",IF($S1195="Meeting Booked","6 Meeting / Application",IF(OR($S1195="Interested",$S1195="Info Requested"),"5 Interested",IF(OR($S1195="Declined",$S1195="Not Relevant"),"0 Closed - no",IF($R1195="Yes","4 Contacted",IF($N1195="Yes","2 Engaged",IF($M1195="Yes","1 Awareness",IF($AA1195&gt;=60,"3 Qualified","1 Awareness"))))))))))</f>
        <v/>
      </c>
    </row>
    <row r="1196" customFormat="false" ht="30" hidden="false" customHeight="true" outlineLevel="0" collapsed="false">
      <c r="A1196" s="36"/>
      <c r="B1196" s="37"/>
      <c r="C1196" s="37"/>
      <c r="D1196" s="37"/>
      <c r="E1196" s="37"/>
      <c r="F1196" s="37"/>
      <c r="G1196" s="37"/>
      <c r="H1196" s="37"/>
      <c r="I1196" s="37"/>
      <c r="J1196" s="47"/>
      <c r="K1196" s="41" t="str">
        <f aca="false">IF(J1196="","",IF(J1196&gt;=8,"Yes","Check"))</f>
        <v/>
      </c>
      <c r="L1196" s="38"/>
      <c r="M1196" s="47"/>
      <c r="N1196" s="47"/>
      <c r="O1196" s="37"/>
      <c r="P1196" s="38"/>
      <c r="Q1196" s="42" t="str">
        <f aca="false">IF(P1196="","",LEN(P1196))</f>
        <v/>
      </c>
      <c r="R1196" s="47"/>
      <c r="S1196" s="37"/>
      <c r="T1196" s="38"/>
      <c r="U1196" s="43" t="str">
        <f aca="false">IF(OR(R1196&lt;&gt;"Yes",A1196=""),"",A1196+4)</f>
        <v/>
      </c>
      <c r="V1196" s="47"/>
      <c r="W1196" s="38"/>
      <c r="X1196" s="38"/>
      <c r="Y1196" s="44"/>
      <c r="Z1196" s="44"/>
      <c r="AA1196" s="45" t="str">
        <f aca="false">IF(AND($Y1196="",$Z1196=""),"",ROUND(IFERROR(VALUE(LEFT($Y1196,1)),0)*12+IFERROR(VALUE(LEFT($Z1196,1)),0)*8,0))</f>
        <v/>
      </c>
      <c r="AB1196" s="45" t="str">
        <f aca="false">IF($AA1196="","",IF($AA1196&gt;=80,"A - call first",IF($AA1196&gt;=60,"B - worth pursuing",IF($AA1196&gt;=40,"C - nurture","D - do not spend time here"))))</f>
        <v/>
      </c>
      <c r="AC1196" s="46" t="str">
        <f aca="false">IF($C1196="","",IF($S1196="Converted","7 Certification / Enterprise opportunity",IF($S1196="Application Started","7 Certification / Enterprise opportunity",IF($S1196="Meeting Booked","6 Meeting / Application",IF(OR($S1196="Interested",$S1196="Info Requested"),"5 Interested",IF(OR($S1196="Declined",$S1196="Not Relevant"),"0 Closed - no",IF($R1196="Yes","4 Contacted",IF($N1196="Yes","2 Engaged",IF($M1196="Yes","1 Awareness",IF($AA1196&gt;=60,"3 Qualified","1 Awareness"))))))))))</f>
        <v/>
      </c>
    </row>
    <row r="1197" customFormat="false" ht="30" hidden="false" customHeight="true" outlineLevel="0" collapsed="false">
      <c r="A1197" s="36"/>
      <c r="B1197" s="37"/>
      <c r="C1197" s="37"/>
      <c r="D1197" s="37"/>
      <c r="E1197" s="37"/>
      <c r="F1197" s="37"/>
      <c r="G1197" s="37"/>
      <c r="H1197" s="37"/>
      <c r="I1197" s="37"/>
      <c r="J1197" s="47"/>
      <c r="K1197" s="41" t="str">
        <f aca="false">IF(J1197="","",IF(J1197&gt;=8,"Yes","Check"))</f>
        <v/>
      </c>
      <c r="L1197" s="38"/>
      <c r="M1197" s="47"/>
      <c r="N1197" s="47"/>
      <c r="O1197" s="37"/>
      <c r="P1197" s="38"/>
      <c r="Q1197" s="42" t="str">
        <f aca="false">IF(P1197="","",LEN(P1197))</f>
        <v/>
      </c>
      <c r="R1197" s="47"/>
      <c r="S1197" s="37"/>
      <c r="T1197" s="38"/>
      <c r="U1197" s="43" t="str">
        <f aca="false">IF(OR(R1197&lt;&gt;"Yes",A1197=""),"",A1197+4)</f>
        <v/>
      </c>
      <c r="V1197" s="47"/>
      <c r="W1197" s="38"/>
      <c r="X1197" s="38"/>
      <c r="Y1197" s="44"/>
      <c r="Z1197" s="44"/>
      <c r="AA1197" s="45" t="str">
        <f aca="false">IF(AND($Y1197="",$Z1197=""),"",ROUND(IFERROR(VALUE(LEFT($Y1197,1)),0)*12+IFERROR(VALUE(LEFT($Z1197,1)),0)*8,0))</f>
        <v/>
      </c>
      <c r="AB1197" s="45" t="str">
        <f aca="false">IF($AA1197="","",IF($AA1197&gt;=80,"A - call first",IF($AA1197&gt;=60,"B - worth pursuing",IF($AA1197&gt;=40,"C - nurture","D - do not spend time here"))))</f>
        <v/>
      </c>
      <c r="AC1197" s="46" t="str">
        <f aca="false">IF($C1197="","",IF($S1197="Converted","7 Certification / Enterprise opportunity",IF($S1197="Application Started","7 Certification / Enterprise opportunity",IF($S1197="Meeting Booked","6 Meeting / Application",IF(OR($S1197="Interested",$S1197="Info Requested"),"5 Interested",IF(OR($S1197="Declined",$S1197="Not Relevant"),"0 Closed - no",IF($R1197="Yes","4 Contacted",IF($N1197="Yes","2 Engaged",IF($M1197="Yes","1 Awareness",IF($AA1197&gt;=60,"3 Qualified","1 Awareness"))))))))))</f>
        <v/>
      </c>
    </row>
    <row r="1198" customFormat="false" ht="30" hidden="false" customHeight="true" outlineLevel="0" collapsed="false">
      <c r="A1198" s="36"/>
      <c r="B1198" s="37"/>
      <c r="C1198" s="37"/>
      <c r="D1198" s="37"/>
      <c r="E1198" s="37"/>
      <c r="F1198" s="37"/>
      <c r="G1198" s="37"/>
      <c r="H1198" s="37"/>
      <c r="I1198" s="37"/>
      <c r="J1198" s="47"/>
      <c r="K1198" s="41" t="str">
        <f aca="false">IF(J1198="","",IF(J1198&gt;=8,"Yes","Check"))</f>
        <v/>
      </c>
      <c r="L1198" s="38"/>
      <c r="M1198" s="47"/>
      <c r="N1198" s="47"/>
      <c r="O1198" s="37"/>
      <c r="P1198" s="38"/>
      <c r="Q1198" s="42" t="str">
        <f aca="false">IF(P1198="","",LEN(P1198))</f>
        <v/>
      </c>
      <c r="R1198" s="47"/>
      <c r="S1198" s="37"/>
      <c r="T1198" s="38"/>
      <c r="U1198" s="43" t="str">
        <f aca="false">IF(OR(R1198&lt;&gt;"Yes",A1198=""),"",A1198+4)</f>
        <v/>
      </c>
      <c r="V1198" s="47"/>
      <c r="W1198" s="38"/>
      <c r="X1198" s="38"/>
      <c r="Y1198" s="44"/>
      <c r="Z1198" s="44"/>
      <c r="AA1198" s="45" t="str">
        <f aca="false">IF(AND($Y1198="",$Z1198=""),"",ROUND(IFERROR(VALUE(LEFT($Y1198,1)),0)*12+IFERROR(VALUE(LEFT($Z1198,1)),0)*8,0))</f>
        <v/>
      </c>
      <c r="AB1198" s="45" t="str">
        <f aca="false">IF($AA1198="","",IF($AA1198&gt;=80,"A - call first",IF($AA1198&gt;=60,"B - worth pursuing",IF($AA1198&gt;=40,"C - nurture","D - do not spend time here"))))</f>
        <v/>
      </c>
      <c r="AC1198" s="46" t="str">
        <f aca="false">IF($C1198="","",IF($S1198="Converted","7 Certification / Enterprise opportunity",IF($S1198="Application Started","7 Certification / Enterprise opportunity",IF($S1198="Meeting Booked","6 Meeting / Application",IF(OR($S1198="Interested",$S1198="Info Requested"),"5 Interested",IF(OR($S1198="Declined",$S1198="Not Relevant"),"0 Closed - no",IF($R1198="Yes","4 Contacted",IF($N1198="Yes","2 Engaged",IF($M1198="Yes","1 Awareness",IF($AA1198&gt;=60,"3 Qualified","1 Awareness"))))))))))</f>
        <v/>
      </c>
    </row>
    <row r="1199" customFormat="false" ht="30" hidden="false" customHeight="true" outlineLevel="0" collapsed="false">
      <c r="A1199" s="36"/>
      <c r="B1199" s="37"/>
      <c r="C1199" s="37"/>
      <c r="D1199" s="37"/>
      <c r="E1199" s="37"/>
      <c r="F1199" s="37"/>
      <c r="G1199" s="37"/>
      <c r="H1199" s="37"/>
      <c r="I1199" s="37"/>
      <c r="J1199" s="47"/>
      <c r="K1199" s="41" t="str">
        <f aca="false">IF(J1199="","",IF(J1199&gt;=8,"Yes","Check"))</f>
        <v/>
      </c>
      <c r="L1199" s="38"/>
      <c r="M1199" s="47"/>
      <c r="N1199" s="47"/>
      <c r="O1199" s="37"/>
      <c r="P1199" s="38"/>
      <c r="Q1199" s="42" t="str">
        <f aca="false">IF(P1199="","",LEN(P1199))</f>
        <v/>
      </c>
      <c r="R1199" s="47"/>
      <c r="S1199" s="37"/>
      <c r="T1199" s="38"/>
      <c r="U1199" s="43" t="str">
        <f aca="false">IF(OR(R1199&lt;&gt;"Yes",A1199=""),"",A1199+4)</f>
        <v/>
      </c>
      <c r="V1199" s="47"/>
      <c r="W1199" s="38"/>
      <c r="X1199" s="38"/>
      <c r="Y1199" s="44"/>
      <c r="Z1199" s="44"/>
      <c r="AA1199" s="45" t="str">
        <f aca="false">IF(AND($Y1199="",$Z1199=""),"",ROUND(IFERROR(VALUE(LEFT($Y1199,1)),0)*12+IFERROR(VALUE(LEFT($Z1199,1)),0)*8,0))</f>
        <v/>
      </c>
      <c r="AB1199" s="45" t="str">
        <f aca="false">IF($AA1199="","",IF($AA1199&gt;=80,"A - call first",IF($AA1199&gt;=60,"B - worth pursuing",IF($AA1199&gt;=40,"C - nurture","D - do not spend time here"))))</f>
        <v/>
      </c>
      <c r="AC1199" s="46" t="str">
        <f aca="false">IF($C1199="","",IF($S1199="Converted","7 Certification / Enterprise opportunity",IF($S1199="Application Started","7 Certification / Enterprise opportunity",IF($S1199="Meeting Booked","6 Meeting / Application",IF(OR($S1199="Interested",$S1199="Info Requested"),"5 Interested",IF(OR($S1199="Declined",$S1199="Not Relevant"),"0 Closed - no",IF($R1199="Yes","4 Contacted",IF($N1199="Yes","2 Engaged",IF($M1199="Yes","1 Awareness",IF($AA1199&gt;=60,"3 Qualified","1 Awareness"))))))))))</f>
        <v/>
      </c>
    </row>
    <row r="1200" customFormat="false" ht="30" hidden="false" customHeight="true" outlineLevel="0" collapsed="false">
      <c r="A1200" s="36"/>
      <c r="B1200" s="37"/>
      <c r="C1200" s="37"/>
      <c r="D1200" s="37"/>
      <c r="E1200" s="37"/>
      <c r="F1200" s="37"/>
      <c r="G1200" s="37"/>
      <c r="H1200" s="37"/>
      <c r="I1200" s="37"/>
      <c r="J1200" s="47"/>
      <c r="K1200" s="41" t="str">
        <f aca="false">IF(J1200="","",IF(J1200&gt;=8,"Yes","Check"))</f>
        <v/>
      </c>
      <c r="L1200" s="38"/>
      <c r="M1200" s="47"/>
      <c r="N1200" s="47"/>
      <c r="O1200" s="37"/>
      <c r="P1200" s="38"/>
      <c r="Q1200" s="42" t="str">
        <f aca="false">IF(P1200="","",LEN(P1200))</f>
        <v/>
      </c>
      <c r="R1200" s="47"/>
      <c r="S1200" s="37"/>
      <c r="T1200" s="38"/>
      <c r="U1200" s="43" t="str">
        <f aca="false">IF(OR(R1200&lt;&gt;"Yes",A1200=""),"",A1200+4)</f>
        <v/>
      </c>
      <c r="V1200" s="47"/>
      <c r="W1200" s="38"/>
      <c r="X1200" s="38"/>
      <c r="Y1200" s="44"/>
      <c r="Z1200" s="44"/>
      <c r="AA1200" s="45" t="str">
        <f aca="false">IF(AND($Y1200="",$Z1200=""),"",ROUND(IFERROR(VALUE(LEFT($Y1200,1)),0)*12+IFERROR(VALUE(LEFT($Z1200,1)),0)*8,0))</f>
        <v/>
      </c>
      <c r="AB1200" s="45" t="str">
        <f aca="false">IF($AA1200="","",IF($AA1200&gt;=80,"A - call first",IF($AA1200&gt;=60,"B - worth pursuing",IF($AA1200&gt;=40,"C - nurture","D - do not spend time here"))))</f>
        <v/>
      </c>
      <c r="AC1200" s="46" t="str">
        <f aca="false">IF($C1200="","",IF($S1200="Converted","7 Certification / Enterprise opportunity",IF($S1200="Application Started","7 Certification / Enterprise opportunity",IF($S1200="Meeting Booked","6 Meeting / Application",IF(OR($S1200="Interested",$S1200="Info Requested"),"5 Interested",IF(OR($S1200="Declined",$S1200="Not Relevant"),"0 Closed - no",IF($R1200="Yes","4 Contacted",IF($N1200="Yes","2 Engaged",IF($M1200="Yes","1 Awareness",IF($AA1200&gt;=60,"3 Qualified","1 Awareness"))))))))))</f>
        <v/>
      </c>
    </row>
    <row r="1201" customFormat="false" ht="30" hidden="false" customHeight="true" outlineLevel="0" collapsed="false">
      <c r="A1201" s="36"/>
      <c r="B1201" s="37"/>
      <c r="C1201" s="37"/>
      <c r="D1201" s="37"/>
      <c r="E1201" s="37"/>
      <c r="F1201" s="37"/>
      <c r="G1201" s="37"/>
      <c r="H1201" s="37"/>
      <c r="I1201" s="37"/>
      <c r="J1201" s="47"/>
      <c r="K1201" s="41" t="str">
        <f aca="false">IF(J1201="","",IF(J1201&gt;=8,"Yes","Check"))</f>
        <v/>
      </c>
      <c r="L1201" s="38"/>
      <c r="M1201" s="47"/>
      <c r="N1201" s="47"/>
      <c r="O1201" s="37"/>
      <c r="P1201" s="38"/>
      <c r="Q1201" s="42" t="str">
        <f aca="false">IF(P1201="","",LEN(P1201))</f>
        <v/>
      </c>
      <c r="R1201" s="47"/>
      <c r="S1201" s="37"/>
      <c r="T1201" s="38"/>
      <c r="U1201" s="43" t="str">
        <f aca="false">IF(OR(R1201&lt;&gt;"Yes",A1201=""),"",A1201+4)</f>
        <v/>
      </c>
      <c r="V1201" s="47"/>
      <c r="W1201" s="38"/>
      <c r="X1201" s="38"/>
      <c r="Y1201" s="44"/>
      <c r="Z1201" s="44"/>
      <c r="AA1201" s="45" t="str">
        <f aca="false">IF(AND($Y1201="",$Z1201=""),"",ROUND(IFERROR(VALUE(LEFT($Y1201,1)),0)*12+IFERROR(VALUE(LEFT($Z1201,1)),0)*8,0))</f>
        <v/>
      </c>
      <c r="AB1201" s="45" t="str">
        <f aca="false">IF($AA1201="","",IF($AA1201&gt;=80,"A - call first",IF($AA1201&gt;=60,"B - worth pursuing",IF($AA1201&gt;=40,"C - nurture","D - do not spend time here"))))</f>
        <v/>
      </c>
      <c r="AC1201" s="46" t="str">
        <f aca="false">IF($C1201="","",IF($S1201="Converted","7 Certification / Enterprise opportunity",IF($S1201="Application Started","7 Certification / Enterprise opportunity",IF($S1201="Meeting Booked","6 Meeting / Application",IF(OR($S1201="Interested",$S1201="Info Requested"),"5 Interested",IF(OR($S1201="Declined",$S1201="Not Relevant"),"0 Closed - no",IF($R1201="Yes","4 Contacted",IF($N1201="Yes","2 Engaged",IF($M1201="Yes","1 Awareness",IF($AA1201&gt;=60,"3 Qualified","1 Awareness"))))))))))</f>
        <v/>
      </c>
    </row>
    <row r="1202" customFormat="false" ht="30" hidden="false" customHeight="true" outlineLevel="0" collapsed="false">
      <c r="A1202" s="36"/>
      <c r="B1202" s="37"/>
      <c r="C1202" s="37"/>
      <c r="D1202" s="37"/>
      <c r="E1202" s="37"/>
      <c r="F1202" s="37"/>
      <c r="G1202" s="37"/>
      <c r="H1202" s="37"/>
      <c r="I1202" s="37"/>
      <c r="J1202" s="47"/>
      <c r="K1202" s="41" t="str">
        <f aca="false">IF(J1202="","",IF(J1202&gt;=8,"Yes","Check"))</f>
        <v/>
      </c>
      <c r="L1202" s="38"/>
      <c r="M1202" s="47"/>
      <c r="N1202" s="47"/>
      <c r="O1202" s="37"/>
      <c r="P1202" s="38"/>
      <c r="Q1202" s="42" t="str">
        <f aca="false">IF(P1202="","",LEN(P1202))</f>
        <v/>
      </c>
      <c r="R1202" s="47"/>
      <c r="S1202" s="37"/>
      <c r="T1202" s="38"/>
      <c r="U1202" s="43" t="str">
        <f aca="false">IF(OR(R1202&lt;&gt;"Yes",A1202=""),"",A1202+4)</f>
        <v/>
      </c>
      <c r="V1202" s="47"/>
      <c r="W1202" s="38"/>
      <c r="X1202" s="38"/>
      <c r="Y1202" s="44"/>
      <c r="Z1202" s="44"/>
      <c r="AA1202" s="45" t="str">
        <f aca="false">IF(AND($Y1202="",$Z1202=""),"",ROUND(IFERROR(VALUE(LEFT($Y1202,1)),0)*12+IFERROR(VALUE(LEFT($Z1202,1)),0)*8,0))</f>
        <v/>
      </c>
      <c r="AB1202" s="45" t="str">
        <f aca="false">IF($AA1202="","",IF($AA1202&gt;=80,"A - call first",IF($AA1202&gt;=60,"B - worth pursuing",IF($AA1202&gt;=40,"C - nurture","D - do not spend time here"))))</f>
        <v/>
      </c>
      <c r="AC1202" s="46" t="str">
        <f aca="false">IF($C1202="","",IF($S1202="Converted","7 Certification / Enterprise opportunity",IF($S1202="Application Started","7 Certification / Enterprise opportunity",IF($S1202="Meeting Booked","6 Meeting / Application",IF(OR($S1202="Interested",$S1202="Info Requested"),"5 Interested",IF(OR($S1202="Declined",$S1202="Not Relevant"),"0 Closed - no",IF($R1202="Yes","4 Contacted",IF($N1202="Yes","2 Engaged",IF($M1202="Yes","1 Awareness",IF($AA1202&gt;=60,"3 Qualified","1 Awareness"))))))))))</f>
        <v/>
      </c>
    </row>
    <row r="1203" customFormat="false" ht="30" hidden="false" customHeight="true" outlineLevel="0" collapsed="false">
      <c r="A1203" s="36"/>
      <c r="B1203" s="37"/>
      <c r="C1203" s="37"/>
      <c r="D1203" s="37"/>
      <c r="E1203" s="37"/>
      <c r="F1203" s="37"/>
      <c r="G1203" s="37"/>
      <c r="H1203" s="37"/>
      <c r="I1203" s="37"/>
      <c r="J1203" s="47"/>
      <c r="K1203" s="41" t="str">
        <f aca="false">IF(J1203="","",IF(J1203&gt;=8,"Yes","Check"))</f>
        <v/>
      </c>
      <c r="L1203" s="38"/>
      <c r="M1203" s="47"/>
      <c r="N1203" s="47"/>
      <c r="O1203" s="37"/>
      <c r="P1203" s="38"/>
      <c r="Q1203" s="42" t="str">
        <f aca="false">IF(P1203="","",LEN(P1203))</f>
        <v/>
      </c>
      <c r="R1203" s="47"/>
      <c r="S1203" s="37"/>
      <c r="T1203" s="38"/>
      <c r="U1203" s="43" t="str">
        <f aca="false">IF(OR(R1203&lt;&gt;"Yes",A1203=""),"",A1203+4)</f>
        <v/>
      </c>
      <c r="V1203" s="47"/>
      <c r="W1203" s="38"/>
      <c r="X1203" s="38"/>
      <c r="Y1203" s="44"/>
      <c r="Z1203" s="44"/>
      <c r="AA1203" s="45" t="str">
        <f aca="false">IF(AND($Y1203="",$Z1203=""),"",ROUND(IFERROR(VALUE(LEFT($Y1203,1)),0)*12+IFERROR(VALUE(LEFT($Z1203,1)),0)*8,0))</f>
        <v/>
      </c>
      <c r="AB1203" s="45" t="str">
        <f aca="false">IF($AA1203="","",IF($AA1203&gt;=80,"A - call first",IF($AA1203&gt;=60,"B - worth pursuing",IF($AA1203&gt;=40,"C - nurture","D - do not spend time here"))))</f>
        <v/>
      </c>
      <c r="AC1203" s="46" t="str">
        <f aca="false">IF($C1203="","",IF($S1203="Converted","7 Certification / Enterprise opportunity",IF($S1203="Application Started","7 Certification / Enterprise opportunity",IF($S1203="Meeting Booked","6 Meeting / Application",IF(OR($S1203="Interested",$S1203="Info Requested"),"5 Interested",IF(OR($S1203="Declined",$S1203="Not Relevant"),"0 Closed - no",IF($R1203="Yes","4 Contacted",IF($N1203="Yes","2 Engaged",IF($M1203="Yes","1 Awareness",IF($AA1203&gt;=60,"3 Qualified","1 Awareness"))))))))))</f>
        <v/>
      </c>
    </row>
  </sheetData>
  <autoFilter ref="A3:AC1203"/>
  <mergeCells count="2">
    <mergeCell ref="A1:X1"/>
    <mergeCell ref="A2:X2"/>
  </mergeCells>
  <conditionalFormatting sqref="Q4:Q1203">
    <cfRule type="cellIs" priority="2" operator="greaterThan" aboveAverage="0" equalAverage="0" bottom="0" percent="0" rank="0" text="" dxfId="8">
      <formula>300</formula>
    </cfRule>
  </conditionalFormatting>
  <conditionalFormatting sqref="S4:S1203">
    <cfRule type="cellIs" priority="3" operator="equal" aboveAverage="0" equalAverage="0" bottom="0" percent="0" rank="0" text="" dxfId="7">
      <formula>"Meeting Booked"</formula>
    </cfRule>
    <cfRule type="cellIs" priority="4" operator="equal" aboveAverage="0" equalAverage="0" bottom="0" percent="0" rank="0" text="" dxfId="7">
      <formula>"Converted"</formula>
    </cfRule>
    <cfRule type="cellIs" priority="5" operator="equal" aboveAverage="0" equalAverage="0" bottom="0" percent="0" rank="0" text="" dxfId="9">
      <formula>"Interested"</formula>
    </cfRule>
    <cfRule type="cellIs" priority="6" operator="equal" aboveAverage="0" equalAverage="0" bottom="0" percent="0" rank="0" text="" dxfId="6">
      <formula>"Declined"</formula>
    </cfRule>
  </conditionalFormatting>
  <conditionalFormatting sqref="AB4:AB1203">
    <cfRule type="expression" priority="7" aboveAverage="0" equalAverage="0" bottom="0" percent="0" rank="0" text="" dxfId="7">
      <formula>LEFT($AB4,1)="A"</formula>
    </cfRule>
    <cfRule type="expression" priority="8" aboveAverage="0" equalAverage="0" bottom="0" percent="0" rank="0" text="" dxfId="6">
      <formula>LEFT($AB4,1)="D"</formula>
    </cfRule>
  </conditionalFormatting>
  <dataValidations count="6">
    <dataValidation allowBlank="true" error="Please choose a value from the dropdown list." errorStyle="stop" errorTitle="Value not in list" operator="between" prompt="Choose from the Lead Segment list" showDropDown="false" showErrorMessage="false" showInputMessage="false" sqref="H4:H1203" type="list">
      <formula1>Lists!$G$4:$G$16</formula1>
      <formula2>0</formula2>
    </dataValidation>
    <dataValidation allowBlank="true" error="Please choose a value from the dropdown list." errorStyle="stop" errorTitle="Value not in list" operator="between" prompt="Choose from the Yes/No list" showDropDown="false" showErrorMessage="false" showInputMessage="false" sqref="M4:N1203 R4:R1203" type="list">
      <formula1>Lists!$C$4:$C$6</formula1>
      <formula2>0</formula2>
    </dataValidation>
    <dataValidation allowBlank="true" error="Please choose a value from the dropdown list." errorStyle="stop" errorTitle="Value not in list" operator="between" prompt="Choose from the Template Used list" showDropDown="false" showErrorMessage="false" showInputMessage="false" sqref="O4:O1203" type="list">
      <formula1>Lists!$M$4:$M$19</formula1>
      <formula2>0</formula2>
    </dataValidation>
    <dataValidation allowBlank="true" error="Please choose a value from the dropdown list." errorStyle="stop" errorTitle="Value not in list" operator="between" prompt="Choose from the Outcome list" showDropDown="false" showErrorMessage="false" showInputMessage="false" sqref="S4:S1203" type="list">
      <formula1>Lists!$F$4:$F$13</formula1>
      <formula2>0</formula2>
    </dataValidation>
    <dataValidation allowBlank="true" error="Pick a name from the team roster on the START HERE tab." errorStyle="stop" errorTitle="Name not on the roster" operator="between" prompt="Choose the team member" showDropDown="false" showErrorMessage="false" showInputMessage="false" sqref="B4:B1203" type="list">
      <formula1>'START HERE'!$B$55:$B$64</formula1>
      <formula2>0</formula2>
    </dataValidation>
    <dataValidation allowBlank="true" error="Please choose a value from the dropdown list." errorStyle="stop" errorTitle="Value not in list" operator="between" prompt="Choose from the Score 1-5 list" showDropDown="false" showErrorMessage="false" showInputMessage="false" sqref="Y4:Z1203" type="list">
      <formula1>Lists!$T$4:$T$8</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tru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26"/>
    <col collapsed="false" customWidth="true" hidden="false" outlineLevel="0" max="4" min="4" style="1" width="22"/>
    <col collapsed="false" customWidth="true" hidden="false" outlineLevel="0" max="5" min="5" style="1" width="13"/>
    <col collapsed="false" customWidth="true" hidden="false" outlineLevel="0" max="6" min="6" style="1" width="18"/>
    <col collapsed="false" customWidth="true" hidden="false" outlineLevel="0" max="7" min="7" style="1" width="20"/>
    <col collapsed="false" customWidth="true" hidden="false" outlineLevel="0" max="8" min="8" style="1" width="30"/>
    <col collapsed="false" customWidth="true" hidden="false" outlineLevel="0" max="9" min="9" style="1" width="34"/>
    <col collapsed="false" customWidth="true" hidden="false" outlineLevel="0" max="10" min="10" style="1" width="11"/>
    <col collapsed="false" customWidth="true" hidden="false" outlineLevel="0" max="11" min="11" style="1" width="12"/>
    <col collapsed="false" customWidth="true" hidden="false" outlineLevel="0" max="12" min="12" style="1" width="10"/>
    <col collapsed="false" customWidth="true" hidden="false" outlineLevel="0" max="13" min="13" style="1" width="20"/>
    <col collapsed="false" customWidth="true" hidden="false" outlineLevel="0" max="14" min="14" style="1" width="30"/>
    <col collapsed="false" customWidth="true" hidden="false" outlineLevel="0" max="15" min="15" style="1" width="14"/>
    <col collapsed="false" customWidth="true" hidden="false" outlineLevel="0" max="16" min="16" style="1" width="30"/>
    <col collapsed="false" customWidth="true" hidden="false" outlineLevel="0" max="17" min="17" style="1" width="12"/>
    <col collapsed="false" customWidth="true" hidden="false" outlineLevel="0" max="18" min="18" style="1" width="30"/>
    <col collapsed="false" customWidth="true" hidden="false" outlineLevel="0" max="19" min="19" style="1" width="12"/>
    <col collapsed="false" customWidth="true" hidden="false" outlineLevel="0" max="20" min="20" style="1" width="13"/>
    <col collapsed="false" customWidth="true" hidden="false" outlineLevel="0" max="21" min="21" style="1" width="26"/>
  </cols>
  <sheetData>
    <row r="1" customFormat="false" ht="25.5" hidden="false" customHeight="true" outlineLevel="0" collapsed="false">
      <c r="A1" s="2" t="s">
        <v>184</v>
      </c>
      <c r="B1" s="2"/>
      <c r="C1" s="2"/>
      <c r="D1" s="2"/>
      <c r="E1" s="2"/>
      <c r="F1" s="2"/>
      <c r="G1" s="2"/>
      <c r="H1" s="2"/>
      <c r="I1" s="2"/>
      <c r="J1" s="2"/>
      <c r="K1" s="2"/>
      <c r="L1" s="2"/>
      <c r="M1" s="2"/>
      <c r="N1" s="2"/>
      <c r="O1" s="2"/>
      <c r="P1" s="2"/>
      <c r="Q1" s="2"/>
      <c r="R1" s="2"/>
      <c r="S1" s="2"/>
      <c r="T1" s="2"/>
      <c r="U1" s="2"/>
    </row>
    <row r="2" customFormat="false" ht="18" hidden="false" customHeight="true" outlineLevel="0" collapsed="false">
      <c r="A2" s="3" t="s">
        <v>185</v>
      </c>
      <c r="B2" s="3"/>
      <c r="C2" s="3"/>
      <c r="D2" s="3"/>
      <c r="E2" s="3"/>
      <c r="F2" s="3"/>
      <c r="G2" s="3"/>
      <c r="H2" s="3"/>
      <c r="I2" s="3"/>
      <c r="J2" s="3"/>
      <c r="K2" s="3"/>
      <c r="L2" s="3"/>
      <c r="M2" s="3"/>
      <c r="N2" s="3"/>
      <c r="O2" s="3"/>
      <c r="P2" s="3"/>
      <c r="Q2" s="3"/>
      <c r="R2" s="3"/>
      <c r="S2" s="3"/>
      <c r="T2" s="3"/>
      <c r="U2" s="3"/>
    </row>
    <row r="3" customFormat="false" ht="43.5" hidden="false" customHeight="true" outlineLevel="0" collapsed="false">
      <c r="A3" s="31" t="s">
        <v>186</v>
      </c>
      <c r="B3" s="31" t="s">
        <v>187</v>
      </c>
      <c r="C3" s="31" t="s">
        <v>188</v>
      </c>
      <c r="D3" s="31" t="s">
        <v>189</v>
      </c>
      <c r="E3" s="31" t="s">
        <v>145</v>
      </c>
      <c r="F3" s="31" t="s">
        <v>190</v>
      </c>
      <c r="G3" s="31" t="s">
        <v>191</v>
      </c>
      <c r="H3" s="31" t="s">
        <v>192</v>
      </c>
      <c r="I3" s="31" t="s">
        <v>193</v>
      </c>
      <c r="J3" s="31" t="s">
        <v>163</v>
      </c>
      <c r="K3" s="31" t="s">
        <v>164</v>
      </c>
      <c r="L3" s="31" t="s">
        <v>194</v>
      </c>
      <c r="M3" s="31" t="s">
        <v>195</v>
      </c>
      <c r="N3" s="31" t="s">
        <v>196</v>
      </c>
      <c r="O3" s="31" t="s">
        <v>197</v>
      </c>
      <c r="P3" s="31" t="s">
        <v>198</v>
      </c>
      <c r="Q3" s="31" t="s">
        <v>199</v>
      </c>
      <c r="R3" s="31" t="s">
        <v>200</v>
      </c>
      <c r="S3" s="31" t="s">
        <v>201</v>
      </c>
      <c r="T3" s="31" t="s">
        <v>202</v>
      </c>
      <c r="U3" s="31" t="s">
        <v>162</v>
      </c>
    </row>
    <row r="4" customFormat="false" ht="27.75" hidden="false" customHeight="true" outlineLevel="0" collapsed="false">
      <c r="A4" s="32" t="n">
        <v>46251</v>
      </c>
      <c r="B4" s="33" t="s">
        <v>68</v>
      </c>
      <c r="C4" s="34" t="s">
        <v>203</v>
      </c>
      <c r="D4" s="33" t="s">
        <v>204</v>
      </c>
      <c r="E4" s="33" t="s">
        <v>173</v>
      </c>
      <c r="F4" s="33" t="s">
        <v>205</v>
      </c>
      <c r="G4" s="33" t="s">
        <v>206</v>
      </c>
      <c r="H4" s="33" t="s">
        <v>207</v>
      </c>
      <c r="I4" s="34" t="s">
        <v>208</v>
      </c>
      <c r="J4" s="48" t="s">
        <v>209</v>
      </c>
      <c r="K4" s="48" t="s">
        <v>210</v>
      </c>
      <c r="L4" s="45" t="n">
        <f aca="false">IF(AND($J4="",$K4=""),"",ROUND(IFERROR(VALUE(LEFT($J4,1)),0)*12+IFERROR(VALUE(LEFT($K4,1)),0)*8,0))</f>
        <v>84</v>
      </c>
      <c r="M4" s="45" t="str">
        <f aca="false">IF($L4="","",IF($L4&gt;=80,"A - pursue now",IF($L4&gt;=60,"B - worth pursuing",IF($L4&gt;=40,"C - nurture","D - park it"))))</f>
        <v>A - pursue now</v>
      </c>
      <c r="N4" s="33" t="s">
        <v>211</v>
      </c>
      <c r="O4" s="48" t="s">
        <v>212</v>
      </c>
      <c r="P4" s="34" t="s">
        <v>213</v>
      </c>
      <c r="Q4" s="32" t="n">
        <v>46251</v>
      </c>
      <c r="R4" s="34" t="s">
        <v>214</v>
      </c>
      <c r="S4" s="32" t="n">
        <v>46255</v>
      </c>
      <c r="T4" s="33" t="s">
        <v>215</v>
      </c>
      <c r="U4" s="34" t="s">
        <v>216</v>
      </c>
    </row>
    <row r="5" customFormat="false" ht="27.75" hidden="false" customHeight="true" outlineLevel="0" collapsed="false">
      <c r="A5" s="36"/>
      <c r="B5" s="37"/>
      <c r="C5" s="38"/>
      <c r="D5" s="37"/>
      <c r="E5" s="37"/>
      <c r="F5" s="37"/>
      <c r="G5" s="37"/>
      <c r="H5" s="37"/>
      <c r="I5" s="38"/>
      <c r="J5" s="44"/>
      <c r="K5" s="44"/>
      <c r="L5" s="45" t="str">
        <f aca="false">IF(AND($J5="",$K5=""),"",ROUND(IFERROR(VALUE(LEFT($J5,1)),0)*12+IFERROR(VALUE(LEFT($K5,1)),0)*8,0))</f>
        <v/>
      </c>
      <c r="M5" s="45" t="str">
        <f aca="false">IF($L5="","",IF($L5&gt;=80,"A - pursue now",IF($L5&gt;=60,"B - worth pursuing",IF($L5&gt;=40,"C - nurture","D - park it"))))</f>
        <v/>
      </c>
      <c r="N5" s="37"/>
      <c r="O5" s="44"/>
      <c r="P5" s="38"/>
      <c r="Q5" s="36"/>
      <c r="R5" s="38"/>
      <c r="S5" s="36"/>
      <c r="T5" s="37"/>
      <c r="U5" s="38"/>
    </row>
    <row r="6" customFormat="false" ht="27.75" hidden="false" customHeight="true" outlineLevel="0" collapsed="false">
      <c r="A6" s="36"/>
      <c r="B6" s="37"/>
      <c r="C6" s="38"/>
      <c r="D6" s="37"/>
      <c r="E6" s="37"/>
      <c r="F6" s="37"/>
      <c r="G6" s="37"/>
      <c r="H6" s="37"/>
      <c r="I6" s="38"/>
      <c r="J6" s="44"/>
      <c r="K6" s="44"/>
      <c r="L6" s="45" t="str">
        <f aca="false">IF(AND($J6="",$K6=""),"",ROUND(IFERROR(VALUE(LEFT($J6,1)),0)*12+IFERROR(VALUE(LEFT($K6,1)),0)*8,0))</f>
        <v/>
      </c>
      <c r="M6" s="45" t="str">
        <f aca="false">IF($L6="","",IF($L6&gt;=80,"A - pursue now",IF($L6&gt;=60,"B - worth pursuing",IF($L6&gt;=40,"C - nurture","D - park it"))))</f>
        <v/>
      </c>
      <c r="N6" s="37"/>
      <c r="O6" s="44"/>
      <c r="P6" s="38"/>
      <c r="Q6" s="36"/>
      <c r="R6" s="38"/>
      <c r="S6" s="36"/>
      <c r="T6" s="37"/>
      <c r="U6" s="38"/>
    </row>
    <row r="7" customFormat="false" ht="27.75" hidden="false" customHeight="true" outlineLevel="0" collapsed="false">
      <c r="A7" s="36"/>
      <c r="B7" s="37"/>
      <c r="C7" s="38"/>
      <c r="D7" s="37"/>
      <c r="E7" s="37"/>
      <c r="F7" s="37"/>
      <c r="G7" s="37"/>
      <c r="H7" s="37"/>
      <c r="I7" s="38"/>
      <c r="J7" s="44"/>
      <c r="K7" s="44"/>
      <c r="L7" s="45" t="str">
        <f aca="false">IF(AND($J7="",$K7=""),"",ROUND(IFERROR(VALUE(LEFT($J7,1)),0)*12+IFERROR(VALUE(LEFT($K7,1)),0)*8,0))</f>
        <v/>
      </c>
      <c r="M7" s="45" t="str">
        <f aca="false">IF($L7="","",IF($L7&gt;=80,"A - pursue now",IF($L7&gt;=60,"B - worth pursuing",IF($L7&gt;=40,"C - nurture","D - park it"))))</f>
        <v/>
      </c>
      <c r="N7" s="37"/>
      <c r="O7" s="44"/>
      <c r="P7" s="38"/>
      <c r="Q7" s="36"/>
      <c r="R7" s="38"/>
      <c r="S7" s="36"/>
      <c r="T7" s="37"/>
      <c r="U7" s="38"/>
    </row>
    <row r="8" customFormat="false" ht="27.75" hidden="false" customHeight="true" outlineLevel="0" collapsed="false">
      <c r="A8" s="36"/>
      <c r="B8" s="37"/>
      <c r="C8" s="38"/>
      <c r="D8" s="37"/>
      <c r="E8" s="37"/>
      <c r="F8" s="37"/>
      <c r="G8" s="37"/>
      <c r="H8" s="37"/>
      <c r="I8" s="38"/>
      <c r="J8" s="44"/>
      <c r="K8" s="44"/>
      <c r="L8" s="45" t="str">
        <f aca="false">IF(AND($J8="",$K8=""),"",ROUND(IFERROR(VALUE(LEFT($J8,1)),0)*12+IFERROR(VALUE(LEFT($K8,1)),0)*8,0))</f>
        <v/>
      </c>
      <c r="M8" s="45" t="str">
        <f aca="false">IF($L8="","",IF($L8&gt;=80,"A - pursue now",IF($L8&gt;=60,"B - worth pursuing",IF($L8&gt;=40,"C - nurture","D - park it"))))</f>
        <v/>
      </c>
      <c r="N8" s="37"/>
      <c r="O8" s="44"/>
      <c r="P8" s="38"/>
      <c r="Q8" s="36"/>
      <c r="R8" s="38"/>
      <c r="S8" s="36"/>
      <c r="T8" s="37"/>
      <c r="U8" s="38"/>
    </row>
    <row r="9" customFormat="false" ht="27.75" hidden="false" customHeight="true" outlineLevel="0" collapsed="false">
      <c r="A9" s="36"/>
      <c r="B9" s="37"/>
      <c r="C9" s="38"/>
      <c r="D9" s="37"/>
      <c r="E9" s="37"/>
      <c r="F9" s="37"/>
      <c r="G9" s="37"/>
      <c r="H9" s="37"/>
      <c r="I9" s="38"/>
      <c r="J9" s="44"/>
      <c r="K9" s="44"/>
      <c r="L9" s="45" t="str">
        <f aca="false">IF(AND($J9="",$K9=""),"",ROUND(IFERROR(VALUE(LEFT($J9,1)),0)*12+IFERROR(VALUE(LEFT($K9,1)),0)*8,0))</f>
        <v/>
      </c>
      <c r="M9" s="45" t="str">
        <f aca="false">IF($L9="","",IF($L9&gt;=80,"A - pursue now",IF($L9&gt;=60,"B - worth pursuing",IF($L9&gt;=40,"C - nurture","D - park it"))))</f>
        <v/>
      </c>
      <c r="N9" s="37"/>
      <c r="O9" s="44"/>
      <c r="P9" s="38"/>
      <c r="Q9" s="36"/>
      <c r="R9" s="38"/>
      <c r="S9" s="36"/>
      <c r="T9" s="37"/>
      <c r="U9" s="38"/>
    </row>
    <row r="10" customFormat="false" ht="27.75" hidden="false" customHeight="true" outlineLevel="0" collapsed="false">
      <c r="A10" s="36"/>
      <c r="B10" s="37"/>
      <c r="C10" s="38"/>
      <c r="D10" s="37"/>
      <c r="E10" s="37"/>
      <c r="F10" s="37"/>
      <c r="G10" s="37"/>
      <c r="H10" s="37"/>
      <c r="I10" s="38"/>
      <c r="J10" s="44"/>
      <c r="K10" s="44"/>
      <c r="L10" s="45" t="str">
        <f aca="false">IF(AND($J10="",$K10=""),"",ROUND(IFERROR(VALUE(LEFT($J10,1)),0)*12+IFERROR(VALUE(LEFT($K10,1)),0)*8,0))</f>
        <v/>
      </c>
      <c r="M10" s="45" t="str">
        <f aca="false">IF($L10="","",IF($L10&gt;=80,"A - pursue now",IF($L10&gt;=60,"B - worth pursuing",IF($L10&gt;=40,"C - nurture","D - park it"))))</f>
        <v/>
      </c>
      <c r="N10" s="37"/>
      <c r="O10" s="44"/>
      <c r="P10" s="38"/>
      <c r="Q10" s="36"/>
      <c r="R10" s="38"/>
      <c r="S10" s="36"/>
      <c r="T10" s="37"/>
      <c r="U10" s="38"/>
    </row>
    <row r="11" customFormat="false" ht="27.75" hidden="false" customHeight="true" outlineLevel="0" collapsed="false">
      <c r="A11" s="36"/>
      <c r="B11" s="37"/>
      <c r="C11" s="38"/>
      <c r="D11" s="37"/>
      <c r="E11" s="37"/>
      <c r="F11" s="37"/>
      <c r="G11" s="37"/>
      <c r="H11" s="37"/>
      <c r="I11" s="38"/>
      <c r="J11" s="44"/>
      <c r="K11" s="44"/>
      <c r="L11" s="45" t="str">
        <f aca="false">IF(AND($J11="",$K11=""),"",ROUND(IFERROR(VALUE(LEFT($J11,1)),0)*12+IFERROR(VALUE(LEFT($K11,1)),0)*8,0))</f>
        <v/>
      </c>
      <c r="M11" s="45" t="str">
        <f aca="false">IF($L11="","",IF($L11&gt;=80,"A - pursue now",IF($L11&gt;=60,"B - worth pursuing",IF($L11&gt;=40,"C - nurture","D - park it"))))</f>
        <v/>
      </c>
      <c r="N11" s="37"/>
      <c r="O11" s="44"/>
      <c r="P11" s="38"/>
      <c r="Q11" s="36"/>
      <c r="R11" s="38"/>
      <c r="S11" s="36"/>
      <c r="T11" s="37"/>
      <c r="U11" s="38"/>
    </row>
    <row r="12" customFormat="false" ht="27.75" hidden="false" customHeight="true" outlineLevel="0" collapsed="false">
      <c r="A12" s="36"/>
      <c r="B12" s="37"/>
      <c r="C12" s="38"/>
      <c r="D12" s="37"/>
      <c r="E12" s="37"/>
      <c r="F12" s="37"/>
      <c r="G12" s="37"/>
      <c r="H12" s="37"/>
      <c r="I12" s="38"/>
      <c r="J12" s="44"/>
      <c r="K12" s="44"/>
      <c r="L12" s="45" t="str">
        <f aca="false">IF(AND($J12="",$K12=""),"",ROUND(IFERROR(VALUE(LEFT($J12,1)),0)*12+IFERROR(VALUE(LEFT($K12,1)),0)*8,0))</f>
        <v/>
      </c>
      <c r="M12" s="45" t="str">
        <f aca="false">IF($L12="","",IF($L12&gt;=80,"A - pursue now",IF($L12&gt;=60,"B - worth pursuing",IF($L12&gt;=40,"C - nurture","D - park it"))))</f>
        <v/>
      </c>
      <c r="N12" s="37"/>
      <c r="O12" s="44"/>
      <c r="P12" s="38"/>
      <c r="Q12" s="36"/>
      <c r="R12" s="38"/>
      <c r="S12" s="36"/>
      <c r="T12" s="37"/>
      <c r="U12" s="38"/>
    </row>
    <row r="13" customFormat="false" ht="27.75" hidden="false" customHeight="true" outlineLevel="0" collapsed="false">
      <c r="A13" s="36"/>
      <c r="B13" s="37"/>
      <c r="C13" s="38"/>
      <c r="D13" s="37"/>
      <c r="E13" s="37"/>
      <c r="F13" s="37"/>
      <c r="G13" s="37"/>
      <c r="H13" s="37"/>
      <c r="I13" s="38"/>
      <c r="J13" s="44"/>
      <c r="K13" s="44"/>
      <c r="L13" s="45" t="str">
        <f aca="false">IF(AND($J13="",$K13=""),"",ROUND(IFERROR(VALUE(LEFT($J13,1)),0)*12+IFERROR(VALUE(LEFT($K13,1)),0)*8,0))</f>
        <v/>
      </c>
      <c r="M13" s="45" t="str">
        <f aca="false">IF($L13="","",IF($L13&gt;=80,"A - pursue now",IF($L13&gt;=60,"B - worth pursuing",IF($L13&gt;=40,"C - nurture","D - park it"))))</f>
        <v/>
      </c>
      <c r="N13" s="37"/>
      <c r="O13" s="44"/>
      <c r="P13" s="38"/>
      <c r="Q13" s="36"/>
      <c r="R13" s="38"/>
      <c r="S13" s="36"/>
      <c r="T13" s="37"/>
      <c r="U13" s="38"/>
    </row>
    <row r="14" customFormat="false" ht="27.75" hidden="false" customHeight="true" outlineLevel="0" collapsed="false">
      <c r="A14" s="36"/>
      <c r="B14" s="37"/>
      <c r="C14" s="38"/>
      <c r="D14" s="37"/>
      <c r="E14" s="37"/>
      <c r="F14" s="37"/>
      <c r="G14" s="37"/>
      <c r="H14" s="37"/>
      <c r="I14" s="38"/>
      <c r="J14" s="44"/>
      <c r="K14" s="44"/>
      <c r="L14" s="45" t="str">
        <f aca="false">IF(AND($J14="",$K14=""),"",ROUND(IFERROR(VALUE(LEFT($J14,1)),0)*12+IFERROR(VALUE(LEFT($K14,1)),0)*8,0))</f>
        <v/>
      </c>
      <c r="M14" s="45" t="str">
        <f aca="false">IF($L14="","",IF($L14&gt;=80,"A - pursue now",IF($L14&gt;=60,"B - worth pursuing",IF($L14&gt;=40,"C - nurture","D - park it"))))</f>
        <v/>
      </c>
      <c r="N14" s="37"/>
      <c r="O14" s="44"/>
      <c r="P14" s="38"/>
      <c r="Q14" s="36"/>
      <c r="R14" s="38"/>
      <c r="S14" s="36"/>
      <c r="T14" s="37"/>
      <c r="U14" s="38"/>
    </row>
    <row r="15" customFormat="false" ht="27.75" hidden="false" customHeight="true" outlineLevel="0" collapsed="false">
      <c r="A15" s="36"/>
      <c r="B15" s="37"/>
      <c r="C15" s="38"/>
      <c r="D15" s="37"/>
      <c r="E15" s="37"/>
      <c r="F15" s="37"/>
      <c r="G15" s="37"/>
      <c r="H15" s="37"/>
      <c r="I15" s="38"/>
      <c r="J15" s="44"/>
      <c r="K15" s="44"/>
      <c r="L15" s="45" t="str">
        <f aca="false">IF(AND($J15="",$K15=""),"",ROUND(IFERROR(VALUE(LEFT($J15,1)),0)*12+IFERROR(VALUE(LEFT($K15,1)),0)*8,0))</f>
        <v/>
      </c>
      <c r="M15" s="45" t="str">
        <f aca="false">IF($L15="","",IF($L15&gt;=80,"A - pursue now",IF($L15&gt;=60,"B - worth pursuing",IF($L15&gt;=40,"C - nurture","D - park it"))))</f>
        <v/>
      </c>
      <c r="N15" s="37"/>
      <c r="O15" s="44"/>
      <c r="P15" s="38"/>
      <c r="Q15" s="36"/>
      <c r="R15" s="38"/>
      <c r="S15" s="36"/>
      <c r="T15" s="37"/>
      <c r="U15" s="38"/>
    </row>
    <row r="16" customFormat="false" ht="27.75" hidden="false" customHeight="true" outlineLevel="0" collapsed="false">
      <c r="A16" s="36"/>
      <c r="B16" s="37"/>
      <c r="C16" s="38"/>
      <c r="D16" s="37"/>
      <c r="E16" s="37"/>
      <c r="F16" s="37"/>
      <c r="G16" s="37"/>
      <c r="H16" s="37"/>
      <c r="I16" s="38"/>
      <c r="J16" s="44"/>
      <c r="K16" s="44"/>
      <c r="L16" s="45" t="str">
        <f aca="false">IF(AND($J16="",$K16=""),"",ROUND(IFERROR(VALUE(LEFT($J16,1)),0)*12+IFERROR(VALUE(LEFT($K16,1)),0)*8,0))</f>
        <v/>
      </c>
      <c r="M16" s="45" t="str">
        <f aca="false">IF($L16="","",IF($L16&gt;=80,"A - pursue now",IF($L16&gt;=60,"B - worth pursuing",IF($L16&gt;=40,"C - nurture","D - park it"))))</f>
        <v/>
      </c>
      <c r="N16" s="37"/>
      <c r="O16" s="44"/>
      <c r="P16" s="38"/>
      <c r="Q16" s="36"/>
      <c r="R16" s="38"/>
      <c r="S16" s="36"/>
      <c r="T16" s="37"/>
      <c r="U16" s="38"/>
    </row>
    <row r="17" customFormat="false" ht="27.75" hidden="false" customHeight="true" outlineLevel="0" collapsed="false">
      <c r="A17" s="36"/>
      <c r="B17" s="37"/>
      <c r="C17" s="38"/>
      <c r="D17" s="37"/>
      <c r="E17" s="37"/>
      <c r="F17" s="37"/>
      <c r="G17" s="37"/>
      <c r="H17" s="37"/>
      <c r="I17" s="38"/>
      <c r="J17" s="44"/>
      <c r="K17" s="44"/>
      <c r="L17" s="45" t="str">
        <f aca="false">IF(AND($J17="",$K17=""),"",ROUND(IFERROR(VALUE(LEFT($J17,1)),0)*12+IFERROR(VALUE(LEFT($K17,1)),0)*8,0))</f>
        <v/>
      </c>
      <c r="M17" s="45" t="str">
        <f aca="false">IF($L17="","",IF($L17&gt;=80,"A - pursue now",IF($L17&gt;=60,"B - worth pursuing",IF($L17&gt;=40,"C - nurture","D - park it"))))</f>
        <v/>
      </c>
      <c r="N17" s="37"/>
      <c r="O17" s="44"/>
      <c r="P17" s="38"/>
      <c r="Q17" s="36"/>
      <c r="R17" s="38"/>
      <c r="S17" s="36"/>
      <c r="T17" s="37"/>
      <c r="U17" s="38"/>
    </row>
    <row r="18" customFormat="false" ht="27.75" hidden="false" customHeight="true" outlineLevel="0" collapsed="false">
      <c r="A18" s="36"/>
      <c r="B18" s="37"/>
      <c r="C18" s="38"/>
      <c r="D18" s="37"/>
      <c r="E18" s="37"/>
      <c r="F18" s="37"/>
      <c r="G18" s="37"/>
      <c r="H18" s="37"/>
      <c r="I18" s="38"/>
      <c r="J18" s="44"/>
      <c r="K18" s="44"/>
      <c r="L18" s="45" t="str">
        <f aca="false">IF(AND($J18="",$K18=""),"",ROUND(IFERROR(VALUE(LEFT($J18,1)),0)*12+IFERROR(VALUE(LEFT($K18,1)),0)*8,0))</f>
        <v/>
      </c>
      <c r="M18" s="45" t="str">
        <f aca="false">IF($L18="","",IF($L18&gt;=80,"A - pursue now",IF($L18&gt;=60,"B - worth pursuing",IF($L18&gt;=40,"C - nurture","D - park it"))))</f>
        <v/>
      </c>
      <c r="N18" s="37"/>
      <c r="O18" s="44"/>
      <c r="P18" s="38"/>
      <c r="Q18" s="36"/>
      <c r="R18" s="38"/>
      <c r="S18" s="36"/>
      <c r="T18" s="37"/>
      <c r="U18" s="38"/>
    </row>
    <row r="19" customFormat="false" ht="27.75" hidden="false" customHeight="true" outlineLevel="0" collapsed="false">
      <c r="A19" s="36"/>
      <c r="B19" s="37"/>
      <c r="C19" s="38"/>
      <c r="D19" s="37"/>
      <c r="E19" s="37"/>
      <c r="F19" s="37"/>
      <c r="G19" s="37"/>
      <c r="H19" s="37"/>
      <c r="I19" s="38"/>
      <c r="J19" s="44"/>
      <c r="K19" s="44"/>
      <c r="L19" s="45" t="str">
        <f aca="false">IF(AND($J19="",$K19=""),"",ROUND(IFERROR(VALUE(LEFT($J19,1)),0)*12+IFERROR(VALUE(LEFT($K19,1)),0)*8,0))</f>
        <v/>
      </c>
      <c r="M19" s="45" t="str">
        <f aca="false">IF($L19="","",IF($L19&gt;=80,"A - pursue now",IF($L19&gt;=60,"B - worth pursuing",IF($L19&gt;=40,"C - nurture","D - park it"))))</f>
        <v/>
      </c>
      <c r="N19" s="37"/>
      <c r="O19" s="44"/>
      <c r="P19" s="38"/>
      <c r="Q19" s="36"/>
      <c r="R19" s="38"/>
      <c r="S19" s="36"/>
      <c r="T19" s="37"/>
      <c r="U19" s="38"/>
    </row>
    <row r="20" customFormat="false" ht="27.75" hidden="false" customHeight="true" outlineLevel="0" collapsed="false">
      <c r="A20" s="36"/>
      <c r="B20" s="37"/>
      <c r="C20" s="38"/>
      <c r="D20" s="37"/>
      <c r="E20" s="37"/>
      <c r="F20" s="37"/>
      <c r="G20" s="37"/>
      <c r="H20" s="37"/>
      <c r="I20" s="38"/>
      <c r="J20" s="44"/>
      <c r="K20" s="44"/>
      <c r="L20" s="45" t="str">
        <f aca="false">IF(AND($J20="",$K20=""),"",ROUND(IFERROR(VALUE(LEFT($J20,1)),0)*12+IFERROR(VALUE(LEFT($K20,1)),0)*8,0))</f>
        <v/>
      </c>
      <c r="M20" s="45" t="str">
        <f aca="false">IF($L20="","",IF($L20&gt;=80,"A - pursue now",IF($L20&gt;=60,"B - worth pursuing",IF($L20&gt;=40,"C - nurture","D - park it"))))</f>
        <v/>
      </c>
      <c r="N20" s="37"/>
      <c r="O20" s="44"/>
      <c r="P20" s="38"/>
      <c r="Q20" s="36"/>
      <c r="R20" s="38"/>
      <c r="S20" s="36"/>
      <c r="T20" s="37"/>
      <c r="U20" s="38"/>
    </row>
    <row r="21" customFormat="false" ht="27.75" hidden="false" customHeight="true" outlineLevel="0" collapsed="false">
      <c r="A21" s="36"/>
      <c r="B21" s="37"/>
      <c r="C21" s="38"/>
      <c r="D21" s="37"/>
      <c r="E21" s="37"/>
      <c r="F21" s="37"/>
      <c r="G21" s="37"/>
      <c r="H21" s="37"/>
      <c r="I21" s="38"/>
      <c r="J21" s="44"/>
      <c r="K21" s="44"/>
      <c r="L21" s="45" t="str">
        <f aca="false">IF(AND($J21="",$K21=""),"",ROUND(IFERROR(VALUE(LEFT($J21,1)),0)*12+IFERROR(VALUE(LEFT($K21,1)),0)*8,0))</f>
        <v/>
      </c>
      <c r="M21" s="45" t="str">
        <f aca="false">IF($L21="","",IF($L21&gt;=80,"A - pursue now",IF($L21&gt;=60,"B - worth pursuing",IF($L21&gt;=40,"C - nurture","D - park it"))))</f>
        <v/>
      </c>
      <c r="N21" s="37"/>
      <c r="O21" s="44"/>
      <c r="P21" s="38"/>
      <c r="Q21" s="36"/>
      <c r="R21" s="38"/>
      <c r="S21" s="36"/>
      <c r="T21" s="37"/>
      <c r="U21" s="38"/>
    </row>
    <row r="22" customFormat="false" ht="27.75" hidden="false" customHeight="true" outlineLevel="0" collapsed="false">
      <c r="A22" s="36"/>
      <c r="B22" s="37"/>
      <c r="C22" s="38"/>
      <c r="D22" s="37"/>
      <c r="E22" s="37"/>
      <c r="F22" s="37"/>
      <c r="G22" s="37"/>
      <c r="H22" s="37"/>
      <c r="I22" s="38"/>
      <c r="J22" s="44"/>
      <c r="K22" s="44"/>
      <c r="L22" s="45" t="str">
        <f aca="false">IF(AND($J22="",$K22=""),"",ROUND(IFERROR(VALUE(LEFT($J22,1)),0)*12+IFERROR(VALUE(LEFT($K22,1)),0)*8,0))</f>
        <v/>
      </c>
      <c r="M22" s="45" t="str">
        <f aca="false">IF($L22="","",IF($L22&gt;=80,"A - pursue now",IF($L22&gt;=60,"B - worth pursuing",IF($L22&gt;=40,"C - nurture","D - park it"))))</f>
        <v/>
      </c>
      <c r="N22" s="37"/>
      <c r="O22" s="44"/>
      <c r="P22" s="38"/>
      <c r="Q22" s="36"/>
      <c r="R22" s="38"/>
      <c r="S22" s="36"/>
      <c r="T22" s="37"/>
      <c r="U22" s="38"/>
    </row>
    <row r="23" customFormat="false" ht="27.75" hidden="false" customHeight="true" outlineLevel="0" collapsed="false">
      <c r="A23" s="36"/>
      <c r="B23" s="37"/>
      <c r="C23" s="38"/>
      <c r="D23" s="37"/>
      <c r="E23" s="37"/>
      <c r="F23" s="37"/>
      <c r="G23" s="37"/>
      <c r="H23" s="37"/>
      <c r="I23" s="38"/>
      <c r="J23" s="44"/>
      <c r="K23" s="44"/>
      <c r="L23" s="45" t="str">
        <f aca="false">IF(AND($J23="",$K23=""),"",ROUND(IFERROR(VALUE(LEFT($J23,1)),0)*12+IFERROR(VALUE(LEFT($K23,1)),0)*8,0))</f>
        <v/>
      </c>
      <c r="M23" s="45" t="str">
        <f aca="false">IF($L23="","",IF($L23&gt;=80,"A - pursue now",IF($L23&gt;=60,"B - worth pursuing",IF($L23&gt;=40,"C - nurture","D - park it"))))</f>
        <v/>
      </c>
      <c r="N23" s="37"/>
      <c r="O23" s="44"/>
      <c r="P23" s="38"/>
      <c r="Q23" s="36"/>
      <c r="R23" s="38"/>
      <c r="S23" s="36"/>
      <c r="T23" s="37"/>
      <c r="U23" s="38"/>
    </row>
    <row r="24" customFormat="false" ht="27.75" hidden="false" customHeight="true" outlineLevel="0" collapsed="false">
      <c r="A24" s="36"/>
      <c r="B24" s="37"/>
      <c r="C24" s="38"/>
      <c r="D24" s="37"/>
      <c r="E24" s="37"/>
      <c r="F24" s="37"/>
      <c r="G24" s="37"/>
      <c r="H24" s="37"/>
      <c r="I24" s="38"/>
      <c r="J24" s="44"/>
      <c r="K24" s="44"/>
      <c r="L24" s="45" t="str">
        <f aca="false">IF(AND($J24="",$K24=""),"",ROUND(IFERROR(VALUE(LEFT($J24,1)),0)*12+IFERROR(VALUE(LEFT($K24,1)),0)*8,0))</f>
        <v/>
      </c>
      <c r="M24" s="45" t="str">
        <f aca="false">IF($L24="","",IF($L24&gt;=80,"A - pursue now",IF($L24&gt;=60,"B - worth pursuing",IF($L24&gt;=40,"C - nurture","D - park it"))))</f>
        <v/>
      </c>
      <c r="N24" s="37"/>
      <c r="O24" s="44"/>
      <c r="P24" s="38"/>
      <c r="Q24" s="36"/>
      <c r="R24" s="38"/>
      <c r="S24" s="36"/>
      <c r="T24" s="37"/>
      <c r="U24" s="38"/>
    </row>
    <row r="25" customFormat="false" ht="27.75" hidden="false" customHeight="true" outlineLevel="0" collapsed="false">
      <c r="A25" s="36"/>
      <c r="B25" s="37"/>
      <c r="C25" s="38"/>
      <c r="D25" s="37"/>
      <c r="E25" s="37"/>
      <c r="F25" s="37"/>
      <c r="G25" s="37"/>
      <c r="H25" s="37"/>
      <c r="I25" s="38"/>
      <c r="J25" s="44"/>
      <c r="K25" s="44"/>
      <c r="L25" s="45" t="str">
        <f aca="false">IF(AND($J25="",$K25=""),"",ROUND(IFERROR(VALUE(LEFT($J25,1)),0)*12+IFERROR(VALUE(LEFT($K25,1)),0)*8,0))</f>
        <v/>
      </c>
      <c r="M25" s="45" t="str">
        <f aca="false">IF($L25="","",IF($L25&gt;=80,"A - pursue now",IF($L25&gt;=60,"B - worth pursuing",IF($L25&gt;=40,"C - nurture","D - park it"))))</f>
        <v/>
      </c>
      <c r="N25" s="37"/>
      <c r="O25" s="44"/>
      <c r="P25" s="38"/>
      <c r="Q25" s="36"/>
      <c r="R25" s="38"/>
      <c r="S25" s="36"/>
      <c r="T25" s="37"/>
      <c r="U25" s="38"/>
    </row>
    <row r="26" customFormat="false" ht="27.75" hidden="false" customHeight="true" outlineLevel="0" collapsed="false">
      <c r="A26" s="36"/>
      <c r="B26" s="37"/>
      <c r="C26" s="38"/>
      <c r="D26" s="37"/>
      <c r="E26" s="37"/>
      <c r="F26" s="37"/>
      <c r="G26" s="37"/>
      <c r="H26" s="37"/>
      <c r="I26" s="38"/>
      <c r="J26" s="44"/>
      <c r="K26" s="44"/>
      <c r="L26" s="45" t="str">
        <f aca="false">IF(AND($J26="",$K26=""),"",ROUND(IFERROR(VALUE(LEFT($J26,1)),0)*12+IFERROR(VALUE(LEFT($K26,1)),0)*8,0))</f>
        <v/>
      </c>
      <c r="M26" s="45" t="str">
        <f aca="false">IF($L26="","",IF($L26&gt;=80,"A - pursue now",IF($L26&gt;=60,"B - worth pursuing",IF($L26&gt;=40,"C - nurture","D - park it"))))</f>
        <v/>
      </c>
      <c r="N26" s="37"/>
      <c r="O26" s="44"/>
      <c r="P26" s="38"/>
      <c r="Q26" s="36"/>
      <c r="R26" s="38"/>
      <c r="S26" s="36"/>
      <c r="T26" s="37"/>
      <c r="U26" s="38"/>
    </row>
    <row r="27" customFormat="false" ht="27.75" hidden="false" customHeight="true" outlineLevel="0" collapsed="false">
      <c r="A27" s="36"/>
      <c r="B27" s="37"/>
      <c r="C27" s="38"/>
      <c r="D27" s="37"/>
      <c r="E27" s="37"/>
      <c r="F27" s="37"/>
      <c r="G27" s="37"/>
      <c r="H27" s="37"/>
      <c r="I27" s="38"/>
      <c r="J27" s="44"/>
      <c r="K27" s="44"/>
      <c r="L27" s="45" t="str">
        <f aca="false">IF(AND($J27="",$K27=""),"",ROUND(IFERROR(VALUE(LEFT($J27,1)),0)*12+IFERROR(VALUE(LEFT($K27,1)),0)*8,0))</f>
        <v/>
      </c>
      <c r="M27" s="45" t="str">
        <f aca="false">IF($L27="","",IF($L27&gt;=80,"A - pursue now",IF($L27&gt;=60,"B - worth pursuing",IF($L27&gt;=40,"C - nurture","D - park it"))))</f>
        <v/>
      </c>
      <c r="N27" s="37"/>
      <c r="O27" s="44"/>
      <c r="P27" s="38"/>
      <c r="Q27" s="36"/>
      <c r="R27" s="38"/>
      <c r="S27" s="36"/>
      <c r="T27" s="37"/>
      <c r="U27" s="38"/>
    </row>
    <row r="28" customFormat="false" ht="27.75" hidden="false" customHeight="true" outlineLevel="0" collapsed="false">
      <c r="A28" s="36"/>
      <c r="B28" s="37"/>
      <c r="C28" s="38"/>
      <c r="D28" s="37"/>
      <c r="E28" s="37"/>
      <c r="F28" s="37"/>
      <c r="G28" s="37"/>
      <c r="H28" s="37"/>
      <c r="I28" s="38"/>
      <c r="J28" s="44"/>
      <c r="K28" s="44"/>
      <c r="L28" s="45" t="str">
        <f aca="false">IF(AND($J28="",$K28=""),"",ROUND(IFERROR(VALUE(LEFT($J28,1)),0)*12+IFERROR(VALUE(LEFT($K28,1)),0)*8,0))</f>
        <v/>
      </c>
      <c r="M28" s="45" t="str">
        <f aca="false">IF($L28="","",IF($L28&gt;=80,"A - pursue now",IF($L28&gt;=60,"B - worth pursuing",IF($L28&gt;=40,"C - nurture","D - park it"))))</f>
        <v/>
      </c>
      <c r="N28" s="37"/>
      <c r="O28" s="44"/>
      <c r="P28" s="38"/>
      <c r="Q28" s="36"/>
      <c r="R28" s="38"/>
      <c r="S28" s="36"/>
      <c r="T28" s="37"/>
      <c r="U28" s="38"/>
    </row>
    <row r="29" customFormat="false" ht="27.75" hidden="false" customHeight="true" outlineLevel="0" collapsed="false">
      <c r="A29" s="36"/>
      <c r="B29" s="37"/>
      <c r="C29" s="38"/>
      <c r="D29" s="37"/>
      <c r="E29" s="37"/>
      <c r="F29" s="37"/>
      <c r="G29" s="37"/>
      <c r="H29" s="37"/>
      <c r="I29" s="38"/>
      <c r="J29" s="44"/>
      <c r="K29" s="44"/>
      <c r="L29" s="45" t="str">
        <f aca="false">IF(AND($J29="",$K29=""),"",ROUND(IFERROR(VALUE(LEFT($J29,1)),0)*12+IFERROR(VALUE(LEFT($K29,1)),0)*8,0))</f>
        <v/>
      </c>
      <c r="M29" s="45" t="str">
        <f aca="false">IF($L29="","",IF($L29&gt;=80,"A - pursue now",IF($L29&gt;=60,"B - worth pursuing",IF($L29&gt;=40,"C - nurture","D - park it"))))</f>
        <v/>
      </c>
      <c r="N29" s="37"/>
      <c r="O29" s="44"/>
      <c r="P29" s="38"/>
      <c r="Q29" s="36"/>
      <c r="R29" s="38"/>
      <c r="S29" s="36"/>
      <c r="T29" s="37"/>
      <c r="U29" s="38"/>
    </row>
    <row r="30" customFormat="false" ht="27.75" hidden="false" customHeight="true" outlineLevel="0" collapsed="false">
      <c r="A30" s="36"/>
      <c r="B30" s="37"/>
      <c r="C30" s="38"/>
      <c r="D30" s="37"/>
      <c r="E30" s="37"/>
      <c r="F30" s="37"/>
      <c r="G30" s="37"/>
      <c r="H30" s="37"/>
      <c r="I30" s="38"/>
      <c r="J30" s="44"/>
      <c r="K30" s="44"/>
      <c r="L30" s="45" t="str">
        <f aca="false">IF(AND($J30="",$K30=""),"",ROUND(IFERROR(VALUE(LEFT($J30,1)),0)*12+IFERROR(VALUE(LEFT($K30,1)),0)*8,0))</f>
        <v/>
      </c>
      <c r="M30" s="45" t="str">
        <f aca="false">IF($L30="","",IF($L30&gt;=80,"A - pursue now",IF($L30&gt;=60,"B - worth pursuing",IF($L30&gt;=40,"C - nurture","D - park it"))))</f>
        <v/>
      </c>
      <c r="N30" s="37"/>
      <c r="O30" s="44"/>
      <c r="P30" s="38"/>
      <c r="Q30" s="36"/>
      <c r="R30" s="38"/>
      <c r="S30" s="36"/>
      <c r="T30" s="37"/>
      <c r="U30" s="38"/>
    </row>
    <row r="31" customFormat="false" ht="27.75" hidden="false" customHeight="true" outlineLevel="0" collapsed="false">
      <c r="A31" s="36"/>
      <c r="B31" s="37"/>
      <c r="C31" s="38"/>
      <c r="D31" s="37"/>
      <c r="E31" s="37"/>
      <c r="F31" s="37"/>
      <c r="G31" s="37"/>
      <c r="H31" s="37"/>
      <c r="I31" s="38"/>
      <c r="J31" s="44"/>
      <c r="K31" s="44"/>
      <c r="L31" s="45" t="str">
        <f aca="false">IF(AND($J31="",$K31=""),"",ROUND(IFERROR(VALUE(LEFT($J31,1)),0)*12+IFERROR(VALUE(LEFT($K31,1)),0)*8,0))</f>
        <v/>
      </c>
      <c r="M31" s="45" t="str">
        <f aca="false">IF($L31="","",IF($L31&gt;=80,"A - pursue now",IF($L31&gt;=60,"B - worth pursuing",IF($L31&gt;=40,"C - nurture","D - park it"))))</f>
        <v/>
      </c>
      <c r="N31" s="37"/>
      <c r="O31" s="44"/>
      <c r="P31" s="38"/>
      <c r="Q31" s="36"/>
      <c r="R31" s="38"/>
      <c r="S31" s="36"/>
      <c r="T31" s="37"/>
      <c r="U31" s="38"/>
    </row>
    <row r="32" customFormat="false" ht="27.75" hidden="false" customHeight="true" outlineLevel="0" collapsed="false">
      <c r="A32" s="36"/>
      <c r="B32" s="37"/>
      <c r="C32" s="38"/>
      <c r="D32" s="37"/>
      <c r="E32" s="37"/>
      <c r="F32" s="37"/>
      <c r="G32" s="37"/>
      <c r="H32" s="37"/>
      <c r="I32" s="38"/>
      <c r="J32" s="44"/>
      <c r="K32" s="44"/>
      <c r="L32" s="45" t="str">
        <f aca="false">IF(AND($J32="",$K32=""),"",ROUND(IFERROR(VALUE(LEFT($J32,1)),0)*12+IFERROR(VALUE(LEFT($K32,1)),0)*8,0))</f>
        <v/>
      </c>
      <c r="M32" s="45" t="str">
        <f aca="false">IF($L32="","",IF($L32&gt;=80,"A - pursue now",IF($L32&gt;=60,"B - worth pursuing",IF($L32&gt;=40,"C - nurture","D - park it"))))</f>
        <v/>
      </c>
      <c r="N32" s="37"/>
      <c r="O32" s="44"/>
      <c r="P32" s="38"/>
      <c r="Q32" s="36"/>
      <c r="R32" s="38"/>
      <c r="S32" s="36"/>
      <c r="T32" s="37"/>
      <c r="U32" s="38"/>
    </row>
    <row r="33" customFormat="false" ht="27.75" hidden="false" customHeight="true" outlineLevel="0" collapsed="false">
      <c r="A33" s="36"/>
      <c r="B33" s="37"/>
      <c r="C33" s="38"/>
      <c r="D33" s="37"/>
      <c r="E33" s="37"/>
      <c r="F33" s="37"/>
      <c r="G33" s="37"/>
      <c r="H33" s="37"/>
      <c r="I33" s="38"/>
      <c r="J33" s="44"/>
      <c r="K33" s="44"/>
      <c r="L33" s="45" t="str">
        <f aca="false">IF(AND($J33="",$K33=""),"",ROUND(IFERROR(VALUE(LEFT($J33,1)),0)*12+IFERROR(VALUE(LEFT($K33,1)),0)*8,0))</f>
        <v/>
      </c>
      <c r="M33" s="45" t="str">
        <f aca="false">IF($L33="","",IF($L33&gt;=80,"A - pursue now",IF($L33&gt;=60,"B - worth pursuing",IF($L33&gt;=40,"C - nurture","D - park it"))))</f>
        <v/>
      </c>
      <c r="N33" s="37"/>
      <c r="O33" s="44"/>
      <c r="P33" s="38"/>
      <c r="Q33" s="36"/>
      <c r="R33" s="38"/>
      <c r="S33" s="36"/>
      <c r="T33" s="37"/>
      <c r="U33" s="38"/>
    </row>
    <row r="34" customFormat="false" ht="27.75" hidden="false" customHeight="true" outlineLevel="0" collapsed="false">
      <c r="A34" s="36"/>
      <c r="B34" s="37"/>
      <c r="C34" s="38"/>
      <c r="D34" s="37"/>
      <c r="E34" s="37"/>
      <c r="F34" s="37"/>
      <c r="G34" s="37"/>
      <c r="H34" s="37"/>
      <c r="I34" s="38"/>
      <c r="J34" s="44"/>
      <c r="K34" s="44"/>
      <c r="L34" s="45" t="str">
        <f aca="false">IF(AND($J34="",$K34=""),"",ROUND(IFERROR(VALUE(LEFT($J34,1)),0)*12+IFERROR(VALUE(LEFT($K34,1)),0)*8,0))</f>
        <v/>
      </c>
      <c r="M34" s="45" t="str">
        <f aca="false">IF($L34="","",IF($L34&gt;=80,"A - pursue now",IF($L34&gt;=60,"B - worth pursuing",IF($L34&gt;=40,"C - nurture","D - park it"))))</f>
        <v/>
      </c>
      <c r="N34" s="37"/>
      <c r="O34" s="44"/>
      <c r="P34" s="38"/>
      <c r="Q34" s="36"/>
      <c r="R34" s="38"/>
      <c r="S34" s="36"/>
      <c r="T34" s="37"/>
      <c r="U34" s="38"/>
    </row>
    <row r="35" customFormat="false" ht="27.75" hidden="false" customHeight="true" outlineLevel="0" collapsed="false">
      <c r="A35" s="36"/>
      <c r="B35" s="37"/>
      <c r="C35" s="38"/>
      <c r="D35" s="37"/>
      <c r="E35" s="37"/>
      <c r="F35" s="37"/>
      <c r="G35" s="37"/>
      <c r="H35" s="37"/>
      <c r="I35" s="38"/>
      <c r="J35" s="44"/>
      <c r="K35" s="44"/>
      <c r="L35" s="45" t="str">
        <f aca="false">IF(AND($J35="",$K35=""),"",ROUND(IFERROR(VALUE(LEFT($J35,1)),0)*12+IFERROR(VALUE(LEFT($K35,1)),0)*8,0))</f>
        <v/>
      </c>
      <c r="M35" s="45" t="str">
        <f aca="false">IF($L35="","",IF($L35&gt;=80,"A - pursue now",IF($L35&gt;=60,"B - worth pursuing",IF($L35&gt;=40,"C - nurture","D - park it"))))</f>
        <v/>
      </c>
      <c r="N35" s="37"/>
      <c r="O35" s="44"/>
      <c r="P35" s="38"/>
      <c r="Q35" s="36"/>
      <c r="R35" s="38"/>
      <c r="S35" s="36"/>
      <c r="T35" s="37"/>
      <c r="U35" s="38"/>
    </row>
    <row r="36" customFormat="false" ht="27.75" hidden="false" customHeight="true" outlineLevel="0" collapsed="false">
      <c r="A36" s="36"/>
      <c r="B36" s="37"/>
      <c r="C36" s="38"/>
      <c r="D36" s="37"/>
      <c r="E36" s="37"/>
      <c r="F36" s="37"/>
      <c r="G36" s="37"/>
      <c r="H36" s="37"/>
      <c r="I36" s="38"/>
      <c r="J36" s="44"/>
      <c r="K36" s="44"/>
      <c r="L36" s="45" t="str">
        <f aca="false">IF(AND($J36="",$K36=""),"",ROUND(IFERROR(VALUE(LEFT($J36,1)),0)*12+IFERROR(VALUE(LEFT($K36,1)),0)*8,0))</f>
        <v/>
      </c>
      <c r="M36" s="45" t="str">
        <f aca="false">IF($L36="","",IF($L36&gt;=80,"A - pursue now",IF($L36&gt;=60,"B - worth pursuing",IF($L36&gt;=40,"C - nurture","D - park it"))))</f>
        <v/>
      </c>
      <c r="N36" s="37"/>
      <c r="O36" s="44"/>
      <c r="P36" s="38"/>
      <c r="Q36" s="36"/>
      <c r="R36" s="38"/>
      <c r="S36" s="36"/>
      <c r="T36" s="37"/>
      <c r="U36" s="38"/>
    </row>
    <row r="37" customFormat="false" ht="27.75" hidden="false" customHeight="true" outlineLevel="0" collapsed="false">
      <c r="A37" s="36"/>
      <c r="B37" s="37"/>
      <c r="C37" s="38"/>
      <c r="D37" s="37"/>
      <c r="E37" s="37"/>
      <c r="F37" s="37"/>
      <c r="G37" s="37"/>
      <c r="H37" s="37"/>
      <c r="I37" s="38"/>
      <c r="J37" s="44"/>
      <c r="K37" s="44"/>
      <c r="L37" s="45" t="str">
        <f aca="false">IF(AND($J37="",$K37=""),"",ROUND(IFERROR(VALUE(LEFT($J37,1)),0)*12+IFERROR(VALUE(LEFT($K37,1)),0)*8,0))</f>
        <v/>
      </c>
      <c r="M37" s="45" t="str">
        <f aca="false">IF($L37="","",IF($L37&gt;=80,"A - pursue now",IF($L37&gt;=60,"B - worth pursuing",IF($L37&gt;=40,"C - nurture","D - park it"))))</f>
        <v/>
      </c>
      <c r="N37" s="37"/>
      <c r="O37" s="44"/>
      <c r="P37" s="38"/>
      <c r="Q37" s="36"/>
      <c r="R37" s="38"/>
      <c r="S37" s="36"/>
      <c r="T37" s="37"/>
      <c r="U37" s="38"/>
    </row>
    <row r="38" customFormat="false" ht="27.75" hidden="false" customHeight="true" outlineLevel="0" collapsed="false">
      <c r="A38" s="36"/>
      <c r="B38" s="37"/>
      <c r="C38" s="38"/>
      <c r="D38" s="37"/>
      <c r="E38" s="37"/>
      <c r="F38" s="37"/>
      <c r="G38" s="37"/>
      <c r="H38" s="37"/>
      <c r="I38" s="38"/>
      <c r="J38" s="44"/>
      <c r="K38" s="44"/>
      <c r="L38" s="45" t="str">
        <f aca="false">IF(AND($J38="",$K38=""),"",ROUND(IFERROR(VALUE(LEFT($J38,1)),0)*12+IFERROR(VALUE(LEFT($K38,1)),0)*8,0))</f>
        <v/>
      </c>
      <c r="M38" s="45" t="str">
        <f aca="false">IF($L38="","",IF($L38&gt;=80,"A - pursue now",IF($L38&gt;=60,"B - worth pursuing",IF($L38&gt;=40,"C - nurture","D - park it"))))</f>
        <v/>
      </c>
      <c r="N38" s="37"/>
      <c r="O38" s="44"/>
      <c r="P38" s="38"/>
      <c r="Q38" s="36"/>
      <c r="R38" s="38"/>
      <c r="S38" s="36"/>
      <c r="T38" s="37"/>
      <c r="U38" s="38"/>
    </row>
    <row r="39" customFormat="false" ht="27.75" hidden="false" customHeight="true" outlineLevel="0" collapsed="false">
      <c r="A39" s="36"/>
      <c r="B39" s="37"/>
      <c r="C39" s="38"/>
      <c r="D39" s="37"/>
      <c r="E39" s="37"/>
      <c r="F39" s="37"/>
      <c r="G39" s="37"/>
      <c r="H39" s="37"/>
      <c r="I39" s="38"/>
      <c r="J39" s="44"/>
      <c r="K39" s="44"/>
      <c r="L39" s="45" t="str">
        <f aca="false">IF(AND($J39="",$K39=""),"",ROUND(IFERROR(VALUE(LEFT($J39,1)),0)*12+IFERROR(VALUE(LEFT($K39,1)),0)*8,0))</f>
        <v/>
      </c>
      <c r="M39" s="45" t="str">
        <f aca="false">IF($L39="","",IF($L39&gt;=80,"A - pursue now",IF($L39&gt;=60,"B - worth pursuing",IF($L39&gt;=40,"C - nurture","D - park it"))))</f>
        <v/>
      </c>
      <c r="N39" s="37"/>
      <c r="O39" s="44"/>
      <c r="P39" s="38"/>
      <c r="Q39" s="36"/>
      <c r="R39" s="38"/>
      <c r="S39" s="36"/>
      <c r="T39" s="37"/>
      <c r="U39" s="38"/>
    </row>
    <row r="40" customFormat="false" ht="27.75" hidden="false" customHeight="true" outlineLevel="0" collapsed="false">
      <c r="A40" s="36"/>
      <c r="B40" s="37"/>
      <c r="C40" s="38"/>
      <c r="D40" s="37"/>
      <c r="E40" s="37"/>
      <c r="F40" s="37"/>
      <c r="G40" s="37"/>
      <c r="H40" s="37"/>
      <c r="I40" s="38"/>
      <c r="J40" s="44"/>
      <c r="K40" s="44"/>
      <c r="L40" s="45" t="str">
        <f aca="false">IF(AND($J40="",$K40=""),"",ROUND(IFERROR(VALUE(LEFT($J40,1)),0)*12+IFERROR(VALUE(LEFT($K40,1)),0)*8,0))</f>
        <v/>
      </c>
      <c r="M40" s="45" t="str">
        <f aca="false">IF($L40="","",IF($L40&gt;=80,"A - pursue now",IF($L40&gt;=60,"B - worth pursuing",IF($L40&gt;=40,"C - nurture","D - park it"))))</f>
        <v/>
      </c>
      <c r="N40" s="37"/>
      <c r="O40" s="44"/>
      <c r="P40" s="38"/>
      <c r="Q40" s="36"/>
      <c r="R40" s="38"/>
      <c r="S40" s="36"/>
      <c r="T40" s="37"/>
      <c r="U40" s="38"/>
    </row>
    <row r="41" customFormat="false" ht="27.75" hidden="false" customHeight="true" outlineLevel="0" collapsed="false">
      <c r="A41" s="36"/>
      <c r="B41" s="37"/>
      <c r="C41" s="38"/>
      <c r="D41" s="37"/>
      <c r="E41" s="37"/>
      <c r="F41" s="37"/>
      <c r="G41" s="37"/>
      <c r="H41" s="37"/>
      <c r="I41" s="38"/>
      <c r="J41" s="44"/>
      <c r="K41" s="44"/>
      <c r="L41" s="45" t="str">
        <f aca="false">IF(AND($J41="",$K41=""),"",ROUND(IFERROR(VALUE(LEFT($J41,1)),0)*12+IFERROR(VALUE(LEFT($K41,1)),0)*8,0))</f>
        <v/>
      </c>
      <c r="M41" s="45" t="str">
        <f aca="false">IF($L41="","",IF($L41&gt;=80,"A - pursue now",IF($L41&gt;=60,"B - worth pursuing",IF($L41&gt;=40,"C - nurture","D - park it"))))</f>
        <v/>
      </c>
      <c r="N41" s="37"/>
      <c r="O41" s="44"/>
      <c r="P41" s="38"/>
      <c r="Q41" s="36"/>
      <c r="R41" s="38"/>
      <c r="S41" s="36"/>
      <c r="T41" s="37"/>
      <c r="U41" s="38"/>
    </row>
    <row r="42" customFormat="false" ht="27.75" hidden="false" customHeight="true" outlineLevel="0" collapsed="false">
      <c r="A42" s="36"/>
      <c r="B42" s="37"/>
      <c r="C42" s="38"/>
      <c r="D42" s="37"/>
      <c r="E42" s="37"/>
      <c r="F42" s="37"/>
      <c r="G42" s="37"/>
      <c r="H42" s="37"/>
      <c r="I42" s="38"/>
      <c r="J42" s="44"/>
      <c r="K42" s="44"/>
      <c r="L42" s="45" t="str">
        <f aca="false">IF(AND($J42="",$K42=""),"",ROUND(IFERROR(VALUE(LEFT($J42,1)),0)*12+IFERROR(VALUE(LEFT($K42,1)),0)*8,0))</f>
        <v/>
      </c>
      <c r="M42" s="45" t="str">
        <f aca="false">IF($L42="","",IF($L42&gt;=80,"A - pursue now",IF($L42&gt;=60,"B - worth pursuing",IF($L42&gt;=40,"C - nurture","D - park it"))))</f>
        <v/>
      </c>
      <c r="N42" s="37"/>
      <c r="O42" s="44"/>
      <c r="P42" s="38"/>
      <c r="Q42" s="36"/>
      <c r="R42" s="38"/>
      <c r="S42" s="36"/>
      <c r="T42" s="37"/>
      <c r="U42" s="38"/>
    </row>
    <row r="43" customFormat="false" ht="27.75" hidden="false" customHeight="true" outlineLevel="0" collapsed="false">
      <c r="A43" s="36"/>
      <c r="B43" s="37"/>
      <c r="C43" s="38"/>
      <c r="D43" s="37"/>
      <c r="E43" s="37"/>
      <c r="F43" s="37"/>
      <c r="G43" s="37"/>
      <c r="H43" s="37"/>
      <c r="I43" s="38"/>
      <c r="J43" s="44"/>
      <c r="K43" s="44"/>
      <c r="L43" s="45" t="str">
        <f aca="false">IF(AND($J43="",$K43=""),"",ROUND(IFERROR(VALUE(LEFT($J43,1)),0)*12+IFERROR(VALUE(LEFT($K43,1)),0)*8,0))</f>
        <v/>
      </c>
      <c r="M43" s="45" t="str">
        <f aca="false">IF($L43="","",IF($L43&gt;=80,"A - pursue now",IF($L43&gt;=60,"B - worth pursuing",IF($L43&gt;=40,"C - nurture","D - park it"))))</f>
        <v/>
      </c>
      <c r="N43" s="37"/>
      <c r="O43" s="44"/>
      <c r="P43" s="38"/>
      <c r="Q43" s="36"/>
      <c r="R43" s="38"/>
      <c r="S43" s="36"/>
      <c r="T43" s="37"/>
      <c r="U43" s="38"/>
    </row>
    <row r="44" customFormat="false" ht="27.75" hidden="false" customHeight="true" outlineLevel="0" collapsed="false">
      <c r="A44" s="36"/>
      <c r="B44" s="37"/>
      <c r="C44" s="38"/>
      <c r="D44" s="37"/>
      <c r="E44" s="37"/>
      <c r="F44" s="37"/>
      <c r="G44" s="37"/>
      <c r="H44" s="37"/>
      <c r="I44" s="38"/>
      <c r="J44" s="44"/>
      <c r="K44" s="44"/>
      <c r="L44" s="45" t="str">
        <f aca="false">IF(AND($J44="",$K44=""),"",ROUND(IFERROR(VALUE(LEFT($J44,1)),0)*12+IFERROR(VALUE(LEFT($K44,1)),0)*8,0))</f>
        <v/>
      </c>
      <c r="M44" s="45" t="str">
        <f aca="false">IF($L44="","",IF($L44&gt;=80,"A - pursue now",IF($L44&gt;=60,"B - worth pursuing",IF($L44&gt;=40,"C - nurture","D - park it"))))</f>
        <v/>
      </c>
      <c r="N44" s="37"/>
      <c r="O44" s="44"/>
      <c r="P44" s="38"/>
      <c r="Q44" s="36"/>
      <c r="R44" s="38"/>
      <c r="S44" s="36"/>
      <c r="T44" s="37"/>
      <c r="U44" s="38"/>
    </row>
    <row r="45" customFormat="false" ht="27.75" hidden="false" customHeight="true" outlineLevel="0" collapsed="false">
      <c r="A45" s="36"/>
      <c r="B45" s="37"/>
      <c r="C45" s="38"/>
      <c r="D45" s="37"/>
      <c r="E45" s="37"/>
      <c r="F45" s="37"/>
      <c r="G45" s="37"/>
      <c r="H45" s="37"/>
      <c r="I45" s="38"/>
      <c r="J45" s="44"/>
      <c r="K45" s="44"/>
      <c r="L45" s="45" t="str">
        <f aca="false">IF(AND($J45="",$K45=""),"",ROUND(IFERROR(VALUE(LEFT($J45,1)),0)*12+IFERROR(VALUE(LEFT($K45,1)),0)*8,0))</f>
        <v/>
      </c>
      <c r="M45" s="45" t="str">
        <f aca="false">IF($L45="","",IF($L45&gt;=80,"A - pursue now",IF($L45&gt;=60,"B - worth pursuing",IF($L45&gt;=40,"C - nurture","D - park it"))))</f>
        <v/>
      </c>
      <c r="N45" s="37"/>
      <c r="O45" s="44"/>
      <c r="P45" s="38"/>
      <c r="Q45" s="36"/>
      <c r="R45" s="38"/>
      <c r="S45" s="36"/>
      <c r="T45" s="37"/>
      <c r="U45" s="38"/>
    </row>
    <row r="46" customFormat="false" ht="27.75" hidden="false" customHeight="true" outlineLevel="0" collapsed="false">
      <c r="A46" s="36"/>
      <c r="B46" s="37"/>
      <c r="C46" s="38"/>
      <c r="D46" s="37"/>
      <c r="E46" s="37"/>
      <c r="F46" s="37"/>
      <c r="G46" s="37"/>
      <c r="H46" s="37"/>
      <c r="I46" s="38"/>
      <c r="J46" s="44"/>
      <c r="K46" s="44"/>
      <c r="L46" s="45" t="str">
        <f aca="false">IF(AND($J46="",$K46=""),"",ROUND(IFERROR(VALUE(LEFT($J46,1)),0)*12+IFERROR(VALUE(LEFT($K46,1)),0)*8,0))</f>
        <v/>
      </c>
      <c r="M46" s="45" t="str">
        <f aca="false">IF($L46="","",IF($L46&gt;=80,"A - pursue now",IF($L46&gt;=60,"B - worth pursuing",IF($L46&gt;=40,"C - nurture","D - park it"))))</f>
        <v/>
      </c>
      <c r="N46" s="37"/>
      <c r="O46" s="44"/>
      <c r="P46" s="38"/>
      <c r="Q46" s="36"/>
      <c r="R46" s="38"/>
      <c r="S46" s="36"/>
      <c r="T46" s="37"/>
      <c r="U46" s="38"/>
    </row>
    <row r="47" customFormat="false" ht="27.75" hidden="false" customHeight="true" outlineLevel="0" collapsed="false">
      <c r="A47" s="36"/>
      <c r="B47" s="37"/>
      <c r="C47" s="38"/>
      <c r="D47" s="37"/>
      <c r="E47" s="37"/>
      <c r="F47" s="37"/>
      <c r="G47" s="37"/>
      <c r="H47" s="37"/>
      <c r="I47" s="38"/>
      <c r="J47" s="44"/>
      <c r="K47" s="44"/>
      <c r="L47" s="45" t="str">
        <f aca="false">IF(AND($J47="",$K47=""),"",ROUND(IFERROR(VALUE(LEFT($J47,1)),0)*12+IFERROR(VALUE(LEFT($K47,1)),0)*8,0))</f>
        <v/>
      </c>
      <c r="M47" s="45" t="str">
        <f aca="false">IF($L47="","",IF($L47&gt;=80,"A - pursue now",IF($L47&gt;=60,"B - worth pursuing",IF($L47&gt;=40,"C - nurture","D - park it"))))</f>
        <v/>
      </c>
      <c r="N47" s="37"/>
      <c r="O47" s="44"/>
      <c r="P47" s="38"/>
      <c r="Q47" s="36"/>
      <c r="R47" s="38"/>
      <c r="S47" s="36"/>
      <c r="T47" s="37"/>
      <c r="U47" s="38"/>
    </row>
    <row r="48" customFormat="false" ht="27.75" hidden="false" customHeight="true" outlineLevel="0" collapsed="false">
      <c r="A48" s="36"/>
      <c r="B48" s="37"/>
      <c r="C48" s="38"/>
      <c r="D48" s="37"/>
      <c r="E48" s="37"/>
      <c r="F48" s="37"/>
      <c r="G48" s="37"/>
      <c r="H48" s="37"/>
      <c r="I48" s="38"/>
      <c r="J48" s="44"/>
      <c r="K48" s="44"/>
      <c r="L48" s="45" t="str">
        <f aca="false">IF(AND($J48="",$K48=""),"",ROUND(IFERROR(VALUE(LEFT($J48,1)),0)*12+IFERROR(VALUE(LEFT($K48,1)),0)*8,0))</f>
        <v/>
      </c>
      <c r="M48" s="45" t="str">
        <f aca="false">IF($L48="","",IF($L48&gt;=80,"A - pursue now",IF($L48&gt;=60,"B - worth pursuing",IF($L48&gt;=40,"C - nurture","D - park it"))))</f>
        <v/>
      </c>
      <c r="N48" s="37"/>
      <c r="O48" s="44"/>
      <c r="P48" s="38"/>
      <c r="Q48" s="36"/>
      <c r="R48" s="38"/>
      <c r="S48" s="36"/>
      <c r="T48" s="37"/>
      <c r="U48" s="38"/>
    </row>
    <row r="49" customFormat="false" ht="27.75" hidden="false" customHeight="true" outlineLevel="0" collapsed="false">
      <c r="A49" s="36"/>
      <c r="B49" s="37"/>
      <c r="C49" s="38"/>
      <c r="D49" s="37"/>
      <c r="E49" s="37"/>
      <c r="F49" s="37"/>
      <c r="G49" s="37"/>
      <c r="H49" s="37"/>
      <c r="I49" s="38"/>
      <c r="J49" s="44"/>
      <c r="K49" s="44"/>
      <c r="L49" s="45" t="str">
        <f aca="false">IF(AND($J49="",$K49=""),"",ROUND(IFERROR(VALUE(LEFT($J49,1)),0)*12+IFERROR(VALUE(LEFT($K49,1)),0)*8,0))</f>
        <v/>
      </c>
      <c r="M49" s="45" t="str">
        <f aca="false">IF($L49="","",IF($L49&gt;=80,"A - pursue now",IF($L49&gt;=60,"B - worth pursuing",IF($L49&gt;=40,"C - nurture","D - park it"))))</f>
        <v/>
      </c>
      <c r="N49" s="37"/>
      <c r="O49" s="44"/>
      <c r="P49" s="38"/>
      <c r="Q49" s="36"/>
      <c r="R49" s="38"/>
      <c r="S49" s="36"/>
      <c r="T49" s="37"/>
      <c r="U49" s="38"/>
    </row>
    <row r="50" customFormat="false" ht="27.75" hidden="false" customHeight="true" outlineLevel="0" collapsed="false">
      <c r="A50" s="36"/>
      <c r="B50" s="37"/>
      <c r="C50" s="38"/>
      <c r="D50" s="37"/>
      <c r="E50" s="37"/>
      <c r="F50" s="37"/>
      <c r="G50" s="37"/>
      <c r="H50" s="37"/>
      <c r="I50" s="38"/>
      <c r="J50" s="44"/>
      <c r="K50" s="44"/>
      <c r="L50" s="45" t="str">
        <f aca="false">IF(AND($J50="",$K50=""),"",ROUND(IFERROR(VALUE(LEFT($J50,1)),0)*12+IFERROR(VALUE(LEFT($K50,1)),0)*8,0))</f>
        <v/>
      </c>
      <c r="M50" s="45" t="str">
        <f aca="false">IF($L50="","",IF($L50&gt;=80,"A - pursue now",IF($L50&gt;=60,"B - worth pursuing",IF($L50&gt;=40,"C - nurture","D - park it"))))</f>
        <v/>
      </c>
      <c r="N50" s="37"/>
      <c r="O50" s="44"/>
      <c r="P50" s="38"/>
      <c r="Q50" s="36"/>
      <c r="R50" s="38"/>
      <c r="S50" s="36"/>
      <c r="T50" s="37"/>
      <c r="U50" s="38"/>
    </row>
    <row r="51" customFormat="false" ht="27.75" hidden="false" customHeight="true" outlineLevel="0" collapsed="false">
      <c r="A51" s="36"/>
      <c r="B51" s="37"/>
      <c r="C51" s="38"/>
      <c r="D51" s="37"/>
      <c r="E51" s="37"/>
      <c r="F51" s="37"/>
      <c r="G51" s="37"/>
      <c r="H51" s="37"/>
      <c r="I51" s="38"/>
      <c r="J51" s="44"/>
      <c r="K51" s="44"/>
      <c r="L51" s="45" t="str">
        <f aca="false">IF(AND($J51="",$K51=""),"",ROUND(IFERROR(VALUE(LEFT($J51,1)),0)*12+IFERROR(VALUE(LEFT($K51,1)),0)*8,0))</f>
        <v/>
      </c>
      <c r="M51" s="45" t="str">
        <f aca="false">IF($L51="","",IF($L51&gt;=80,"A - pursue now",IF($L51&gt;=60,"B - worth pursuing",IF($L51&gt;=40,"C - nurture","D - park it"))))</f>
        <v/>
      </c>
      <c r="N51" s="37"/>
      <c r="O51" s="44"/>
      <c r="P51" s="38"/>
      <c r="Q51" s="36"/>
      <c r="R51" s="38"/>
      <c r="S51" s="36"/>
      <c r="T51" s="37"/>
      <c r="U51" s="38"/>
    </row>
    <row r="52" customFormat="false" ht="27.75" hidden="false" customHeight="true" outlineLevel="0" collapsed="false">
      <c r="A52" s="36"/>
      <c r="B52" s="37"/>
      <c r="C52" s="38"/>
      <c r="D52" s="37"/>
      <c r="E52" s="37"/>
      <c r="F52" s="37"/>
      <c r="G52" s="37"/>
      <c r="H52" s="37"/>
      <c r="I52" s="38"/>
      <c r="J52" s="44"/>
      <c r="K52" s="44"/>
      <c r="L52" s="45" t="str">
        <f aca="false">IF(AND($J52="",$K52=""),"",ROUND(IFERROR(VALUE(LEFT($J52,1)),0)*12+IFERROR(VALUE(LEFT($K52,1)),0)*8,0))</f>
        <v/>
      </c>
      <c r="M52" s="45" t="str">
        <f aca="false">IF($L52="","",IF($L52&gt;=80,"A - pursue now",IF($L52&gt;=60,"B - worth pursuing",IF($L52&gt;=40,"C - nurture","D - park it"))))</f>
        <v/>
      </c>
      <c r="N52" s="37"/>
      <c r="O52" s="44"/>
      <c r="P52" s="38"/>
      <c r="Q52" s="36"/>
      <c r="R52" s="38"/>
      <c r="S52" s="36"/>
      <c r="T52" s="37"/>
      <c r="U52" s="38"/>
    </row>
    <row r="53" customFormat="false" ht="27.75" hidden="false" customHeight="true" outlineLevel="0" collapsed="false">
      <c r="A53" s="36"/>
      <c r="B53" s="37"/>
      <c r="C53" s="38"/>
      <c r="D53" s="37"/>
      <c r="E53" s="37"/>
      <c r="F53" s="37"/>
      <c r="G53" s="37"/>
      <c r="H53" s="37"/>
      <c r="I53" s="38"/>
      <c r="J53" s="44"/>
      <c r="K53" s="44"/>
      <c r="L53" s="45" t="str">
        <f aca="false">IF(AND($J53="",$K53=""),"",ROUND(IFERROR(VALUE(LEFT($J53,1)),0)*12+IFERROR(VALUE(LEFT($K53,1)),0)*8,0))</f>
        <v/>
      </c>
      <c r="M53" s="45" t="str">
        <f aca="false">IF($L53="","",IF($L53&gt;=80,"A - pursue now",IF($L53&gt;=60,"B - worth pursuing",IF($L53&gt;=40,"C - nurture","D - park it"))))</f>
        <v/>
      </c>
      <c r="N53" s="37"/>
      <c r="O53" s="44"/>
      <c r="P53" s="38"/>
      <c r="Q53" s="36"/>
      <c r="R53" s="38"/>
      <c r="S53" s="36"/>
      <c r="T53" s="37"/>
      <c r="U53" s="38"/>
    </row>
    <row r="54" customFormat="false" ht="27.75" hidden="false" customHeight="true" outlineLevel="0" collapsed="false">
      <c r="A54" s="36"/>
      <c r="B54" s="37"/>
      <c r="C54" s="38"/>
      <c r="D54" s="37"/>
      <c r="E54" s="37"/>
      <c r="F54" s="37"/>
      <c r="G54" s="37"/>
      <c r="H54" s="37"/>
      <c r="I54" s="38"/>
      <c r="J54" s="44"/>
      <c r="K54" s="44"/>
      <c r="L54" s="45" t="str">
        <f aca="false">IF(AND($J54="",$K54=""),"",ROUND(IFERROR(VALUE(LEFT($J54,1)),0)*12+IFERROR(VALUE(LEFT($K54,1)),0)*8,0))</f>
        <v/>
      </c>
      <c r="M54" s="45" t="str">
        <f aca="false">IF($L54="","",IF($L54&gt;=80,"A - pursue now",IF($L54&gt;=60,"B - worth pursuing",IF($L54&gt;=40,"C - nurture","D - park it"))))</f>
        <v/>
      </c>
      <c r="N54" s="37"/>
      <c r="O54" s="44"/>
      <c r="P54" s="38"/>
      <c r="Q54" s="36"/>
      <c r="R54" s="38"/>
      <c r="S54" s="36"/>
      <c r="T54" s="37"/>
      <c r="U54" s="38"/>
    </row>
    <row r="55" customFormat="false" ht="27.75" hidden="false" customHeight="true" outlineLevel="0" collapsed="false">
      <c r="A55" s="36"/>
      <c r="B55" s="37"/>
      <c r="C55" s="38"/>
      <c r="D55" s="37"/>
      <c r="E55" s="37"/>
      <c r="F55" s="37"/>
      <c r="G55" s="37"/>
      <c r="H55" s="37"/>
      <c r="I55" s="38"/>
      <c r="J55" s="44"/>
      <c r="K55" s="44"/>
      <c r="L55" s="45" t="str">
        <f aca="false">IF(AND($J55="",$K55=""),"",ROUND(IFERROR(VALUE(LEFT($J55,1)),0)*12+IFERROR(VALUE(LEFT($K55,1)),0)*8,0))</f>
        <v/>
      </c>
      <c r="M55" s="45" t="str">
        <f aca="false">IF($L55="","",IF($L55&gt;=80,"A - pursue now",IF($L55&gt;=60,"B - worth pursuing",IF($L55&gt;=40,"C - nurture","D - park it"))))</f>
        <v/>
      </c>
      <c r="N55" s="37"/>
      <c r="O55" s="44"/>
      <c r="P55" s="38"/>
      <c r="Q55" s="36"/>
      <c r="R55" s="38"/>
      <c r="S55" s="36"/>
      <c r="T55" s="37"/>
      <c r="U55" s="38"/>
    </row>
    <row r="56" customFormat="false" ht="27.75" hidden="false" customHeight="true" outlineLevel="0" collapsed="false">
      <c r="A56" s="36"/>
      <c r="B56" s="37"/>
      <c r="C56" s="38"/>
      <c r="D56" s="37"/>
      <c r="E56" s="37"/>
      <c r="F56" s="37"/>
      <c r="G56" s="37"/>
      <c r="H56" s="37"/>
      <c r="I56" s="38"/>
      <c r="J56" s="44"/>
      <c r="K56" s="44"/>
      <c r="L56" s="45" t="str">
        <f aca="false">IF(AND($J56="",$K56=""),"",ROUND(IFERROR(VALUE(LEFT($J56,1)),0)*12+IFERROR(VALUE(LEFT($K56,1)),0)*8,0))</f>
        <v/>
      </c>
      <c r="M56" s="45" t="str">
        <f aca="false">IF($L56="","",IF($L56&gt;=80,"A - pursue now",IF($L56&gt;=60,"B - worth pursuing",IF($L56&gt;=40,"C - nurture","D - park it"))))</f>
        <v/>
      </c>
      <c r="N56" s="37"/>
      <c r="O56" s="44"/>
      <c r="P56" s="38"/>
      <c r="Q56" s="36"/>
      <c r="R56" s="38"/>
      <c r="S56" s="36"/>
      <c r="T56" s="37"/>
      <c r="U56" s="38"/>
    </row>
    <row r="57" customFormat="false" ht="27.75" hidden="false" customHeight="true" outlineLevel="0" collapsed="false">
      <c r="A57" s="36"/>
      <c r="B57" s="37"/>
      <c r="C57" s="38"/>
      <c r="D57" s="37"/>
      <c r="E57" s="37"/>
      <c r="F57" s="37"/>
      <c r="G57" s="37"/>
      <c r="H57" s="37"/>
      <c r="I57" s="38"/>
      <c r="J57" s="44"/>
      <c r="K57" s="44"/>
      <c r="L57" s="45" t="str">
        <f aca="false">IF(AND($J57="",$K57=""),"",ROUND(IFERROR(VALUE(LEFT($J57,1)),0)*12+IFERROR(VALUE(LEFT($K57,1)),0)*8,0))</f>
        <v/>
      </c>
      <c r="M57" s="45" t="str">
        <f aca="false">IF($L57="","",IF($L57&gt;=80,"A - pursue now",IF($L57&gt;=60,"B - worth pursuing",IF($L57&gt;=40,"C - nurture","D - park it"))))</f>
        <v/>
      </c>
      <c r="N57" s="37"/>
      <c r="O57" s="44"/>
      <c r="P57" s="38"/>
      <c r="Q57" s="36"/>
      <c r="R57" s="38"/>
      <c r="S57" s="36"/>
      <c r="T57" s="37"/>
      <c r="U57" s="38"/>
    </row>
    <row r="58" customFormat="false" ht="27.75" hidden="false" customHeight="true" outlineLevel="0" collapsed="false">
      <c r="A58" s="36"/>
      <c r="B58" s="37"/>
      <c r="C58" s="38"/>
      <c r="D58" s="37"/>
      <c r="E58" s="37"/>
      <c r="F58" s="37"/>
      <c r="G58" s="37"/>
      <c r="H58" s="37"/>
      <c r="I58" s="38"/>
      <c r="J58" s="44"/>
      <c r="K58" s="44"/>
      <c r="L58" s="45" t="str">
        <f aca="false">IF(AND($J58="",$K58=""),"",ROUND(IFERROR(VALUE(LEFT($J58,1)),0)*12+IFERROR(VALUE(LEFT($K58,1)),0)*8,0))</f>
        <v/>
      </c>
      <c r="M58" s="45" t="str">
        <f aca="false">IF($L58="","",IF($L58&gt;=80,"A - pursue now",IF($L58&gt;=60,"B - worth pursuing",IF($L58&gt;=40,"C - nurture","D - park it"))))</f>
        <v/>
      </c>
      <c r="N58" s="37"/>
      <c r="O58" s="44"/>
      <c r="P58" s="38"/>
      <c r="Q58" s="36"/>
      <c r="R58" s="38"/>
      <c r="S58" s="36"/>
      <c r="T58" s="37"/>
      <c r="U58" s="38"/>
    </row>
    <row r="59" customFormat="false" ht="27.75" hidden="false" customHeight="true" outlineLevel="0" collapsed="false">
      <c r="A59" s="36"/>
      <c r="B59" s="37"/>
      <c r="C59" s="38"/>
      <c r="D59" s="37"/>
      <c r="E59" s="37"/>
      <c r="F59" s="37"/>
      <c r="G59" s="37"/>
      <c r="H59" s="37"/>
      <c r="I59" s="38"/>
      <c r="J59" s="44"/>
      <c r="K59" s="44"/>
      <c r="L59" s="45" t="str">
        <f aca="false">IF(AND($J59="",$K59=""),"",ROUND(IFERROR(VALUE(LEFT($J59,1)),0)*12+IFERROR(VALUE(LEFT($K59,1)),0)*8,0))</f>
        <v/>
      </c>
      <c r="M59" s="45" t="str">
        <f aca="false">IF($L59="","",IF($L59&gt;=80,"A - pursue now",IF($L59&gt;=60,"B - worth pursuing",IF($L59&gt;=40,"C - nurture","D - park it"))))</f>
        <v/>
      </c>
      <c r="N59" s="37"/>
      <c r="O59" s="44"/>
      <c r="P59" s="38"/>
      <c r="Q59" s="36"/>
      <c r="R59" s="38"/>
      <c r="S59" s="36"/>
      <c r="T59" s="37"/>
      <c r="U59" s="38"/>
    </row>
    <row r="60" customFormat="false" ht="27.75" hidden="false" customHeight="true" outlineLevel="0" collapsed="false">
      <c r="A60" s="36"/>
      <c r="B60" s="37"/>
      <c r="C60" s="38"/>
      <c r="D60" s="37"/>
      <c r="E60" s="37"/>
      <c r="F60" s="37"/>
      <c r="G60" s="37"/>
      <c r="H60" s="37"/>
      <c r="I60" s="38"/>
      <c r="J60" s="44"/>
      <c r="K60" s="44"/>
      <c r="L60" s="45" t="str">
        <f aca="false">IF(AND($J60="",$K60=""),"",ROUND(IFERROR(VALUE(LEFT($J60,1)),0)*12+IFERROR(VALUE(LEFT($K60,1)),0)*8,0))</f>
        <v/>
      </c>
      <c r="M60" s="45" t="str">
        <f aca="false">IF($L60="","",IF($L60&gt;=80,"A - pursue now",IF($L60&gt;=60,"B - worth pursuing",IF($L60&gt;=40,"C - nurture","D - park it"))))</f>
        <v/>
      </c>
      <c r="N60" s="37"/>
      <c r="O60" s="44"/>
      <c r="P60" s="38"/>
      <c r="Q60" s="36"/>
      <c r="R60" s="38"/>
      <c r="S60" s="36"/>
      <c r="T60" s="37"/>
      <c r="U60" s="38"/>
    </row>
    <row r="61" customFormat="false" ht="27.75" hidden="false" customHeight="true" outlineLevel="0" collapsed="false">
      <c r="A61" s="36"/>
      <c r="B61" s="37"/>
      <c r="C61" s="38"/>
      <c r="D61" s="37"/>
      <c r="E61" s="37"/>
      <c r="F61" s="37"/>
      <c r="G61" s="37"/>
      <c r="H61" s="37"/>
      <c r="I61" s="38"/>
      <c r="J61" s="44"/>
      <c r="K61" s="44"/>
      <c r="L61" s="45" t="str">
        <f aca="false">IF(AND($J61="",$K61=""),"",ROUND(IFERROR(VALUE(LEFT($J61,1)),0)*12+IFERROR(VALUE(LEFT($K61,1)),0)*8,0))</f>
        <v/>
      </c>
      <c r="M61" s="45" t="str">
        <f aca="false">IF($L61="","",IF($L61&gt;=80,"A - pursue now",IF($L61&gt;=60,"B - worth pursuing",IF($L61&gt;=40,"C - nurture","D - park it"))))</f>
        <v/>
      </c>
      <c r="N61" s="37"/>
      <c r="O61" s="44"/>
      <c r="P61" s="38"/>
      <c r="Q61" s="36"/>
      <c r="R61" s="38"/>
      <c r="S61" s="36"/>
      <c r="T61" s="37"/>
      <c r="U61" s="38"/>
    </row>
    <row r="62" customFormat="false" ht="27.75" hidden="false" customHeight="true" outlineLevel="0" collapsed="false">
      <c r="A62" s="36"/>
      <c r="B62" s="37"/>
      <c r="C62" s="38"/>
      <c r="D62" s="37"/>
      <c r="E62" s="37"/>
      <c r="F62" s="37"/>
      <c r="G62" s="37"/>
      <c r="H62" s="37"/>
      <c r="I62" s="38"/>
      <c r="J62" s="44"/>
      <c r="K62" s="44"/>
      <c r="L62" s="45" t="str">
        <f aca="false">IF(AND($J62="",$K62=""),"",ROUND(IFERROR(VALUE(LEFT($J62,1)),0)*12+IFERROR(VALUE(LEFT($K62,1)),0)*8,0))</f>
        <v/>
      </c>
      <c r="M62" s="45" t="str">
        <f aca="false">IF($L62="","",IF($L62&gt;=80,"A - pursue now",IF($L62&gt;=60,"B - worth pursuing",IF($L62&gt;=40,"C - nurture","D - park it"))))</f>
        <v/>
      </c>
      <c r="N62" s="37"/>
      <c r="O62" s="44"/>
      <c r="P62" s="38"/>
      <c r="Q62" s="36"/>
      <c r="R62" s="38"/>
      <c r="S62" s="36"/>
      <c r="T62" s="37"/>
      <c r="U62" s="38"/>
    </row>
    <row r="63" customFormat="false" ht="27.75" hidden="false" customHeight="true" outlineLevel="0" collapsed="false">
      <c r="A63" s="36"/>
      <c r="B63" s="37"/>
      <c r="C63" s="38"/>
      <c r="D63" s="37"/>
      <c r="E63" s="37"/>
      <c r="F63" s="37"/>
      <c r="G63" s="37"/>
      <c r="H63" s="37"/>
      <c r="I63" s="38"/>
      <c r="J63" s="44"/>
      <c r="K63" s="44"/>
      <c r="L63" s="45" t="str">
        <f aca="false">IF(AND($J63="",$K63=""),"",ROUND(IFERROR(VALUE(LEFT($J63,1)),0)*12+IFERROR(VALUE(LEFT($K63,1)),0)*8,0))</f>
        <v/>
      </c>
      <c r="M63" s="45" t="str">
        <f aca="false">IF($L63="","",IF($L63&gt;=80,"A - pursue now",IF($L63&gt;=60,"B - worth pursuing",IF($L63&gt;=40,"C - nurture","D - park it"))))</f>
        <v/>
      </c>
      <c r="N63" s="37"/>
      <c r="O63" s="44"/>
      <c r="P63" s="38"/>
      <c r="Q63" s="36"/>
      <c r="R63" s="38"/>
      <c r="S63" s="36"/>
      <c r="T63" s="37"/>
      <c r="U63" s="38"/>
    </row>
    <row r="64" customFormat="false" ht="27.75" hidden="false" customHeight="true" outlineLevel="0" collapsed="false">
      <c r="A64" s="36"/>
      <c r="B64" s="37"/>
      <c r="C64" s="38"/>
      <c r="D64" s="37"/>
      <c r="E64" s="37"/>
      <c r="F64" s="37"/>
      <c r="G64" s="37"/>
      <c r="H64" s="37"/>
      <c r="I64" s="38"/>
      <c r="J64" s="44"/>
      <c r="K64" s="44"/>
      <c r="L64" s="45" t="str">
        <f aca="false">IF(AND($J64="",$K64=""),"",ROUND(IFERROR(VALUE(LEFT($J64,1)),0)*12+IFERROR(VALUE(LEFT($K64,1)),0)*8,0))</f>
        <v/>
      </c>
      <c r="M64" s="45" t="str">
        <f aca="false">IF($L64="","",IF($L64&gt;=80,"A - pursue now",IF($L64&gt;=60,"B - worth pursuing",IF($L64&gt;=40,"C - nurture","D - park it"))))</f>
        <v/>
      </c>
      <c r="N64" s="37"/>
      <c r="O64" s="44"/>
      <c r="P64" s="38"/>
      <c r="Q64" s="36"/>
      <c r="R64" s="38"/>
      <c r="S64" s="36"/>
      <c r="T64" s="37"/>
      <c r="U64" s="38"/>
    </row>
    <row r="65" customFormat="false" ht="27.75" hidden="false" customHeight="true" outlineLevel="0" collapsed="false">
      <c r="A65" s="36"/>
      <c r="B65" s="37"/>
      <c r="C65" s="38"/>
      <c r="D65" s="37"/>
      <c r="E65" s="37"/>
      <c r="F65" s="37"/>
      <c r="G65" s="37"/>
      <c r="H65" s="37"/>
      <c r="I65" s="38"/>
      <c r="J65" s="44"/>
      <c r="K65" s="44"/>
      <c r="L65" s="45" t="str">
        <f aca="false">IF(AND($J65="",$K65=""),"",ROUND(IFERROR(VALUE(LEFT($J65,1)),0)*12+IFERROR(VALUE(LEFT($K65,1)),0)*8,0))</f>
        <v/>
      </c>
      <c r="M65" s="45" t="str">
        <f aca="false">IF($L65="","",IF($L65&gt;=80,"A - pursue now",IF($L65&gt;=60,"B - worth pursuing",IF($L65&gt;=40,"C - nurture","D - park it"))))</f>
        <v/>
      </c>
      <c r="N65" s="37"/>
      <c r="O65" s="44"/>
      <c r="P65" s="38"/>
      <c r="Q65" s="36"/>
      <c r="R65" s="38"/>
      <c r="S65" s="36"/>
      <c r="T65" s="37"/>
      <c r="U65" s="38"/>
    </row>
    <row r="66" customFormat="false" ht="27.75" hidden="false" customHeight="true" outlineLevel="0" collapsed="false">
      <c r="A66" s="36"/>
      <c r="B66" s="37"/>
      <c r="C66" s="38"/>
      <c r="D66" s="37"/>
      <c r="E66" s="37"/>
      <c r="F66" s="37"/>
      <c r="G66" s="37"/>
      <c r="H66" s="37"/>
      <c r="I66" s="38"/>
      <c r="J66" s="44"/>
      <c r="K66" s="44"/>
      <c r="L66" s="45" t="str">
        <f aca="false">IF(AND($J66="",$K66=""),"",ROUND(IFERROR(VALUE(LEFT($J66,1)),0)*12+IFERROR(VALUE(LEFT($K66,1)),0)*8,0))</f>
        <v/>
      </c>
      <c r="M66" s="45" t="str">
        <f aca="false">IF($L66="","",IF($L66&gt;=80,"A - pursue now",IF($L66&gt;=60,"B - worth pursuing",IF($L66&gt;=40,"C - nurture","D - park it"))))</f>
        <v/>
      </c>
      <c r="N66" s="37"/>
      <c r="O66" s="44"/>
      <c r="P66" s="38"/>
      <c r="Q66" s="36"/>
      <c r="R66" s="38"/>
      <c r="S66" s="36"/>
      <c r="T66" s="37"/>
      <c r="U66" s="38"/>
    </row>
    <row r="67" customFormat="false" ht="27.75" hidden="false" customHeight="true" outlineLevel="0" collapsed="false">
      <c r="A67" s="36"/>
      <c r="B67" s="37"/>
      <c r="C67" s="38"/>
      <c r="D67" s="37"/>
      <c r="E67" s="37"/>
      <c r="F67" s="37"/>
      <c r="G67" s="37"/>
      <c r="H67" s="37"/>
      <c r="I67" s="38"/>
      <c r="J67" s="44"/>
      <c r="K67" s="44"/>
      <c r="L67" s="45" t="str">
        <f aca="false">IF(AND($J67="",$K67=""),"",ROUND(IFERROR(VALUE(LEFT($J67,1)),0)*12+IFERROR(VALUE(LEFT($K67,1)),0)*8,0))</f>
        <v/>
      </c>
      <c r="M67" s="45" t="str">
        <f aca="false">IF($L67="","",IF($L67&gt;=80,"A - pursue now",IF($L67&gt;=60,"B - worth pursuing",IF($L67&gt;=40,"C - nurture","D - park it"))))</f>
        <v/>
      </c>
      <c r="N67" s="37"/>
      <c r="O67" s="44"/>
      <c r="P67" s="38"/>
      <c r="Q67" s="36"/>
      <c r="R67" s="38"/>
      <c r="S67" s="36"/>
      <c r="T67" s="37"/>
      <c r="U67" s="38"/>
    </row>
    <row r="68" customFormat="false" ht="27.75" hidden="false" customHeight="true" outlineLevel="0" collapsed="false">
      <c r="A68" s="36"/>
      <c r="B68" s="37"/>
      <c r="C68" s="38"/>
      <c r="D68" s="37"/>
      <c r="E68" s="37"/>
      <c r="F68" s="37"/>
      <c r="G68" s="37"/>
      <c r="H68" s="37"/>
      <c r="I68" s="38"/>
      <c r="J68" s="44"/>
      <c r="K68" s="44"/>
      <c r="L68" s="45" t="str">
        <f aca="false">IF(AND($J68="",$K68=""),"",ROUND(IFERROR(VALUE(LEFT($J68,1)),0)*12+IFERROR(VALUE(LEFT($K68,1)),0)*8,0))</f>
        <v/>
      </c>
      <c r="M68" s="45" t="str">
        <f aca="false">IF($L68="","",IF($L68&gt;=80,"A - pursue now",IF($L68&gt;=60,"B - worth pursuing",IF($L68&gt;=40,"C - nurture","D - park it"))))</f>
        <v/>
      </c>
      <c r="N68" s="37"/>
      <c r="O68" s="44"/>
      <c r="P68" s="38"/>
      <c r="Q68" s="36"/>
      <c r="R68" s="38"/>
      <c r="S68" s="36"/>
      <c r="T68" s="37"/>
      <c r="U68" s="38"/>
    </row>
    <row r="69" customFormat="false" ht="27.75" hidden="false" customHeight="true" outlineLevel="0" collapsed="false">
      <c r="A69" s="36"/>
      <c r="B69" s="37"/>
      <c r="C69" s="38"/>
      <c r="D69" s="37"/>
      <c r="E69" s="37"/>
      <c r="F69" s="37"/>
      <c r="G69" s="37"/>
      <c r="H69" s="37"/>
      <c r="I69" s="38"/>
      <c r="J69" s="44"/>
      <c r="K69" s="44"/>
      <c r="L69" s="45" t="str">
        <f aca="false">IF(AND($J69="",$K69=""),"",ROUND(IFERROR(VALUE(LEFT($J69,1)),0)*12+IFERROR(VALUE(LEFT($K69,1)),0)*8,0))</f>
        <v/>
      </c>
      <c r="M69" s="45" t="str">
        <f aca="false">IF($L69="","",IF($L69&gt;=80,"A - pursue now",IF($L69&gt;=60,"B - worth pursuing",IF($L69&gt;=40,"C - nurture","D - park it"))))</f>
        <v/>
      </c>
      <c r="N69" s="37"/>
      <c r="O69" s="44"/>
      <c r="P69" s="38"/>
      <c r="Q69" s="36"/>
      <c r="R69" s="38"/>
      <c r="S69" s="36"/>
      <c r="T69" s="37"/>
      <c r="U69" s="38"/>
    </row>
    <row r="70" customFormat="false" ht="27.75" hidden="false" customHeight="true" outlineLevel="0" collapsed="false">
      <c r="A70" s="36"/>
      <c r="B70" s="37"/>
      <c r="C70" s="38"/>
      <c r="D70" s="37"/>
      <c r="E70" s="37"/>
      <c r="F70" s="37"/>
      <c r="G70" s="37"/>
      <c r="H70" s="37"/>
      <c r="I70" s="38"/>
      <c r="J70" s="44"/>
      <c r="K70" s="44"/>
      <c r="L70" s="45" t="str">
        <f aca="false">IF(AND($J70="",$K70=""),"",ROUND(IFERROR(VALUE(LEFT($J70,1)),0)*12+IFERROR(VALUE(LEFT($K70,1)),0)*8,0))</f>
        <v/>
      </c>
      <c r="M70" s="45" t="str">
        <f aca="false">IF($L70="","",IF($L70&gt;=80,"A - pursue now",IF($L70&gt;=60,"B - worth pursuing",IF($L70&gt;=40,"C - nurture","D - park it"))))</f>
        <v/>
      </c>
      <c r="N70" s="37"/>
      <c r="O70" s="44"/>
      <c r="P70" s="38"/>
      <c r="Q70" s="36"/>
      <c r="R70" s="38"/>
      <c r="S70" s="36"/>
      <c r="T70" s="37"/>
      <c r="U70" s="38"/>
    </row>
    <row r="71" customFormat="false" ht="27.75" hidden="false" customHeight="true" outlineLevel="0" collapsed="false">
      <c r="A71" s="36"/>
      <c r="B71" s="37"/>
      <c r="C71" s="38"/>
      <c r="D71" s="37"/>
      <c r="E71" s="37"/>
      <c r="F71" s="37"/>
      <c r="G71" s="37"/>
      <c r="H71" s="37"/>
      <c r="I71" s="38"/>
      <c r="J71" s="44"/>
      <c r="K71" s="44"/>
      <c r="L71" s="45" t="str">
        <f aca="false">IF(AND($J71="",$K71=""),"",ROUND(IFERROR(VALUE(LEFT($J71,1)),0)*12+IFERROR(VALUE(LEFT($K71,1)),0)*8,0))</f>
        <v/>
      </c>
      <c r="M71" s="45" t="str">
        <f aca="false">IF($L71="","",IF($L71&gt;=80,"A - pursue now",IF($L71&gt;=60,"B - worth pursuing",IF($L71&gt;=40,"C - nurture","D - park it"))))</f>
        <v/>
      </c>
      <c r="N71" s="37"/>
      <c r="O71" s="44"/>
      <c r="P71" s="38"/>
      <c r="Q71" s="36"/>
      <c r="R71" s="38"/>
      <c r="S71" s="36"/>
      <c r="T71" s="37"/>
      <c r="U71" s="38"/>
    </row>
    <row r="72" customFormat="false" ht="27.75" hidden="false" customHeight="true" outlineLevel="0" collapsed="false">
      <c r="A72" s="36"/>
      <c r="B72" s="37"/>
      <c r="C72" s="38"/>
      <c r="D72" s="37"/>
      <c r="E72" s="37"/>
      <c r="F72" s="37"/>
      <c r="G72" s="37"/>
      <c r="H72" s="37"/>
      <c r="I72" s="38"/>
      <c r="J72" s="44"/>
      <c r="K72" s="44"/>
      <c r="L72" s="45" t="str">
        <f aca="false">IF(AND($J72="",$K72=""),"",ROUND(IFERROR(VALUE(LEFT($J72,1)),0)*12+IFERROR(VALUE(LEFT($K72,1)),0)*8,0))</f>
        <v/>
      </c>
      <c r="M72" s="45" t="str">
        <f aca="false">IF($L72="","",IF($L72&gt;=80,"A - pursue now",IF($L72&gt;=60,"B - worth pursuing",IF($L72&gt;=40,"C - nurture","D - park it"))))</f>
        <v/>
      </c>
      <c r="N72" s="37"/>
      <c r="O72" s="44"/>
      <c r="P72" s="38"/>
      <c r="Q72" s="36"/>
      <c r="R72" s="38"/>
      <c r="S72" s="36"/>
      <c r="T72" s="37"/>
      <c r="U72" s="38"/>
    </row>
    <row r="73" customFormat="false" ht="27.75" hidden="false" customHeight="true" outlineLevel="0" collapsed="false">
      <c r="A73" s="36"/>
      <c r="B73" s="37"/>
      <c r="C73" s="38"/>
      <c r="D73" s="37"/>
      <c r="E73" s="37"/>
      <c r="F73" s="37"/>
      <c r="G73" s="37"/>
      <c r="H73" s="37"/>
      <c r="I73" s="38"/>
      <c r="J73" s="44"/>
      <c r="K73" s="44"/>
      <c r="L73" s="45" t="str">
        <f aca="false">IF(AND($J73="",$K73=""),"",ROUND(IFERROR(VALUE(LEFT($J73,1)),0)*12+IFERROR(VALUE(LEFT($K73,1)),0)*8,0))</f>
        <v/>
      </c>
      <c r="M73" s="45" t="str">
        <f aca="false">IF($L73="","",IF($L73&gt;=80,"A - pursue now",IF($L73&gt;=60,"B - worth pursuing",IF($L73&gt;=40,"C - nurture","D - park it"))))</f>
        <v/>
      </c>
      <c r="N73" s="37"/>
      <c r="O73" s="44"/>
      <c r="P73" s="38"/>
      <c r="Q73" s="36"/>
      <c r="R73" s="38"/>
      <c r="S73" s="36"/>
      <c r="T73" s="37"/>
      <c r="U73" s="38"/>
    </row>
    <row r="74" customFormat="false" ht="27.75" hidden="false" customHeight="true" outlineLevel="0" collapsed="false">
      <c r="A74" s="36"/>
      <c r="B74" s="37"/>
      <c r="C74" s="38"/>
      <c r="D74" s="37"/>
      <c r="E74" s="37"/>
      <c r="F74" s="37"/>
      <c r="G74" s="37"/>
      <c r="H74" s="37"/>
      <c r="I74" s="38"/>
      <c r="J74" s="44"/>
      <c r="K74" s="44"/>
      <c r="L74" s="45" t="str">
        <f aca="false">IF(AND($J74="",$K74=""),"",ROUND(IFERROR(VALUE(LEFT($J74,1)),0)*12+IFERROR(VALUE(LEFT($K74,1)),0)*8,0))</f>
        <v/>
      </c>
      <c r="M74" s="45" t="str">
        <f aca="false">IF($L74="","",IF($L74&gt;=80,"A - pursue now",IF($L74&gt;=60,"B - worth pursuing",IF($L74&gt;=40,"C - nurture","D - park it"))))</f>
        <v/>
      </c>
      <c r="N74" s="37"/>
      <c r="O74" s="44"/>
      <c r="P74" s="38"/>
      <c r="Q74" s="36"/>
      <c r="R74" s="38"/>
      <c r="S74" s="36"/>
      <c r="T74" s="37"/>
      <c r="U74" s="38"/>
    </row>
    <row r="75" customFormat="false" ht="27.75" hidden="false" customHeight="true" outlineLevel="0" collapsed="false">
      <c r="A75" s="36"/>
      <c r="B75" s="37"/>
      <c r="C75" s="38"/>
      <c r="D75" s="37"/>
      <c r="E75" s="37"/>
      <c r="F75" s="37"/>
      <c r="G75" s="37"/>
      <c r="H75" s="37"/>
      <c r="I75" s="38"/>
      <c r="J75" s="44"/>
      <c r="K75" s="44"/>
      <c r="L75" s="45" t="str">
        <f aca="false">IF(AND($J75="",$K75=""),"",ROUND(IFERROR(VALUE(LEFT($J75,1)),0)*12+IFERROR(VALUE(LEFT($K75,1)),0)*8,0))</f>
        <v/>
      </c>
      <c r="M75" s="45" t="str">
        <f aca="false">IF($L75="","",IF($L75&gt;=80,"A - pursue now",IF($L75&gt;=60,"B - worth pursuing",IF($L75&gt;=40,"C - nurture","D - park it"))))</f>
        <v/>
      </c>
      <c r="N75" s="37"/>
      <c r="O75" s="44"/>
      <c r="P75" s="38"/>
      <c r="Q75" s="36"/>
      <c r="R75" s="38"/>
      <c r="S75" s="36"/>
      <c r="T75" s="37"/>
      <c r="U75" s="38"/>
    </row>
    <row r="76" customFormat="false" ht="27.75" hidden="false" customHeight="true" outlineLevel="0" collapsed="false">
      <c r="A76" s="36"/>
      <c r="B76" s="37"/>
      <c r="C76" s="38"/>
      <c r="D76" s="37"/>
      <c r="E76" s="37"/>
      <c r="F76" s="37"/>
      <c r="G76" s="37"/>
      <c r="H76" s="37"/>
      <c r="I76" s="38"/>
      <c r="J76" s="44"/>
      <c r="K76" s="44"/>
      <c r="L76" s="45" t="str">
        <f aca="false">IF(AND($J76="",$K76=""),"",ROUND(IFERROR(VALUE(LEFT($J76,1)),0)*12+IFERROR(VALUE(LEFT($K76,1)),0)*8,0))</f>
        <v/>
      </c>
      <c r="M76" s="45" t="str">
        <f aca="false">IF($L76="","",IF($L76&gt;=80,"A - pursue now",IF($L76&gt;=60,"B - worth pursuing",IF($L76&gt;=40,"C - nurture","D - park it"))))</f>
        <v/>
      </c>
      <c r="N76" s="37"/>
      <c r="O76" s="44"/>
      <c r="P76" s="38"/>
      <c r="Q76" s="36"/>
      <c r="R76" s="38"/>
      <c r="S76" s="36"/>
      <c r="T76" s="37"/>
      <c r="U76" s="38"/>
    </row>
    <row r="77" customFormat="false" ht="27.75" hidden="false" customHeight="true" outlineLevel="0" collapsed="false">
      <c r="A77" s="36"/>
      <c r="B77" s="37"/>
      <c r="C77" s="38"/>
      <c r="D77" s="37"/>
      <c r="E77" s="37"/>
      <c r="F77" s="37"/>
      <c r="G77" s="37"/>
      <c r="H77" s="37"/>
      <c r="I77" s="38"/>
      <c r="J77" s="44"/>
      <c r="K77" s="44"/>
      <c r="L77" s="45" t="str">
        <f aca="false">IF(AND($J77="",$K77=""),"",ROUND(IFERROR(VALUE(LEFT($J77,1)),0)*12+IFERROR(VALUE(LEFT($K77,1)),0)*8,0))</f>
        <v/>
      </c>
      <c r="M77" s="45" t="str">
        <f aca="false">IF($L77="","",IF($L77&gt;=80,"A - pursue now",IF($L77&gt;=60,"B - worth pursuing",IF($L77&gt;=40,"C - nurture","D - park it"))))</f>
        <v/>
      </c>
      <c r="N77" s="37"/>
      <c r="O77" s="44"/>
      <c r="P77" s="38"/>
      <c r="Q77" s="36"/>
      <c r="R77" s="38"/>
      <c r="S77" s="36"/>
      <c r="T77" s="37"/>
      <c r="U77" s="38"/>
    </row>
    <row r="78" customFormat="false" ht="27.75" hidden="false" customHeight="true" outlineLevel="0" collapsed="false">
      <c r="A78" s="36"/>
      <c r="B78" s="37"/>
      <c r="C78" s="38"/>
      <c r="D78" s="37"/>
      <c r="E78" s="37"/>
      <c r="F78" s="37"/>
      <c r="G78" s="37"/>
      <c r="H78" s="37"/>
      <c r="I78" s="38"/>
      <c r="J78" s="44"/>
      <c r="K78" s="44"/>
      <c r="L78" s="45" t="str">
        <f aca="false">IF(AND($J78="",$K78=""),"",ROUND(IFERROR(VALUE(LEFT($J78,1)),0)*12+IFERROR(VALUE(LEFT($K78,1)),0)*8,0))</f>
        <v/>
      </c>
      <c r="M78" s="45" t="str">
        <f aca="false">IF($L78="","",IF($L78&gt;=80,"A - pursue now",IF($L78&gt;=60,"B - worth pursuing",IF($L78&gt;=40,"C - nurture","D - park it"))))</f>
        <v/>
      </c>
      <c r="N78" s="37"/>
      <c r="O78" s="44"/>
      <c r="P78" s="38"/>
      <c r="Q78" s="36"/>
      <c r="R78" s="38"/>
      <c r="S78" s="36"/>
      <c r="T78" s="37"/>
      <c r="U78" s="38"/>
    </row>
    <row r="79" customFormat="false" ht="27.75" hidden="false" customHeight="true" outlineLevel="0" collapsed="false">
      <c r="A79" s="36"/>
      <c r="B79" s="37"/>
      <c r="C79" s="38"/>
      <c r="D79" s="37"/>
      <c r="E79" s="37"/>
      <c r="F79" s="37"/>
      <c r="G79" s="37"/>
      <c r="H79" s="37"/>
      <c r="I79" s="38"/>
      <c r="J79" s="44"/>
      <c r="K79" s="44"/>
      <c r="L79" s="45" t="str">
        <f aca="false">IF(AND($J79="",$K79=""),"",ROUND(IFERROR(VALUE(LEFT($J79,1)),0)*12+IFERROR(VALUE(LEFT($K79,1)),0)*8,0))</f>
        <v/>
      </c>
      <c r="M79" s="45" t="str">
        <f aca="false">IF($L79="","",IF($L79&gt;=80,"A - pursue now",IF($L79&gt;=60,"B - worth pursuing",IF($L79&gt;=40,"C - nurture","D - park it"))))</f>
        <v/>
      </c>
      <c r="N79" s="37"/>
      <c r="O79" s="44"/>
      <c r="P79" s="38"/>
      <c r="Q79" s="36"/>
      <c r="R79" s="38"/>
      <c r="S79" s="36"/>
      <c r="T79" s="37"/>
      <c r="U79" s="38"/>
    </row>
    <row r="80" customFormat="false" ht="27.75" hidden="false" customHeight="true" outlineLevel="0" collapsed="false">
      <c r="A80" s="36"/>
      <c r="B80" s="37"/>
      <c r="C80" s="38"/>
      <c r="D80" s="37"/>
      <c r="E80" s="37"/>
      <c r="F80" s="37"/>
      <c r="G80" s="37"/>
      <c r="H80" s="37"/>
      <c r="I80" s="38"/>
      <c r="J80" s="44"/>
      <c r="K80" s="44"/>
      <c r="L80" s="45" t="str">
        <f aca="false">IF(AND($J80="",$K80=""),"",ROUND(IFERROR(VALUE(LEFT($J80,1)),0)*12+IFERROR(VALUE(LEFT($K80,1)),0)*8,0))</f>
        <v/>
      </c>
      <c r="M80" s="45" t="str">
        <f aca="false">IF($L80="","",IF($L80&gt;=80,"A - pursue now",IF($L80&gt;=60,"B - worth pursuing",IF($L80&gt;=40,"C - nurture","D - park it"))))</f>
        <v/>
      </c>
      <c r="N80" s="37"/>
      <c r="O80" s="44"/>
      <c r="P80" s="38"/>
      <c r="Q80" s="36"/>
      <c r="R80" s="38"/>
      <c r="S80" s="36"/>
      <c r="T80" s="37"/>
      <c r="U80" s="38"/>
    </row>
    <row r="81" customFormat="false" ht="27.75" hidden="false" customHeight="true" outlineLevel="0" collapsed="false">
      <c r="A81" s="36"/>
      <c r="B81" s="37"/>
      <c r="C81" s="38"/>
      <c r="D81" s="37"/>
      <c r="E81" s="37"/>
      <c r="F81" s="37"/>
      <c r="G81" s="37"/>
      <c r="H81" s="37"/>
      <c r="I81" s="38"/>
      <c r="J81" s="44"/>
      <c r="K81" s="44"/>
      <c r="L81" s="45" t="str">
        <f aca="false">IF(AND($J81="",$K81=""),"",ROUND(IFERROR(VALUE(LEFT($J81,1)),0)*12+IFERROR(VALUE(LEFT($K81,1)),0)*8,0))</f>
        <v/>
      </c>
      <c r="M81" s="45" t="str">
        <f aca="false">IF($L81="","",IF($L81&gt;=80,"A - pursue now",IF($L81&gt;=60,"B - worth pursuing",IF($L81&gt;=40,"C - nurture","D - park it"))))</f>
        <v/>
      </c>
      <c r="N81" s="37"/>
      <c r="O81" s="44"/>
      <c r="P81" s="38"/>
      <c r="Q81" s="36"/>
      <c r="R81" s="38"/>
      <c r="S81" s="36"/>
      <c r="T81" s="37"/>
      <c r="U81" s="38"/>
    </row>
    <row r="82" customFormat="false" ht="27.75" hidden="false" customHeight="true" outlineLevel="0" collapsed="false">
      <c r="A82" s="36"/>
      <c r="B82" s="37"/>
      <c r="C82" s="38"/>
      <c r="D82" s="37"/>
      <c r="E82" s="37"/>
      <c r="F82" s="37"/>
      <c r="G82" s="37"/>
      <c r="H82" s="37"/>
      <c r="I82" s="38"/>
      <c r="J82" s="44"/>
      <c r="K82" s="44"/>
      <c r="L82" s="45" t="str">
        <f aca="false">IF(AND($J82="",$K82=""),"",ROUND(IFERROR(VALUE(LEFT($J82,1)),0)*12+IFERROR(VALUE(LEFT($K82,1)),0)*8,0))</f>
        <v/>
      </c>
      <c r="M82" s="45" t="str">
        <f aca="false">IF($L82="","",IF($L82&gt;=80,"A - pursue now",IF($L82&gt;=60,"B - worth pursuing",IF($L82&gt;=40,"C - nurture","D - park it"))))</f>
        <v/>
      </c>
      <c r="N82" s="37"/>
      <c r="O82" s="44"/>
      <c r="P82" s="38"/>
      <c r="Q82" s="36"/>
      <c r="R82" s="38"/>
      <c r="S82" s="36"/>
      <c r="T82" s="37"/>
      <c r="U82" s="38"/>
    </row>
    <row r="83" customFormat="false" ht="27.75" hidden="false" customHeight="true" outlineLevel="0" collapsed="false">
      <c r="A83" s="36"/>
      <c r="B83" s="37"/>
      <c r="C83" s="38"/>
      <c r="D83" s="37"/>
      <c r="E83" s="37"/>
      <c r="F83" s="37"/>
      <c r="G83" s="37"/>
      <c r="H83" s="37"/>
      <c r="I83" s="38"/>
      <c r="J83" s="44"/>
      <c r="K83" s="44"/>
      <c r="L83" s="45" t="str">
        <f aca="false">IF(AND($J83="",$K83=""),"",ROUND(IFERROR(VALUE(LEFT($J83,1)),0)*12+IFERROR(VALUE(LEFT($K83,1)),0)*8,0))</f>
        <v/>
      </c>
      <c r="M83" s="45" t="str">
        <f aca="false">IF($L83="","",IF($L83&gt;=80,"A - pursue now",IF($L83&gt;=60,"B - worth pursuing",IF($L83&gt;=40,"C - nurture","D - park it"))))</f>
        <v/>
      </c>
      <c r="N83" s="37"/>
      <c r="O83" s="44"/>
      <c r="P83" s="38"/>
      <c r="Q83" s="36"/>
      <c r="R83" s="38"/>
      <c r="S83" s="36"/>
      <c r="T83" s="37"/>
      <c r="U83" s="38"/>
    </row>
    <row r="84" customFormat="false" ht="27.75" hidden="false" customHeight="true" outlineLevel="0" collapsed="false">
      <c r="A84" s="36"/>
      <c r="B84" s="37"/>
      <c r="C84" s="38"/>
      <c r="D84" s="37"/>
      <c r="E84" s="37"/>
      <c r="F84" s="37"/>
      <c r="G84" s="37"/>
      <c r="H84" s="37"/>
      <c r="I84" s="38"/>
      <c r="J84" s="44"/>
      <c r="K84" s="44"/>
      <c r="L84" s="45" t="str">
        <f aca="false">IF(AND($J84="",$K84=""),"",ROUND(IFERROR(VALUE(LEFT($J84,1)),0)*12+IFERROR(VALUE(LEFT($K84,1)),0)*8,0))</f>
        <v/>
      </c>
      <c r="M84" s="45" t="str">
        <f aca="false">IF($L84="","",IF($L84&gt;=80,"A - pursue now",IF($L84&gt;=60,"B - worth pursuing",IF($L84&gt;=40,"C - nurture","D - park it"))))</f>
        <v/>
      </c>
      <c r="N84" s="37"/>
      <c r="O84" s="44"/>
      <c r="P84" s="38"/>
      <c r="Q84" s="36"/>
      <c r="R84" s="38"/>
      <c r="S84" s="36"/>
      <c r="T84" s="37"/>
      <c r="U84" s="38"/>
    </row>
    <row r="85" customFormat="false" ht="27.75" hidden="false" customHeight="true" outlineLevel="0" collapsed="false">
      <c r="A85" s="36"/>
      <c r="B85" s="37"/>
      <c r="C85" s="38"/>
      <c r="D85" s="37"/>
      <c r="E85" s="37"/>
      <c r="F85" s="37"/>
      <c r="G85" s="37"/>
      <c r="H85" s="37"/>
      <c r="I85" s="38"/>
      <c r="J85" s="44"/>
      <c r="K85" s="44"/>
      <c r="L85" s="45" t="str">
        <f aca="false">IF(AND($J85="",$K85=""),"",ROUND(IFERROR(VALUE(LEFT($J85,1)),0)*12+IFERROR(VALUE(LEFT($K85,1)),0)*8,0))</f>
        <v/>
      </c>
      <c r="M85" s="45" t="str">
        <f aca="false">IF($L85="","",IF($L85&gt;=80,"A - pursue now",IF($L85&gt;=60,"B - worth pursuing",IF($L85&gt;=40,"C - nurture","D - park it"))))</f>
        <v/>
      </c>
      <c r="N85" s="37"/>
      <c r="O85" s="44"/>
      <c r="P85" s="38"/>
      <c r="Q85" s="36"/>
      <c r="R85" s="38"/>
      <c r="S85" s="36"/>
      <c r="T85" s="37"/>
      <c r="U85" s="38"/>
    </row>
    <row r="86" customFormat="false" ht="27.75" hidden="false" customHeight="true" outlineLevel="0" collapsed="false">
      <c r="A86" s="36"/>
      <c r="B86" s="37"/>
      <c r="C86" s="38"/>
      <c r="D86" s="37"/>
      <c r="E86" s="37"/>
      <c r="F86" s="37"/>
      <c r="G86" s="37"/>
      <c r="H86" s="37"/>
      <c r="I86" s="38"/>
      <c r="J86" s="44"/>
      <c r="K86" s="44"/>
      <c r="L86" s="45" t="str">
        <f aca="false">IF(AND($J86="",$K86=""),"",ROUND(IFERROR(VALUE(LEFT($J86,1)),0)*12+IFERROR(VALUE(LEFT($K86,1)),0)*8,0))</f>
        <v/>
      </c>
      <c r="M86" s="45" t="str">
        <f aca="false">IF($L86="","",IF($L86&gt;=80,"A - pursue now",IF($L86&gt;=60,"B - worth pursuing",IF($L86&gt;=40,"C - nurture","D - park it"))))</f>
        <v/>
      </c>
      <c r="N86" s="37"/>
      <c r="O86" s="44"/>
      <c r="P86" s="38"/>
      <c r="Q86" s="36"/>
      <c r="R86" s="38"/>
      <c r="S86" s="36"/>
      <c r="T86" s="37"/>
      <c r="U86" s="38"/>
    </row>
    <row r="87" customFormat="false" ht="27.75" hidden="false" customHeight="true" outlineLevel="0" collapsed="false">
      <c r="A87" s="36"/>
      <c r="B87" s="37"/>
      <c r="C87" s="38"/>
      <c r="D87" s="37"/>
      <c r="E87" s="37"/>
      <c r="F87" s="37"/>
      <c r="G87" s="37"/>
      <c r="H87" s="37"/>
      <c r="I87" s="38"/>
      <c r="J87" s="44"/>
      <c r="K87" s="44"/>
      <c r="L87" s="45" t="str">
        <f aca="false">IF(AND($J87="",$K87=""),"",ROUND(IFERROR(VALUE(LEFT($J87,1)),0)*12+IFERROR(VALUE(LEFT($K87,1)),0)*8,0))</f>
        <v/>
      </c>
      <c r="M87" s="45" t="str">
        <f aca="false">IF($L87="","",IF($L87&gt;=80,"A - pursue now",IF($L87&gt;=60,"B - worth pursuing",IF($L87&gt;=40,"C - nurture","D - park it"))))</f>
        <v/>
      </c>
      <c r="N87" s="37"/>
      <c r="O87" s="44"/>
      <c r="P87" s="38"/>
      <c r="Q87" s="36"/>
      <c r="R87" s="38"/>
      <c r="S87" s="36"/>
      <c r="T87" s="37"/>
      <c r="U87" s="38"/>
    </row>
    <row r="88" customFormat="false" ht="27.75" hidden="false" customHeight="true" outlineLevel="0" collapsed="false">
      <c r="A88" s="36"/>
      <c r="B88" s="37"/>
      <c r="C88" s="38"/>
      <c r="D88" s="37"/>
      <c r="E88" s="37"/>
      <c r="F88" s="37"/>
      <c r="G88" s="37"/>
      <c r="H88" s="37"/>
      <c r="I88" s="38"/>
      <c r="J88" s="44"/>
      <c r="K88" s="44"/>
      <c r="L88" s="45" t="str">
        <f aca="false">IF(AND($J88="",$K88=""),"",ROUND(IFERROR(VALUE(LEFT($J88,1)),0)*12+IFERROR(VALUE(LEFT($K88,1)),0)*8,0))</f>
        <v/>
      </c>
      <c r="M88" s="45" t="str">
        <f aca="false">IF($L88="","",IF($L88&gt;=80,"A - pursue now",IF($L88&gt;=60,"B - worth pursuing",IF($L88&gt;=40,"C - nurture","D - park it"))))</f>
        <v/>
      </c>
      <c r="N88" s="37"/>
      <c r="O88" s="44"/>
      <c r="P88" s="38"/>
      <c r="Q88" s="36"/>
      <c r="R88" s="38"/>
      <c r="S88" s="36"/>
      <c r="T88" s="37"/>
      <c r="U88" s="38"/>
    </row>
    <row r="89" customFormat="false" ht="27.75" hidden="false" customHeight="true" outlineLevel="0" collapsed="false">
      <c r="A89" s="36"/>
      <c r="B89" s="37"/>
      <c r="C89" s="38"/>
      <c r="D89" s="37"/>
      <c r="E89" s="37"/>
      <c r="F89" s="37"/>
      <c r="G89" s="37"/>
      <c r="H89" s="37"/>
      <c r="I89" s="38"/>
      <c r="J89" s="44"/>
      <c r="K89" s="44"/>
      <c r="L89" s="45" t="str">
        <f aca="false">IF(AND($J89="",$K89=""),"",ROUND(IFERROR(VALUE(LEFT($J89,1)),0)*12+IFERROR(VALUE(LEFT($K89,1)),0)*8,0))</f>
        <v/>
      </c>
      <c r="M89" s="45" t="str">
        <f aca="false">IF($L89="","",IF($L89&gt;=80,"A - pursue now",IF($L89&gt;=60,"B - worth pursuing",IF($L89&gt;=40,"C - nurture","D - park it"))))</f>
        <v/>
      </c>
      <c r="N89" s="37"/>
      <c r="O89" s="44"/>
      <c r="P89" s="38"/>
      <c r="Q89" s="36"/>
      <c r="R89" s="38"/>
      <c r="S89" s="36"/>
      <c r="T89" s="37"/>
      <c r="U89" s="38"/>
    </row>
    <row r="90" customFormat="false" ht="27.75" hidden="false" customHeight="true" outlineLevel="0" collapsed="false">
      <c r="A90" s="36"/>
      <c r="B90" s="37"/>
      <c r="C90" s="38"/>
      <c r="D90" s="37"/>
      <c r="E90" s="37"/>
      <c r="F90" s="37"/>
      <c r="G90" s="37"/>
      <c r="H90" s="37"/>
      <c r="I90" s="38"/>
      <c r="J90" s="44"/>
      <c r="K90" s="44"/>
      <c r="L90" s="45" t="str">
        <f aca="false">IF(AND($J90="",$K90=""),"",ROUND(IFERROR(VALUE(LEFT($J90,1)),0)*12+IFERROR(VALUE(LEFT($K90,1)),0)*8,0))</f>
        <v/>
      </c>
      <c r="M90" s="45" t="str">
        <f aca="false">IF($L90="","",IF($L90&gt;=80,"A - pursue now",IF($L90&gt;=60,"B - worth pursuing",IF($L90&gt;=40,"C - nurture","D - park it"))))</f>
        <v/>
      </c>
      <c r="N90" s="37"/>
      <c r="O90" s="44"/>
      <c r="P90" s="38"/>
      <c r="Q90" s="36"/>
      <c r="R90" s="38"/>
      <c r="S90" s="36"/>
      <c r="T90" s="37"/>
      <c r="U90" s="38"/>
    </row>
    <row r="91" customFormat="false" ht="27.75" hidden="false" customHeight="true" outlineLevel="0" collapsed="false">
      <c r="A91" s="36"/>
      <c r="B91" s="37"/>
      <c r="C91" s="38"/>
      <c r="D91" s="37"/>
      <c r="E91" s="37"/>
      <c r="F91" s="37"/>
      <c r="G91" s="37"/>
      <c r="H91" s="37"/>
      <c r="I91" s="38"/>
      <c r="J91" s="44"/>
      <c r="K91" s="44"/>
      <c r="L91" s="45" t="str">
        <f aca="false">IF(AND($J91="",$K91=""),"",ROUND(IFERROR(VALUE(LEFT($J91,1)),0)*12+IFERROR(VALUE(LEFT($K91,1)),0)*8,0))</f>
        <v/>
      </c>
      <c r="M91" s="45" t="str">
        <f aca="false">IF($L91="","",IF($L91&gt;=80,"A - pursue now",IF($L91&gt;=60,"B - worth pursuing",IF($L91&gt;=40,"C - nurture","D - park it"))))</f>
        <v/>
      </c>
      <c r="N91" s="37"/>
      <c r="O91" s="44"/>
      <c r="P91" s="38"/>
      <c r="Q91" s="36"/>
      <c r="R91" s="38"/>
      <c r="S91" s="36"/>
      <c r="T91" s="37"/>
      <c r="U91" s="38"/>
    </row>
    <row r="92" customFormat="false" ht="27.75" hidden="false" customHeight="true" outlineLevel="0" collapsed="false">
      <c r="A92" s="36"/>
      <c r="B92" s="37"/>
      <c r="C92" s="38"/>
      <c r="D92" s="37"/>
      <c r="E92" s="37"/>
      <c r="F92" s="37"/>
      <c r="G92" s="37"/>
      <c r="H92" s="37"/>
      <c r="I92" s="38"/>
      <c r="J92" s="44"/>
      <c r="K92" s="44"/>
      <c r="L92" s="45" t="str">
        <f aca="false">IF(AND($J92="",$K92=""),"",ROUND(IFERROR(VALUE(LEFT($J92,1)),0)*12+IFERROR(VALUE(LEFT($K92,1)),0)*8,0))</f>
        <v/>
      </c>
      <c r="M92" s="45" t="str">
        <f aca="false">IF($L92="","",IF($L92&gt;=80,"A - pursue now",IF($L92&gt;=60,"B - worth pursuing",IF($L92&gt;=40,"C - nurture","D - park it"))))</f>
        <v/>
      </c>
      <c r="N92" s="37"/>
      <c r="O92" s="44"/>
      <c r="P92" s="38"/>
      <c r="Q92" s="36"/>
      <c r="R92" s="38"/>
      <c r="S92" s="36"/>
      <c r="T92" s="37"/>
      <c r="U92" s="38"/>
    </row>
    <row r="93" customFormat="false" ht="27.75" hidden="false" customHeight="true" outlineLevel="0" collapsed="false">
      <c r="A93" s="36"/>
      <c r="B93" s="37"/>
      <c r="C93" s="38"/>
      <c r="D93" s="37"/>
      <c r="E93" s="37"/>
      <c r="F93" s="37"/>
      <c r="G93" s="37"/>
      <c r="H93" s="37"/>
      <c r="I93" s="38"/>
      <c r="J93" s="44"/>
      <c r="K93" s="44"/>
      <c r="L93" s="45" t="str">
        <f aca="false">IF(AND($J93="",$K93=""),"",ROUND(IFERROR(VALUE(LEFT($J93,1)),0)*12+IFERROR(VALUE(LEFT($K93,1)),0)*8,0))</f>
        <v/>
      </c>
      <c r="M93" s="45" t="str">
        <f aca="false">IF($L93="","",IF($L93&gt;=80,"A - pursue now",IF($L93&gt;=60,"B - worth pursuing",IF($L93&gt;=40,"C - nurture","D - park it"))))</f>
        <v/>
      </c>
      <c r="N93" s="37"/>
      <c r="O93" s="44"/>
      <c r="P93" s="38"/>
      <c r="Q93" s="36"/>
      <c r="R93" s="38"/>
      <c r="S93" s="36"/>
      <c r="T93" s="37"/>
      <c r="U93" s="38"/>
    </row>
    <row r="94" customFormat="false" ht="27.75" hidden="false" customHeight="true" outlineLevel="0" collapsed="false">
      <c r="A94" s="36"/>
      <c r="B94" s="37"/>
      <c r="C94" s="38"/>
      <c r="D94" s="37"/>
      <c r="E94" s="37"/>
      <c r="F94" s="37"/>
      <c r="G94" s="37"/>
      <c r="H94" s="37"/>
      <c r="I94" s="38"/>
      <c r="J94" s="44"/>
      <c r="K94" s="44"/>
      <c r="L94" s="45" t="str">
        <f aca="false">IF(AND($J94="",$K94=""),"",ROUND(IFERROR(VALUE(LEFT($J94,1)),0)*12+IFERROR(VALUE(LEFT($K94,1)),0)*8,0))</f>
        <v/>
      </c>
      <c r="M94" s="45" t="str">
        <f aca="false">IF($L94="","",IF($L94&gt;=80,"A - pursue now",IF($L94&gt;=60,"B - worth pursuing",IF($L94&gt;=40,"C - nurture","D - park it"))))</f>
        <v/>
      </c>
      <c r="N94" s="37"/>
      <c r="O94" s="44"/>
      <c r="P94" s="38"/>
      <c r="Q94" s="36"/>
      <c r="R94" s="38"/>
      <c r="S94" s="36"/>
      <c r="T94" s="37"/>
      <c r="U94" s="38"/>
    </row>
    <row r="95" customFormat="false" ht="27.75" hidden="false" customHeight="true" outlineLevel="0" collapsed="false">
      <c r="A95" s="36"/>
      <c r="B95" s="37"/>
      <c r="C95" s="38"/>
      <c r="D95" s="37"/>
      <c r="E95" s="37"/>
      <c r="F95" s="37"/>
      <c r="G95" s="37"/>
      <c r="H95" s="37"/>
      <c r="I95" s="38"/>
      <c r="J95" s="44"/>
      <c r="K95" s="44"/>
      <c r="L95" s="45" t="str">
        <f aca="false">IF(AND($J95="",$K95=""),"",ROUND(IFERROR(VALUE(LEFT($J95,1)),0)*12+IFERROR(VALUE(LEFT($K95,1)),0)*8,0))</f>
        <v/>
      </c>
      <c r="M95" s="45" t="str">
        <f aca="false">IF($L95="","",IF($L95&gt;=80,"A - pursue now",IF($L95&gt;=60,"B - worth pursuing",IF($L95&gt;=40,"C - nurture","D - park it"))))</f>
        <v/>
      </c>
      <c r="N95" s="37"/>
      <c r="O95" s="44"/>
      <c r="P95" s="38"/>
      <c r="Q95" s="36"/>
      <c r="R95" s="38"/>
      <c r="S95" s="36"/>
      <c r="T95" s="37"/>
      <c r="U95" s="38"/>
    </row>
    <row r="96" customFormat="false" ht="27.75" hidden="false" customHeight="true" outlineLevel="0" collapsed="false">
      <c r="A96" s="36"/>
      <c r="B96" s="37"/>
      <c r="C96" s="38"/>
      <c r="D96" s="37"/>
      <c r="E96" s="37"/>
      <c r="F96" s="37"/>
      <c r="G96" s="37"/>
      <c r="H96" s="37"/>
      <c r="I96" s="38"/>
      <c r="J96" s="44"/>
      <c r="K96" s="44"/>
      <c r="L96" s="45" t="str">
        <f aca="false">IF(AND($J96="",$K96=""),"",ROUND(IFERROR(VALUE(LEFT($J96,1)),0)*12+IFERROR(VALUE(LEFT($K96,1)),0)*8,0))</f>
        <v/>
      </c>
      <c r="M96" s="45" t="str">
        <f aca="false">IF($L96="","",IF($L96&gt;=80,"A - pursue now",IF($L96&gt;=60,"B - worth pursuing",IF($L96&gt;=40,"C - nurture","D - park it"))))</f>
        <v/>
      </c>
      <c r="N96" s="37"/>
      <c r="O96" s="44"/>
      <c r="P96" s="38"/>
      <c r="Q96" s="36"/>
      <c r="R96" s="38"/>
      <c r="S96" s="36"/>
      <c r="T96" s="37"/>
      <c r="U96" s="38"/>
    </row>
    <row r="97" customFormat="false" ht="27.75" hidden="false" customHeight="true" outlineLevel="0" collapsed="false">
      <c r="A97" s="36"/>
      <c r="B97" s="37"/>
      <c r="C97" s="38"/>
      <c r="D97" s="37"/>
      <c r="E97" s="37"/>
      <c r="F97" s="37"/>
      <c r="G97" s="37"/>
      <c r="H97" s="37"/>
      <c r="I97" s="38"/>
      <c r="J97" s="44"/>
      <c r="K97" s="44"/>
      <c r="L97" s="45" t="str">
        <f aca="false">IF(AND($J97="",$K97=""),"",ROUND(IFERROR(VALUE(LEFT($J97,1)),0)*12+IFERROR(VALUE(LEFT($K97,1)),0)*8,0))</f>
        <v/>
      </c>
      <c r="M97" s="45" t="str">
        <f aca="false">IF($L97="","",IF($L97&gt;=80,"A - pursue now",IF($L97&gt;=60,"B - worth pursuing",IF($L97&gt;=40,"C - nurture","D - park it"))))</f>
        <v/>
      </c>
      <c r="N97" s="37"/>
      <c r="O97" s="44"/>
      <c r="P97" s="38"/>
      <c r="Q97" s="36"/>
      <c r="R97" s="38"/>
      <c r="S97" s="36"/>
      <c r="T97" s="37"/>
      <c r="U97" s="38"/>
    </row>
    <row r="98" customFormat="false" ht="27.75" hidden="false" customHeight="true" outlineLevel="0" collapsed="false">
      <c r="A98" s="36"/>
      <c r="B98" s="37"/>
      <c r="C98" s="38"/>
      <c r="D98" s="37"/>
      <c r="E98" s="37"/>
      <c r="F98" s="37"/>
      <c r="G98" s="37"/>
      <c r="H98" s="37"/>
      <c r="I98" s="38"/>
      <c r="J98" s="44"/>
      <c r="K98" s="44"/>
      <c r="L98" s="45" t="str">
        <f aca="false">IF(AND($J98="",$K98=""),"",ROUND(IFERROR(VALUE(LEFT($J98,1)),0)*12+IFERROR(VALUE(LEFT($K98,1)),0)*8,0))</f>
        <v/>
      </c>
      <c r="M98" s="45" t="str">
        <f aca="false">IF($L98="","",IF($L98&gt;=80,"A - pursue now",IF($L98&gt;=60,"B - worth pursuing",IF($L98&gt;=40,"C - nurture","D - park it"))))</f>
        <v/>
      </c>
      <c r="N98" s="37"/>
      <c r="O98" s="44"/>
      <c r="P98" s="38"/>
      <c r="Q98" s="36"/>
      <c r="R98" s="38"/>
      <c r="S98" s="36"/>
      <c r="T98" s="37"/>
      <c r="U98" s="38"/>
    </row>
    <row r="99" customFormat="false" ht="27.75" hidden="false" customHeight="true" outlineLevel="0" collapsed="false">
      <c r="A99" s="36"/>
      <c r="B99" s="37"/>
      <c r="C99" s="38"/>
      <c r="D99" s="37"/>
      <c r="E99" s="37"/>
      <c r="F99" s="37"/>
      <c r="G99" s="37"/>
      <c r="H99" s="37"/>
      <c r="I99" s="38"/>
      <c r="J99" s="44"/>
      <c r="K99" s="44"/>
      <c r="L99" s="45" t="str">
        <f aca="false">IF(AND($J99="",$K99=""),"",ROUND(IFERROR(VALUE(LEFT($J99,1)),0)*12+IFERROR(VALUE(LEFT($K99,1)),0)*8,0))</f>
        <v/>
      </c>
      <c r="M99" s="45" t="str">
        <f aca="false">IF($L99="","",IF($L99&gt;=80,"A - pursue now",IF($L99&gt;=60,"B - worth pursuing",IF($L99&gt;=40,"C - nurture","D - park it"))))</f>
        <v/>
      </c>
      <c r="N99" s="37"/>
      <c r="O99" s="44"/>
      <c r="P99" s="38"/>
      <c r="Q99" s="36"/>
      <c r="R99" s="38"/>
      <c r="S99" s="36"/>
      <c r="T99" s="37"/>
      <c r="U99" s="38"/>
    </row>
    <row r="100" customFormat="false" ht="27.75" hidden="false" customHeight="true" outlineLevel="0" collapsed="false">
      <c r="A100" s="36"/>
      <c r="B100" s="37"/>
      <c r="C100" s="38"/>
      <c r="D100" s="37"/>
      <c r="E100" s="37"/>
      <c r="F100" s="37"/>
      <c r="G100" s="37"/>
      <c r="H100" s="37"/>
      <c r="I100" s="38"/>
      <c r="J100" s="44"/>
      <c r="K100" s="44"/>
      <c r="L100" s="45" t="str">
        <f aca="false">IF(AND($J100="",$K100=""),"",ROUND(IFERROR(VALUE(LEFT($J100,1)),0)*12+IFERROR(VALUE(LEFT($K100,1)),0)*8,0))</f>
        <v/>
      </c>
      <c r="M100" s="45" t="str">
        <f aca="false">IF($L100="","",IF($L100&gt;=80,"A - pursue now",IF($L100&gt;=60,"B - worth pursuing",IF($L100&gt;=40,"C - nurture","D - park it"))))</f>
        <v/>
      </c>
      <c r="N100" s="37"/>
      <c r="O100" s="44"/>
      <c r="P100" s="38"/>
      <c r="Q100" s="36"/>
      <c r="R100" s="38"/>
      <c r="S100" s="36"/>
      <c r="T100" s="37"/>
      <c r="U100" s="38"/>
    </row>
    <row r="101" customFormat="false" ht="27.75" hidden="false" customHeight="true" outlineLevel="0" collapsed="false">
      <c r="A101" s="36"/>
      <c r="B101" s="37"/>
      <c r="C101" s="38"/>
      <c r="D101" s="37"/>
      <c r="E101" s="37"/>
      <c r="F101" s="37"/>
      <c r="G101" s="37"/>
      <c r="H101" s="37"/>
      <c r="I101" s="38"/>
      <c r="J101" s="44"/>
      <c r="K101" s="44"/>
      <c r="L101" s="45" t="str">
        <f aca="false">IF(AND($J101="",$K101=""),"",ROUND(IFERROR(VALUE(LEFT($J101,1)),0)*12+IFERROR(VALUE(LEFT($K101,1)),0)*8,0))</f>
        <v/>
      </c>
      <c r="M101" s="45" t="str">
        <f aca="false">IF($L101="","",IF($L101&gt;=80,"A - pursue now",IF($L101&gt;=60,"B - worth pursuing",IF($L101&gt;=40,"C - nurture","D - park it"))))</f>
        <v/>
      </c>
      <c r="N101" s="37"/>
      <c r="O101" s="44"/>
      <c r="P101" s="38"/>
      <c r="Q101" s="36"/>
      <c r="R101" s="38"/>
      <c r="S101" s="36"/>
      <c r="T101" s="37"/>
      <c r="U101" s="38"/>
    </row>
    <row r="102" customFormat="false" ht="27.75" hidden="false" customHeight="true" outlineLevel="0" collapsed="false">
      <c r="A102" s="36"/>
      <c r="B102" s="37"/>
      <c r="C102" s="38"/>
      <c r="D102" s="37"/>
      <c r="E102" s="37"/>
      <c r="F102" s="37"/>
      <c r="G102" s="37"/>
      <c r="H102" s="37"/>
      <c r="I102" s="38"/>
      <c r="J102" s="44"/>
      <c r="K102" s="44"/>
      <c r="L102" s="45" t="str">
        <f aca="false">IF(AND($J102="",$K102=""),"",ROUND(IFERROR(VALUE(LEFT($J102,1)),0)*12+IFERROR(VALUE(LEFT($K102,1)),0)*8,0))</f>
        <v/>
      </c>
      <c r="M102" s="45" t="str">
        <f aca="false">IF($L102="","",IF($L102&gt;=80,"A - pursue now",IF($L102&gt;=60,"B - worth pursuing",IF($L102&gt;=40,"C - nurture","D - park it"))))</f>
        <v/>
      </c>
      <c r="N102" s="37"/>
      <c r="O102" s="44"/>
      <c r="P102" s="38"/>
      <c r="Q102" s="36"/>
      <c r="R102" s="38"/>
      <c r="S102" s="36"/>
      <c r="T102" s="37"/>
      <c r="U102" s="38"/>
    </row>
    <row r="103" customFormat="false" ht="27.75" hidden="false" customHeight="true" outlineLevel="0" collapsed="false">
      <c r="A103" s="36"/>
      <c r="B103" s="37"/>
      <c r="C103" s="38"/>
      <c r="D103" s="37"/>
      <c r="E103" s="37"/>
      <c r="F103" s="37"/>
      <c r="G103" s="37"/>
      <c r="H103" s="37"/>
      <c r="I103" s="38"/>
      <c r="J103" s="44"/>
      <c r="K103" s="44"/>
      <c r="L103" s="45" t="str">
        <f aca="false">IF(AND($J103="",$K103=""),"",ROUND(IFERROR(VALUE(LEFT($J103,1)),0)*12+IFERROR(VALUE(LEFT($K103,1)),0)*8,0))</f>
        <v/>
      </c>
      <c r="M103" s="45" t="str">
        <f aca="false">IF($L103="","",IF($L103&gt;=80,"A - pursue now",IF($L103&gt;=60,"B - worth pursuing",IF($L103&gt;=40,"C - nurture","D - park it"))))</f>
        <v/>
      </c>
      <c r="N103" s="37"/>
      <c r="O103" s="44"/>
      <c r="P103" s="38"/>
      <c r="Q103" s="36"/>
      <c r="R103" s="38"/>
      <c r="S103" s="36"/>
      <c r="T103" s="37"/>
      <c r="U103" s="38"/>
    </row>
    <row r="104" customFormat="false" ht="27.75" hidden="false" customHeight="true" outlineLevel="0" collapsed="false">
      <c r="A104" s="36"/>
      <c r="B104" s="37"/>
      <c r="C104" s="38"/>
      <c r="D104" s="37"/>
      <c r="E104" s="37"/>
      <c r="F104" s="37"/>
      <c r="G104" s="37"/>
      <c r="H104" s="37"/>
      <c r="I104" s="38"/>
      <c r="J104" s="44"/>
      <c r="K104" s="44"/>
      <c r="L104" s="45" t="str">
        <f aca="false">IF(AND($J104="",$K104=""),"",ROUND(IFERROR(VALUE(LEFT($J104,1)),0)*12+IFERROR(VALUE(LEFT($K104,1)),0)*8,0))</f>
        <v/>
      </c>
      <c r="M104" s="45" t="str">
        <f aca="false">IF($L104="","",IF($L104&gt;=80,"A - pursue now",IF($L104&gt;=60,"B - worth pursuing",IF($L104&gt;=40,"C - nurture","D - park it"))))</f>
        <v/>
      </c>
      <c r="N104" s="37"/>
      <c r="O104" s="44"/>
      <c r="P104" s="38"/>
      <c r="Q104" s="36"/>
      <c r="R104" s="38"/>
      <c r="S104" s="36"/>
      <c r="T104" s="37"/>
      <c r="U104" s="38"/>
    </row>
    <row r="105" customFormat="false" ht="27.75" hidden="false" customHeight="true" outlineLevel="0" collapsed="false">
      <c r="A105" s="36"/>
      <c r="B105" s="37"/>
      <c r="C105" s="38"/>
      <c r="D105" s="37"/>
      <c r="E105" s="37"/>
      <c r="F105" s="37"/>
      <c r="G105" s="37"/>
      <c r="H105" s="37"/>
      <c r="I105" s="38"/>
      <c r="J105" s="44"/>
      <c r="K105" s="44"/>
      <c r="L105" s="45" t="str">
        <f aca="false">IF(AND($J105="",$K105=""),"",ROUND(IFERROR(VALUE(LEFT($J105,1)),0)*12+IFERROR(VALUE(LEFT($K105,1)),0)*8,0))</f>
        <v/>
      </c>
      <c r="M105" s="45" t="str">
        <f aca="false">IF($L105="","",IF($L105&gt;=80,"A - pursue now",IF($L105&gt;=60,"B - worth pursuing",IF($L105&gt;=40,"C - nurture","D - park it"))))</f>
        <v/>
      </c>
      <c r="N105" s="37"/>
      <c r="O105" s="44"/>
      <c r="P105" s="38"/>
      <c r="Q105" s="36"/>
      <c r="R105" s="38"/>
      <c r="S105" s="36"/>
      <c r="T105" s="37"/>
      <c r="U105" s="38"/>
    </row>
    <row r="106" customFormat="false" ht="27.75" hidden="false" customHeight="true" outlineLevel="0" collapsed="false">
      <c r="A106" s="36"/>
      <c r="B106" s="37"/>
      <c r="C106" s="38"/>
      <c r="D106" s="37"/>
      <c r="E106" s="37"/>
      <c r="F106" s="37"/>
      <c r="G106" s="37"/>
      <c r="H106" s="37"/>
      <c r="I106" s="38"/>
      <c r="J106" s="44"/>
      <c r="K106" s="44"/>
      <c r="L106" s="45" t="str">
        <f aca="false">IF(AND($J106="",$K106=""),"",ROUND(IFERROR(VALUE(LEFT($J106,1)),0)*12+IFERROR(VALUE(LEFT($K106,1)),0)*8,0))</f>
        <v/>
      </c>
      <c r="M106" s="45" t="str">
        <f aca="false">IF($L106="","",IF($L106&gt;=80,"A - pursue now",IF($L106&gt;=60,"B - worth pursuing",IF($L106&gt;=40,"C - nurture","D - park it"))))</f>
        <v/>
      </c>
      <c r="N106" s="37"/>
      <c r="O106" s="44"/>
      <c r="P106" s="38"/>
      <c r="Q106" s="36"/>
      <c r="R106" s="38"/>
      <c r="S106" s="36"/>
      <c r="T106" s="37"/>
      <c r="U106" s="38"/>
    </row>
    <row r="107" customFormat="false" ht="27.75" hidden="false" customHeight="true" outlineLevel="0" collapsed="false">
      <c r="A107" s="36"/>
      <c r="B107" s="37"/>
      <c r="C107" s="38"/>
      <c r="D107" s="37"/>
      <c r="E107" s="37"/>
      <c r="F107" s="37"/>
      <c r="G107" s="37"/>
      <c r="H107" s="37"/>
      <c r="I107" s="38"/>
      <c r="J107" s="44"/>
      <c r="K107" s="44"/>
      <c r="L107" s="45" t="str">
        <f aca="false">IF(AND($J107="",$K107=""),"",ROUND(IFERROR(VALUE(LEFT($J107,1)),0)*12+IFERROR(VALUE(LEFT($K107,1)),0)*8,0))</f>
        <v/>
      </c>
      <c r="M107" s="45" t="str">
        <f aca="false">IF($L107="","",IF($L107&gt;=80,"A - pursue now",IF($L107&gt;=60,"B - worth pursuing",IF($L107&gt;=40,"C - nurture","D - park it"))))</f>
        <v/>
      </c>
      <c r="N107" s="37"/>
      <c r="O107" s="44"/>
      <c r="P107" s="38"/>
      <c r="Q107" s="36"/>
      <c r="R107" s="38"/>
      <c r="S107" s="36"/>
      <c r="T107" s="37"/>
      <c r="U107" s="38"/>
    </row>
    <row r="108" customFormat="false" ht="27.75" hidden="false" customHeight="true" outlineLevel="0" collapsed="false">
      <c r="A108" s="36"/>
      <c r="B108" s="37"/>
      <c r="C108" s="38"/>
      <c r="D108" s="37"/>
      <c r="E108" s="37"/>
      <c r="F108" s="37"/>
      <c r="G108" s="37"/>
      <c r="H108" s="37"/>
      <c r="I108" s="38"/>
      <c r="J108" s="44"/>
      <c r="K108" s="44"/>
      <c r="L108" s="45" t="str">
        <f aca="false">IF(AND($J108="",$K108=""),"",ROUND(IFERROR(VALUE(LEFT($J108,1)),0)*12+IFERROR(VALUE(LEFT($K108,1)),0)*8,0))</f>
        <v/>
      </c>
      <c r="M108" s="45" t="str">
        <f aca="false">IF($L108="","",IF($L108&gt;=80,"A - pursue now",IF($L108&gt;=60,"B - worth pursuing",IF($L108&gt;=40,"C - nurture","D - park it"))))</f>
        <v/>
      </c>
      <c r="N108" s="37"/>
      <c r="O108" s="44"/>
      <c r="P108" s="38"/>
      <c r="Q108" s="36"/>
      <c r="R108" s="38"/>
      <c r="S108" s="36"/>
      <c r="T108" s="37"/>
      <c r="U108" s="38"/>
    </row>
    <row r="109" customFormat="false" ht="27.75" hidden="false" customHeight="true" outlineLevel="0" collapsed="false">
      <c r="A109" s="36"/>
      <c r="B109" s="37"/>
      <c r="C109" s="38"/>
      <c r="D109" s="37"/>
      <c r="E109" s="37"/>
      <c r="F109" s="37"/>
      <c r="G109" s="37"/>
      <c r="H109" s="37"/>
      <c r="I109" s="38"/>
      <c r="J109" s="44"/>
      <c r="K109" s="44"/>
      <c r="L109" s="45" t="str">
        <f aca="false">IF(AND($J109="",$K109=""),"",ROUND(IFERROR(VALUE(LEFT($J109,1)),0)*12+IFERROR(VALUE(LEFT($K109,1)),0)*8,0))</f>
        <v/>
      </c>
      <c r="M109" s="45" t="str">
        <f aca="false">IF($L109="","",IF($L109&gt;=80,"A - pursue now",IF($L109&gt;=60,"B - worth pursuing",IF($L109&gt;=40,"C - nurture","D - park it"))))</f>
        <v/>
      </c>
      <c r="N109" s="37"/>
      <c r="O109" s="44"/>
      <c r="P109" s="38"/>
      <c r="Q109" s="36"/>
      <c r="R109" s="38"/>
      <c r="S109" s="36"/>
      <c r="T109" s="37"/>
      <c r="U109" s="38"/>
    </row>
    <row r="110" customFormat="false" ht="27.75" hidden="false" customHeight="true" outlineLevel="0" collapsed="false">
      <c r="A110" s="36"/>
      <c r="B110" s="37"/>
      <c r="C110" s="38"/>
      <c r="D110" s="37"/>
      <c r="E110" s="37"/>
      <c r="F110" s="37"/>
      <c r="G110" s="37"/>
      <c r="H110" s="37"/>
      <c r="I110" s="38"/>
      <c r="J110" s="44"/>
      <c r="K110" s="44"/>
      <c r="L110" s="45" t="str">
        <f aca="false">IF(AND($J110="",$K110=""),"",ROUND(IFERROR(VALUE(LEFT($J110,1)),0)*12+IFERROR(VALUE(LEFT($K110,1)),0)*8,0))</f>
        <v/>
      </c>
      <c r="M110" s="45" t="str">
        <f aca="false">IF($L110="","",IF($L110&gt;=80,"A - pursue now",IF($L110&gt;=60,"B - worth pursuing",IF($L110&gt;=40,"C - nurture","D - park it"))))</f>
        <v/>
      </c>
      <c r="N110" s="37"/>
      <c r="O110" s="44"/>
      <c r="P110" s="38"/>
      <c r="Q110" s="36"/>
      <c r="R110" s="38"/>
      <c r="S110" s="36"/>
      <c r="T110" s="37"/>
      <c r="U110" s="38"/>
    </row>
    <row r="111" customFormat="false" ht="27.75" hidden="false" customHeight="true" outlineLevel="0" collapsed="false">
      <c r="A111" s="36"/>
      <c r="B111" s="37"/>
      <c r="C111" s="38"/>
      <c r="D111" s="37"/>
      <c r="E111" s="37"/>
      <c r="F111" s="37"/>
      <c r="G111" s="37"/>
      <c r="H111" s="37"/>
      <c r="I111" s="38"/>
      <c r="J111" s="44"/>
      <c r="K111" s="44"/>
      <c r="L111" s="45" t="str">
        <f aca="false">IF(AND($J111="",$K111=""),"",ROUND(IFERROR(VALUE(LEFT($J111,1)),0)*12+IFERROR(VALUE(LEFT($K111,1)),0)*8,0))</f>
        <v/>
      </c>
      <c r="M111" s="45" t="str">
        <f aca="false">IF($L111="","",IF($L111&gt;=80,"A - pursue now",IF($L111&gt;=60,"B - worth pursuing",IF($L111&gt;=40,"C - nurture","D - park it"))))</f>
        <v/>
      </c>
      <c r="N111" s="37"/>
      <c r="O111" s="44"/>
      <c r="P111" s="38"/>
      <c r="Q111" s="36"/>
      <c r="R111" s="38"/>
      <c r="S111" s="36"/>
      <c r="T111" s="37"/>
      <c r="U111" s="38"/>
    </row>
    <row r="112" customFormat="false" ht="27.75" hidden="false" customHeight="true" outlineLevel="0" collapsed="false">
      <c r="A112" s="36"/>
      <c r="B112" s="37"/>
      <c r="C112" s="38"/>
      <c r="D112" s="37"/>
      <c r="E112" s="37"/>
      <c r="F112" s="37"/>
      <c r="G112" s="37"/>
      <c r="H112" s="37"/>
      <c r="I112" s="38"/>
      <c r="J112" s="44"/>
      <c r="K112" s="44"/>
      <c r="L112" s="45" t="str">
        <f aca="false">IF(AND($J112="",$K112=""),"",ROUND(IFERROR(VALUE(LEFT($J112,1)),0)*12+IFERROR(VALUE(LEFT($K112,1)),0)*8,0))</f>
        <v/>
      </c>
      <c r="M112" s="45" t="str">
        <f aca="false">IF($L112="","",IF($L112&gt;=80,"A - pursue now",IF($L112&gt;=60,"B - worth pursuing",IF($L112&gt;=40,"C - nurture","D - park it"))))</f>
        <v/>
      </c>
      <c r="N112" s="37"/>
      <c r="O112" s="44"/>
      <c r="P112" s="38"/>
      <c r="Q112" s="36"/>
      <c r="R112" s="38"/>
      <c r="S112" s="36"/>
      <c r="T112" s="37"/>
      <c r="U112" s="38"/>
    </row>
    <row r="113" customFormat="false" ht="27.75" hidden="false" customHeight="true" outlineLevel="0" collapsed="false">
      <c r="A113" s="36"/>
      <c r="B113" s="37"/>
      <c r="C113" s="38"/>
      <c r="D113" s="37"/>
      <c r="E113" s="37"/>
      <c r="F113" s="37"/>
      <c r="G113" s="37"/>
      <c r="H113" s="37"/>
      <c r="I113" s="38"/>
      <c r="J113" s="44"/>
      <c r="K113" s="44"/>
      <c r="L113" s="45" t="str">
        <f aca="false">IF(AND($J113="",$K113=""),"",ROUND(IFERROR(VALUE(LEFT($J113,1)),0)*12+IFERROR(VALUE(LEFT($K113,1)),0)*8,0))</f>
        <v/>
      </c>
      <c r="M113" s="45" t="str">
        <f aca="false">IF($L113="","",IF($L113&gt;=80,"A - pursue now",IF($L113&gt;=60,"B - worth pursuing",IF($L113&gt;=40,"C - nurture","D - park it"))))</f>
        <v/>
      </c>
      <c r="N113" s="37"/>
      <c r="O113" s="44"/>
      <c r="P113" s="38"/>
      <c r="Q113" s="36"/>
      <c r="R113" s="38"/>
      <c r="S113" s="36"/>
      <c r="T113" s="37"/>
      <c r="U113" s="38"/>
    </row>
    <row r="114" customFormat="false" ht="27.75" hidden="false" customHeight="true" outlineLevel="0" collapsed="false">
      <c r="A114" s="36"/>
      <c r="B114" s="37"/>
      <c r="C114" s="38"/>
      <c r="D114" s="37"/>
      <c r="E114" s="37"/>
      <c r="F114" s="37"/>
      <c r="G114" s="37"/>
      <c r="H114" s="37"/>
      <c r="I114" s="38"/>
      <c r="J114" s="44"/>
      <c r="K114" s="44"/>
      <c r="L114" s="45" t="str">
        <f aca="false">IF(AND($J114="",$K114=""),"",ROUND(IFERROR(VALUE(LEFT($J114,1)),0)*12+IFERROR(VALUE(LEFT($K114,1)),0)*8,0))</f>
        <v/>
      </c>
      <c r="M114" s="45" t="str">
        <f aca="false">IF($L114="","",IF($L114&gt;=80,"A - pursue now",IF($L114&gt;=60,"B - worth pursuing",IF($L114&gt;=40,"C - nurture","D - park it"))))</f>
        <v/>
      </c>
      <c r="N114" s="37"/>
      <c r="O114" s="44"/>
      <c r="P114" s="38"/>
      <c r="Q114" s="36"/>
      <c r="R114" s="38"/>
      <c r="S114" s="36"/>
      <c r="T114" s="37"/>
      <c r="U114" s="38"/>
    </row>
    <row r="115" customFormat="false" ht="27.75" hidden="false" customHeight="true" outlineLevel="0" collapsed="false">
      <c r="A115" s="36"/>
      <c r="B115" s="37"/>
      <c r="C115" s="38"/>
      <c r="D115" s="37"/>
      <c r="E115" s="37"/>
      <c r="F115" s="37"/>
      <c r="G115" s="37"/>
      <c r="H115" s="37"/>
      <c r="I115" s="38"/>
      <c r="J115" s="44"/>
      <c r="K115" s="44"/>
      <c r="L115" s="45" t="str">
        <f aca="false">IF(AND($J115="",$K115=""),"",ROUND(IFERROR(VALUE(LEFT($J115,1)),0)*12+IFERROR(VALUE(LEFT($K115,1)),0)*8,0))</f>
        <v/>
      </c>
      <c r="M115" s="45" t="str">
        <f aca="false">IF($L115="","",IF($L115&gt;=80,"A - pursue now",IF($L115&gt;=60,"B - worth pursuing",IF($L115&gt;=40,"C - nurture","D - park it"))))</f>
        <v/>
      </c>
      <c r="N115" s="37"/>
      <c r="O115" s="44"/>
      <c r="P115" s="38"/>
      <c r="Q115" s="36"/>
      <c r="R115" s="38"/>
      <c r="S115" s="36"/>
      <c r="T115" s="37"/>
      <c r="U115" s="38"/>
    </row>
    <row r="116" customFormat="false" ht="27.75" hidden="false" customHeight="true" outlineLevel="0" collapsed="false">
      <c r="A116" s="36"/>
      <c r="B116" s="37"/>
      <c r="C116" s="38"/>
      <c r="D116" s="37"/>
      <c r="E116" s="37"/>
      <c r="F116" s="37"/>
      <c r="G116" s="37"/>
      <c r="H116" s="37"/>
      <c r="I116" s="38"/>
      <c r="J116" s="44"/>
      <c r="K116" s="44"/>
      <c r="L116" s="45" t="str">
        <f aca="false">IF(AND($J116="",$K116=""),"",ROUND(IFERROR(VALUE(LEFT($J116,1)),0)*12+IFERROR(VALUE(LEFT($K116,1)),0)*8,0))</f>
        <v/>
      </c>
      <c r="M116" s="45" t="str">
        <f aca="false">IF($L116="","",IF($L116&gt;=80,"A - pursue now",IF($L116&gt;=60,"B - worth pursuing",IF($L116&gt;=40,"C - nurture","D - park it"))))</f>
        <v/>
      </c>
      <c r="N116" s="37"/>
      <c r="O116" s="44"/>
      <c r="P116" s="38"/>
      <c r="Q116" s="36"/>
      <c r="R116" s="38"/>
      <c r="S116" s="36"/>
      <c r="T116" s="37"/>
      <c r="U116" s="38"/>
    </row>
    <row r="117" customFormat="false" ht="27.75" hidden="false" customHeight="true" outlineLevel="0" collapsed="false">
      <c r="A117" s="36"/>
      <c r="B117" s="37"/>
      <c r="C117" s="38"/>
      <c r="D117" s="37"/>
      <c r="E117" s="37"/>
      <c r="F117" s="37"/>
      <c r="G117" s="37"/>
      <c r="H117" s="37"/>
      <c r="I117" s="38"/>
      <c r="J117" s="44"/>
      <c r="K117" s="44"/>
      <c r="L117" s="45" t="str">
        <f aca="false">IF(AND($J117="",$K117=""),"",ROUND(IFERROR(VALUE(LEFT($J117,1)),0)*12+IFERROR(VALUE(LEFT($K117,1)),0)*8,0))</f>
        <v/>
      </c>
      <c r="M117" s="45" t="str">
        <f aca="false">IF($L117="","",IF($L117&gt;=80,"A - pursue now",IF($L117&gt;=60,"B - worth pursuing",IF($L117&gt;=40,"C - nurture","D - park it"))))</f>
        <v/>
      </c>
      <c r="N117" s="37"/>
      <c r="O117" s="44"/>
      <c r="P117" s="38"/>
      <c r="Q117" s="36"/>
      <c r="R117" s="38"/>
      <c r="S117" s="36"/>
      <c r="T117" s="37"/>
      <c r="U117" s="38"/>
    </row>
    <row r="118" customFormat="false" ht="27.75" hidden="false" customHeight="true" outlineLevel="0" collapsed="false">
      <c r="A118" s="36"/>
      <c r="B118" s="37"/>
      <c r="C118" s="38"/>
      <c r="D118" s="37"/>
      <c r="E118" s="37"/>
      <c r="F118" s="37"/>
      <c r="G118" s="37"/>
      <c r="H118" s="37"/>
      <c r="I118" s="38"/>
      <c r="J118" s="44"/>
      <c r="K118" s="44"/>
      <c r="L118" s="45" t="str">
        <f aca="false">IF(AND($J118="",$K118=""),"",ROUND(IFERROR(VALUE(LEFT($J118,1)),0)*12+IFERROR(VALUE(LEFT($K118,1)),0)*8,0))</f>
        <v/>
      </c>
      <c r="M118" s="45" t="str">
        <f aca="false">IF($L118="","",IF($L118&gt;=80,"A - pursue now",IF($L118&gt;=60,"B - worth pursuing",IF($L118&gt;=40,"C - nurture","D - park it"))))</f>
        <v/>
      </c>
      <c r="N118" s="37"/>
      <c r="O118" s="44"/>
      <c r="P118" s="38"/>
      <c r="Q118" s="36"/>
      <c r="R118" s="38"/>
      <c r="S118" s="36"/>
      <c r="T118" s="37"/>
      <c r="U118" s="38"/>
    </row>
    <row r="119" customFormat="false" ht="27.75" hidden="false" customHeight="true" outlineLevel="0" collapsed="false">
      <c r="A119" s="36"/>
      <c r="B119" s="37"/>
      <c r="C119" s="38"/>
      <c r="D119" s="37"/>
      <c r="E119" s="37"/>
      <c r="F119" s="37"/>
      <c r="G119" s="37"/>
      <c r="H119" s="37"/>
      <c r="I119" s="38"/>
      <c r="J119" s="44"/>
      <c r="K119" s="44"/>
      <c r="L119" s="45" t="str">
        <f aca="false">IF(AND($J119="",$K119=""),"",ROUND(IFERROR(VALUE(LEFT($J119,1)),0)*12+IFERROR(VALUE(LEFT($K119,1)),0)*8,0))</f>
        <v/>
      </c>
      <c r="M119" s="45" t="str">
        <f aca="false">IF($L119="","",IF($L119&gt;=80,"A - pursue now",IF($L119&gt;=60,"B - worth pursuing",IF($L119&gt;=40,"C - nurture","D - park it"))))</f>
        <v/>
      </c>
      <c r="N119" s="37"/>
      <c r="O119" s="44"/>
      <c r="P119" s="38"/>
      <c r="Q119" s="36"/>
      <c r="R119" s="38"/>
      <c r="S119" s="36"/>
      <c r="T119" s="37"/>
      <c r="U119" s="38"/>
    </row>
    <row r="120" customFormat="false" ht="27.75" hidden="false" customHeight="true" outlineLevel="0" collapsed="false">
      <c r="A120" s="36"/>
      <c r="B120" s="37"/>
      <c r="C120" s="38"/>
      <c r="D120" s="37"/>
      <c r="E120" s="37"/>
      <c r="F120" s="37"/>
      <c r="G120" s="37"/>
      <c r="H120" s="37"/>
      <c r="I120" s="38"/>
      <c r="J120" s="44"/>
      <c r="K120" s="44"/>
      <c r="L120" s="45" t="str">
        <f aca="false">IF(AND($J120="",$K120=""),"",ROUND(IFERROR(VALUE(LEFT($J120,1)),0)*12+IFERROR(VALUE(LEFT($K120,1)),0)*8,0))</f>
        <v/>
      </c>
      <c r="M120" s="45" t="str">
        <f aca="false">IF($L120="","",IF($L120&gt;=80,"A - pursue now",IF($L120&gt;=60,"B - worth pursuing",IF($L120&gt;=40,"C - nurture","D - park it"))))</f>
        <v/>
      </c>
      <c r="N120" s="37"/>
      <c r="O120" s="44"/>
      <c r="P120" s="38"/>
      <c r="Q120" s="36"/>
      <c r="R120" s="38"/>
      <c r="S120" s="36"/>
      <c r="T120" s="37"/>
      <c r="U120" s="38"/>
    </row>
    <row r="121" customFormat="false" ht="27.75" hidden="false" customHeight="true" outlineLevel="0" collapsed="false">
      <c r="A121" s="36"/>
      <c r="B121" s="37"/>
      <c r="C121" s="38"/>
      <c r="D121" s="37"/>
      <c r="E121" s="37"/>
      <c r="F121" s="37"/>
      <c r="G121" s="37"/>
      <c r="H121" s="37"/>
      <c r="I121" s="38"/>
      <c r="J121" s="44"/>
      <c r="K121" s="44"/>
      <c r="L121" s="45" t="str">
        <f aca="false">IF(AND($J121="",$K121=""),"",ROUND(IFERROR(VALUE(LEFT($J121,1)),0)*12+IFERROR(VALUE(LEFT($K121,1)),0)*8,0))</f>
        <v/>
      </c>
      <c r="M121" s="45" t="str">
        <f aca="false">IF($L121="","",IF($L121&gt;=80,"A - pursue now",IF($L121&gt;=60,"B - worth pursuing",IF($L121&gt;=40,"C - nurture","D - park it"))))</f>
        <v/>
      </c>
      <c r="N121" s="37"/>
      <c r="O121" s="44"/>
      <c r="P121" s="38"/>
      <c r="Q121" s="36"/>
      <c r="R121" s="38"/>
      <c r="S121" s="36"/>
      <c r="T121" s="37"/>
      <c r="U121" s="38"/>
    </row>
    <row r="122" customFormat="false" ht="27.75" hidden="false" customHeight="true" outlineLevel="0" collapsed="false">
      <c r="A122" s="36"/>
      <c r="B122" s="37"/>
      <c r="C122" s="38"/>
      <c r="D122" s="37"/>
      <c r="E122" s="37"/>
      <c r="F122" s="37"/>
      <c r="G122" s="37"/>
      <c r="H122" s="37"/>
      <c r="I122" s="38"/>
      <c r="J122" s="44"/>
      <c r="K122" s="44"/>
      <c r="L122" s="45" t="str">
        <f aca="false">IF(AND($J122="",$K122=""),"",ROUND(IFERROR(VALUE(LEFT($J122,1)),0)*12+IFERROR(VALUE(LEFT($K122,1)),0)*8,0))</f>
        <v/>
      </c>
      <c r="M122" s="45" t="str">
        <f aca="false">IF($L122="","",IF($L122&gt;=80,"A - pursue now",IF($L122&gt;=60,"B - worth pursuing",IF($L122&gt;=40,"C - nurture","D - park it"))))</f>
        <v/>
      </c>
      <c r="N122" s="37"/>
      <c r="O122" s="44"/>
      <c r="P122" s="38"/>
      <c r="Q122" s="36"/>
      <c r="R122" s="38"/>
      <c r="S122" s="36"/>
      <c r="T122" s="37"/>
      <c r="U122" s="38"/>
    </row>
    <row r="123" customFormat="false" ht="27.75" hidden="false" customHeight="true" outlineLevel="0" collapsed="false">
      <c r="A123" s="36"/>
      <c r="B123" s="37"/>
      <c r="C123" s="38"/>
      <c r="D123" s="37"/>
      <c r="E123" s="37"/>
      <c r="F123" s="37"/>
      <c r="G123" s="37"/>
      <c r="H123" s="37"/>
      <c r="I123" s="38"/>
      <c r="J123" s="44"/>
      <c r="K123" s="44"/>
      <c r="L123" s="45" t="str">
        <f aca="false">IF(AND($J123="",$K123=""),"",ROUND(IFERROR(VALUE(LEFT($J123,1)),0)*12+IFERROR(VALUE(LEFT($K123,1)),0)*8,0))</f>
        <v/>
      </c>
      <c r="M123" s="45" t="str">
        <f aca="false">IF($L123="","",IF($L123&gt;=80,"A - pursue now",IF($L123&gt;=60,"B - worth pursuing",IF($L123&gt;=40,"C - nurture","D - park it"))))</f>
        <v/>
      </c>
      <c r="N123" s="37"/>
      <c r="O123" s="44"/>
      <c r="P123" s="38"/>
      <c r="Q123" s="36"/>
      <c r="R123" s="38"/>
      <c r="S123" s="36"/>
      <c r="T123" s="37"/>
      <c r="U123" s="38"/>
    </row>
    <row r="124" customFormat="false" ht="27.75" hidden="false" customHeight="true" outlineLevel="0" collapsed="false">
      <c r="A124" s="36"/>
      <c r="B124" s="37"/>
      <c r="C124" s="38"/>
      <c r="D124" s="37"/>
      <c r="E124" s="37"/>
      <c r="F124" s="37"/>
      <c r="G124" s="37"/>
      <c r="H124" s="37"/>
      <c r="I124" s="38"/>
      <c r="J124" s="44"/>
      <c r="K124" s="44"/>
      <c r="L124" s="45" t="str">
        <f aca="false">IF(AND($J124="",$K124=""),"",ROUND(IFERROR(VALUE(LEFT($J124,1)),0)*12+IFERROR(VALUE(LEFT($K124,1)),0)*8,0))</f>
        <v/>
      </c>
      <c r="M124" s="45" t="str">
        <f aca="false">IF($L124="","",IF($L124&gt;=80,"A - pursue now",IF($L124&gt;=60,"B - worth pursuing",IF($L124&gt;=40,"C - nurture","D - park it"))))</f>
        <v/>
      </c>
      <c r="N124" s="37"/>
      <c r="O124" s="44"/>
      <c r="P124" s="38"/>
      <c r="Q124" s="36"/>
      <c r="R124" s="38"/>
      <c r="S124" s="36"/>
      <c r="T124" s="37"/>
      <c r="U124" s="38"/>
    </row>
    <row r="125" customFormat="false" ht="27.75" hidden="false" customHeight="true" outlineLevel="0" collapsed="false">
      <c r="A125" s="36"/>
      <c r="B125" s="37"/>
      <c r="C125" s="38"/>
      <c r="D125" s="37"/>
      <c r="E125" s="37"/>
      <c r="F125" s="37"/>
      <c r="G125" s="37"/>
      <c r="H125" s="37"/>
      <c r="I125" s="38"/>
      <c r="J125" s="44"/>
      <c r="K125" s="44"/>
      <c r="L125" s="45" t="str">
        <f aca="false">IF(AND($J125="",$K125=""),"",ROUND(IFERROR(VALUE(LEFT($J125,1)),0)*12+IFERROR(VALUE(LEFT($K125,1)),0)*8,0))</f>
        <v/>
      </c>
      <c r="M125" s="45" t="str">
        <f aca="false">IF($L125="","",IF($L125&gt;=80,"A - pursue now",IF($L125&gt;=60,"B - worth pursuing",IF($L125&gt;=40,"C - nurture","D - park it"))))</f>
        <v/>
      </c>
      <c r="N125" s="37"/>
      <c r="O125" s="44"/>
      <c r="P125" s="38"/>
      <c r="Q125" s="36"/>
      <c r="R125" s="38"/>
      <c r="S125" s="36"/>
      <c r="T125" s="37"/>
      <c r="U125" s="38"/>
    </row>
    <row r="126" customFormat="false" ht="27.75" hidden="false" customHeight="true" outlineLevel="0" collapsed="false">
      <c r="A126" s="36"/>
      <c r="B126" s="37"/>
      <c r="C126" s="38"/>
      <c r="D126" s="37"/>
      <c r="E126" s="37"/>
      <c r="F126" s="37"/>
      <c r="G126" s="37"/>
      <c r="H126" s="37"/>
      <c r="I126" s="38"/>
      <c r="J126" s="44"/>
      <c r="K126" s="44"/>
      <c r="L126" s="45" t="str">
        <f aca="false">IF(AND($J126="",$K126=""),"",ROUND(IFERROR(VALUE(LEFT($J126,1)),0)*12+IFERROR(VALUE(LEFT($K126,1)),0)*8,0))</f>
        <v/>
      </c>
      <c r="M126" s="45" t="str">
        <f aca="false">IF($L126="","",IF($L126&gt;=80,"A - pursue now",IF($L126&gt;=60,"B - worth pursuing",IF($L126&gt;=40,"C - nurture","D - park it"))))</f>
        <v/>
      </c>
      <c r="N126" s="37"/>
      <c r="O126" s="44"/>
      <c r="P126" s="38"/>
      <c r="Q126" s="36"/>
      <c r="R126" s="38"/>
      <c r="S126" s="36"/>
      <c r="T126" s="37"/>
      <c r="U126" s="38"/>
    </row>
    <row r="127" customFormat="false" ht="27.75" hidden="false" customHeight="true" outlineLevel="0" collapsed="false">
      <c r="A127" s="36"/>
      <c r="B127" s="37"/>
      <c r="C127" s="38"/>
      <c r="D127" s="37"/>
      <c r="E127" s="37"/>
      <c r="F127" s="37"/>
      <c r="G127" s="37"/>
      <c r="H127" s="37"/>
      <c r="I127" s="38"/>
      <c r="J127" s="44"/>
      <c r="K127" s="44"/>
      <c r="L127" s="45" t="str">
        <f aca="false">IF(AND($J127="",$K127=""),"",ROUND(IFERROR(VALUE(LEFT($J127,1)),0)*12+IFERROR(VALUE(LEFT($K127,1)),0)*8,0))</f>
        <v/>
      </c>
      <c r="M127" s="45" t="str">
        <f aca="false">IF($L127="","",IF($L127&gt;=80,"A - pursue now",IF($L127&gt;=60,"B - worth pursuing",IF($L127&gt;=40,"C - nurture","D - park it"))))</f>
        <v/>
      </c>
      <c r="N127" s="37"/>
      <c r="O127" s="44"/>
      <c r="P127" s="38"/>
      <c r="Q127" s="36"/>
      <c r="R127" s="38"/>
      <c r="S127" s="36"/>
      <c r="T127" s="37"/>
      <c r="U127" s="38"/>
    </row>
    <row r="128" customFormat="false" ht="27.75" hidden="false" customHeight="true" outlineLevel="0" collapsed="false">
      <c r="A128" s="36"/>
      <c r="B128" s="37"/>
      <c r="C128" s="38"/>
      <c r="D128" s="37"/>
      <c r="E128" s="37"/>
      <c r="F128" s="37"/>
      <c r="G128" s="37"/>
      <c r="H128" s="37"/>
      <c r="I128" s="38"/>
      <c r="J128" s="44"/>
      <c r="K128" s="44"/>
      <c r="L128" s="45" t="str">
        <f aca="false">IF(AND($J128="",$K128=""),"",ROUND(IFERROR(VALUE(LEFT($J128,1)),0)*12+IFERROR(VALUE(LEFT($K128,1)),0)*8,0))</f>
        <v/>
      </c>
      <c r="M128" s="45" t="str">
        <f aca="false">IF($L128="","",IF($L128&gt;=80,"A - pursue now",IF($L128&gt;=60,"B - worth pursuing",IF($L128&gt;=40,"C - nurture","D - park it"))))</f>
        <v/>
      </c>
      <c r="N128" s="37"/>
      <c r="O128" s="44"/>
      <c r="P128" s="38"/>
      <c r="Q128" s="36"/>
      <c r="R128" s="38"/>
      <c r="S128" s="36"/>
      <c r="T128" s="37"/>
      <c r="U128" s="38"/>
    </row>
    <row r="129" customFormat="false" ht="27.75" hidden="false" customHeight="true" outlineLevel="0" collapsed="false">
      <c r="A129" s="36"/>
      <c r="B129" s="37"/>
      <c r="C129" s="38"/>
      <c r="D129" s="37"/>
      <c r="E129" s="37"/>
      <c r="F129" s="37"/>
      <c r="G129" s="37"/>
      <c r="H129" s="37"/>
      <c r="I129" s="38"/>
      <c r="J129" s="44"/>
      <c r="K129" s="44"/>
      <c r="L129" s="45" t="str">
        <f aca="false">IF(AND($J129="",$K129=""),"",ROUND(IFERROR(VALUE(LEFT($J129,1)),0)*12+IFERROR(VALUE(LEFT($K129,1)),0)*8,0))</f>
        <v/>
      </c>
      <c r="M129" s="45" t="str">
        <f aca="false">IF($L129="","",IF($L129&gt;=80,"A - pursue now",IF($L129&gt;=60,"B - worth pursuing",IF($L129&gt;=40,"C - nurture","D - park it"))))</f>
        <v/>
      </c>
      <c r="N129" s="37"/>
      <c r="O129" s="44"/>
      <c r="P129" s="38"/>
      <c r="Q129" s="36"/>
      <c r="R129" s="38"/>
      <c r="S129" s="36"/>
      <c r="T129" s="37"/>
      <c r="U129" s="38"/>
    </row>
    <row r="130" customFormat="false" ht="27.75" hidden="false" customHeight="true" outlineLevel="0" collapsed="false">
      <c r="A130" s="36"/>
      <c r="B130" s="37"/>
      <c r="C130" s="38"/>
      <c r="D130" s="37"/>
      <c r="E130" s="37"/>
      <c r="F130" s="37"/>
      <c r="G130" s="37"/>
      <c r="H130" s="37"/>
      <c r="I130" s="38"/>
      <c r="J130" s="44"/>
      <c r="K130" s="44"/>
      <c r="L130" s="45" t="str">
        <f aca="false">IF(AND($J130="",$K130=""),"",ROUND(IFERROR(VALUE(LEFT($J130,1)),0)*12+IFERROR(VALUE(LEFT($K130,1)),0)*8,0))</f>
        <v/>
      </c>
      <c r="M130" s="45" t="str">
        <f aca="false">IF($L130="","",IF($L130&gt;=80,"A - pursue now",IF($L130&gt;=60,"B - worth pursuing",IF($L130&gt;=40,"C - nurture","D - park it"))))</f>
        <v/>
      </c>
      <c r="N130" s="37"/>
      <c r="O130" s="44"/>
      <c r="P130" s="38"/>
      <c r="Q130" s="36"/>
      <c r="R130" s="38"/>
      <c r="S130" s="36"/>
      <c r="T130" s="37"/>
      <c r="U130" s="38"/>
    </row>
    <row r="131" customFormat="false" ht="27.75" hidden="false" customHeight="true" outlineLevel="0" collapsed="false">
      <c r="A131" s="36"/>
      <c r="B131" s="37"/>
      <c r="C131" s="38"/>
      <c r="D131" s="37"/>
      <c r="E131" s="37"/>
      <c r="F131" s="37"/>
      <c r="G131" s="37"/>
      <c r="H131" s="37"/>
      <c r="I131" s="38"/>
      <c r="J131" s="44"/>
      <c r="K131" s="44"/>
      <c r="L131" s="45" t="str">
        <f aca="false">IF(AND($J131="",$K131=""),"",ROUND(IFERROR(VALUE(LEFT($J131,1)),0)*12+IFERROR(VALUE(LEFT($K131,1)),0)*8,0))</f>
        <v/>
      </c>
      <c r="M131" s="45" t="str">
        <f aca="false">IF($L131="","",IF($L131&gt;=80,"A - pursue now",IF($L131&gt;=60,"B - worth pursuing",IF($L131&gt;=40,"C - nurture","D - park it"))))</f>
        <v/>
      </c>
      <c r="N131" s="37"/>
      <c r="O131" s="44"/>
      <c r="P131" s="38"/>
      <c r="Q131" s="36"/>
      <c r="R131" s="38"/>
      <c r="S131" s="36"/>
      <c r="T131" s="37"/>
      <c r="U131" s="38"/>
    </row>
    <row r="132" customFormat="false" ht="27.75" hidden="false" customHeight="true" outlineLevel="0" collapsed="false">
      <c r="A132" s="36"/>
      <c r="B132" s="37"/>
      <c r="C132" s="38"/>
      <c r="D132" s="37"/>
      <c r="E132" s="37"/>
      <c r="F132" s="37"/>
      <c r="G132" s="37"/>
      <c r="H132" s="37"/>
      <c r="I132" s="38"/>
      <c r="J132" s="44"/>
      <c r="K132" s="44"/>
      <c r="L132" s="45" t="str">
        <f aca="false">IF(AND($J132="",$K132=""),"",ROUND(IFERROR(VALUE(LEFT($J132,1)),0)*12+IFERROR(VALUE(LEFT($K132,1)),0)*8,0))</f>
        <v/>
      </c>
      <c r="M132" s="45" t="str">
        <f aca="false">IF($L132="","",IF($L132&gt;=80,"A - pursue now",IF($L132&gt;=60,"B - worth pursuing",IF($L132&gt;=40,"C - nurture","D - park it"))))</f>
        <v/>
      </c>
      <c r="N132" s="37"/>
      <c r="O132" s="44"/>
      <c r="P132" s="38"/>
      <c r="Q132" s="36"/>
      <c r="R132" s="38"/>
      <c r="S132" s="36"/>
      <c r="T132" s="37"/>
      <c r="U132" s="38"/>
    </row>
    <row r="133" customFormat="false" ht="27.75" hidden="false" customHeight="true" outlineLevel="0" collapsed="false">
      <c r="A133" s="36"/>
      <c r="B133" s="37"/>
      <c r="C133" s="38"/>
      <c r="D133" s="37"/>
      <c r="E133" s="37"/>
      <c r="F133" s="37"/>
      <c r="G133" s="37"/>
      <c r="H133" s="37"/>
      <c r="I133" s="38"/>
      <c r="J133" s="44"/>
      <c r="K133" s="44"/>
      <c r="L133" s="45" t="str">
        <f aca="false">IF(AND($J133="",$K133=""),"",ROUND(IFERROR(VALUE(LEFT($J133,1)),0)*12+IFERROR(VALUE(LEFT($K133,1)),0)*8,0))</f>
        <v/>
      </c>
      <c r="M133" s="45" t="str">
        <f aca="false">IF($L133="","",IF($L133&gt;=80,"A - pursue now",IF($L133&gt;=60,"B - worth pursuing",IF($L133&gt;=40,"C - nurture","D - park it"))))</f>
        <v/>
      </c>
      <c r="N133" s="37"/>
      <c r="O133" s="44"/>
      <c r="P133" s="38"/>
      <c r="Q133" s="36"/>
      <c r="R133" s="38"/>
      <c r="S133" s="36"/>
      <c r="T133" s="37"/>
      <c r="U133" s="38"/>
    </row>
    <row r="134" customFormat="false" ht="27.75" hidden="false" customHeight="true" outlineLevel="0" collapsed="false">
      <c r="A134" s="36"/>
      <c r="B134" s="37"/>
      <c r="C134" s="38"/>
      <c r="D134" s="37"/>
      <c r="E134" s="37"/>
      <c r="F134" s="37"/>
      <c r="G134" s="37"/>
      <c r="H134" s="37"/>
      <c r="I134" s="38"/>
      <c r="J134" s="44"/>
      <c r="K134" s="44"/>
      <c r="L134" s="45" t="str">
        <f aca="false">IF(AND($J134="",$K134=""),"",ROUND(IFERROR(VALUE(LEFT($J134,1)),0)*12+IFERROR(VALUE(LEFT($K134,1)),0)*8,0))</f>
        <v/>
      </c>
      <c r="M134" s="45" t="str">
        <f aca="false">IF($L134="","",IF($L134&gt;=80,"A - pursue now",IF($L134&gt;=60,"B - worth pursuing",IF($L134&gt;=40,"C - nurture","D - park it"))))</f>
        <v/>
      </c>
      <c r="N134" s="37"/>
      <c r="O134" s="44"/>
      <c r="P134" s="38"/>
      <c r="Q134" s="36"/>
      <c r="R134" s="38"/>
      <c r="S134" s="36"/>
      <c r="T134" s="37"/>
      <c r="U134" s="38"/>
    </row>
    <row r="135" customFormat="false" ht="27.75" hidden="false" customHeight="true" outlineLevel="0" collapsed="false">
      <c r="A135" s="36"/>
      <c r="B135" s="37"/>
      <c r="C135" s="38"/>
      <c r="D135" s="37"/>
      <c r="E135" s="37"/>
      <c r="F135" s="37"/>
      <c r="G135" s="37"/>
      <c r="H135" s="37"/>
      <c r="I135" s="38"/>
      <c r="J135" s="44"/>
      <c r="K135" s="44"/>
      <c r="L135" s="45" t="str">
        <f aca="false">IF(AND($J135="",$K135=""),"",ROUND(IFERROR(VALUE(LEFT($J135,1)),0)*12+IFERROR(VALUE(LEFT($K135,1)),0)*8,0))</f>
        <v/>
      </c>
      <c r="M135" s="45" t="str">
        <f aca="false">IF($L135="","",IF($L135&gt;=80,"A - pursue now",IF($L135&gt;=60,"B - worth pursuing",IF($L135&gt;=40,"C - nurture","D - park it"))))</f>
        <v/>
      </c>
      <c r="N135" s="37"/>
      <c r="O135" s="44"/>
      <c r="P135" s="38"/>
      <c r="Q135" s="36"/>
      <c r="R135" s="38"/>
      <c r="S135" s="36"/>
      <c r="T135" s="37"/>
      <c r="U135" s="38"/>
    </row>
    <row r="136" customFormat="false" ht="27.75" hidden="false" customHeight="true" outlineLevel="0" collapsed="false">
      <c r="A136" s="36"/>
      <c r="B136" s="37"/>
      <c r="C136" s="38"/>
      <c r="D136" s="37"/>
      <c r="E136" s="37"/>
      <c r="F136" s="37"/>
      <c r="G136" s="37"/>
      <c r="H136" s="37"/>
      <c r="I136" s="38"/>
      <c r="J136" s="44"/>
      <c r="K136" s="44"/>
      <c r="L136" s="45" t="str">
        <f aca="false">IF(AND($J136="",$K136=""),"",ROUND(IFERROR(VALUE(LEFT($J136,1)),0)*12+IFERROR(VALUE(LEFT($K136,1)),0)*8,0))</f>
        <v/>
      </c>
      <c r="M136" s="45" t="str">
        <f aca="false">IF($L136="","",IF($L136&gt;=80,"A - pursue now",IF($L136&gt;=60,"B - worth pursuing",IF($L136&gt;=40,"C - nurture","D - park it"))))</f>
        <v/>
      </c>
      <c r="N136" s="37"/>
      <c r="O136" s="44"/>
      <c r="P136" s="38"/>
      <c r="Q136" s="36"/>
      <c r="R136" s="38"/>
      <c r="S136" s="36"/>
      <c r="T136" s="37"/>
      <c r="U136" s="38"/>
    </row>
    <row r="137" customFormat="false" ht="27.75" hidden="false" customHeight="true" outlineLevel="0" collapsed="false">
      <c r="A137" s="36"/>
      <c r="B137" s="37"/>
      <c r="C137" s="38"/>
      <c r="D137" s="37"/>
      <c r="E137" s="37"/>
      <c r="F137" s="37"/>
      <c r="G137" s="37"/>
      <c r="H137" s="37"/>
      <c r="I137" s="38"/>
      <c r="J137" s="44"/>
      <c r="K137" s="44"/>
      <c r="L137" s="45" t="str">
        <f aca="false">IF(AND($J137="",$K137=""),"",ROUND(IFERROR(VALUE(LEFT($J137,1)),0)*12+IFERROR(VALUE(LEFT($K137,1)),0)*8,0))</f>
        <v/>
      </c>
      <c r="M137" s="45" t="str">
        <f aca="false">IF($L137="","",IF($L137&gt;=80,"A - pursue now",IF($L137&gt;=60,"B - worth pursuing",IF($L137&gt;=40,"C - nurture","D - park it"))))</f>
        <v/>
      </c>
      <c r="N137" s="37"/>
      <c r="O137" s="44"/>
      <c r="P137" s="38"/>
      <c r="Q137" s="36"/>
      <c r="R137" s="38"/>
      <c r="S137" s="36"/>
      <c r="T137" s="37"/>
      <c r="U137" s="38"/>
    </row>
    <row r="138" customFormat="false" ht="27.75" hidden="false" customHeight="true" outlineLevel="0" collapsed="false">
      <c r="A138" s="36"/>
      <c r="B138" s="37"/>
      <c r="C138" s="38"/>
      <c r="D138" s="37"/>
      <c r="E138" s="37"/>
      <c r="F138" s="37"/>
      <c r="G138" s="37"/>
      <c r="H138" s="37"/>
      <c r="I138" s="38"/>
      <c r="J138" s="44"/>
      <c r="K138" s="44"/>
      <c r="L138" s="45" t="str">
        <f aca="false">IF(AND($J138="",$K138=""),"",ROUND(IFERROR(VALUE(LEFT($J138,1)),0)*12+IFERROR(VALUE(LEFT($K138,1)),0)*8,0))</f>
        <v/>
      </c>
      <c r="M138" s="45" t="str">
        <f aca="false">IF($L138="","",IF($L138&gt;=80,"A - pursue now",IF($L138&gt;=60,"B - worth pursuing",IF($L138&gt;=40,"C - nurture","D - park it"))))</f>
        <v/>
      </c>
      <c r="N138" s="37"/>
      <c r="O138" s="44"/>
      <c r="P138" s="38"/>
      <c r="Q138" s="36"/>
      <c r="R138" s="38"/>
      <c r="S138" s="36"/>
      <c r="T138" s="37"/>
      <c r="U138" s="38"/>
    </row>
    <row r="139" customFormat="false" ht="27.75" hidden="false" customHeight="true" outlineLevel="0" collapsed="false">
      <c r="A139" s="36"/>
      <c r="B139" s="37"/>
      <c r="C139" s="38"/>
      <c r="D139" s="37"/>
      <c r="E139" s="37"/>
      <c r="F139" s="37"/>
      <c r="G139" s="37"/>
      <c r="H139" s="37"/>
      <c r="I139" s="38"/>
      <c r="J139" s="44"/>
      <c r="K139" s="44"/>
      <c r="L139" s="45" t="str">
        <f aca="false">IF(AND($J139="",$K139=""),"",ROUND(IFERROR(VALUE(LEFT($J139,1)),0)*12+IFERROR(VALUE(LEFT($K139,1)),0)*8,0))</f>
        <v/>
      </c>
      <c r="M139" s="45" t="str">
        <f aca="false">IF($L139="","",IF($L139&gt;=80,"A - pursue now",IF($L139&gt;=60,"B - worth pursuing",IF($L139&gt;=40,"C - nurture","D - park it"))))</f>
        <v/>
      </c>
      <c r="N139" s="37"/>
      <c r="O139" s="44"/>
      <c r="P139" s="38"/>
      <c r="Q139" s="36"/>
      <c r="R139" s="38"/>
      <c r="S139" s="36"/>
      <c r="T139" s="37"/>
      <c r="U139" s="38"/>
    </row>
    <row r="140" customFormat="false" ht="27.75" hidden="false" customHeight="true" outlineLevel="0" collapsed="false">
      <c r="A140" s="36"/>
      <c r="B140" s="37"/>
      <c r="C140" s="38"/>
      <c r="D140" s="37"/>
      <c r="E140" s="37"/>
      <c r="F140" s="37"/>
      <c r="G140" s="37"/>
      <c r="H140" s="37"/>
      <c r="I140" s="38"/>
      <c r="J140" s="44"/>
      <c r="K140" s="44"/>
      <c r="L140" s="45" t="str">
        <f aca="false">IF(AND($J140="",$K140=""),"",ROUND(IFERROR(VALUE(LEFT($J140,1)),0)*12+IFERROR(VALUE(LEFT($K140,1)),0)*8,0))</f>
        <v/>
      </c>
      <c r="M140" s="45" t="str">
        <f aca="false">IF($L140="","",IF($L140&gt;=80,"A - pursue now",IF($L140&gt;=60,"B - worth pursuing",IF($L140&gt;=40,"C - nurture","D - park it"))))</f>
        <v/>
      </c>
      <c r="N140" s="37"/>
      <c r="O140" s="44"/>
      <c r="P140" s="38"/>
      <c r="Q140" s="36"/>
      <c r="R140" s="38"/>
      <c r="S140" s="36"/>
      <c r="T140" s="37"/>
      <c r="U140" s="38"/>
    </row>
    <row r="141" customFormat="false" ht="27.75" hidden="false" customHeight="true" outlineLevel="0" collapsed="false">
      <c r="A141" s="36"/>
      <c r="B141" s="37"/>
      <c r="C141" s="38"/>
      <c r="D141" s="37"/>
      <c r="E141" s="37"/>
      <c r="F141" s="37"/>
      <c r="G141" s="37"/>
      <c r="H141" s="37"/>
      <c r="I141" s="38"/>
      <c r="J141" s="44"/>
      <c r="K141" s="44"/>
      <c r="L141" s="45" t="str">
        <f aca="false">IF(AND($J141="",$K141=""),"",ROUND(IFERROR(VALUE(LEFT($J141,1)),0)*12+IFERROR(VALUE(LEFT($K141,1)),0)*8,0))</f>
        <v/>
      </c>
      <c r="M141" s="45" t="str">
        <f aca="false">IF($L141="","",IF($L141&gt;=80,"A - pursue now",IF($L141&gt;=60,"B - worth pursuing",IF($L141&gt;=40,"C - nurture","D - park it"))))</f>
        <v/>
      </c>
      <c r="N141" s="37"/>
      <c r="O141" s="44"/>
      <c r="P141" s="38"/>
      <c r="Q141" s="36"/>
      <c r="R141" s="38"/>
      <c r="S141" s="36"/>
      <c r="T141" s="37"/>
      <c r="U141" s="38"/>
    </row>
    <row r="142" customFormat="false" ht="27.75" hidden="false" customHeight="true" outlineLevel="0" collapsed="false">
      <c r="A142" s="36"/>
      <c r="B142" s="37"/>
      <c r="C142" s="38"/>
      <c r="D142" s="37"/>
      <c r="E142" s="37"/>
      <c r="F142" s="37"/>
      <c r="G142" s="37"/>
      <c r="H142" s="37"/>
      <c r="I142" s="38"/>
      <c r="J142" s="44"/>
      <c r="K142" s="44"/>
      <c r="L142" s="45" t="str">
        <f aca="false">IF(AND($J142="",$K142=""),"",ROUND(IFERROR(VALUE(LEFT($J142,1)),0)*12+IFERROR(VALUE(LEFT($K142,1)),0)*8,0))</f>
        <v/>
      </c>
      <c r="M142" s="45" t="str">
        <f aca="false">IF($L142="","",IF($L142&gt;=80,"A - pursue now",IF($L142&gt;=60,"B - worth pursuing",IF($L142&gt;=40,"C - nurture","D - park it"))))</f>
        <v/>
      </c>
      <c r="N142" s="37"/>
      <c r="O142" s="44"/>
      <c r="P142" s="38"/>
      <c r="Q142" s="36"/>
      <c r="R142" s="38"/>
      <c r="S142" s="36"/>
      <c r="T142" s="37"/>
      <c r="U142" s="38"/>
    </row>
    <row r="143" customFormat="false" ht="27.75" hidden="false" customHeight="true" outlineLevel="0" collapsed="false">
      <c r="A143" s="36"/>
      <c r="B143" s="37"/>
      <c r="C143" s="38"/>
      <c r="D143" s="37"/>
      <c r="E143" s="37"/>
      <c r="F143" s="37"/>
      <c r="G143" s="37"/>
      <c r="H143" s="37"/>
      <c r="I143" s="38"/>
      <c r="J143" s="44"/>
      <c r="K143" s="44"/>
      <c r="L143" s="45" t="str">
        <f aca="false">IF(AND($J143="",$K143=""),"",ROUND(IFERROR(VALUE(LEFT($J143,1)),0)*12+IFERROR(VALUE(LEFT($K143,1)),0)*8,0))</f>
        <v/>
      </c>
      <c r="M143" s="45" t="str">
        <f aca="false">IF($L143="","",IF($L143&gt;=80,"A - pursue now",IF($L143&gt;=60,"B - worth pursuing",IF($L143&gt;=40,"C - nurture","D - park it"))))</f>
        <v/>
      </c>
      <c r="N143" s="37"/>
      <c r="O143" s="44"/>
      <c r="P143" s="38"/>
      <c r="Q143" s="36"/>
      <c r="R143" s="38"/>
      <c r="S143" s="36"/>
      <c r="T143" s="37"/>
      <c r="U143" s="38"/>
    </row>
    <row r="144" customFormat="false" ht="27.75" hidden="false" customHeight="true" outlineLevel="0" collapsed="false">
      <c r="A144" s="36"/>
      <c r="B144" s="37"/>
      <c r="C144" s="38"/>
      <c r="D144" s="37"/>
      <c r="E144" s="37"/>
      <c r="F144" s="37"/>
      <c r="G144" s="37"/>
      <c r="H144" s="37"/>
      <c r="I144" s="38"/>
      <c r="J144" s="44"/>
      <c r="K144" s="44"/>
      <c r="L144" s="45" t="str">
        <f aca="false">IF(AND($J144="",$K144=""),"",ROUND(IFERROR(VALUE(LEFT($J144,1)),0)*12+IFERROR(VALUE(LEFT($K144,1)),0)*8,0))</f>
        <v/>
      </c>
      <c r="M144" s="45" t="str">
        <f aca="false">IF($L144="","",IF($L144&gt;=80,"A - pursue now",IF($L144&gt;=60,"B - worth pursuing",IF($L144&gt;=40,"C - nurture","D - park it"))))</f>
        <v/>
      </c>
      <c r="N144" s="37"/>
      <c r="O144" s="44"/>
      <c r="P144" s="38"/>
      <c r="Q144" s="36"/>
      <c r="R144" s="38"/>
      <c r="S144" s="36"/>
      <c r="T144" s="37"/>
      <c r="U144" s="38"/>
    </row>
    <row r="145" customFormat="false" ht="27.75" hidden="false" customHeight="true" outlineLevel="0" collapsed="false">
      <c r="A145" s="36"/>
      <c r="B145" s="37"/>
      <c r="C145" s="38"/>
      <c r="D145" s="37"/>
      <c r="E145" s="37"/>
      <c r="F145" s="37"/>
      <c r="G145" s="37"/>
      <c r="H145" s="37"/>
      <c r="I145" s="38"/>
      <c r="J145" s="44"/>
      <c r="K145" s="44"/>
      <c r="L145" s="45" t="str">
        <f aca="false">IF(AND($J145="",$K145=""),"",ROUND(IFERROR(VALUE(LEFT($J145,1)),0)*12+IFERROR(VALUE(LEFT($K145,1)),0)*8,0))</f>
        <v/>
      </c>
      <c r="M145" s="45" t="str">
        <f aca="false">IF($L145="","",IF($L145&gt;=80,"A - pursue now",IF($L145&gt;=60,"B - worth pursuing",IF($L145&gt;=40,"C - nurture","D - park it"))))</f>
        <v/>
      </c>
      <c r="N145" s="37"/>
      <c r="O145" s="44"/>
      <c r="P145" s="38"/>
      <c r="Q145" s="36"/>
      <c r="R145" s="38"/>
      <c r="S145" s="36"/>
      <c r="T145" s="37"/>
      <c r="U145" s="38"/>
    </row>
    <row r="146" customFormat="false" ht="27.75" hidden="false" customHeight="true" outlineLevel="0" collapsed="false">
      <c r="A146" s="36"/>
      <c r="B146" s="37"/>
      <c r="C146" s="38"/>
      <c r="D146" s="37"/>
      <c r="E146" s="37"/>
      <c r="F146" s="37"/>
      <c r="G146" s="37"/>
      <c r="H146" s="37"/>
      <c r="I146" s="38"/>
      <c r="J146" s="44"/>
      <c r="K146" s="44"/>
      <c r="L146" s="45" t="str">
        <f aca="false">IF(AND($J146="",$K146=""),"",ROUND(IFERROR(VALUE(LEFT($J146,1)),0)*12+IFERROR(VALUE(LEFT($K146,1)),0)*8,0))</f>
        <v/>
      </c>
      <c r="M146" s="45" t="str">
        <f aca="false">IF($L146="","",IF($L146&gt;=80,"A - pursue now",IF($L146&gt;=60,"B - worth pursuing",IF($L146&gt;=40,"C - nurture","D - park it"))))</f>
        <v/>
      </c>
      <c r="N146" s="37"/>
      <c r="O146" s="44"/>
      <c r="P146" s="38"/>
      <c r="Q146" s="36"/>
      <c r="R146" s="38"/>
      <c r="S146" s="36"/>
      <c r="T146" s="37"/>
      <c r="U146" s="38"/>
    </row>
    <row r="147" customFormat="false" ht="27.75" hidden="false" customHeight="true" outlineLevel="0" collapsed="false">
      <c r="A147" s="36"/>
      <c r="B147" s="37"/>
      <c r="C147" s="38"/>
      <c r="D147" s="37"/>
      <c r="E147" s="37"/>
      <c r="F147" s="37"/>
      <c r="G147" s="37"/>
      <c r="H147" s="37"/>
      <c r="I147" s="38"/>
      <c r="J147" s="44"/>
      <c r="K147" s="44"/>
      <c r="L147" s="45" t="str">
        <f aca="false">IF(AND($J147="",$K147=""),"",ROUND(IFERROR(VALUE(LEFT($J147,1)),0)*12+IFERROR(VALUE(LEFT($K147,1)),0)*8,0))</f>
        <v/>
      </c>
      <c r="M147" s="45" t="str">
        <f aca="false">IF($L147="","",IF($L147&gt;=80,"A - pursue now",IF($L147&gt;=60,"B - worth pursuing",IF($L147&gt;=40,"C - nurture","D - park it"))))</f>
        <v/>
      </c>
      <c r="N147" s="37"/>
      <c r="O147" s="44"/>
      <c r="P147" s="38"/>
      <c r="Q147" s="36"/>
      <c r="R147" s="38"/>
      <c r="S147" s="36"/>
      <c r="T147" s="37"/>
      <c r="U147" s="38"/>
    </row>
    <row r="148" customFormat="false" ht="27.75" hidden="false" customHeight="true" outlineLevel="0" collapsed="false">
      <c r="A148" s="36"/>
      <c r="B148" s="37"/>
      <c r="C148" s="38"/>
      <c r="D148" s="37"/>
      <c r="E148" s="37"/>
      <c r="F148" s="37"/>
      <c r="G148" s="37"/>
      <c r="H148" s="37"/>
      <c r="I148" s="38"/>
      <c r="J148" s="44"/>
      <c r="K148" s="44"/>
      <c r="L148" s="45" t="str">
        <f aca="false">IF(AND($J148="",$K148=""),"",ROUND(IFERROR(VALUE(LEFT($J148,1)),0)*12+IFERROR(VALUE(LEFT($K148,1)),0)*8,0))</f>
        <v/>
      </c>
      <c r="M148" s="45" t="str">
        <f aca="false">IF($L148="","",IF($L148&gt;=80,"A - pursue now",IF($L148&gt;=60,"B - worth pursuing",IF($L148&gt;=40,"C - nurture","D - park it"))))</f>
        <v/>
      </c>
      <c r="N148" s="37"/>
      <c r="O148" s="44"/>
      <c r="P148" s="38"/>
      <c r="Q148" s="36"/>
      <c r="R148" s="38"/>
      <c r="S148" s="36"/>
      <c r="T148" s="37"/>
      <c r="U148" s="38"/>
    </row>
    <row r="149" customFormat="false" ht="27.75" hidden="false" customHeight="true" outlineLevel="0" collapsed="false">
      <c r="A149" s="36"/>
      <c r="B149" s="37"/>
      <c r="C149" s="38"/>
      <c r="D149" s="37"/>
      <c r="E149" s="37"/>
      <c r="F149" s="37"/>
      <c r="G149" s="37"/>
      <c r="H149" s="37"/>
      <c r="I149" s="38"/>
      <c r="J149" s="44"/>
      <c r="K149" s="44"/>
      <c r="L149" s="45" t="str">
        <f aca="false">IF(AND($J149="",$K149=""),"",ROUND(IFERROR(VALUE(LEFT($J149,1)),0)*12+IFERROR(VALUE(LEFT($K149,1)),0)*8,0))</f>
        <v/>
      </c>
      <c r="M149" s="45" t="str">
        <f aca="false">IF($L149="","",IF($L149&gt;=80,"A - pursue now",IF($L149&gt;=60,"B - worth pursuing",IF($L149&gt;=40,"C - nurture","D - park it"))))</f>
        <v/>
      </c>
      <c r="N149" s="37"/>
      <c r="O149" s="44"/>
      <c r="P149" s="38"/>
      <c r="Q149" s="36"/>
      <c r="R149" s="38"/>
      <c r="S149" s="36"/>
      <c r="T149" s="37"/>
      <c r="U149" s="38"/>
    </row>
    <row r="150" customFormat="false" ht="27.75" hidden="false" customHeight="true" outlineLevel="0" collapsed="false">
      <c r="A150" s="36"/>
      <c r="B150" s="37"/>
      <c r="C150" s="38"/>
      <c r="D150" s="37"/>
      <c r="E150" s="37"/>
      <c r="F150" s="37"/>
      <c r="G150" s="37"/>
      <c r="H150" s="37"/>
      <c r="I150" s="38"/>
      <c r="J150" s="44"/>
      <c r="K150" s="44"/>
      <c r="L150" s="45" t="str">
        <f aca="false">IF(AND($J150="",$K150=""),"",ROUND(IFERROR(VALUE(LEFT($J150,1)),0)*12+IFERROR(VALUE(LEFT($K150,1)),0)*8,0))</f>
        <v/>
      </c>
      <c r="M150" s="45" t="str">
        <f aca="false">IF($L150="","",IF($L150&gt;=80,"A - pursue now",IF($L150&gt;=60,"B - worth pursuing",IF($L150&gt;=40,"C - nurture","D - park it"))))</f>
        <v/>
      </c>
      <c r="N150" s="37"/>
      <c r="O150" s="44"/>
      <c r="P150" s="38"/>
      <c r="Q150" s="36"/>
      <c r="R150" s="38"/>
      <c r="S150" s="36"/>
      <c r="T150" s="37"/>
      <c r="U150" s="38"/>
    </row>
    <row r="151" customFormat="false" ht="27.75" hidden="false" customHeight="true" outlineLevel="0" collapsed="false">
      <c r="A151" s="36"/>
      <c r="B151" s="37"/>
      <c r="C151" s="38"/>
      <c r="D151" s="37"/>
      <c r="E151" s="37"/>
      <c r="F151" s="37"/>
      <c r="G151" s="37"/>
      <c r="H151" s="37"/>
      <c r="I151" s="38"/>
      <c r="J151" s="44"/>
      <c r="K151" s="44"/>
      <c r="L151" s="45" t="str">
        <f aca="false">IF(AND($J151="",$K151=""),"",ROUND(IFERROR(VALUE(LEFT($J151,1)),0)*12+IFERROR(VALUE(LEFT($K151,1)),0)*8,0))</f>
        <v/>
      </c>
      <c r="M151" s="45" t="str">
        <f aca="false">IF($L151="","",IF($L151&gt;=80,"A - pursue now",IF($L151&gt;=60,"B - worth pursuing",IF($L151&gt;=40,"C - nurture","D - park it"))))</f>
        <v/>
      </c>
      <c r="N151" s="37"/>
      <c r="O151" s="44"/>
      <c r="P151" s="38"/>
      <c r="Q151" s="36"/>
      <c r="R151" s="38"/>
      <c r="S151" s="36"/>
      <c r="T151" s="37"/>
      <c r="U151" s="38"/>
    </row>
    <row r="152" customFormat="false" ht="27.75" hidden="false" customHeight="true" outlineLevel="0" collapsed="false">
      <c r="A152" s="36"/>
      <c r="B152" s="37"/>
      <c r="C152" s="38"/>
      <c r="D152" s="37"/>
      <c r="E152" s="37"/>
      <c r="F152" s="37"/>
      <c r="G152" s="37"/>
      <c r="H152" s="37"/>
      <c r="I152" s="38"/>
      <c r="J152" s="44"/>
      <c r="K152" s="44"/>
      <c r="L152" s="45" t="str">
        <f aca="false">IF(AND($J152="",$K152=""),"",ROUND(IFERROR(VALUE(LEFT($J152,1)),0)*12+IFERROR(VALUE(LEFT($K152,1)),0)*8,0))</f>
        <v/>
      </c>
      <c r="M152" s="45" t="str">
        <f aca="false">IF($L152="","",IF($L152&gt;=80,"A - pursue now",IF($L152&gt;=60,"B - worth pursuing",IF($L152&gt;=40,"C - nurture","D - park it"))))</f>
        <v/>
      </c>
      <c r="N152" s="37"/>
      <c r="O152" s="44"/>
      <c r="P152" s="38"/>
      <c r="Q152" s="36"/>
      <c r="R152" s="38"/>
      <c r="S152" s="36"/>
      <c r="T152" s="37"/>
      <c r="U152" s="38"/>
    </row>
    <row r="153" customFormat="false" ht="27.75" hidden="false" customHeight="true" outlineLevel="0" collapsed="false">
      <c r="A153" s="36"/>
      <c r="B153" s="37"/>
      <c r="C153" s="38"/>
      <c r="D153" s="37"/>
      <c r="E153" s="37"/>
      <c r="F153" s="37"/>
      <c r="G153" s="37"/>
      <c r="H153" s="37"/>
      <c r="I153" s="38"/>
      <c r="J153" s="44"/>
      <c r="K153" s="44"/>
      <c r="L153" s="45" t="str">
        <f aca="false">IF(AND($J153="",$K153=""),"",ROUND(IFERROR(VALUE(LEFT($J153,1)),0)*12+IFERROR(VALUE(LEFT($K153,1)),0)*8,0))</f>
        <v/>
      </c>
      <c r="M153" s="45" t="str">
        <f aca="false">IF($L153="","",IF($L153&gt;=80,"A - pursue now",IF($L153&gt;=60,"B - worth pursuing",IF($L153&gt;=40,"C - nurture","D - park it"))))</f>
        <v/>
      </c>
      <c r="N153" s="37"/>
      <c r="O153" s="44"/>
      <c r="P153" s="38"/>
      <c r="Q153" s="36"/>
      <c r="R153" s="38"/>
      <c r="S153" s="36"/>
      <c r="T153" s="37"/>
      <c r="U153" s="38"/>
    </row>
    <row r="154" customFormat="false" ht="27.75" hidden="false" customHeight="true" outlineLevel="0" collapsed="false">
      <c r="A154" s="36"/>
      <c r="B154" s="37"/>
      <c r="C154" s="38"/>
      <c r="D154" s="37"/>
      <c r="E154" s="37"/>
      <c r="F154" s="37"/>
      <c r="G154" s="37"/>
      <c r="H154" s="37"/>
      <c r="I154" s="38"/>
      <c r="J154" s="44"/>
      <c r="K154" s="44"/>
      <c r="L154" s="45" t="str">
        <f aca="false">IF(AND($J154="",$K154=""),"",ROUND(IFERROR(VALUE(LEFT($J154,1)),0)*12+IFERROR(VALUE(LEFT($K154,1)),0)*8,0))</f>
        <v/>
      </c>
      <c r="M154" s="45" t="str">
        <f aca="false">IF($L154="","",IF($L154&gt;=80,"A - pursue now",IF($L154&gt;=60,"B - worth pursuing",IF($L154&gt;=40,"C - nurture","D - park it"))))</f>
        <v/>
      </c>
      <c r="N154" s="37"/>
      <c r="O154" s="44"/>
      <c r="P154" s="38"/>
      <c r="Q154" s="36"/>
      <c r="R154" s="38"/>
      <c r="S154" s="36"/>
      <c r="T154" s="37"/>
      <c r="U154" s="38"/>
    </row>
    <row r="155" customFormat="false" ht="27.75" hidden="false" customHeight="true" outlineLevel="0" collapsed="false">
      <c r="A155" s="36"/>
      <c r="B155" s="37"/>
      <c r="C155" s="38"/>
      <c r="D155" s="37"/>
      <c r="E155" s="37"/>
      <c r="F155" s="37"/>
      <c r="G155" s="37"/>
      <c r="H155" s="37"/>
      <c r="I155" s="38"/>
      <c r="J155" s="44"/>
      <c r="K155" s="44"/>
      <c r="L155" s="45" t="str">
        <f aca="false">IF(AND($J155="",$K155=""),"",ROUND(IFERROR(VALUE(LEFT($J155,1)),0)*12+IFERROR(VALUE(LEFT($K155,1)),0)*8,0))</f>
        <v/>
      </c>
      <c r="M155" s="45" t="str">
        <f aca="false">IF($L155="","",IF($L155&gt;=80,"A - pursue now",IF($L155&gt;=60,"B - worth pursuing",IF($L155&gt;=40,"C - nurture","D - park it"))))</f>
        <v/>
      </c>
      <c r="N155" s="37"/>
      <c r="O155" s="44"/>
      <c r="P155" s="38"/>
      <c r="Q155" s="36"/>
      <c r="R155" s="38"/>
      <c r="S155" s="36"/>
      <c r="T155" s="37"/>
      <c r="U155" s="38"/>
    </row>
    <row r="156" customFormat="false" ht="27.75" hidden="false" customHeight="true" outlineLevel="0" collapsed="false">
      <c r="A156" s="36"/>
      <c r="B156" s="37"/>
      <c r="C156" s="38"/>
      <c r="D156" s="37"/>
      <c r="E156" s="37"/>
      <c r="F156" s="37"/>
      <c r="G156" s="37"/>
      <c r="H156" s="37"/>
      <c r="I156" s="38"/>
      <c r="J156" s="44"/>
      <c r="K156" s="44"/>
      <c r="L156" s="45" t="str">
        <f aca="false">IF(AND($J156="",$K156=""),"",ROUND(IFERROR(VALUE(LEFT($J156,1)),0)*12+IFERROR(VALUE(LEFT($K156,1)),0)*8,0))</f>
        <v/>
      </c>
      <c r="M156" s="45" t="str">
        <f aca="false">IF($L156="","",IF($L156&gt;=80,"A - pursue now",IF($L156&gt;=60,"B - worth pursuing",IF($L156&gt;=40,"C - nurture","D - park it"))))</f>
        <v/>
      </c>
      <c r="N156" s="37"/>
      <c r="O156" s="44"/>
      <c r="P156" s="38"/>
      <c r="Q156" s="36"/>
      <c r="R156" s="38"/>
      <c r="S156" s="36"/>
      <c r="T156" s="37"/>
      <c r="U156" s="38"/>
    </row>
    <row r="157" customFormat="false" ht="27.75" hidden="false" customHeight="true" outlineLevel="0" collapsed="false">
      <c r="A157" s="36"/>
      <c r="B157" s="37"/>
      <c r="C157" s="38"/>
      <c r="D157" s="37"/>
      <c r="E157" s="37"/>
      <c r="F157" s="37"/>
      <c r="G157" s="37"/>
      <c r="H157" s="37"/>
      <c r="I157" s="38"/>
      <c r="J157" s="44"/>
      <c r="K157" s="44"/>
      <c r="L157" s="45" t="str">
        <f aca="false">IF(AND($J157="",$K157=""),"",ROUND(IFERROR(VALUE(LEFT($J157,1)),0)*12+IFERROR(VALUE(LEFT($K157,1)),0)*8,0))</f>
        <v/>
      </c>
      <c r="M157" s="45" t="str">
        <f aca="false">IF($L157="","",IF($L157&gt;=80,"A - pursue now",IF($L157&gt;=60,"B - worth pursuing",IF($L157&gt;=40,"C - nurture","D - park it"))))</f>
        <v/>
      </c>
      <c r="N157" s="37"/>
      <c r="O157" s="44"/>
      <c r="P157" s="38"/>
      <c r="Q157" s="36"/>
      <c r="R157" s="38"/>
      <c r="S157" s="36"/>
      <c r="T157" s="37"/>
      <c r="U157" s="38"/>
    </row>
    <row r="158" customFormat="false" ht="27.75" hidden="false" customHeight="true" outlineLevel="0" collapsed="false">
      <c r="A158" s="36"/>
      <c r="B158" s="37"/>
      <c r="C158" s="38"/>
      <c r="D158" s="37"/>
      <c r="E158" s="37"/>
      <c r="F158" s="37"/>
      <c r="G158" s="37"/>
      <c r="H158" s="37"/>
      <c r="I158" s="38"/>
      <c r="J158" s="44"/>
      <c r="K158" s="44"/>
      <c r="L158" s="45" t="str">
        <f aca="false">IF(AND($J158="",$K158=""),"",ROUND(IFERROR(VALUE(LEFT($J158,1)),0)*12+IFERROR(VALUE(LEFT($K158,1)),0)*8,0))</f>
        <v/>
      </c>
      <c r="M158" s="45" t="str">
        <f aca="false">IF($L158="","",IF($L158&gt;=80,"A - pursue now",IF($L158&gt;=60,"B - worth pursuing",IF($L158&gt;=40,"C - nurture","D - park it"))))</f>
        <v/>
      </c>
      <c r="N158" s="37"/>
      <c r="O158" s="44"/>
      <c r="P158" s="38"/>
      <c r="Q158" s="36"/>
      <c r="R158" s="38"/>
      <c r="S158" s="36"/>
      <c r="T158" s="37"/>
      <c r="U158" s="38"/>
    </row>
    <row r="159" customFormat="false" ht="27.75" hidden="false" customHeight="true" outlineLevel="0" collapsed="false">
      <c r="A159" s="36"/>
      <c r="B159" s="37"/>
      <c r="C159" s="38"/>
      <c r="D159" s="37"/>
      <c r="E159" s="37"/>
      <c r="F159" s="37"/>
      <c r="G159" s="37"/>
      <c r="H159" s="37"/>
      <c r="I159" s="38"/>
      <c r="J159" s="44"/>
      <c r="K159" s="44"/>
      <c r="L159" s="45" t="str">
        <f aca="false">IF(AND($J159="",$K159=""),"",ROUND(IFERROR(VALUE(LEFT($J159,1)),0)*12+IFERROR(VALUE(LEFT($K159,1)),0)*8,0))</f>
        <v/>
      </c>
      <c r="M159" s="45" t="str">
        <f aca="false">IF($L159="","",IF($L159&gt;=80,"A - pursue now",IF($L159&gt;=60,"B - worth pursuing",IF($L159&gt;=40,"C - nurture","D - park it"))))</f>
        <v/>
      </c>
      <c r="N159" s="37"/>
      <c r="O159" s="44"/>
      <c r="P159" s="38"/>
      <c r="Q159" s="36"/>
      <c r="R159" s="38"/>
      <c r="S159" s="36"/>
      <c r="T159" s="37"/>
      <c r="U159" s="38"/>
    </row>
    <row r="160" customFormat="false" ht="27.75" hidden="false" customHeight="true" outlineLevel="0" collapsed="false">
      <c r="A160" s="36"/>
      <c r="B160" s="37"/>
      <c r="C160" s="38"/>
      <c r="D160" s="37"/>
      <c r="E160" s="37"/>
      <c r="F160" s="37"/>
      <c r="G160" s="37"/>
      <c r="H160" s="37"/>
      <c r="I160" s="38"/>
      <c r="J160" s="44"/>
      <c r="K160" s="44"/>
      <c r="L160" s="45" t="str">
        <f aca="false">IF(AND($J160="",$K160=""),"",ROUND(IFERROR(VALUE(LEFT($J160,1)),0)*12+IFERROR(VALUE(LEFT($K160,1)),0)*8,0))</f>
        <v/>
      </c>
      <c r="M160" s="45" t="str">
        <f aca="false">IF($L160="","",IF($L160&gt;=80,"A - pursue now",IF($L160&gt;=60,"B - worth pursuing",IF($L160&gt;=40,"C - nurture","D - park it"))))</f>
        <v/>
      </c>
      <c r="N160" s="37"/>
      <c r="O160" s="44"/>
      <c r="P160" s="38"/>
      <c r="Q160" s="36"/>
      <c r="R160" s="38"/>
      <c r="S160" s="36"/>
      <c r="T160" s="37"/>
      <c r="U160" s="38"/>
    </row>
    <row r="161" customFormat="false" ht="27.75" hidden="false" customHeight="true" outlineLevel="0" collapsed="false">
      <c r="A161" s="36"/>
      <c r="B161" s="37"/>
      <c r="C161" s="38"/>
      <c r="D161" s="37"/>
      <c r="E161" s="37"/>
      <c r="F161" s="37"/>
      <c r="G161" s="37"/>
      <c r="H161" s="37"/>
      <c r="I161" s="38"/>
      <c r="J161" s="44"/>
      <c r="K161" s="44"/>
      <c r="L161" s="45" t="str">
        <f aca="false">IF(AND($J161="",$K161=""),"",ROUND(IFERROR(VALUE(LEFT($J161,1)),0)*12+IFERROR(VALUE(LEFT($K161,1)),0)*8,0))</f>
        <v/>
      </c>
      <c r="M161" s="45" t="str">
        <f aca="false">IF($L161="","",IF($L161&gt;=80,"A - pursue now",IF($L161&gt;=60,"B - worth pursuing",IF($L161&gt;=40,"C - nurture","D - park it"))))</f>
        <v/>
      </c>
      <c r="N161" s="37"/>
      <c r="O161" s="44"/>
      <c r="P161" s="38"/>
      <c r="Q161" s="36"/>
      <c r="R161" s="38"/>
      <c r="S161" s="36"/>
      <c r="T161" s="37"/>
      <c r="U161" s="38"/>
    </row>
    <row r="162" customFormat="false" ht="27.75" hidden="false" customHeight="true" outlineLevel="0" collapsed="false">
      <c r="A162" s="36"/>
      <c r="B162" s="37"/>
      <c r="C162" s="38"/>
      <c r="D162" s="37"/>
      <c r="E162" s="37"/>
      <c r="F162" s="37"/>
      <c r="G162" s="37"/>
      <c r="H162" s="37"/>
      <c r="I162" s="38"/>
      <c r="J162" s="44"/>
      <c r="K162" s="44"/>
      <c r="L162" s="45" t="str">
        <f aca="false">IF(AND($J162="",$K162=""),"",ROUND(IFERROR(VALUE(LEFT($J162,1)),0)*12+IFERROR(VALUE(LEFT($K162,1)),0)*8,0))</f>
        <v/>
      </c>
      <c r="M162" s="45" t="str">
        <f aca="false">IF($L162="","",IF($L162&gt;=80,"A - pursue now",IF($L162&gt;=60,"B - worth pursuing",IF($L162&gt;=40,"C - nurture","D - park it"))))</f>
        <v/>
      </c>
      <c r="N162" s="37"/>
      <c r="O162" s="44"/>
      <c r="P162" s="38"/>
      <c r="Q162" s="36"/>
      <c r="R162" s="38"/>
      <c r="S162" s="36"/>
      <c r="T162" s="37"/>
      <c r="U162" s="38"/>
    </row>
    <row r="163" customFormat="false" ht="27.75" hidden="false" customHeight="true" outlineLevel="0" collapsed="false">
      <c r="A163" s="36"/>
      <c r="B163" s="37"/>
      <c r="C163" s="38"/>
      <c r="D163" s="37"/>
      <c r="E163" s="37"/>
      <c r="F163" s="37"/>
      <c r="G163" s="37"/>
      <c r="H163" s="37"/>
      <c r="I163" s="38"/>
      <c r="J163" s="44"/>
      <c r="K163" s="44"/>
      <c r="L163" s="45" t="str">
        <f aca="false">IF(AND($J163="",$K163=""),"",ROUND(IFERROR(VALUE(LEFT($J163,1)),0)*12+IFERROR(VALUE(LEFT($K163,1)),0)*8,0))</f>
        <v/>
      </c>
      <c r="M163" s="45" t="str">
        <f aca="false">IF($L163="","",IF($L163&gt;=80,"A - pursue now",IF($L163&gt;=60,"B - worth pursuing",IF($L163&gt;=40,"C - nurture","D - park it"))))</f>
        <v/>
      </c>
      <c r="N163" s="37"/>
      <c r="O163" s="44"/>
      <c r="P163" s="38"/>
      <c r="Q163" s="36"/>
      <c r="R163" s="38"/>
      <c r="S163" s="36"/>
      <c r="T163" s="37"/>
      <c r="U163" s="38"/>
    </row>
    <row r="164" customFormat="false" ht="27.75" hidden="false" customHeight="true" outlineLevel="0" collapsed="false">
      <c r="A164" s="36"/>
      <c r="B164" s="37"/>
      <c r="C164" s="38"/>
      <c r="D164" s="37"/>
      <c r="E164" s="37"/>
      <c r="F164" s="37"/>
      <c r="G164" s="37"/>
      <c r="H164" s="37"/>
      <c r="I164" s="38"/>
      <c r="J164" s="44"/>
      <c r="K164" s="44"/>
      <c r="L164" s="45" t="str">
        <f aca="false">IF(AND($J164="",$K164=""),"",ROUND(IFERROR(VALUE(LEFT($J164,1)),0)*12+IFERROR(VALUE(LEFT($K164,1)),0)*8,0))</f>
        <v/>
      </c>
      <c r="M164" s="45" t="str">
        <f aca="false">IF($L164="","",IF($L164&gt;=80,"A - pursue now",IF($L164&gt;=60,"B - worth pursuing",IF($L164&gt;=40,"C - nurture","D - park it"))))</f>
        <v/>
      </c>
      <c r="N164" s="37"/>
      <c r="O164" s="44"/>
      <c r="P164" s="38"/>
      <c r="Q164" s="36"/>
      <c r="R164" s="38"/>
      <c r="S164" s="36"/>
      <c r="T164" s="37"/>
      <c r="U164" s="38"/>
    </row>
    <row r="165" customFormat="false" ht="27.75" hidden="false" customHeight="true" outlineLevel="0" collapsed="false">
      <c r="A165" s="36"/>
      <c r="B165" s="37"/>
      <c r="C165" s="38"/>
      <c r="D165" s="37"/>
      <c r="E165" s="37"/>
      <c r="F165" s="37"/>
      <c r="G165" s="37"/>
      <c r="H165" s="37"/>
      <c r="I165" s="38"/>
      <c r="J165" s="44"/>
      <c r="K165" s="44"/>
      <c r="L165" s="45" t="str">
        <f aca="false">IF(AND($J165="",$K165=""),"",ROUND(IFERROR(VALUE(LEFT($J165,1)),0)*12+IFERROR(VALUE(LEFT($K165,1)),0)*8,0))</f>
        <v/>
      </c>
      <c r="M165" s="45" t="str">
        <f aca="false">IF($L165="","",IF($L165&gt;=80,"A - pursue now",IF($L165&gt;=60,"B - worth pursuing",IF($L165&gt;=40,"C - nurture","D - park it"))))</f>
        <v/>
      </c>
      <c r="N165" s="37"/>
      <c r="O165" s="44"/>
      <c r="P165" s="38"/>
      <c r="Q165" s="36"/>
      <c r="R165" s="38"/>
      <c r="S165" s="36"/>
      <c r="T165" s="37"/>
      <c r="U165" s="38"/>
    </row>
    <row r="166" customFormat="false" ht="27.75" hidden="false" customHeight="true" outlineLevel="0" collapsed="false">
      <c r="A166" s="36"/>
      <c r="B166" s="37"/>
      <c r="C166" s="38"/>
      <c r="D166" s="37"/>
      <c r="E166" s="37"/>
      <c r="F166" s="37"/>
      <c r="G166" s="37"/>
      <c r="H166" s="37"/>
      <c r="I166" s="38"/>
      <c r="J166" s="44"/>
      <c r="K166" s="44"/>
      <c r="L166" s="45" t="str">
        <f aca="false">IF(AND($J166="",$K166=""),"",ROUND(IFERROR(VALUE(LEFT($J166,1)),0)*12+IFERROR(VALUE(LEFT($K166,1)),0)*8,0))</f>
        <v/>
      </c>
      <c r="M166" s="45" t="str">
        <f aca="false">IF($L166="","",IF($L166&gt;=80,"A - pursue now",IF($L166&gt;=60,"B - worth pursuing",IF($L166&gt;=40,"C - nurture","D - park it"))))</f>
        <v/>
      </c>
      <c r="N166" s="37"/>
      <c r="O166" s="44"/>
      <c r="P166" s="38"/>
      <c r="Q166" s="36"/>
      <c r="R166" s="38"/>
      <c r="S166" s="36"/>
      <c r="T166" s="37"/>
      <c r="U166" s="38"/>
    </row>
    <row r="167" customFormat="false" ht="27.75" hidden="false" customHeight="true" outlineLevel="0" collapsed="false">
      <c r="A167" s="36"/>
      <c r="B167" s="37"/>
      <c r="C167" s="38"/>
      <c r="D167" s="37"/>
      <c r="E167" s="37"/>
      <c r="F167" s="37"/>
      <c r="G167" s="37"/>
      <c r="H167" s="37"/>
      <c r="I167" s="38"/>
      <c r="J167" s="44"/>
      <c r="K167" s="44"/>
      <c r="L167" s="45" t="str">
        <f aca="false">IF(AND($J167="",$K167=""),"",ROUND(IFERROR(VALUE(LEFT($J167,1)),0)*12+IFERROR(VALUE(LEFT($K167,1)),0)*8,0))</f>
        <v/>
      </c>
      <c r="M167" s="45" t="str">
        <f aca="false">IF($L167="","",IF($L167&gt;=80,"A - pursue now",IF($L167&gt;=60,"B - worth pursuing",IF($L167&gt;=40,"C - nurture","D - park it"))))</f>
        <v/>
      </c>
      <c r="N167" s="37"/>
      <c r="O167" s="44"/>
      <c r="P167" s="38"/>
      <c r="Q167" s="36"/>
      <c r="R167" s="38"/>
      <c r="S167" s="36"/>
      <c r="T167" s="37"/>
      <c r="U167" s="38"/>
    </row>
    <row r="168" customFormat="false" ht="27.75" hidden="false" customHeight="true" outlineLevel="0" collapsed="false">
      <c r="A168" s="36"/>
      <c r="B168" s="37"/>
      <c r="C168" s="38"/>
      <c r="D168" s="37"/>
      <c r="E168" s="37"/>
      <c r="F168" s="37"/>
      <c r="G168" s="37"/>
      <c r="H168" s="37"/>
      <c r="I168" s="38"/>
      <c r="J168" s="44"/>
      <c r="K168" s="44"/>
      <c r="L168" s="45" t="str">
        <f aca="false">IF(AND($J168="",$K168=""),"",ROUND(IFERROR(VALUE(LEFT($J168,1)),0)*12+IFERROR(VALUE(LEFT($K168,1)),0)*8,0))</f>
        <v/>
      </c>
      <c r="M168" s="45" t="str">
        <f aca="false">IF($L168="","",IF($L168&gt;=80,"A - pursue now",IF($L168&gt;=60,"B - worth pursuing",IF($L168&gt;=40,"C - nurture","D - park it"))))</f>
        <v/>
      </c>
      <c r="N168" s="37"/>
      <c r="O168" s="44"/>
      <c r="P168" s="38"/>
      <c r="Q168" s="36"/>
      <c r="R168" s="38"/>
      <c r="S168" s="36"/>
      <c r="T168" s="37"/>
      <c r="U168" s="38"/>
    </row>
    <row r="169" customFormat="false" ht="27.75" hidden="false" customHeight="true" outlineLevel="0" collapsed="false">
      <c r="A169" s="36"/>
      <c r="B169" s="37"/>
      <c r="C169" s="38"/>
      <c r="D169" s="37"/>
      <c r="E169" s="37"/>
      <c r="F169" s="37"/>
      <c r="G169" s="37"/>
      <c r="H169" s="37"/>
      <c r="I169" s="38"/>
      <c r="J169" s="44"/>
      <c r="K169" s="44"/>
      <c r="L169" s="45" t="str">
        <f aca="false">IF(AND($J169="",$K169=""),"",ROUND(IFERROR(VALUE(LEFT($J169,1)),0)*12+IFERROR(VALUE(LEFT($K169,1)),0)*8,0))</f>
        <v/>
      </c>
      <c r="M169" s="45" t="str">
        <f aca="false">IF($L169="","",IF($L169&gt;=80,"A - pursue now",IF($L169&gt;=60,"B - worth pursuing",IF($L169&gt;=40,"C - nurture","D - park it"))))</f>
        <v/>
      </c>
      <c r="N169" s="37"/>
      <c r="O169" s="44"/>
      <c r="P169" s="38"/>
      <c r="Q169" s="36"/>
      <c r="R169" s="38"/>
      <c r="S169" s="36"/>
      <c r="T169" s="37"/>
      <c r="U169" s="38"/>
    </row>
    <row r="170" customFormat="false" ht="27.75" hidden="false" customHeight="true" outlineLevel="0" collapsed="false">
      <c r="A170" s="36"/>
      <c r="B170" s="37"/>
      <c r="C170" s="38"/>
      <c r="D170" s="37"/>
      <c r="E170" s="37"/>
      <c r="F170" s="37"/>
      <c r="G170" s="37"/>
      <c r="H170" s="37"/>
      <c r="I170" s="38"/>
      <c r="J170" s="44"/>
      <c r="K170" s="44"/>
      <c r="L170" s="45" t="str">
        <f aca="false">IF(AND($J170="",$K170=""),"",ROUND(IFERROR(VALUE(LEFT($J170,1)),0)*12+IFERROR(VALUE(LEFT($K170,1)),0)*8,0))</f>
        <v/>
      </c>
      <c r="M170" s="45" t="str">
        <f aca="false">IF($L170="","",IF($L170&gt;=80,"A - pursue now",IF($L170&gt;=60,"B - worth pursuing",IF($L170&gt;=40,"C - nurture","D - park it"))))</f>
        <v/>
      </c>
      <c r="N170" s="37"/>
      <c r="O170" s="44"/>
      <c r="P170" s="38"/>
      <c r="Q170" s="36"/>
      <c r="R170" s="38"/>
      <c r="S170" s="36"/>
      <c r="T170" s="37"/>
      <c r="U170" s="38"/>
    </row>
    <row r="171" customFormat="false" ht="27.75" hidden="false" customHeight="true" outlineLevel="0" collapsed="false">
      <c r="A171" s="36"/>
      <c r="B171" s="37"/>
      <c r="C171" s="38"/>
      <c r="D171" s="37"/>
      <c r="E171" s="37"/>
      <c r="F171" s="37"/>
      <c r="G171" s="37"/>
      <c r="H171" s="37"/>
      <c r="I171" s="38"/>
      <c r="J171" s="44"/>
      <c r="K171" s="44"/>
      <c r="L171" s="45" t="str">
        <f aca="false">IF(AND($J171="",$K171=""),"",ROUND(IFERROR(VALUE(LEFT($J171,1)),0)*12+IFERROR(VALUE(LEFT($K171,1)),0)*8,0))</f>
        <v/>
      </c>
      <c r="M171" s="45" t="str">
        <f aca="false">IF($L171="","",IF($L171&gt;=80,"A - pursue now",IF($L171&gt;=60,"B - worth pursuing",IF($L171&gt;=40,"C - nurture","D - park it"))))</f>
        <v/>
      </c>
      <c r="N171" s="37"/>
      <c r="O171" s="44"/>
      <c r="P171" s="38"/>
      <c r="Q171" s="36"/>
      <c r="R171" s="38"/>
      <c r="S171" s="36"/>
      <c r="T171" s="37"/>
      <c r="U171" s="38"/>
    </row>
    <row r="172" customFormat="false" ht="27.75" hidden="false" customHeight="true" outlineLevel="0" collapsed="false">
      <c r="A172" s="36"/>
      <c r="B172" s="37"/>
      <c r="C172" s="38"/>
      <c r="D172" s="37"/>
      <c r="E172" s="37"/>
      <c r="F172" s="37"/>
      <c r="G172" s="37"/>
      <c r="H172" s="37"/>
      <c r="I172" s="38"/>
      <c r="J172" s="44"/>
      <c r="K172" s="44"/>
      <c r="L172" s="45" t="str">
        <f aca="false">IF(AND($J172="",$K172=""),"",ROUND(IFERROR(VALUE(LEFT($J172,1)),0)*12+IFERROR(VALUE(LEFT($K172,1)),0)*8,0))</f>
        <v/>
      </c>
      <c r="M172" s="45" t="str">
        <f aca="false">IF($L172="","",IF($L172&gt;=80,"A - pursue now",IF($L172&gt;=60,"B - worth pursuing",IF($L172&gt;=40,"C - nurture","D - park it"))))</f>
        <v/>
      </c>
      <c r="N172" s="37"/>
      <c r="O172" s="44"/>
      <c r="P172" s="38"/>
      <c r="Q172" s="36"/>
      <c r="R172" s="38"/>
      <c r="S172" s="36"/>
      <c r="T172" s="37"/>
      <c r="U172" s="38"/>
    </row>
    <row r="173" customFormat="false" ht="27.75" hidden="false" customHeight="true" outlineLevel="0" collapsed="false">
      <c r="A173" s="36"/>
      <c r="B173" s="37"/>
      <c r="C173" s="38"/>
      <c r="D173" s="37"/>
      <c r="E173" s="37"/>
      <c r="F173" s="37"/>
      <c r="G173" s="37"/>
      <c r="H173" s="37"/>
      <c r="I173" s="38"/>
      <c r="J173" s="44"/>
      <c r="K173" s="44"/>
      <c r="L173" s="45" t="str">
        <f aca="false">IF(AND($J173="",$K173=""),"",ROUND(IFERROR(VALUE(LEFT($J173,1)),0)*12+IFERROR(VALUE(LEFT($K173,1)),0)*8,0))</f>
        <v/>
      </c>
      <c r="M173" s="45" t="str">
        <f aca="false">IF($L173="","",IF($L173&gt;=80,"A - pursue now",IF($L173&gt;=60,"B - worth pursuing",IF($L173&gt;=40,"C - nurture","D - park it"))))</f>
        <v/>
      </c>
      <c r="N173" s="37"/>
      <c r="O173" s="44"/>
      <c r="P173" s="38"/>
      <c r="Q173" s="36"/>
      <c r="R173" s="38"/>
      <c r="S173" s="36"/>
      <c r="T173" s="37"/>
      <c r="U173" s="38"/>
    </row>
    <row r="174" customFormat="false" ht="27.75" hidden="false" customHeight="true" outlineLevel="0" collapsed="false">
      <c r="A174" s="36"/>
      <c r="B174" s="37"/>
      <c r="C174" s="38"/>
      <c r="D174" s="37"/>
      <c r="E174" s="37"/>
      <c r="F174" s="37"/>
      <c r="G174" s="37"/>
      <c r="H174" s="37"/>
      <c r="I174" s="38"/>
      <c r="J174" s="44"/>
      <c r="K174" s="44"/>
      <c r="L174" s="45" t="str">
        <f aca="false">IF(AND($J174="",$K174=""),"",ROUND(IFERROR(VALUE(LEFT($J174,1)),0)*12+IFERROR(VALUE(LEFT($K174,1)),0)*8,0))</f>
        <v/>
      </c>
      <c r="M174" s="45" t="str">
        <f aca="false">IF($L174="","",IF($L174&gt;=80,"A - pursue now",IF($L174&gt;=60,"B - worth pursuing",IF($L174&gt;=40,"C - nurture","D - park it"))))</f>
        <v/>
      </c>
      <c r="N174" s="37"/>
      <c r="O174" s="44"/>
      <c r="P174" s="38"/>
      <c r="Q174" s="36"/>
      <c r="R174" s="38"/>
      <c r="S174" s="36"/>
      <c r="T174" s="37"/>
      <c r="U174" s="38"/>
    </row>
    <row r="175" customFormat="false" ht="27.75" hidden="false" customHeight="true" outlineLevel="0" collapsed="false">
      <c r="A175" s="36"/>
      <c r="B175" s="37"/>
      <c r="C175" s="38"/>
      <c r="D175" s="37"/>
      <c r="E175" s="37"/>
      <c r="F175" s="37"/>
      <c r="G175" s="37"/>
      <c r="H175" s="37"/>
      <c r="I175" s="38"/>
      <c r="J175" s="44"/>
      <c r="K175" s="44"/>
      <c r="L175" s="45" t="str">
        <f aca="false">IF(AND($J175="",$K175=""),"",ROUND(IFERROR(VALUE(LEFT($J175,1)),0)*12+IFERROR(VALUE(LEFT($K175,1)),0)*8,0))</f>
        <v/>
      </c>
      <c r="M175" s="45" t="str">
        <f aca="false">IF($L175="","",IF($L175&gt;=80,"A - pursue now",IF($L175&gt;=60,"B - worth pursuing",IF($L175&gt;=40,"C - nurture","D - park it"))))</f>
        <v/>
      </c>
      <c r="N175" s="37"/>
      <c r="O175" s="44"/>
      <c r="P175" s="38"/>
      <c r="Q175" s="36"/>
      <c r="R175" s="38"/>
      <c r="S175" s="36"/>
      <c r="T175" s="37"/>
      <c r="U175" s="38"/>
    </row>
    <row r="176" customFormat="false" ht="27.75" hidden="false" customHeight="true" outlineLevel="0" collapsed="false">
      <c r="A176" s="36"/>
      <c r="B176" s="37"/>
      <c r="C176" s="38"/>
      <c r="D176" s="37"/>
      <c r="E176" s="37"/>
      <c r="F176" s="37"/>
      <c r="G176" s="37"/>
      <c r="H176" s="37"/>
      <c r="I176" s="38"/>
      <c r="J176" s="44"/>
      <c r="K176" s="44"/>
      <c r="L176" s="45" t="str">
        <f aca="false">IF(AND($J176="",$K176=""),"",ROUND(IFERROR(VALUE(LEFT($J176,1)),0)*12+IFERROR(VALUE(LEFT($K176,1)),0)*8,0))</f>
        <v/>
      </c>
      <c r="M176" s="45" t="str">
        <f aca="false">IF($L176="","",IF($L176&gt;=80,"A - pursue now",IF($L176&gt;=60,"B - worth pursuing",IF($L176&gt;=40,"C - nurture","D - park it"))))</f>
        <v/>
      </c>
      <c r="N176" s="37"/>
      <c r="O176" s="44"/>
      <c r="P176" s="38"/>
      <c r="Q176" s="36"/>
      <c r="R176" s="38"/>
      <c r="S176" s="36"/>
      <c r="T176" s="37"/>
      <c r="U176" s="38"/>
    </row>
    <row r="177" customFormat="false" ht="27.75" hidden="false" customHeight="true" outlineLevel="0" collapsed="false">
      <c r="A177" s="36"/>
      <c r="B177" s="37"/>
      <c r="C177" s="38"/>
      <c r="D177" s="37"/>
      <c r="E177" s="37"/>
      <c r="F177" s="37"/>
      <c r="G177" s="37"/>
      <c r="H177" s="37"/>
      <c r="I177" s="38"/>
      <c r="J177" s="44"/>
      <c r="K177" s="44"/>
      <c r="L177" s="45" t="str">
        <f aca="false">IF(AND($J177="",$K177=""),"",ROUND(IFERROR(VALUE(LEFT($J177,1)),0)*12+IFERROR(VALUE(LEFT($K177,1)),0)*8,0))</f>
        <v/>
      </c>
      <c r="M177" s="45" t="str">
        <f aca="false">IF($L177="","",IF($L177&gt;=80,"A - pursue now",IF($L177&gt;=60,"B - worth pursuing",IF($L177&gt;=40,"C - nurture","D - park it"))))</f>
        <v/>
      </c>
      <c r="N177" s="37"/>
      <c r="O177" s="44"/>
      <c r="P177" s="38"/>
      <c r="Q177" s="36"/>
      <c r="R177" s="38"/>
      <c r="S177" s="36"/>
      <c r="T177" s="37"/>
      <c r="U177" s="38"/>
    </row>
    <row r="178" customFormat="false" ht="27.75" hidden="false" customHeight="true" outlineLevel="0" collapsed="false">
      <c r="A178" s="36"/>
      <c r="B178" s="37"/>
      <c r="C178" s="38"/>
      <c r="D178" s="37"/>
      <c r="E178" s="37"/>
      <c r="F178" s="37"/>
      <c r="G178" s="37"/>
      <c r="H178" s="37"/>
      <c r="I178" s="38"/>
      <c r="J178" s="44"/>
      <c r="K178" s="44"/>
      <c r="L178" s="45" t="str">
        <f aca="false">IF(AND($J178="",$K178=""),"",ROUND(IFERROR(VALUE(LEFT($J178,1)),0)*12+IFERROR(VALUE(LEFT($K178,1)),0)*8,0))</f>
        <v/>
      </c>
      <c r="M178" s="45" t="str">
        <f aca="false">IF($L178="","",IF($L178&gt;=80,"A - pursue now",IF($L178&gt;=60,"B - worth pursuing",IF($L178&gt;=40,"C - nurture","D - park it"))))</f>
        <v/>
      </c>
      <c r="N178" s="37"/>
      <c r="O178" s="44"/>
      <c r="P178" s="38"/>
      <c r="Q178" s="36"/>
      <c r="R178" s="38"/>
      <c r="S178" s="36"/>
      <c r="T178" s="37"/>
      <c r="U178" s="38"/>
    </row>
    <row r="179" customFormat="false" ht="27.75" hidden="false" customHeight="true" outlineLevel="0" collapsed="false">
      <c r="A179" s="36"/>
      <c r="B179" s="37"/>
      <c r="C179" s="38"/>
      <c r="D179" s="37"/>
      <c r="E179" s="37"/>
      <c r="F179" s="37"/>
      <c r="G179" s="37"/>
      <c r="H179" s="37"/>
      <c r="I179" s="38"/>
      <c r="J179" s="44"/>
      <c r="K179" s="44"/>
      <c r="L179" s="45" t="str">
        <f aca="false">IF(AND($J179="",$K179=""),"",ROUND(IFERROR(VALUE(LEFT($J179,1)),0)*12+IFERROR(VALUE(LEFT($K179,1)),0)*8,0))</f>
        <v/>
      </c>
      <c r="M179" s="45" t="str">
        <f aca="false">IF($L179="","",IF($L179&gt;=80,"A - pursue now",IF($L179&gt;=60,"B - worth pursuing",IF($L179&gt;=40,"C - nurture","D - park it"))))</f>
        <v/>
      </c>
      <c r="N179" s="37"/>
      <c r="O179" s="44"/>
      <c r="P179" s="38"/>
      <c r="Q179" s="36"/>
      <c r="R179" s="38"/>
      <c r="S179" s="36"/>
      <c r="T179" s="37"/>
      <c r="U179" s="38"/>
    </row>
    <row r="180" customFormat="false" ht="27.75" hidden="false" customHeight="true" outlineLevel="0" collapsed="false">
      <c r="A180" s="36"/>
      <c r="B180" s="37"/>
      <c r="C180" s="38"/>
      <c r="D180" s="37"/>
      <c r="E180" s="37"/>
      <c r="F180" s="37"/>
      <c r="G180" s="37"/>
      <c r="H180" s="37"/>
      <c r="I180" s="38"/>
      <c r="J180" s="44"/>
      <c r="K180" s="44"/>
      <c r="L180" s="45" t="str">
        <f aca="false">IF(AND($J180="",$K180=""),"",ROUND(IFERROR(VALUE(LEFT($J180,1)),0)*12+IFERROR(VALUE(LEFT($K180,1)),0)*8,0))</f>
        <v/>
      </c>
      <c r="M180" s="45" t="str">
        <f aca="false">IF($L180="","",IF($L180&gt;=80,"A - pursue now",IF($L180&gt;=60,"B - worth pursuing",IF($L180&gt;=40,"C - nurture","D - park it"))))</f>
        <v/>
      </c>
      <c r="N180" s="37"/>
      <c r="O180" s="44"/>
      <c r="P180" s="38"/>
      <c r="Q180" s="36"/>
      <c r="R180" s="38"/>
      <c r="S180" s="36"/>
      <c r="T180" s="37"/>
      <c r="U180" s="38"/>
    </row>
    <row r="181" customFormat="false" ht="27.75" hidden="false" customHeight="true" outlineLevel="0" collapsed="false">
      <c r="A181" s="36"/>
      <c r="B181" s="37"/>
      <c r="C181" s="38"/>
      <c r="D181" s="37"/>
      <c r="E181" s="37"/>
      <c r="F181" s="37"/>
      <c r="G181" s="37"/>
      <c r="H181" s="37"/>
      <c r="I181" s="38"/>
      <c r="J181" s="44"/>
      <c r="K181" s="44"/>
      <c r="L181" s="45" t="str">
        <f aca="false">IF(AND($J181="",$K181=""),"",ROUND(IFERROR(VALUE(LEFT($J181,1)),0)*12+IFERROR(VALUE(LEFT($K181,1)),0)*8,0))</f>
        <v/>
      </c>
      <c r="M181" s="45" t="str">
        <f aca="false">IF($L181="","",IF($L181&gt;=80,"A - pursue now",IF($L181&gt;=60,"B - worth pursuing",IF($L181&gt;=40,"C - nurture","D - park it"))))</f>
        <v/>
      </c>
      <c r="N181" s="37"/>
      <c r="O181" s="44"/>
      <c r="P181" s="38"/>
      <c r="Q181" s="36"/>
      <c r="R181" s="38"/>
      <c r="S181" s="36"/>
      <c r="T181" s="37"/>
      <c r="U181" s="38"/>
    </row>
    <row r="182" customFormat="false" ht="27.75" hidden="false" customHeight="true" outlineLevel="0" collapsed="false">
      <c r="A182" s="36"/>
      <c r="B182" s="37"/>
      <c r="C182" s="38"/>
      <c r="D182" s="37"/>
      <c r="E182" s="37"/>
      <c r="F182" s="37"/>
      <c r="G182" s="37"/>
      <c r="H182" s="37"/>
      <c r="I182" s="38"/>
      <c r="J182" s="44"/>
      <c r="K182" s="44"/>
      <c r="L182" s="45" t="str">
        <f aca="false">IF(AND($J182="",$K182=""),"",ROUND(IFERROR(VALUE(LEFT($J182,1)),0)*12+IFERROR(VALUE(LEFT($K182,1)),0)*8,0))</f>
        <v/>
      </c>
      <c r="M182" s="45" t="str">
        <f aca="false">IF($L182="","",IF($L182&gt;=80,"A - pursue now",IF($L182&gt;=60,"B - worth pursuing",IF($L182&gt;=40,"C - nurture","D - park it"))))</f>
        <v/>
      </c>
      <c r="N182" s="37"/>
      <c r="O182" s="44"/>
      <c r="P182" s="38"/>
      <c r="Q182" s="36"/>
      <c r="R182" s="38"/>
      <c r="S182" s="36"/>
      <c r="T182" s="37"/>
      <c r="U182" s="38"/>
    </row>
    <row r="183" customFormat="false" ht="27.75" hidden="false" customHeight="true" outlineLevel="0" collapsed="false">
      <c r="A183" s="36"/>
      <c r="B183" s="37"/>
      <c r="C183" s="38"/>
      <c r="D183" s="37"/>
      <c r="E183" s="37"/>
      <c r="F183" s="37"/>
      <c r="G183" s="37"/>
      <c r="H183" s="37"/>
      <c r="I183" s="38"/>
      <c r="J183" s="44"/>
      <c r="K183" s="44"/>
      <c r="L183" s="45" t="str">
        <f aca="false">IF(AND($J183="",$K183=""),"",ROUND(IFERROR(VALUE(LEFT($J183,1)),0)*12+IFERROR(VALUE(LEFT($K183,1)),0)*8,0))</f>
        <v/>
      </c>
      <c r="M183" s="45" t="str">
        <f aca="false">IF($L183="","",IF($L183&gt;=80,"A - pursue now",IF($L183&gt;=60,"B - worth pursuing",IF($L183&gt;=40,"C - nurture","D - park it"))))</f>
        <v/>
      </c>
      <c r="N183" s="37"/>
      <c r="O183" s="44"/>
      <c r="P183" s="38"/>
      <c r="Q183" s="36"/>
      <c r="R183" s="38"/>
      <c r="S183" s="36"/>
      <c r="T183" s="37"/>
      <c r="U183" s="38"/>
    </row>
    <row r="184" customFormat="false" ht="27.75" hidden="false" customHeight="true" outlineLevel="0" collapsed="false">
      <c r="A184" s="36"/>
      <c r="B184" s="37"/>
      <c r="C184" s="38"/>
      <c r="D184" s="37"/>
      <c r="E184" s="37"/>
      <c r="F184" s="37"/>
      <c r="G184" s="37"/>
      <c r="H184" s="37"/>
      <c r="I184" s="38"/>
      <c r="J184" s="44"/>
      <c r="K184" s="44"/>
      <c r="L184" s="45" t="str">
        <f aca="false">IF(AND($J184="",$K184=""),"",ROUND(IFERROR(VALUE(LEFT($J184,1)),0)*12+IFERROR(VALUE(LEFT($K184,1)),0)*8,0))</f>
        <v/>
      </c>
      <c r="M184" s="45" t="str">
        <f aca="false">IF($L184="","",IF($L184&gt;=80,"A - pursue now",IF($L184&gt;=60,"B - worth pursuing",IF($L184&gt;=40,"C - nurture","D - park it"))))</f>
        <v/>
      </c>
      <c r="N184" s="37"/>
      <c r="O184" s="44"/>
      <c r="P184" s="38"/>
      <c r="Q184" s="36"/>
      <c r="R184" s="38"/>
      <c r="S184" s="36"/>
      <c r="T184" s="37"/>
      <c r="U184" s="38"/>
    </row>
    <row r="185" customFormat="false" ht="27.75" hidden="false" customHeight="true" outlineLevel="0" collapsed="false">
      <c r="A185" s="36"/>
      <c r="B185" s="37"/>
      <c r="C185" s="38"/>
      <c r="D185" s="37"/>
      <c r="E185" s="37"/>
      <c r="F185" s="37"/>
      <c r="G185" s="37"/>
      <c r="H185" s="37"/>
      <c r="I185" s="38"/>
      <c r="J185" s="44"/>
      <c r="K185" s="44"/>
      <c r="L185" s="45" t="str">
        <f aca="false">IF(AND($J185="",$K185=""),"",ROUND(IFERROR(VALUE(LEFT($J185,1)),0)*12+IFERROR(VALUE(LEFT($K185,1)),0)*8,0))</f>
        <v/>
      </c>
      <c r="M185" s="45" t="str">
        <f aca="false">IF($L185="","",IF($L185&gt;=80,"A - pursue now",IF($L185&gt;=60,"B - worth pursuing",IF($L185&gt;=40,"C - nurture","D - park it"))))</f>
        <v/>
      </c>
      <c r="N185" s="37"/>
      <c r="O185" s="44"/>
      <c r="P185" s="38"/>
      <c r="Q185" s="36"/>
      <c r="R185" s="38"/>
      <c r="S185" s="36"/>
      <c r="T185" s="37"/>
      <c r="U185" s="38"/>
    </row>
    <row r="186" customFormat="false" ht="27.75" hidden="false" customHeight="true" outlineLevel="0" collapsed="false">
      <c r="A186" s="36"/>
      <c r="B186" s="37"/>
      <c r="C186" s="38"/>
      <c r="D186" s="37"/>
      <c r="E186" s="37"/>
      <c r="F186" s="37"/>
      <c r="G186" s="37"/>
      <c r="H186" s="37"/>
      <c r="I186" s="38"/>
      <c r="J186" s="44"/>
      <c r="K186" s="44"/>
      <c r="L186" s="45" t="str">
        <f aca="false">IF(AND($J186="",$K186=""),"",ROUND(IFERROR(VALUE(LEFT($J186,1)),0)*12+IFERROR(VALUE(LEFT($K186,1)),0)*8,0))</f>
        <v/>
      </c>
      <c r="M186" s="45" t="str">
        <f aca="false">IF($L186="","",IF($L186&gt;=80,"A - pursue now",IF($L186&gt;=60,"B - worth pursuing",IF($L186&gt;=40,"C - nurture","D - park it"))))</f>
        <v/>
      </c>
      <c r="N186" s="37"/>
      <c r="O186" s="44"/>
      <c r="P186" s="38"/>
      <c r="Q186" s="36"/>
      <c r="R186" s="38"/>
      <c r="S186" s="36"/>
      <c r="T186" s="37"/>
      <c r="U186" s="38"/>
    </row>
    <row r="187" customFormat="false" ht="27.75" hidden="false" customHeight="true" outlineLevel="0" collapsed="false">
      <c r="A187" s="36"/>
      <c r="B187" s="37"/>
      <c r="C187" s="38"/>
      <c r="D187" s="37"/>
      <c r="E187" s="37"/>
      <c r="F187" s="37"/>
      <c r="G187" s="37"/>
      <c r="H187" s="37"/>
      <c r="I187" s="38"/>
      <c r="J187" s="44"/>
      <c r="K187" s="44"/>
      <c r="L187" s="45" t="str">
        <f aca="false">IF(AND($J187="",$K187=""),"",ROUND(IFERROR(VALUE(LEFT($J187,1)),0)*12+IFERROR(VALUE(LEFT($K187,1)),0)*8,0))</f>
        <v/>
      </c>
      <c r="M187" s="45" t="str">
        <f aca="false">IF($L187="","",IF($L187&gt;=80,"A - pursue now",IF($L187&gt;=60,"B - worth pursuing",IF($L187&gt;=40,"C - nurture","D - park it"))))</f>
        <v/>
      </c>
      <c r="N187" s="37"/>
      <c r="O187" s="44"/>
      <c r="P187" s="38"/>
      <c r="Q187" s="36"/>
      <c r="R187" s="38"/>
      <c r="S187" s="36"/>
      <c r="T187" s="37"/>
      <c r="U187" s="38"/>
    </row>
    <row r="188" customFormat="false" ht="27.75" hidden="false" customHeight="true" outlineLevel="0" collapsed="false">
      <c r="A188" s="36"/>
      <c r="B188" s="37"/>
      <c r="C188" s="38"/>
      <c r="D188" s="37"/>
      <c r="E188" s="37"/>
      <c r="F188" s="37"/>
      <c r="G188" s="37"/>
      <c r="H188" s="37"/>
      <c r="I188" s="38"/>
      <c r="J188" s="44"/>
      <c r="K188" s="44"/>
      <c r="L188" s="45" t="str">
        <f aca="false">IF(AND($J188="",$K188=""),"",ROUND(IFERROR(VALUE(LEFT($J188,1)),0)*12+IFERROR(VALUE(LEFT($K188,1)),0)*8,0))</f>
        <v/>
      </c>
      <c r="M188" s="45" t="str">
        <f aca="false">IF($L188="","",IF($L188&gt;=80,"A - pursue now",IF($L188&gt;=60,"B - worth pursuing",IF($L188&gt;=40,"C - nurture","D - park it"))))</f>
        <v/>
      </c>
      <c r="N188" s="37"/>
      <c r="O188" s="44"/>
      <c r="P188" s="38"/>
      <c r="Q188" s="36"/>
      <c r="R188" s="38"/>
      <c r="S188" s="36"/>
      <c r="T188" s="37"/>
      <c r="U188" s="38"/>
    </row>
    <row r="189" customFormat="false" ht="27.75" hidden="false" customHeight="true" outlineLevel="0" collapsed="false">
      <c r="A189" s="36"/>
      <c r="B189" s="37"/>
      <c r="C189" s="38"/>
      <c r="D189" s="37"/>
      <c r="E189" s="37"/>
      <c r="F189" s="37"/>
      <c r="G189" s="37"/>
      <c r="H189" s="37"/>
      <c r="I189" s="38"/>
      <c r="J189" s="44"/>
      <c r="K189" s="44"/>
      <c r="L189" s="45" t="str">
        <f aca="false">IF(AND($J189="",$K189=""),"",ROUND(IFERROR(VALUE(LEFT($J189,1)),0)*12+IFERROR(VALUE(LEFT($K189,1)),0)*8,0))</f>
        <v/>
      </c>
      <c r="M189" s="45" t="str">
        <f aca="false">IF($L189="","",IF($L189&gt;=80,"A - pursue now",IF($L189&gt;=60,"B - worth pursuing",IF($L189&gt;=40,"C - nurture","D - park it"))))</f>
        <v/>
      </c>
      <c r="N189" s="37"/>
      <c r="O189" s="44"/>
      <c r="P189" s="38"/>
      <c r="Q189" s="36"/>
      <c r="R189" s="38"/>
      <c r="S189" s="36"/>
      <c r="T189" s="37"/>
      <c r="U189" s="38"/>
    </row>
    <row r="190" customFormat="false" ht="27.75" hidden="false" customHeight="true" outlineLevel="0" collapsed="false">
      <c r="A190" s="36"/>
      <c r="B190" s="37"/>
      <c r="C190" s="38"/>
      <c r="D190" s="37"/>
      <c r="E190" s="37"/>
      <c r="F190" s="37"/>
      <c r="G190" s="37"/>
      <c r="H190" s="37"/>
      <c r="I190" s="38"/>
      <c r="J190" s="44"/>
      <c r="K190" s="44"/>
      <c r="L190" s="45" t="str">
        <f aca="false">IF(AND($J190="",$K190=""),"",ROUND(IFERROR(VALUE(LEFT($J190,1)),0)*12+IFERROR(VALUE(LEFT($K190,1)),0)*8,0))</f>
        <v/>
      </c>
      <c r="M190" s="45" t="str">
        <f aca="false">IF($L190="","",IF($L190&gt;=80,"A - pursue now",IF($L190&gt;=60,"B - worth pursuing",IF($L190&gt;=40,"C - nurture","D - park it"))))</f>
        <v/>
      </c>
      <c r="N190" s="37"/>
      <c r="O190" s="44"/>
      <c r="P190" s="38"/>
      <c r="Q190" s="36"/>
      <c r="R190" s="38"/>
      <c r="S190" s="36"/>
      <c r="T190" s="37"/>
      <c r="U190" s="38"/>
    </row>
    <row r="191" customFormat="false" ht="27.75" hidden="false" customHeight="true" outlineLevel="0" collapsed="false">
      <c r="A191" s="36"/>
      <c r="B191" s="37"/>
      <c r="C191" s="38"/>
      <c r="D191" s="37"/>
      <c r="E191" s="37"/>
      <c r="F191" s="37"/>
      <c r="G191" s="37"/>
      <c r="H191" s="37"/>
      <c r="I191" s="38"/>
      <c r="J191" s="44"/>
      <c r="K191" s="44"/>
      <c r="L191" s="45" t="str">
        <f aca="false">IF(AND($J191="",$K191=""),"",ROUND(IFERROR(VALUE(LEFT($J191,1)),0)*12+IFERROR(VALUE(LEFT($K191,1)),0)*8,0))</f>
        <v/>
      </c>
      <c r="M191" s="45" t="str">
        <f aca="false">IF($L191="","",IF($L191&gt;=80,"A - pursue now",IF($L191&gt;=60,"B - worth pursuing",IF($L191&gt;=40,"C - nurture","D - park it"))))</f>
        <v/>
      </c>
      <c r="N191" s="37"/>
      <c r="O191" s="44"/>
      <c r="P191" s="38"/>
      <c r="Q191" s="36"/>
      <c r="R191" s="38"/>
      <c r="S191" s="36"/>
      <c r="T191" s="37"/>
      <c r="U191" s="38"/>
    </row>
    <row r="192" customFormat="false" ht="27.75" hidden="false" customHeight="true" outlineLevel="0" collapsed="false">
      <c r="A192" s="36"/>
      <c r="B192" s="37"/>
      <c r="C192" s="38"/>
      <c r="D192" s="37"/>
      <c r="E192" s="37"/>
      <c r="F192" s="37"/>
      <c r="G192" s="37"/>
      <c r="H192" s="37"/>
      <c r="I192" s="38"/>
      <c r="J192" s="44"/>
      <c r="K192" s="44"/>
      <c r="L192" s="45" t="str">
        <f aca="false">IF(AND($J192="",$K192=""),"",ROUND(IFERROR(VALUE(LEFT($J192,1)),0)*12+IFERROR(VALUE(LEFT($K192,1)),0)*8,0))</f>
        <v/>
      </c>
      <c r="M192" s="45" t="str">
        <f aca="false">IF($L192="","",IF($L192&gt;=80,"A - pursue now",IF($L192&gt;=60,"B - worth pursuing",IF($L192&gt;=40,"C - nurture","D - park it"))))</f>
        <v/>
      </c>
      <c r="N192" s="37"/>
      <c r="O192" s="44"/>
      <c r="P192" s="38"/>
      <c r="Q192" s="36"/>
      <c r="R192" s="38"/>
      <c r="S192" s="36"/>
      <c r="T192" s="37"/>
      <c r="U192" s="38"/>
    </row>
    <row r="193" customFormat="false" ht="27.75" hidden="false" customHeight="true" outlineLevel="0" collapsed="false">
      <c r="A193" s="36"/>
      <c r="B193" s="37"/>
      <c r="C193" s="38"/>
      <c r="D193" s="37"/>
      <c r="E193" s="37"/>
      <c r="F193" s="37"/>
      <c r="G193" s="37"/>
      <c r="H193" s="37"/>
      <c r="I193" s="38"/>
      <c r="J193" s="44"/>
      <c r="K193" s="44"/>
      <c r="L193" s="45" t="str">
        <f aca="false">IF(AND($J193="",$K193=""),"",ROUND(IFERROR(VALUE(LEFT($J193,1)),0)*12+IFERROR(VALUE(LEFT($K193,1)),0)*8,0))</f>
        <v/>
      </c>
      <c r="M193" s="45" t="str">
        <f aca="false">IF($L193="","",IF($L193&gt;=80,"A - pursue now",IF($L193&gt;=60,"B - worth pursuing",IF($L193&gt;=40,"C - nurture","D - park it"))))</f>
        <v/>
      </c>
      <c r="N193" s="37"/>
      <c r="O193" s="44"/>
      <c r="P193" s="38"/>
      <c r="Q193" s="36"/>
      <c r="R193" s="38"/>
      <c r="S193" s="36"/>
      <c r="T193" s="37"/>
      <c r="U193" s="38"/>
    </row>
    <row r="194" customFormat="false" ht="27.75" hidden="false" customHeight="true" outlineLevel="0" collapsed="false">
      <c r="A194" s="36"/>
      <c r="B194" s="37"/>
      <c r="C194" s="38"/>
      <c r="D194" s="37"/>
      <c r="E194" s="37"/>
      <c r="F194" s="37"/>
      <c r="G194" s="37"/>
      <c r="H194" s="37"/>
      <c r="I194" s="38"/>
      <c r="J194" s="44"/>
      <c r="K194" s="44"/>
      <c r="L194" s="45" t="str">
        <f aca="false">IF(AND($J194="",$K194=""),"",ROUND(IFERROR(VALUE(LEFT($J194,1)),0)*12+IFERROR(VALUE(LEFT($K194,1)),0)*8,0))</f>
        <v/>
      </c>
      <c r="M194" s="45" t="str">
        <f aca="false">IF($L194="","",IF($L194&gt;=80,"A - pursue now",IF($L194&gt;=60,"B - worth pursuing",IF($L194&gt;=40,"C - nurture","D - park it"))))</f>
        <v/>
      </c>
      <c r="N194" s="37"/>
      <c r="O194" s="44"/>
      <c r="P194" s="38"/>
      <c r="Q194" s="36"/>
      <c r="R194" s="38"/>
      <c r="S194" s="36"/>
      <c r="T194" s="37"/>
      <c r="U194" s="38"/>
    </row>
    <row r="195" customFormat="false" ht="27.75" hidden="false" customHeight="true" outlineLevel="0" collapsed="false">
      <c r="A195" s="36"/>
      <c r="B195" s="37"/>
      <c r="C195" s="38"/>
      <c r="D195" s="37"/>
      <c r="E195" s="37"/>
      <c r="F195" s="37"/>
      <c r="G195" s="37"/>
      <c r="H195" s="37"/>
      <c r="I195" s="38"/>
      <c r="J195" s="44"/>
      <c r="K195" s="44"/>
      <c r="L195" s="45" t="str">
        <f aca="false">IF(AND($J195="",$K195=""),"",ROUND(IFERROR(VALUE(LEFT($J195,1)),0)*12+IFERROR(VALUE(LEFT($K195,1)),0)*8,0))</f>
        <v/>
      </c>
      <c r="M195" s="45" t="str">
        <f aca="false">IF($L195="","",IF($L195&gt;=80,"A - pursue now",IF($L195&gt;=60,"B - worth pursuing",IF($L195&gt;=40,"C - nurture","D - park it"))))</f>
        <v/>
      </c>
      <c r="N195" s="37"/>
      <c r="O195" s="44"/>
      <c r="P195" s="38"/>
      <c r="Q195" s="36"/>
      <c r="R195" s="38"/>
      <c r="S195" s="36"/>
      <c r="T195" s="37"/>
      <c r="U195" s="38"/>
    </row>
    <row r="196" customFormat="false" ht="27.75" hidden="false" customHeight="true" outlineLevel="0" collapsed="false">
      <c r="A196" s="36"/>
      <c r="B196" s="37"/>
      <c r="C196" s="38"/>
      <c r="D196" s="37"/>
      <c r="E196" s="37"/>
      <c r="F196" s="37"/>
      <c r="G196" s="37"/>
      <c r="H196" s="37"/>
      <c r="I196" s="38"/>
      <c r="J196" s="44"/>
      <c r="K196" s="44"/>
      <c r="L196" s="45" t="str">
        <f aca="false">IF(AND($J196="",$K196=""),"",ROUND(IFERROR(VALUE(LEFT($J196,1)),0)*12+IFERROR(VALUE(LEFT($K196,1)),0)*8,0))</f>
        <v/>
      </c>
      <c r="M196" s="45" t="str">
        <f aca="false">IF($L196="","",IF($L196&gt;=80,"A - pursue now",IF($L196&gt;=60,"B - worth pursuing",IF($L196&gt;=40,"C - nurture","D - park it"))))</f>
        <v/>
      </c>
      <c r="N196" s="37"/>
      <c r="O196" s="44"/>
      <c r="P196" s="38"/>
      <c r="Q196" s="36"/>
      <c r="R196" s="38"/>
      <c r="S196" s="36"/>
      <c r="T196" s="37"/>
      <c r="U196" s="38"/>
    </row>
    <row r="197" customFormat="false" ht="27.75" hidden="false" customHeight="true" outlineLevel="0" collapsed="false">
      <c r="A197" s="36"/>
      <c r="B197" s="37"/>
      <c r="C197" s="38"/>
      <c r="D197" s="37"/>
      <c r="E197" s="37"/>
      <c r="F197" s="37"/>
      <c r="G197" s="37"/>
      <c r="H197" s="37"/>
      <c r="I197" s="38"/>
      <c r="J197" s="44"/>
      <c r="K197" s="44"/>
      <c r="L197" s="45" t="str">
        <f aca="false">IF(AND($J197="",$K197=""),"",ROUND(IFERROR(VALUE(LEFT($J197,1)),0)*12+IFERROR(VALUE(LEFT($K197,1)),0)*8,0))</f>
        <v/>
      </c>
      <c r="M197" s="45" t="str">
        <f aca="false">IF($L197="","",IF($L197&gt;=80,"A - pursue now",IF($L197&gt;=60,"B - worth pursuing",IF($L197&gt;=40,"C - nurture","D - park it"))))</f>
        <v/>
      </c>
      <c r="N197" s="37"/>
      <c r="O197" s="44"/>
      <c r="P197" s="38"/>
      <c r="Q197" s="36"/>
      <c r="R197" s="38"/>
      <c r="S197" s="36"/>
      <c r="T197" s="37"/>
      <c r="U197" s="38"/>
    </row>
    <row r="198" customFormat="false" ht="27.75" hidden="false" customHeight="true" outlineLevel="0" collapsed="false">
      <c r="A198" s="36"/>
      <c r="B198" s="37"/>
      <c r="C198" s="38"/>
      <c r="D198" s="37"/>
      <c r="E198" s="37"/>
      <c r="F198" s="37"/>
      <c r="G198" s="37"/>
      <c r="H198" s="37"/>
      <c r="I198" s="38"/>
      <c r="J198" s="44"/>
      <c r="K198" s="44"/>
      <c r="L198" s="45" t="str">
        <f aca="false">IF(AND($J198="",$K198=""),"",ROUND(IFERROR(VALUE(LEFT($J198,1)),0)*12+IFERROR(VALUE(LEFT($K198,1)),0)*8,0))</f>
        <v/>
      </c>
      <c r="M198" s="45" t="str">
        <f aca="false">IF($L198="","",IF($L198&gt;=80,"A - pursue now",IF($L198&gt;=60,"B - worth pursuing",IF($L198&gt;=40,"C - nurture","D - park it"))))</f>
        <v/>
      </c>
      <c r="N198" s="37"/>
      <c r="O198" s="44"/>
      <c r="P198" s="38"/>
      <c r="Q198" s="36"/>
      <c r="R198" s="38"/>
      <c r="S198" s="36"/>
      <c r="T198" s="37"/>
      <c r="U198" s="38"/>
    </row>
    <row r="199" customFormat="false" ht="27.75" hidden="false" customHeight="true" outlineLevel="0" collapsed="false">
      <c r="A199" s="36"/>
      <c r="B199" s="37"/>
      <c r="C199" s="38"/>
      <c r="D199" s="37"/>
      <c r="E199" s="37"/>
      <c r="F199" s="37"/>
      <c r="G199" s="37"/>
      <c r="H199" s="37"/>
      <c r="I199" s="38"/>
      <c r="J199" s="44"/>
      <c r="K199" s="44"/>
      <c r="L199" s="45" t="str">
        <f aca="false">IF(AND($J199="",$K199=""),"",ROUND(IFERROR(VALUE(LEFT($J199,1)),0)*12+IFERROR(VALUE(LEFT($K199,1)),0)*8,0))</f>
        <v/>
      </c>
      <c r="M199" s="45" t="str">
        <f aca="false">IF($L199="","",IF($L199&gt;=80,"A - pursue now",IF($L199&gt;=60,"B - worth pursuing",IF($L199&gt;=40,"C - nurture","D - park it"))))</f>
        <v/>
      </c>
      <c r="N199" s="37"/>
      <c r="O199" s="44"/>
      <c r="P199" s="38"/>
      <c r="Q199" s="36"/>
      <c r="R199" s="38"/>
      <c r="S199" s="36"/>
      <c r="T199" s="37"/>
      <c r="U199" s="38"/>
    </row>
    <row r="200" customFormat="false" ht="27.75" hidden="false" customHeight="true" outlineLevel="0" collapsed="false">
      <c r="A200" s="36"/>
      <c r="B200" s="37"/>
      <c r="C200" s="38"/>
      <c r="D200" s="37"/>
      <c r="E200" s="37"/>
      <c r="F200" s="37"/>
      <c r="G200" s="37"/>
      <c r="H200" s="37"/>
      <c r="I200" s="38"/>
      <c r="J200" s="44"/>
      <c r="K200" s="44"/>
      <c r="L200" s="45" t="str">
        <f aca="false">IF(AND($J200="",$K200=""),"",ROUND(IFERROR(VALUE(LEFT($J200,1)),0)*12+IFERROR(VALUE(LEFT($K200,1)),0)*8,0))</f>
        <v/>
      </c>
      <c r="M200" s="45" t="str">
        <f aca="false">IF($L200="","",IF($L200&gt;=80,"A - pursue now",IF($L200&gt;=60,"B - worth pursuing",IF($L200&gt;=40,"C - nurture","D - park it"))))</f>
        <v/>
      </c>
      <c r="N200" s="37"/>
      <c r="O200" s="44"/>
      <c r="P200" s="38"/>
      <c r="Q200" s="36"/>
      <c r="R200" s="38"/>
      <c r="S200" s="36"/>
      <c r="T200" s="37"/>
      <c r="U200" s="38"/>
    </row>
    <row r="201" customFormat="false" ht="27.75" hidden="false" customHeight="true" outlineLevel="0" collapsed="false">
      <c r="A201" s="36"/>
      <c r="B201" s="37"/>
      <c r="C201" s="38"/>
      <c r="D201" s="37"/>
      <c r="E201" s="37"/>
      <c r="F201" s="37"/>
      <c r="G201" s="37"/>
      <c r="H201" s="37"/>
      <c r="I201" s="38"/>
      <c r="J201" s="44"/>
      <c r="K201" s="44"/>
      <c r="L201" s="45" t="str">
        <f aca="false">IF(AND($J201="",$K201=""),"",ROUND(IFERROR(VALUE(LEFT($J201,1)),0)*12+IFERROR(VALUE(LEFT($K201,1)),0)*8,0))</f>
        <v/>
      </c>
      <c r="M201" s="45" t="str">
        <f aca="false">IF($L201="","",IF($L201&gt;=80,"A - pursue now",IF($L201&gt;=60,"B - worth pursuing",IF($L201&gt;=40,"C - nurture","D - park it"))))</f>
        <v/>
      </c>
      <c r="N201" s="37"/>
      <c r="O201" s="44"/>
      <c r="P201" s="38"/>
      <c r="Q201" s="36"/>
      <c r="R201" s="38"/>
      <c r="S201" s="36"/>
      <c r="T201" s="37"/>
      <c r="U201" s="38"/>
    </row>
    <row r="202" customFormat="false" ht="27.75" hidden="false" customHeight="true" outlineLevel="0" collapsed="false">
      <c r="A202" s="36"/>
      <c r="B202" s="37"/>
      <c r="C202" s="38"/>
      <c r="D202" s="37"/>
      <c r="E202" s="37"/>
      <c r="F202" s="37"/>
      <c r="G202" s="37"/>
      <c r="H202" s="37"/>
      <c r="I202" s="38"/>
      <c r="J202" s="44"/>
      <c r="K202" s="44"/>
      <c r="L202" s="45" t="str">
        <f aca="false">IF(AND($J202="",$K202=""),"",ROUND(IFERROR(VALUE(LEFT($J202,1)),0)*12+IFERROR(VALUE(LEFT($K202,1)),0)*8,0))</f>
        <v/>
      </c>
      <c r="M202" s="45" t="str">
        <f aca="false">IF($L202="","",IF($L202&gt;=80,"A - pursue now",IF($L202&gt;=60,"B - worth pursuing",IF($L202&gt;=40,"C - nurture","D - park it"))))</f>
        <v/>
      </c>
      <c r="N202" s="37"/>
      <c r="O202" s="44"/>
      <c r="P202" s="38"/>
      <c r="Q202" s="36"/>
      <c r="R202" s="38"/>
      <c r="S202" s="36"/>
      <c r="T202" s="37"/>
      <c r="U202" s="38"/>
    </row>
    <row r="203" customFormat="false" ht="27.75" hidden="false" customHeight="true" outlineLevel="0" collapsed="false">
      <c r="A203" s="36"/>
      <c r="B203" s="37"/>
      <c r="C203" s="38"/>
      <c r="D203" s="37"/>
      <c r="E203" s="37"/>
      <c r="F203" s="37"/>
      <c r="G203" s="37"/>
      <c r="H203" s="37"/>
      <c r="I203" s="38"/>
      <c r="J203" s="44"/>
      <c r="K203" s="44"/>
      <c r="L203" s="45" t="str">
        <f aca="false">IF(AND($J203="",$K203=""),"",ROUND(IFERROR(VALUE(LEFT($J203,1)),0)*12+IFERROR(VALUE(LEFT($K203,1)),0)*8,0))</f>
        <v/>
      </c>
      <c r="M203" s="45" t="str">
        <f aca="false">IF($L203="","",IF($L203&gt;=80,"A - pursue now",IF($L203&gt;=60,"B - worth pursuing",IF($L203&gt;=40,"C - nurture","D - park it"))))</f>
        <v/>
      </c>
      <c r="N203" s="37"/>
      <c r="O203" s="44"/>
      <c r="P203" s="38"/>
      <c r="Q203" s="36"/>
      <c r="R203" s="38"/>
      <c r="S203" s="36"/>
      <c r="T203" s="37"/>
      <c r="U203" s="38"/>
    </row>
    <row r="204" customFormat="false" ht="27.75" hidden="false" customHeight="true" outlineLevel="0" collapsed="false">
      <c r="A204" s="36"/>
      <c r="B204" s="37"/>
      <c r="C204" s="38"/>
      <c r="D204" s="37"/>
      <c r="E204" s="37"/>
      <c r="F204" s="37"/>
      <c r="G204" s="37"/>
      <c r="H204" s="37"/>
      <c r="I204" s="38"/>
      <c r="J204" s="44"/>
      <c r="K204" s="44"/>
      <c r="L204" s="45" t="str">
        <f aca="false">IF(AND($J204="",$K204=""),"",ROUND(IFERROR(VALUE(LEFT($J204,1)),0)*12+IFERROR(VALUE(LEFT($K204,1)),0)*8,0))</f>
        <v/>
      </c>
      <c r="M204" s="45" t="str">
        <f aca="false">IF($L204="","",IF($L204&gt;=80,"A - pursue now",IF($L204&gt;=60,"B - worth pursuing",IF($L204&gt;=40,"C - nurture","D - park it"))))</f>
        <v/>
      </c>
      <c r="N204" s="37"/>
      <c r="O204" s="44"/>
      <c r="P204" s="38"/>
      <c r="Q204" s="36"/>
      <c r="R204" s="38"/>
      <c r="S204" s="36"/>
      <c r="T204" s="37"/>
      <c r="U204" s="38"/>
    </row>
    <row r="205" customFormat="false" ht="27.75" hidden="false" customHeight="true" outlineLevel="0" collapsed="false">
      <c r="A205" s="36"/>
      <c r="B205" s="37"/>
      <c r="C205" s="38"/>
      <c r="D205" s="37"/>
      <c r="E205" s="37"/>
      <c r="F205" s="37"/>
      <c r="G205" s="37"/>
      <c r="H205" s="37"/>
      <c r="I205" s="38"/>
      <c r="J205" s="44"/>
      <c r="K205" s="44"/>
      <c r="L205" s="45" t="str">
        <f aca="false">IF(AND($J205="",$K205=""),"",ROUND(IFERROR(VALUE(LEFT($J205,1)),0)*12+IFERROR(VALUE(LEFT($K205,1)),0)*8,0))</f>
        <v/>
      </c>
      <c r="M205" s="45" t="str">
        <f aca="false">IF($L205="","",IF($L205&gt;=80,"A - pursue now",IF($L205&gt;=60,"B - worth pursuing",IF($L205&gt;=40,"C - nurture","D - park it"))))</f>
        <v/>
      </c>
      <c r="N205" s="37"/>
      <c r="O205" s="44"/>
      <c r="P205" s="38"/>
      <c r="Q205" s="36"/>
      <c r="R205" s="38"/>
      <c r="S205" s="36"/>
      <c r="T205" s="37"/>
      <c r="U205" s="38"/>
    </row>
    <row r="206" customFormat="false" ht="27.75" hidden="false" customHeight="true" outlineLevel="0" collapsed="false">
      <c r="A206" s="36"/>
      <c r="B206" s="37"/>
      <c r="C206" s="38"/>
      <c r="D206" s="37"/>
      <c r="E206" s="37"/>
      <c r="F206" s="37"/>
      <c r="G206" s="37"/>
      <c r="H206" s="37"/>
      <c r="I206" s="38"/>
      <c r="J206" s="44"/>
      <c r="K206" s="44"/>
      <c r="L206" s="45" t="str">
        <f aca="false">IF(AND($J206="",$K206=""),"",ROUND(IFERROR(VALUE(LEFT($J206,1)),0)*12+IFERROR(VALUE(LEFT($K206,1)),0)*8,0))</f>
        <v/>
      </c>
      <c r="M206" s="45" t="str">
        <f aca="false">IF($L206="","",IF($L206&gt;=80,"A - pursue now",IF($L206&gt;=60,"B - worth pursuing",IF($L206&gt;=40,"C - nurture","D - park it"))))</f>
        <v/>
      </c>
      <c r="N206" s="37"/>
      <c r="O206" s="44"/>
      <c r="P206" s="38"/>
      <c r="Q206" s="36"/>
      <c r="R206" s="38"/>
      <c r="S206" s="36"/>
      <c r="T206" s="37"/>
      <c r="U206" s="38"/>
    </row>
    <row r="207" customFormat="false" ht="27.75" hidden="false" customHeight="true" outlineLevel="0" collapsed="false">
      <c r="A207" s="36"/>
      <c r="B207" s="37"/>
      <c r="C207" s="38"/>
      <c r="D207" s="37"/>
      <c r="E207" s="37"/>
      <c r="F207" s="37"/>
      <c r="G207" s="37"/>
      <c r="H207" s="37"/>
      <c r="I207" s="38"/>
      <c r="J207" s="44"/>
      <c r="K207" s="44"/>
      <c r="L207" s="45" t="str">
        <f aca="false">IF(AND($J207="",$K207=""),"",ROUND(IFERROR(VALUE(LEFT($J207,1)),0)*12+IFERROR(VALUE(LEFT($K207,1)),0)*8,0))</f>
        <v/>
      </c>
      <c r="M207" s="45" t="str">
        <f aca="false">IF($L207="","",IF($L207&gt;=80,"A - pursue now",IF($L207&gt;=60,"B - worth pursuing",IF($L207&gt;=40,"C - nurture","D - park it"))))</f>
        <v/>
      </c>
      <c r="N207" s="37"/>
      <c r="O207" s="44"/>
      <c r="P207" s="38"/>
      <c r="Q207" s="36"/>
      <c r="R207" s="38"/>
      <c r="S207" s="36"/>
      <c r="T207" s="37"/>
      <c r="U207" s="38"/>
    </row>
    <row r="208" customFormat="false" ht="27.75" hidden="false" customHeight="true" outlineLevel="0" collapsed="false">
      <c r="A208" s="36"/>
      <c r="B208" s="37"/>
      <c r="C208" s="38"/>
      <c r="D208" s="37"/>
      <c r="E208" s="37"/>
      <c r="F208" s="37"/>
      <c r="G208" s="37"/>
      <c r="H208" s="37"/>
      <c r="I208" s="38"/>
      <c r="J208" s="44"/>
      <c r="K208" s="44"/>
      <c r="L208" s="45" t="str">
        <f aca="false">IF(AND($J208="",$K208=""),"",ROUND(IFERROR(VALUE(LEFT($J208,1)),0)*12+IFERROR(VALUE(LEFT($K208,1)),0)*8,0))</f>
        <v/>
      </c>
      <c r="M208" s="45" t="str">
        <f aca="false">IF($L208="","",IF($L208&gt;=80,"A - pursue now",IF($L208&gt;=60,"B - worth pursuing",IF($L208&gt;=40,"C - nurture","D - park it"))))</f>
        <v/>
      </c>
      <c r="N208" s="37"/>
      <c r="O208" s="44"/>
      <c r="P208" s="38"/>
      <c r="Q208" s="36"/>
      <c r="R208" s="38"/>
      <c r="S208" s="36"/>
      <c r="T208" s="37"/>
      <c r="U208" s="38"/>
    </row>
    <row r="209" customFormat="false" ht="27.75" hidden="false" customHeight="true" outlineLevel="0" collapsed="false">
      <c r="A209" s="36"/>
      <c r="B209" s="37"/>
      <c r="C209" s="38"/>
      <c r="D209" s="37"/>
      <c r="E209" s="37"/>
      <c r="F209" s="37"/>
      <c r="G209" s="37"/>
      <c r="H209" s="37"/>
      <c r="I209" s="38"/>
      <c r="J209" s="44"/>
      <c r="K209" s="44"/>
      <c r="L209" s="45" t="str">
        <f aca="false">IF(AND($J209="",$K209=""),"",ROUND(IFERROR(VALUE(LEFT($J209,1)),0)*12+IFERROR(VALUE(LEFT($K209,1)),0)*8,0))</f>
        <v/>
      </c>
      <c r="M209" s="45" t="str">
        <f aca="false">IF($L209="","",IF($L209&gt;=80,"A - pursue now",IF($L209&gt;=60,"B - worth pursuing",IF($L209&gt;=40,"C - nurture","D - park it"))))</f>
        <v/>
      </c>
      <c r="N209" s="37"/>
      <c r="O209" s="44"/>
      <c r="P209" s="38"/>
      <c r="Q209" s="36"/>
      <c r="R209" s="38"/>
      <c r="S209" s="36"/>
      <c r="T209" s="37"/>
      <c r="U209" s="38"/>
    </row>
    <row r="210" customFormat="false" ht="27.75" hidden="false" customHeight="true" outlineLevel="0" collapsed="false">
      <c r="A210" s="36"/>
      <c r="B210" s="37"/>
      <c r="C210" s="38"/>
      <c r="D210" s="37"/>
      <c r="E210" s="37"/>
      <c r="F210" s="37"/>
      <c r="G210" s="37"/>
      <c r="H210" s="37"/>
      <c r="I210" s="38"/>
      <c r="J210" s="44"/>
      <c r="K210" s="44"/>
      <c r="L210" s="45" t="str">
        <f aca="false">IF(AND($J210="",$K210=""),"",ROUND(IFERROR(VALUE(LEFT($J210,1)),0)*12+IFERROR(VALUE(LEFT($K210,1)),0)*8,0))</f>
        <v/>
      </c>
      <c r="M210" s="45" t="str">
        <f aca="false">IF($L210="","",IF($L210&gt;=80,"A - pursue now",IF($L210&gt;=60,"B - worth pursuing",IF($L210&gt;=40,"C - nurture","D - park it"))))</f>
        <v/>
      </c>
      <c r="N210" s="37"/>
      <c r="O210" s="44"/>
      <c r="P210" s="38"/>
      <c r="Q210" s="36"/>
      <c r="R210" s="38"/>
      <c r="S210" s="36"/>
      <c r="T210" s="37"/>
      <c r="U210" s="38"/>
    </row>
    <row r="211" customFormat="false" ht="27.75" hidden="false" customHeight="true" outlineLevel="0" collapsed="false">
      <c r="A211" s="36"/>
      <c r="B211" s="37"/>
      <c r="C211" s="38"/>
      <c r="D211" s="37"/>
      <c r="E211" s="37"/>
      <c r="F211" s="37"/>
      <c r="G211" s="37"/>
      <c r="H211" s="37"/>
      <c r="I211" s="38"/>
      <c r="J211" s="44"/>
      <c r="K211" s="44"/>
      <c r="L211" s="45" t="str">
        <f aca="false">IF(AND($J211="",$K211=""),"",ROUND(IFERROR(VALUE(LEFT($J211,1)),0)*12+IFERROR(VALUE(LEFT($K211,1)),0)*8,0))</f>
        <v/>
      </c>
      <c r="M211" s="45" t="str">
        <f aca="false">IF($L211="","",IF($L211&gt;=80,"A - pursue now",IF($L211&gt;=60,"B - worth pursuing",IF($L211&gt;=40,"C - nurture","D - park it"))))</f>
        <v/>
      </c>
      <c r="N211" s="37"/>
      <c r="O211" s="44"/>
      <c r="P211" s="38"/>
      <c r="Q211" s="36"/>
      <c r="R211" s="38"/>
      <c r="S211" s="36"/>
      <c r="T211" s="37"/>
      <c r="U211" s="38"/>
    </row>
    <row r="212" customFormat="false" ht="27.75" hidden="false" customHeight="true" outlineLevel="0" collapsed="false">
      <c r="A212" s="36"/>
      <c r="B212" s="37"/>
      <c r="C212" s="38"/>
      <c r="D212" s="37"/>
      <c r="E212" s="37"/>
      <c r="F212" s="37"/>
      <c r="G212" s="37"/>
      <c r="H212" s="37"/>
      <c r="I212" s="38"/>
      <c r="J212" s="44"/>
      <c r="K212" s="44"/>
      <c r="L212" s="45" t="str">
        <f aca="false">IF(AND($J212="",$K212=""),"",ROUND(IFERROR(VALUE(LEFT($J212,1)),0)*12+IFERROR(VALUE(LEFT($K212,1)),0)*8,0))</f>
        <v/>
      </c>
      <c r="M212" s="45" t="str">
        <f aca="false">IF($L212="","",IF($L212&gt;=80,"A - pursue now",IF($L212&gt;=60,"B - worth pursuing",IF($L212&gt;=40,"C - nurture","D - park it"))))</f>
        <v/>
      </c>
      <c r="N212" s="37"/>
      <c r="O212" s="44"/>
      <c r="P212" s="38"/>
      <c r="Q212" s="36"/>
      <c r="R212" s="38"/>
      <c r="S212" s="36"/>
      <c r="T212" s="37"/>
      <c r="U212" s="38"/>
    </row>
    <row r="213" customFormat="false" ht="27.75" hidden="false" customHeight="true" outlineLevel="0" collapsed="false">
      <c r="A213" s="36"/>
      <c r="B213" s="37"/>
      <c r="C213" s="38"/>
      <c r="D213" s="37"/>
      <c r="E213" s="37"/>
      <c r="F213" s="37"/>
      <c r="G213" s="37"/>
      <c r="H213" s="37"/>
      <c r="I213" s="38"/>
      <c r="J213" s="44"/>
      <c r="K213" s="44"/>
      <c r="L213" s="45" t="str">
        <f aca="false">IF(AND($J213="",$K213=""),"",ROUND(IFERROR(VALUE(LEFT($J213,1)),0)*12+IFERROR(VALUE(LEFT($K213,1)),0)*8,0))</f>
        <v/>
      </c>
      <c r="M213" s="45" t="str">
        <f aca="false">IF($L213="","",IF($L213&gt;=80,"A - pursue now",IF($L213&gt;=60,"B - worth pursuing",IF($L213&gt;=40,"C - nurture","D - park it"))))</f>
        <v/>
      </c>
      <c r="N213" s="37"/>
      <c r="O213" s="44"/>
      <c r="P213" s="38"/>
      <c r="Q213" s="36"/>
      <c r="R213" s="38"/>
      <c r="S213" s="36"/>
      <c r="T213" s="37"/>
      <c r="U213" s="38"/>
    </row>
    <row r="214" customFormat="false" ht="27.75" hidden="false" customHeight="true" outlineLevel="0" collapsed="false">
      <c r="A214" s="36"/>
      <c r="B214" s="37"/>
      <c r="C214" s="38"/>
      <c r="D214" s="37"/>
      <c r="E214" s="37"/>
      <c r="F214" s="37"/>
      <c r="G214" s="37"/>
      <c r="H214" s="37"/>
      <c r="I214" s="38"/>
      <c r="J214" s="44"/>
      <c r="K214" s="44"/>
      <c r="L214" s="45" t="str">
        <f aca="false">IF(AND($J214="",$K214=""),"",ROUND(IFERROR(VALUE(LEFT($J214,1)),0)*12+IFERROR(VALUE(LEFT($K214,1)),0)*8,0))</f>
        <v/>
      </c>
      <c r="M214" s="45" t="str">
        <f aca="false">IF($L214="","",IF($L214&gt;=80,"A - pursue now",IF($L214&gt;=60,"B - worth pursuing",IF($L214&gt;=40,"C - nurture","D - park it"))))</f>
        <v/>
      </c>
      <c r="N214" s="37"/>
      <c r="O214" s="44"/>
      <c r="P214" s="38"/>
      <c r="Q214" s="36"/>
      <c r="R214" s="38"/>
      <c r="S214" s="36"/>
      <c r="T214" s="37"/>
      <c r="U214" s="38"/>
    </row>
    <row r="215" customFormat="false" ht="27.75" hidden="false" customHeight="true" outlineLevel="0" collapsed="false">
      <c r="A215" s="36"/>
      <c r="B215" s="37"/>
      <c r="C215" s="38"/>
      <c r="D215" s="37"/>
      <c r="E215" s="37"/>
      <c r="F215" s="37"/>
      <c r="G215" s="37"/>
      <c r="H215" s="37"/>
      <c r="I215" s="38"/>
      <c r="J215" s="44"/>
      <c r="K215" s="44"/>
      <c r="L215" s="45" t="str">
        <f aca="false">IF(AND($J215="",$K215=""),"",ROUND(IFERROR(VALUE(LEFT($J215,1)),0)*12+IFERROR(VALUE(LEFT($K215,1)),0)*8,0))</f>
        <v/>
      </c>
      <c r="M215" s="45" t="str">
        <f aca="false">IF($L215="","",IF($L215&gt;=80,"A - pursue now",IF($L215&gt;=60,"B - worth pursuing",IF($L215&gt;=40,"C - nurture","D - park it"))))</f>
        <v/>
      </c>
      <c r="N215" s="37"/>
      <c r="O215" s="44"/>
      <c r="P215" s="38"/>
      <c r="Q215" s="36"/>
      <c r="R215" s="38"/>
      <c r="S215" s="36"/>
      <c r="T215" s="37"/>
      <c r="U215" s="38"/>
    </row>
    <row r="216" customFormat="false" ht="27.75" hidden="false" customHeight="true" outlineLevel="0" collapsed="false">
      <c r="A216" s="36"/>
      <c r="B216" s="37"/>
      <c r="C216" s="38"/>
      <c r="D216" s="37"/>
      <c r="E216" s="37"/>
      <c r="F216" s="37"/>
      <c r="G216" s="37"/>
      <c r="H216" s="37"/>
      <c r="I216" s="38"/>
      <c r="J216" s="44"/>
      <c r="K216" s="44"/>
      <c r="L216" s="45" t="str">
        <f aca="false">IF(AND($J216="",$K216=""),"",ROUND(IFERROR(VALUE(LEFT($J216,1)),0)*12+IFERROR(VALUE(LEFT($K216,1)),0)*8,0))</f>
        <v/>
      </c>
      <c r="M216" s="45" t="str">
        <f aca="false">IF($L216="","",IF($L216&gt;=80,"A - pursue now",IF($L216&gt;=60,"B - worth pursuing",IF($L216&gt;=40,"C - nurture","D - park it"))))</f>
        <v/>
      </c>
      <c r="N216" s="37"/>
      <c r="O216" s="44"/>
      <c r="P216" s="38"/>
      <c r="Q216" s="36"/>
      <c r="R216" s="38"/>
      <c r="S216" s="36"/>
      <c r="T216" s="37"/>
      <c r="U216" s="38"/>
    </row>
    <row r="217" customFormat="false" ht="27.75" hidden="false" customHeight="true" outlineLevel="0" collapsed="false">
      <c r="A217" s="36"/>
      <c r="B217" s="37"/>
      <c r="C217" s="38"/>
      <c r="D217" s="37"/>
      <c r="E217" s="37"/>
      <c r="F217" s="37"/>
      <c r="G217" s="37"/>
      <c r="H217" s="37"/>
      <c r="I217" s="38"/>
      <c r="J217" s="44"/>
      <c r="K217" s="44"/>
      <c r="L217" s="45" t="str">
        <f aca="false">IF(AND($J217="",$K217=""),"",ROUND(IFERROR(VALUE(LEFT($J217,1)),0)*12+IFERROR(VALUE(LEFT($K217,1)),0)*8,0))</f>
        <v/>
      </c>
      <c r="M217" s="45" t="str">
        <f aca="false">IF($L217="","",IF($L217&gt;=80,"A - pursue now",IF($L217&gt;=60,"B - worth pursuing",IF($L217&gt;=40,"C - nurture","D - park it"))))</f>
        <v/>
      </c>
      <c r="N217" s="37"/>
      <c r="O217" s="44"/>
      <c r="P217" s="38"/>
      <c r="Q217" s="36"/>
      <c r="R217" s="38"/>
      <c r="S217" s="36"/>
      <c r="T217" s="37"/>
      <c r="U217" s="38"/>
    </row>
    <row r="218" customFormat="false" ht="27.75" hidden="false" customHeight="true" outlineLevel="0" collapsed="false">
      <c r="A218" s="36"/>
      <c r="B218" s="37"/>
      <c r="C218" s="38"/>
      <c r="D218" s="37"/>
      <c r="E218" s="37"/>
      <c r="F218" s="37"/>
      <c r="G218" s="37"/>
      <c r="H218" s="37"/>
      <c r="I218" s="38"/>
      <c r="J218" s="44"/>
      <c r="K218" s="44"/>
      <c r="L218" s="45" t="str">
        <f aca="false">IF(AND($J218="",$K218=""),"",ROUND(IFERROR(VALUE(LEFT($J218,1)),0)*12+IFERROR(VALUE(LEFT($K218,1)),0)*8,0))</f>
        <v/>
      </c>
      <c r="M218" s="45" t="str">
        <f aca="false">IF($L218="","",IF($L218&gt;=80,"A - pursue now",IF($L218&gt;=60,"B - worth pursuing",IF($L218&gt;=40,"C - nurture","D - park it"))))</f>
        <v/>
      </c>
      <c r="N218" s="37"/>
      <c r="O218" s="44"/>
      <c r="P218" s="38"/>
      <c r="Q218" s="36"/>
      <c r="R218" s="38"/>
      <c r="S218" s="36"/>
      <c r="T218" s="37"/>
      <c r="U218" s="38"/>
    </row>
    <row r="219" customFormat="false" ht="27.75" hidden="false" customHeight="true" outlineLevel="0" collapsed="false">
      <c r="A219" s="36"/>
      <c r="B219" s="37"/>
      <c r="C219" s="38"/>
      <c r="D219" s="37"/>
      <c r="E219" s="37"/>
      <c r="F219" s="37"/>
      <c r="G219" s="37"/>
      <c r="H219" s="37"/>
      <c r="I219" s="38"/>
      <c r="J219" s="44"/>
      <c r="K219" s="44"/>
      <c r="L219" s="45" t="str">
        <f aca="false">IF(AND($J219="",$K219=""),"",ROUND(IFERROR(VALUE(LEFT($J219,1)),0)*12+IFERROR(VALUE(LEFT($K219,1)),0)*8,0))</f>
        <v/>
      </c>
      <c r="M219" s="45" t="str">
        <f aca="false">IF($L219="","",IF($L219&gt;=80,"A - pursue now",IF($L219&gt;=60,"B - worth pursuing",IF($L219&gt;=40,"C - nurture","D - park it"))))</f>
        <v/>
      </c>
      <c r="N219" s="37"/>
      <c r="O219" s="44"/>
      <c r="P219" s="38"/>
      <c r="Q219" s="36"/>
      <c r="R219" s="38"/>
      <c r="S219" s="36"/>
      <c r="T219" s="37"/>
      <c r="U219" s="38"/>
    </row>
    <row r="220" customFormat="false" ht="27.75" hidden="false" customHeight="true" outlineLevel="0" collapsed="false">
      <c r="A220" s="36"/>
      <c r="B220" s="37"/>
      <c r="C220" s="38"/>
      <c r="D220" s="37"/>
      <c r="E220" s="37"/>
      <c r="F220" s="37"/>
      <c r="G220" s="37"/>
      <c r="H220" s="37"/>
      <c r="I220" s="38"/>
      <c r="J220" s="44"/>
      <c r="K220" s="44"/>
      <c r="L220" s="45" t="str">
        <f aca="false">IF(AND($J220="",$K220=""),"",ROUND(IFERROR(VALUE(LEFT($J220,1)),0)*12+IFERROR(VALUE(LEFT($K220,1)),0)*8,0))</f>
        <v/>
      </c>
      <c r="M220" s="45" t="str">
        <f aca="false">IF($L220="","",IF($L220&gt;=80,"A - pursue now",IF($L220&gt;=60,"B - worth pursuing",IF($L220&gt;=40,"C - nurture","D - park it"))))</f>
        <v/>
      </c>
      <c r="N220" s="37"/>
      <c r="O220" s="44"/>
      <c r="P220" s="38"/>
      <c r="Q220" s="36"/>
      <c r="R220" s="38"/>
      <c r="S220" s="36"/>
      <c r="T220" s="37"/>
      <c r="U220" s="38"/>
    </row>
    <row r="221" customFormat="false" ht="27.75" hidden="false" customHeight="true" outlineLevel="0" collapsed="false">
      <c r="A221" s="36"/>
      <c r="B221" s="37"/>
      <c r="C221" s="38"/>
      <c r="D221" s="37"/>
      <c r="E221" s="37"/>
      <c r="F221" s="37"/>
      <c r="G221" s="37"/>
      <c r="H221" s="37"/>
      <c r="I221" s="38"/>
      <c r="J221" s="44"/>
      <c r="K221" s="44"/>
      <c r="L221" s="45" t="str">
        <f aca="false">IF(AND($J221="",$K221=""),"",ROUND(IFERROR(VALUE(LEFT($J221,1)),0)*12+IFERROR(VALUE(LEFT($K221,1)),0)*8,0))</f>
        <v/>
      </c>
      <c r="M221" s="45" t="str">
        <f aca="false">IF($L221="","",IF($L221&gt;=80,"A - pursue now",IF($L221&gt;=60,"B - worth pursuing",IF($L221&gt;=40,"C - nurture","D - park it"))))</f>
        <v/>
      </c>
      <c r="N221" s="37"/>
      <c r="O221" s="44"/>
      <c r="P221" s="38"/>
      <c r="Q221" s="36"/>
      <c r="R221" s="38"/>
      <c r="S221" s="36"/>
      <c r="T221" s="37"/>
      <c r="U221" s="38"/>
    </row>
    <row r="222" customFormat="false" ht="27.75" hidden="false" customHeight="true" outlineLevel="0" collapsed="false">
      <c r="A222" s="36"/>
      <c r="B222" s="37"/>
      <c r="C222" s="38"/>
      <c r="D222" s="37"/>
      <c r="E222" s="37"/>
      <c r="F222" s="37"/>
      <c r="G222" s="37"/>
      <c r="H222" s="37"/>
      <c r="I222" s="38"/>
      <c r="J222" s="44"/>
      <c r="K222" s="44"/>
      <c r="L222" s="45" t="str">
        <f aca="false">IF(AND($J222="",$K222=""),"",ROUND(IFERROR(VALUE(LEFT($J222,1)),0)*12+IFERROR(VALUE(LEFT($K222,1)),0)*8,0))</f>
        <v/>
      </c>
      <c r="M222" s="45" t="str">
        <f aca="false">IF($L222="","",IF($L222&gt;=80,"A - pursue now",IF($L222&gt;=60,"B - worth pursuing",IF($L222&gt;=40,"C - nurture","D - park it"))))</f>
        <v/>
      </c>
      <c r="N222" s="37"/>
      <c r="O222" s="44"/>
      <c r="P222" s="38"/>
      <c r="Q222" s="36"/>
      <c r="R222" s="38"/>
      <c r="S222" s="36"/>
      <c r="T222" s="37"/>
      <c r="U222" s="38"/>
    </row>
    <row r="223" customFormat="false" ht="27.75" hidden="false" customHeight="true" outlineLevel="0" collapsed="false">
      <c r="A223" s="36"/>
      <c r="B223" s="37"/>
      <c r="C223" s="38"/>
      <c r="D223" s="37"/>
      <c r="E223" s="37"/>
      <c r="F223" s="37"/>
      <c r="G223" s="37"/>
      <c r="H223" s="37"/>
      <c r="I223" s="38"/>
      <c r="J223" s="44"/>
      <c r="K223" s="44"/>
      <c r="L223" s="45" t="str">
        <f aca="false">IF(AND($J223="",$K223=""),"",ROUND(IFERROR(VALUE(LEFT($J223,1)),0)*12+IFERROR(VALUE(LEFT($K223,1)),0)*8,0))</f>
        <v/>
      </c>
      <c r="M223" s="45" t="str">
        <f aca="false">IF($L223="","",IF($L223&gt;=80,"A - pursue now",IF($L223&gt;=60,"B - worth pursuing",IF($L223&gt;=40,"C - nurture","D - park it"))))</f>
        <v/>
      </c>
      <c r="N223" s="37"/>
      <c r="O223" s="44"/>
      <c r="P223" s="38"/>
      <c r="Q223" s="36"/>
      <c r="R223" s="38"/>
      <c r="S223" s="36"/>
      <c r="T223" s="37"/>
      <c r="U223" s="38"/>
    </row>
    <row r="224" customFormat="false" ht="27.75" hidden="false" customHeight="true" outlineLevel="0" collapsed="false">
      <c r="A224" s="36"/>
      <c r="B224" s="37"/>
      <c r="C224" s="38"/>
      <c r="D224" s="37"/>
      <c r="E224" s="37"/>
      <c r="F224" s="37"/>
      <c r="G224" s="37"/>
      <c r="H224" s="37"/>
      <c r="I224" s="38"/>
      <c r="J224" s="44"/>
      <c r="K224" s="44"/>
      <c r="L224" s="45" t="str">
        <f aca="false">IF(AND($J224="",$K224=""),"",ROUND(IFERROR(VALUE(LEFT($J224,1)),0)*12+IFERROR(VALUE(LEFT($K224,1)),0)*8,0))</f>
        <v/>
      </c>
      <c r="M224" s="45" t="str">
        <f aca="false">IF($L224="","",IF($L224&gt;=80,"A - pursue now",IF($L224&gt;=60,"B - worth pursuing",IF($L224&gt;=40,"C - nurture","D - park it"))))</f>
        <v/>
      </c>
      <c r="N224" s="37"/>
      <c r="O224" s="44"/>
      <c r="P224" s="38"/>
      <c r="Q224" s="36"/>
      <c r="R224" s="38"/>
      <c r="S224" s="36"/>
      <c r="T224" s="37"/>
      <c r="U224" s="38"/>
    </row>
    <row r="225" customFormat="false" ht="27.75" hidden="false" customHeight="true" outlineLevel="0" collapsed="false">
      <c r="A225" s="36"/>
      <c r="B225" s="37"/>
      <c r="C225" s="38"/>
      <c r="D225" s="37"/>
      <c r="E225" s="37"/>
      <c r="F225" s="37"/>
      <c r="G225" s="37"/>
      <c r="H225" s="37"/>
      <c r="I225" s="38"/>
      <c r="J225" s="44"/>
      <c r="K225" s="44"/>
      <c r="L225" s="45" t="str">
        <f aca="false">IF(AND($J225="",$K225=""),"",ROUND(IFERROR(VALUE(LEFT($J225,1)),0)*12+IFERROR(VALUE(LEFT($K225,1)),0)*8,0))</f>
        <v/>
      </c>
      <c r="M225" s="45" t="str">
        <f aca="false">IF($L225="","",IF($L225&gt;=80,"A - pursue now",IF($L225&gt;=60,"B - worth pursuing",IF($L225&gt;=40,"C - nurture","D - park it"))))</f>
        <v/>
      </c>
      <c r="N225" s="37"/>
      <c r="O225" s="44"/>
      <c r="P225" s="38"/>
      <c r="Q225" s="36"/>
      <c r="R225" s="38"/>
      <c r="S225" s="36"/>
      <c r="T225" s="37"/>
      <c r="U225" s="38"/>
    </row>
    <row r="226" customFormat="false" ht="27.75" hidden="false" customHeight="true" outlineLevel="0" collapsed="false">
      <c r="A226" s="36"/>
      <c r="B226" s="37"/>
      <c r="C226" s="38"/>
      <c r="D226" s="37"/>
      <c r="E226" s="37"/>
      <c r="F226" s="37"/>
      <c r="G226" s="37"/>
      <c r="H226" s="37"/>
      <c r="I226" s="38"/>
      <c r="J226" s="44"/>
      <c r="K226" s="44"/>
      <c r="L226" s="45" t="str">
        <f aca="false">IF(AND($J226="",$K226=""),"",ROUND(IFERROR(VALUE(LEFT($J226,1)),0)*12+IFERROR(VALUE(LEFT($K226,1)),0)*8,0))</f>
        <v/>
      </c>
      <c r="M226" s="45" t="str">
        <f aca="false">IF($L226="","",IF($L226&gt;=80,"A - pursue now",IF($L226&gt;=60,"B - worth pursuing",IF($L226&gt;=40,"C - nurture","D - park it"))))</f>
        <v/>
      </c>
      <c r="N226" s="37"/>
      <c r="O226" s="44"/>
      <c r="P226" s="38"/>
      <c r="Q226" s="36"/>
      <c r="R226" s="38"/>
      <c r="S226" s="36"/>
      <c r="T226" s="37"/>
      <c r="U226" s="38"/>
    </row>
    <row r="227" customFormat="false" ht="27.75" hidden="false" customHeight="true" outlineLevel="0" collapsed="false">
      <c r="A227" s="36"/>
      <c r="B227" s="37"/>
      <c r="C227" s="38"/>
      <c r="D227" s="37"/>
      <c r="E227" s="37"/>
      <c r="F227" s="37"/>
      <c r="G227" s="37"/>
      <c r="H227" s="37"/>
      <c r="I227" s="38"/>
      <c r="J227" s="44"/>
      <c r="K227" s="44"/>
      <c r="L227" s="45" t="str">
        <f aca="false">IF(AND($J227="",$K227=""),"",ROUND(IFERROR(VALUE(LEFT($J227,1)),0)*12+IFERROR(VALUE(LEFT($K227,1)),0)*8,0))</f>
        <v/>
      </c>
      <c r="M227" s="45" t="str">
        <f aca="false">IF($L227="","",IF($L227&gt;=80,"A - pursue now",IF($L227&gt;=60,"B - worth pursuing",IF($L227&gt;=40,"C - nurture","D - park it"))))</f>
        <v/>
      </c>
      <c r="N227" s="37"/>
      <c r="O227" s="44"/>
      <c r="P227" s="38"/>
      <c r="Q227" s="36"/>
      <c r="R227" s="38"/>
      <c r="S227" s="36"/>
      <c r="T227" s="37"/>
      <c r="U227" s="38"/>
    </row>
    <row r="228" customFormat="false" ht="27.75" hidden="false" customHeight="true" outlineLevel="0" collapsed="false">
      <c r="A228" s="36"/>
      <c r="B228" s="37"/>
      <c r="C228" s="38"/>
      <c r="D228" s="37"/>
      <c r="E228" s="37"/>
      <c r="F228" s="37"/>
      <c r="G228" s="37"/>
      <c r="H228" s="37"/>
      <c r="I228" s="38"/>
      <c r="J228" s="44"/>
      <c r="K228" s="44"/>
      <c r="L228" s="45" t="str">
        <f aca="false">IF(AND($J228="",$K228=""),"",ROUND(IFERROR(VALUE(LEFT($J228,1)),0)*12+IFERROR(VALUE(LEFT($K228,1)),0)*8,0))</f>
        <v/>
      </c>
      <c r="M228" s="45" t="str">
        <f aca="false">IF($L228="","",IF($L228&gt;=80,"A - pursue now",IF($L228&gt;=60,"B - worth pursuing",IF($L228&gt;=40,"C - nurture","D - park it"))))</f>
        <v/>
      </c>
      <c r="N228" s="37"/>
      <c r="O228" s="44"/>
      <c r="P228" s="38"/>
      <c r="Q228" s="36"/>
      <c r="R228" s="38"/>
      <c r="S228" s="36"/>
      <c r="T228" s="37"/>
      <c r="U228" s="38"/>
    </row>
    <row r="229" customFormat="false" ht="27.75" hidden="false" customHeight="true" outlineLevel="0" collapsed="false">
      <c r="A229" s="36"/>
      <c r="B229" s="37"/>
      <c r="C229" s="38"/>
      <c r="D229" s="37"/>
      <c r="E229" s="37"/>
      <c r="F229" s="37"/>
      <c r="G229" s="37"/>
      <c r="H229" s="37"/>
      <c r="I229" s="38"/>
      <c r="J229" s="44"/>
      <c r="K229" s="44"/>
      <c r="L229" s="45" t="str">
        <f aca="false">IF(AND($J229="",$K229=""),"",ROUND(IFERROR(VALUE(LEFT($J229,1)),0)*12+IFERROR(VALUE(LEFT($K229,1)),0)*8,0))</f>
        <v/>
      </c>
      <c r="M229" s="45" t="str">
        <f aca="false">IF($L229="","",IF($L229&gt;=80,"A - pursue now",IF($L229&gt;=60,"B - worth pursuing",IF($L229&gt;=40,"C - nurture","D - park it"))))</f>
        <v/>
      </c>
      <c r="N229" s="37"/>
      <c r="O229" s="44"/>
      <c r="P229" s="38"/>
      <c r="Q229" s="36"/>
      <c r="R229" s="38"/>
      <c r="S229" s="36"/>
      <c r="T229" s="37"/>
      <c r="U229" s="38"/>
    </row>
    <row r="230" customFormat="false" ht="27.75" hidden="false" customHeight="true" outlineLevel="0" collapsed="false">
      <c r="A230" s="36"/>
      <c r="B230" s="37"/>
      <c r="C230" s="38"/>
      <c r="D230" s="37"/>
      <c r="E230" s="37"/>
      <c r="F230" s="37"/>
      <c r="G230" s="37"/>
      <c r="H230" s="37"/>
      <c r="I230" s="38"/>
      <c r="J230" s="44"/>
      <c r="K230" s="44"/>
      <c r="L230" s="45" t="str">
        <f aca="false">IF(AND($J230="",$K230=""),"",ROUND(IFERROR(VALUE(LEFT($J230,1)),0)*12+IFERROR(VALUE(LEFT($K230,1)),0)*8,0))</f>
        <v/>
      </c>
      <c r="M230" s="45" t="str">
        <f aca="false">IF($L230="","",IF($L230&gt;=80,"A - pursue now",IF($L230&gt;=60,"B - worth pursuing",IF($L230&gt;=40,"C - nurture","D - park it"))))</f>
        <v/>
      </c>
      <c r="N230" s="37"/>
      <c r="O230" s="44"/>
      <c r="P230" s="38"/>
      <c r="Q230" s="36"/>
      <c r="R230" s="38"/>
      <c r="S230" s="36"/>
      <c r="T230" s="37"/>
      <c r="U230" s="38"/>
    </row>
    <row r="231" customFormat="false" ht="27.75" hidden="false" customHeight="true" outlineLevel="0" collapsed="false">
      <c r="A231" s="36"/>
      <c r="B231" s="37"/>
      <c r="C231" s="38"/>
      <c r="D231" s="37"/>
      <c r="E231" s="37"/>
      <c r="F231" s="37"/>
      <c r="G231" s="37"/>
      <c r="H231" s="37"/>
      <c r="I231" s="38"/>
      <c r="J231" s="44"/>
      <c r="K231" s="44"/>
      <c r="L231" s="45" t="str">
        <f aca="false">IF(AND($J231="",$K231=""),"",ROUND(IFERROR(VALUE(LEFT($J231,1)),0)*12+IFERROR(VALUE(LEFT($K231,1)),0)*8,0))</f>
        <v/>
      </c>
      <c r="M231" s="45" t="str">
        <f aca="false">IF($L231="","",IF($L231&gt;=80,"A - pursue now",IF($L231&gt;=60,"B - worth pursuing",IF($L231&gt;=40,"C - nurture","D - park it"))))</f>
        <v/>
      </c>
      <c r="N231" s="37"/>
      <c r="O231" s="44"/>
      <c r="P231" s="38"/>
      <c r="Q231" s="36"/>
      <c r="R231" s="38"/>
      <c r="S231" s="36"/>
      <c r="T231" s="37"/>
      <c r="U231" s="38"/>
    </row>
    <row r="232" customFormat="false" ht="27.75" hidden="false" customHeight="true" outlineLevel="0" collapsed="false">
      <c r="A232" s="36"/>
      <c r="B232" s="37"/>
      <c r="C232" s="38"/>
      <c r="D232" s="37"/>
      <c r="E232" s="37"/>
      <c r="F232" s="37"/>
      <c r="G232" s="37"/>
      <c r="H232" s="37"/>
      <c r="I232" s="38"/>
      <c r="J232" s="44"/>
      <c r="K232" s="44"/>
      <c r="L232" s="45" t="str">
        <f aca="false">IF(AND($J232="",$K232=""),"",ROUND(IFERROR(VALUE(LEFT($J232,1)),0)*12+IFERROR(VALUE(LEFT($K232,1)),0)*8,0))</f>
        <v/>
      </c>
      <c r="M232" s="45" t="str">
        <f aca="false">IF($L232="","",IF($L232&gt;=80,"A - pursue now",IF($L232&gt;=60,"B - worth pursuing",IF($L232&gt;=40,"C - nurture","D - park it"))))</f>
        <v/>
      </c>
      <c r="N232" s="37"/>
      <c r="O232" s="44"/>
      <c r="P232" s="38"/>
      <c r="Q232" s="36"/>
      <c r="R232" s="38"/>
      <c r="S232" s="36"/>
      <c r="T232" s="37"/>
      <c r="U232" s="38"/>
    </row>
    <row r="233" customFormat="false" ht="27.75" hidden="false" customHeight="true" outlineLevel="0" collapsed="false">
      <c r="A233" s="36"/>
      <c r="B233" s="37"/>
      <c r="C233" s="38"/>
      <c r="D233" s="37"/>
      <c r="E233" s="37"/>
      <c r="F233" s="37"/>
      <c r="G233" s="37"/>
      <c r="H233" s="37"/>
      <c r="I233" s="38"/>
      <c r="J233" s="44"/>
      <c r="K233" s="44"/>
      <c r="L233" s="45" t="str">
        <f aca="false">IF(AND($J233="",$K233=""),"",ROUND(IFERROR(VALUE(LEFT($J233,1)),0)*12+IFERROR(VALUE(LEFT($K233,1)),0)*8,0))</f>
        <v/>
      </c>
      <c r="M233" s="45" t="str">
        <f aca="false">IF($L233="","",IF($L233&gt;=80,"A - pursue now",IF($L233&gt;=60,"B - worth pursuing",IF($L233&gt;=40,"C - nurture","D - park it"))))</f>
        <v/>
      </c>
      <c r="N233" s="37"/>
      <c r="O233" s="44"/>
      <c r="P233" s="38"/>
      <c r="Q233" s="36"/>
      <c r="R233" s="38"/>
      <c r="S233" s="36"/>
      <c r="T233" s="37"/>
      <c r="U233" s="38"/>
    </row>
    <row r="234" customFormat="false" ht="27.75" hidden="false" customHeight="true" outlineLevel="0" collapsed="false">
      <c r="A234" s="36"/>
      <c r="B234" s="37"/>
      <c r="C234" s="38"/>
      <c r="D234" s="37"/>
      <c r="E234" s="37"/>
      <c r="F234" s="37"/>
      <c r="G234" s="37"/>
      <c r="H234" s="37"/>
      <c r="I234" s="38"/>
      <c r="J234" s="44"/>
      <c r="K234" s="44"/>
      <c r="L234" s="45" t="str">
        <f aca="false">IF(AND($J234="",$K234=""),"",ROUND(IFERROR(VALUE(LEFT($J234,1)),0)*12+IFERROR(VALUE(LEFT($K234,1)),0)*8,0))</f>
        <v/>
      </c>
      <c r="M234" s="45" t="str">
        <f aca="false">IF($L234="","",IF($L234&gt;=80,"A - pursue now",IF($L234&gt;=60,"B - worth pursuing",IF($L234&gt;=40,"C - nurture","D - park it"))))</f>
        <v/>
      </c>
      <c r="N234" s="37"/>
      <c r="O234" s="44"/>
      <c r="P234" s="38"/>
      <c r="Q234" s="36"/>
      <c r="R234" s="38"/>
      <c r="S234" s="36"/>
      <c r="T234" s="37"/>
      <c r="U234" s="38"/>
    </row>
    <row r="235" customFormat="false" ht="27.75" hidden="false" customHeight="true" outlineLevel="0" collapsed="false">
      <c r="A235" s="36"/>
      <c r="B235" s="37"/>
      <c r="C235" s="38"/>
      <c r="D235" s="37"/>
      <c r="E235" s="37"/>
      <c r="F235" s="37"/>
      <c r="G235" s="37"/>
      <c r="H235" s="37"/>
      <c r="I235" s="38"/>
      <c r="J235" s="44"/>
      <c r="K235" s="44"/>
      <c r="L235" s="45" t="str">
        <f aca="false">IF(AND($J235="",$K235=""),"",ROUND(IFERROR(VALUE(LEFT($J235,1)),0)*12+IFERROR(VALUE(LEFT($K235,1)),0)*8,0))</f>
        <v/>
      </c>
      <c r="M235" s="45" t="str">
        <f aca="false">IF($L235="","",IF($L235&gt;=80,"A - pursue now",IF($L235&gt;=60,"B - worth pursuing",IF($L235&gt;=40,"C - nurture","D - park it"))))</f>
        <v/>
      </c>
      <c r="N235" s="37"/>
      <c r="O235" s="44"/>
      <c r="P235" s="38"/>
      <c r="Q235" s="36"/>
      <c r="R235" s="38"/>
      <c r="S235" s="36"/>
      <c r="T235" s="37"/>
      <c r="U235" s="38"/>
    </row>
    <row r="236" customFormat="false" ht="27.75" hidden="false" customHeight="true" outlineLevel="0" collapsed="false">
      <c r="A236" s="36"/>
      <c r="B236" s="37"/>
      <c r="C236" s="38"/>
      <c r="D236" s="37"/>
      <c r="E236" s="37"/>
      <c r="F236" s="37"/>
      <c r="G236" s="37"/>
      <c r="H236" s="37"/>
      <c r="I236" s="38"/>
      <c r="J236" s="44"/>
      <c r="K236" s="44"/>
      <c r="L236" s="45" t="str">
        <f aca="false">IF(AND($J236="",$K236=""),"",ROUND(IFERROR(VALUE(LEFT($J236,1)),0)*12+IFERROR(VALUE(LEFT($K236,1)),0)*8,0))</f>
        <v/>
      </c>
      <c r="M236" s="45" t="str">
        <f aca="false">IF($L236="","",IF($L236&gt;=80,"A - pursue now",IF($L236&gt;=60,"B - worth pursuing",IF($L236&gt;=40,"C - nurture","D - park it"))))</f>
        <v/>
      </c>
      <c r="N236" s="37"/>
      <c r="O236" s="44"/>
      <c r="P236" s="38"/>
      <c r="Q236" s="36"/>
      <c r="R236" s="38"/>
      <c r="S236" s="36"/>
      <c r="T236" s="37"/>
      <c r="U236" s="38"/>
    </row>
    <row r="237" customFormat="false" ht="27.75" hidden="false" customHeight="true" outlineLevel="0" collapsed="false">
      <c r="A237" s="36"/>
      <c r="B237" s="37"/>
      <c r="C237" s="38"/>
      <c r="D237" s="37"/>
      <c r="E237" s="37"/>
      <c r="F237" s="37"/>
      <c r="G237" s="37"/>
      <c r="H237" s="37"/>
      <c r="I237" s="38"/>
      <c r="J237" s="44"/>
      <c r="K237" s="44"/>
      <c r="L237" s="45" t="str">
        <f aca="false">IF(AND($J237="",$K237=""),"",ROUND(IFERROR(VALUE(LEFT($J237,1)),0)*12+IFERROR(VALUE(LEFT($K237,1)),0)*8,0))</f>
        <v/>
      </c>
      <c r="M237" s="45" t="str">
        <f aca="false">IF($L237="","",IF($L237&gt;=80,"A - pursue now",IF($L237&gt;=60,"B - worth pursuing",IF($L237&gt;=40,"C - nurture","D - park it"))))</f>
        <v/>
      </c>
      <c r="N237" s="37"/>
      <c r="O237" s="44"/>
      <c r="P237" s="38"/>
      <c r="Q237" s="36"/>
      <c r="R237" s="38"/>
      <c r="S237" s="36"/>
      <c r="T237" s="37"/>
      <c r="U237" s="38"/>
    </row>
    <row r="238" customFormat="false" ht="27.75" hidden="false" customHeight="true" outlineLevel="0" collapsed="false">
      <c r="A238" s="36"/>
      <c r="B238" s="37"/>
      <c r="C238" s="38"/>
      <c r="D238" s="37"/>
      <c r="E238" s="37"/>
      <c r="F238" s="37"/>
      <c r="G238" s="37"/>
      <c r="H238" s="37"/>
      <c r="I238" s="38"/>
      <c r="J238" s="44"/>
      <c r="K238" s="44"/>
      <c r="L238" s="45" t="str">
        <f aca="false">IF(AND($J238="",$K238=""),"",ROUND(IFERROR(VALUE(LEFT($J238,1)),0)*12+IFERROR(VALUE(LEFT($K238,1)),0)*8,0))</f>
        <v/>
      </c>
      <c r="M238" s="45" t="str">
        <f aca="false">IF($L238="","",IF($L238&gt;=80,"A - pursue now",IF($L238&gt;=60,"B - worth pursuing",IF($L238&gt;=40,"C - nurture","D - park it"))))</f>
        <v/>
      </c>
      <c r="N238" s="37"/>
      <c r="O238" s="44"/>
      <c r="P238" s="38"/>
      <c r="Q238" s="36"/>
      <c r="R238" s="38"/>
      <c r="S238" s="36"/>
      <c r="T238" s="37"/>
      <c r="U238" s="38"/>
    </row>
    <row r="239" customFormat="false" ht="27.75" hidden="false" customHeight="true" outlineLevel="0" collapsed="false">
      <c r="A239" s="36"/>
      <c r="B239" s="37"/>
      <c r="C239" s="38"/>
      <c r="D239" s="37"/>
      <c r="E239" s="37"/>
      <c r="F239" s="37"/>
      <c r="G239" s="37"/>
      <c r="H239" s="37"/>
      <c r="I239" s="38"/>
      <c r="J239" s="44"/>
      <c r="K239" s="44"/>
      <c r="L239" s="45" t="str">
        <f aca="false">IF(AND($J239="",$K239=""),"",ROUND(IFERROR(VALUE(LEFT($J239,1)),0)*12+IFERROR(VALUE(LEFT($K239,1)),0)*8,0))</f>
        <v/>
      </c>
      <c r="M239" s="45" t="str">
        <f aca="false">IF($L239="","",IF($L239&gt;=80,"A - pursue now",IF($L239&gt;=60,"B - worth pursuing",IF($L239&gt;=40,"C - nurture","D - park it"))))</f>
        <v/>
      </c>
      <c r="N239" s="37"/>
      <c r="O239" s="44"/>
      <c r="P239" s="38"/>
      <c r="Q239" s="36"/>
      <c r="R239" s="38"/>
      <c r="S239" s="36"/>
      <c r="T239" s="37"/>
      <c r="U239" s="38"/>
    </row>
    <row r="240" customFormat="false" ht="27.75" hidden="false" customHeight="true" outlineLevel="0" collapsed="false">
      <c r="A240" s="36"/>
      <c r="B240" s="37"/>
      <c r="C240" s="38"/>
      <c r="D240" s="37"/>
      <c r="E240" s="37"/>
      <c r="F240" s="37"/>
      <c r="G240" s="37"/>
      <c r="H240" s="37"/>
      <c r="I240" s="38"/>
      <c r="J240" s="44"/>
      <c r="K240" s="44"/>
      <c r="L240" s="45" t="str">
        <f aca="false">IF(AND($J240="",$K240=""),"",ROUND(IFERROR(VALUE(LEFT($J240,1)),0)*12+IFERROR(VALUE(LEFT($K240,1)),0)*8,0))</f>
        <v/>
      </c>
      <c r="M240" s="45" t="str">
        <f aca="false">IF($L240="","",IF($L240&gt;=80,"A - pursue now",IF($L240&gt;=60,"B - worth pursuing",IF($L240&gt;=40,"C - nurture","D - park it"))))</f>
        <v/>
      </c>
      <c r="N240" s="37"/>
      <c r="O240" s="44"/>
      <c r="P240" s="38"/>
      <c r="Q240" s="36"/>
      <c r="R240" s="38"/>
      <c r="S240" s="36"/>
      <c r="T240" s="37"/>
      <c r="U240" s="38"/>
    </row>
    <row r="241" customFormat="false" ht="27.75" hidden="false" customHeight="true" outlineLevel="0" collapsed="false">
      <c r="A241" s="36"/>
      <c r="B241" s="37"/>
      <c r="C241" s="38"/>
      <c r="D241" s="37"/>
      <c r="E241" s="37"/>
      <c r="F241" s="37"/>
      <c r="G241" s="37"/>
      <c r="H241" s="37"/>
      <c r="I241" s="38"/>
      <c r="J241" s="44"/>
      <c r="K241" s="44"/>
      <c r="L241" s="45" t="str">
        <f aca="false">IF(AND($J241="",$K241=""),"",ROUND(IFERROR(VALUE(LEFT($J241,1)),0)*12+IFERROR(VALUE(LEFT($K241,1)),0)*8,0))</f>
        <v/>
      </c>
      <c r="M241" s="45" t="str">
        <f aca="false">IF($L241="","",IF($L241&gt;=80,"A - pursue now",IF($L241&gt;=60,"B - worth pursuing",IF($L241&gt;=40,"C - nurture","D - park it"))))</f>
        <v/>
      </c>
      <c r="N241" s="37"/>
      <c r="O241" s="44"/>
      <c r="P241" s="38"/>
      <c r="Q241" s="36"/>
      <c r="R241" s="38"/>
      <c r="S241" s="36"/>
      <c r="T241" s="37"/>
      <c r="U241" s="38"/>
    </row>
    <row r="242" customFormat="false" ht="27.75" hidden="false" customHeight="true" outlineLevel="0" collapsed="false">
      <c r="A242" s="36"/>
      <c r="B242" s="37"/>
      <c r="C242" s="38"/>
      <c r="D242" s="37"/>
      <c r="E242" s="37"/>
      <c r="F242" s="37"/>
      <c r="G242" s="37"/>
      <c r="H242" s="37"/>
      <c r="I242" s="38"/>
      <c r="J242" s="44"/>
      <c r="K242" s="44"/>
      <c r="L242" s="45" t="str">
        <f aca="false">IF(AND($J242="",$K242=""),"",ROUND(IFERROR(VALUE(LEFT($J242,1)),0)*12+IFERROR(VALUE(LEFT($K242,1)),0)*8,0))</f>
        <v/>
      </c>
      <c r="M242" s="45" t="str">
        <f aca="false">IF($L242="","",IF($L242&gt;=80,"A - pursue now",IF($L242&gt;=60,"B - worth pursuing",IF($L242&gt;=40,"C - nurture","D - park it"))))</f>
        <v/>
      </c>
      <c r="N242" s="37"/>
      <c r="O242" s="44"/>
      <c r="P242" s="38"/>
      <c r="Q242" s="36"/>
      <c r="R242" s="38"/>
      <c r="S242" s="36"/>
      <c r="T242" s="37"/>
      <c r="U242" s="38"/>
    </row>
    <row r="243" customFormat="false" ht="27.75" hidden="false" customHeight="true" outlineLevel="0" collapsed="false">
      <c r="A243" s="36"/>
      <c r="B243" s="37"/>
      <c r="C243" s="38"/>
      <c r="D243" s="37"/>
      <c r="E243" s="37"/>
      <c r="F243" s="37"/>
      <c r="G243" s="37"/>
      <c r="H243" s="37"/>
      <c r="I243" s="38"/>
      <c r="J243" s="44"/>
      <c r="K243" s="44"/>
      <c r="L243" s="45" t="str">
        <f aca="false">IF(AND($J243="",$K243=""),"",ROUND(IFERROR(VALUE(LEFT($J243,1)),0)*12+IFERROR(VALUE(LEFT($K243,1)),0)*8,0))</f>
        <v/>
      </c>
      <c r="M243" s="45" t="str">
        <f aca="false">IF($L243="","",IF($L243&gt;=80,"A - pursue now",IF($L243&gt;=60,"B - worth pursuing",IF($L243&gt;=40,"C - nurture","D - park it"))))</f>
        <v/>
      </c>
      <c r="N243" s="37"/>
      <c r="O243" s="44"/>
      <c r="P243" s="38"/>
      <c r="Q243" s="36"/>
      <c r="R243" s="38"/>
      <c r="S243" s="36"/>
      <c r="T243" s="37"/>
      <c r="U243" s="38"/>
    </row>
    <row r="244" customFormat="false" ht="27.75" hidden="false" customHeight="true" outlineLevel="0" collapsed="false">
      <c r="A244" s="36"/>
      <c r="B244" s="37"/>
      <c r="C244" s="38"/>
      <c r="D244" s="37"/>
      <c r="E244" s="37"/>
      <c r="F244" s="37"/>
      <c r="G244" s="37"/>
      <c r="H244" s="37"/>
      <c r="I244" s="38"/>
      <c r="J244" s="44"/>
      <c r="K244" s="44"/>
      <c r="L244" s="45" t="str">
        <f aca="false">IF(AND($J244="",$K244=""),"",ROUND(IFERROR(VALUE(LEFT($J244,1)),0)*12+IFERROR(VALUE(LEFT($K244,1)),0)*8,0))</f>
        <v/>
      </c>
      <c r="M244" s="45" t="str">
        <f aca="false">IF($L244="","",IF($L244&gt;=80,"A - pursue now",IF($L244&gt;=60,"B - worth pursuing",IF($L244&gt;=40,"C - nurture","D - park it"))))</f>
        <v/>
      </c>
      <c r="N244" s="37"/>
      <c r="O244" s="44"/>
      <c r="P244" s="38"/>
      <c r="Q244" s="36"/>
      <c r="R244" s="38"/>
      <c r="S244" s="36"/>
      <c r="T244" s="37"/>
      <c r="U244" s="38"/>
    </row>
    <row r="245" customFormat="false" ht="27.75" hidden="false" customHeight="true" outlineLevel="0" collapsed="false">
      <c r="A245" s="36"/>
      <c r="B245" s="37"/>
      <c r="C245" s="38"/>
      <c r="D245" s="37"/>
      <c r="E245" s="37"/>
      <c r="F245" s="37"/>
      <c r="G245" s="37"/>
      <c r="H245" s="37"/>
      <c r="I245" s="38"/>
      <c r="J245" s="44"/>
      <c r="K245" s="44"/>
      <c r="L245" s="45" t="str">
        <f aca="false">IF(AND($J245="",$K245=""),"",ROUND(IFERROR(VALUE(LEFT($J245,1)),0)*12+IFERROR(VALUE(LEFT($K245,1)),0)*8,0))</f>
        <v/>
      </c>
      <c r="M245" s="45" t="str">
        <f aca="false">IF($L245="","",IF($L245&gt;=80,"A - pursue now",IF($L245&gt;=60,"B - worth pursuing",IF($L245&gt;=40,"C - nurture","D - park it"))))</f>
        <v/>
      </c>
      <c r="N245" s="37"/>
      <c r="O245" s="44"/>
      <c r="P245" s="38"/>
      <c r="Q245" s="36"/>
      <c r="R245" s="38"/>
      <c r="S245" s="36"/>
      <c r="T245" s="37"/>
      <c r="U245" s="38"/>
    </row>
    <row r="246" customFormat="false" ht="27.75" hidden="false" customHeight="true" outlineLevel="0" collapsed="false">
      <c r="A246" s="36"/>
      <c r="B246" s="37"/>
      <c r="C246" s="38"/>
      <c r="D246" s="37"/>
      <c r="E246" s="37"/>
      <c r="F246" s="37"/>
      <c r="G246" s="37"/>
      <c r="H246" s="37"/>
      <c r="I246" s="38"/>
      <c r="J246" s="44"/>
      <c r="K246" s="44"/>
      <c r="L246" s="45" t="str">
        <f aca="false">IF(AND($J246="",$K246=""),"",ROUND(IFERROR(VALUE(LEFT($J246,1)),0)*12+IFERROR(VALUE(LEFT($K246,1)),0)*8,0))</f>
        <v/>
      </c>
      <c r="M246" s="45" t="str">
        <f aca="false">IF($L246="","",IF($L246&gt;=80,"A - pursue now",IF($L246&gt;=60,"B - worth pursuing",IF($L246&gt;=40,"C - nurture","D - park it"))))</f>
        <v/>
      </c>
      <c r="N246" s="37"/>
      <c r="O246" s="44"/>
      <c r="P246" s="38"/>
      <c r="Q246" s="36"/>
      <c r="R246" s="38"/>
      <c r="S246" s="36"/>
      <c r="T246" s="37"/>
      <c r="U246" s="38"/>
    </row>
    <row r="247" customFormat="false" ht="27.75" hidden="false" customHeight="true" outlineLevel="0" collapsed="false">
      <c r="A247" s="36"/>
      <c r="B247" s="37"/>
      <c r="C247" s="38"/>
      <c r="D247" s="37"/>
      <c r="E247" s="37"/>
      <c r="F247" s="37"/>
      <c r="G247" s="37"/>
      <c r="H247" s="37"/>
      <c r="I247" s="38"/>
      <c r="J247" s="44"/>
      <c r="K247" s="44"/>
      <c r="L247" s="45" t="str">
        <f aca="false">IF(AND($J247="",$K247=""),"",ROUND(IFERROR(VALUE(LEFT($J247,1)),0)*12+IFERROR(VALUE(LEFT($K247,1)),0)*8,0))</f>
        <v/>
      </c>
      <c r="M247" s="45" t="str">
        <f aca="false">IF($L247="","",IF($L247&gt;=80,"A - pursue now",IF($L247&gt;=60,"B - worth pursuing",IF($L247&gt;=40,"C - nurture","D - park it"))))</f>
        <v/>
      </c>
      <c r="N247" s="37"/>
      <c r="O247" s="44"/>
      <c r="P247" s="38"/>
      <c r="Q247" s="36"/>
      <c r="R247" s="38"/>
      <c r="S247" s="36"/>
      <c r="T247" s="37"/>
      <c r="U247" s="38"/>
    </row>
    <row r="248" customFormat="false" ht="27.75" hidden="false" customHeight="true" outlineLevel="0" collapsed="false">
      <c r="A248" s="36"/>
      <c r="B248" s="37"/>
      <c r="C248" s="38"/>
      <c r="D248" s="37"/>
      <c r="E248" s="37"/>
      <c r="F248" s="37"/>
      <c r="G248" s="37"/>
      <c r="H248" s="37"/>
      <c r="I248" s="38"/>
      <c r="J248" s="44"/>
      <c r="K248" s="44"/>
      <c r="L248" s="45" t="str">
        <f aca="false">IF(AND($J248="",$K248=""),"",ROUND(IFERROR(VALUE(LEFT($J248,1)),0)*12+IFERROR(VALUE(LEFT($K248,1)),0)*8,0))</f>
        <v/>
      </c>
      <c r="M248" s="45" t="str">
        <f aca="false">IF($L248="","",IF($L248&gt;=80,"A - pursue now",IF($L248&gt;=60,"B - worth pursuing",IF($L248&gt;=40,"C - nurture","D - park it"))))</f>
        <v/>
      </c>
      <c r="N248" s="37"/>
      <c r="O248" s="44"/>
      <c r="P248" s="38"/>
      <c r="Q248" s="36"/>
      <c r="R248" s="38"/>
      <c r="S248" s="36"/>
      <c r="T248" s="37"/>
      <c r="U248" s="38"/>
    </row>
    <row r="249" customFormat="false" ht="27.75" hidden="false" customHeight="true" outlineLevel="0" collapsed="false">
      <c r="A249" s="36"/>
      <c r="B249" s="37"/>
      <c r="C249" s="38"/>
      <c r="D249" s="37"/>
      <c r="E249" s="37"/>
      <c r="F249" s="37"/>
      <c r="G249" s="37"/>
      <c r="H249" s="37"/>
      <c r="I249" s="38"/>
      <c r="J249" s="44"/>
      <c r="K249" s="44"/>
      <c r="L249" s="45" t="str">
        <f aca="false">IF(AND($J249="",$K249=""),"",ROUND(IFERROR(VALUE(LEFT($J249,1)),0)*12+IFERROR(VALUE(LEFT($K249,1)),0)*8,0))</f>
        <v/>
      </c>
      <c r="M249" s="45" t="str">
        <f aca="false">IF($L249="","",IF($L249&gt;=80,"A - pursue now",IF($L249&gt;=60,"B - worth pursuing",IF($L249&gt;=40,"C - nurture","D - park it"))))</f>
        <v/>
      </c>
      <c r="N249" s="37"/>
      <c r="O249" s="44"/>
      <c r="P249" s="38"/>
      <c r="Q249" s="36"/>
      <c r="R249" s="38"/>
      <c r="S249" s="36"/>
      <c r="T249" s="37"/>
      <c r="U249" s="38"/>
    </row>
    <row r="250" customFormat="false" ht="27.75" hidden="false" customHeight="true" outlineLevel="0" collapsed="false">
      <c r="A250" s="36"/>
      <c r="B250" s="37"/>
      <c r="C250" s="38"/>
      <c r="D250" s="37"/>
      <c r="E250" s="37"/>
      <c r="F250" s="37"/>
      <c r="G250" s="37"/>
      <c r="H250" s="37"/>
      <c r="I250" s="38"/>
      <c r="J250" s="44"/>
      <c r="K250" s="44"/>
      <c r="L250" s="45" t="str">
        <f aca="false">IF(AND($J250="",$K250=""),"",ROUND(IFERROR(VALUE(LEFT($J250,1)),0)*12+IFERROR(VALUE(LEFT($K250,1)),0)*8,0))</f>
        <v/>
      </c>
      <c r="M250" s="45" t="str">
        <f aca="false">IF($L250="","",IF($L250&gt;=80,"A - pursue now",IF($L250&gt;=60,"B - worth pursuing",IF($L250&gt;=40,"C - nurture","D - park it"))))</f>
        <v/>
      </c>
      <c r="N250" s="37"/>
      <c r="O250" s="44"/>
      <c r="P250" s="38"/>
      <c r="Q250" s="36"/>
      <c r="R250" s="38"/>
      <c r="S250" s="36"/>
      <c r="T250" s="37"/>
      <c r="U250" s="38"/>
    </row>
    <row r="251" customFormat="false" ht="27.75" hidden="false" customHeight="true" outlineLevel="0" collapsed="false">
      <c r="A251" s="36"/>
      <c r="B251" s="37"/>
      <c r="C251" s="38"/>
      <c r="D251" s="37"/>
      <c r="E251" s="37"/>
      <c r="F251" s="37"/>
      <c r="G251" s="37"/>
      <c r="H251" s="37"/>
      <c r="I251" s="38"/>
      <c r="J251" s="44"/>
      <c r="K251" s="44"/>
      <c r="L251" s="45" t="str">
        <f aca="false">IF(AND($J251="",$K251=""),"",ROUND(IFERROR(VALUE(LEFT($J251,1)),0)*12+IFERROR(VALUE(LEFT($K251,1)),0)*8,0))</f>
        <v/>
      </c>
      <c r="M251" s="45" t="str">
        <f aca="false">IF($L251="","",IF($L251&gt;=80,"A - pursue now",IF($L251&gt;=60,"B - worth pursuing",IF($L251&gt;=40,"C - nurture","D - park it"))))</f>
        <v/>
      </c>
      <c r="N251" s="37"/>
      <c r="O251" s="44"/>
      <c r="P251" s="38"/>
      <c r="Q251" s="36"/>
      <c r="R251" s="38"/>
      <c r="S251" s="36"/>
      <c r="T251" s="37"/>
      <c r="U251" s="38"/>
    </row>
    <row r="252" customFormat="false" ht="27.75" hidden="false" customHeight="true" outlineLevel="0" collapsed="false">
      <c r="A252" s="36"/>
      <c r="B252" s="37"/>
      <c r="C252" s="38"/>
      <c r="D252" s="37"/>
      <c r="E252" s="37"/>
      <c r="F252" s="37"/>
      <c r="G252" s="37"/>
      <c r="H252" s="37"/>
      <c r="I252" s="38"/>
      <c r="J252" s="44"/>
      <c r="K252" s="44"/>
      <c r="L252" s="45" t="str">
        <f aca="false">IF(AND($J252="",$K252=""),"",ROUND(IFERROR(VALUE(LEFT($J252,1)),0)*12+IFERROR(VALUE(LEFT($K252,1)),0)*8,0))</f>
        <v/>
      </c>
      <c r="M252" s="45" t="str">
        <f aca="false">IF($L252="","",IF($L252&gt;=80,"A - pursue now",IF($L252&gt;=60,"B - worth pursuing",IF($L252&gt;=40,"C - nurture","D - park it"))))</f>
        <v/>
      </c>
      <c r="N252" s="37"/>
      <c r="O252" s="44"/>
      <c r="P252" s="38"/>
      <c r="Q252" s="36"/>
      <c r="R252" s="38"/>
      <c r="S252" s="36"/>
      <c r="T252" s="37"/>
      <c r="U252" s="38"/>
    </row>
    <row r="253" customFormat="false" ht="27.75" hidden="false" customHeight="true" outlineLevel="0" collapsed="false">
      <c r="A253" s="36"/>
      <c r="B253" s="37"/>
      <c r="C253" s="38"/>
      <c r="D253" s="37"/>
      <c r="E253" s="37"/>
      <c r="F253" s="37"/>
      <c r="G253" s="37"/>
      <c r="H253" s="37"/>
      <c r="I253" s="38"/>
      <c r="J253" s="44"/>
      <c r="K253" s="44"/>
      <c r="L253" s="45" t="str">
        <f aca="false">IF(AND($J253="",$K253=""),"",ROUND(IFERROR(VALUE(LEFT($J253,1)),0)*12+IFERROR(VALUE(LEFT($K253,1)),0)*8,0))</f>
        <v/>
      </c>
      <c r="M253" s="45" t="str">
        <f aca="false">IF($L253="","",IF($L253&gt;=80,"A - pursue now",IF($L253&gt;=60,"B - worth pursuing",IF($L253&gt;=40,"C - nurture","D - park it"))))</f>
        <v/>
      </c>
      <c r="N253" s="37"/>
      <c r="O253" s="44"/>
      <c r="P253" s="38"/>
      <c r="Q253" s="36"/>
      <c r="R253" s="38"/>
      <c r="S253" s="36"/>
      <c r="T253" s="37"/>
      <c r="U253" s="38"/>
    </row>
    <row r="254" customFormat="false" ht="27.75" hidden="false" customHeight="true" outlineLevel="0" collapsed="false">
      <c r="A254" s="36"/>
      <c r="B254" s="37"/>
      <c r="C254" s="38"/>
      <c r="D254" s="37"/>
      <c r="E254" s="37"/>
      <c r="F254" s="37"/>
      <c r="G254" s="37"/>
      <c r="H254" s="37"/>
      <c r="I254" s="38"/>
      <c r="J254" s="44"/>
      <c r="K254" s="44"/>
      <c r="L254" s="45" t="str">
        <f aca="false">IF(AND($J254="",$K254=""),"",ROUND(IFERROR(VALUE(LEFT($J254,1)),0)*12+IFERROR(VALUE(LEFT($K254,1)),0)*8,0))</f>
        <v/>
      </c>
      <c r="M254" s="45" t="str">
        <f aca="false">IF($L254="","",IF($L254&gt;=80,"A - pursue now",IF($L254&gt;=60,"B - worth pursuing",IF($L254&gt;=40,"C - nurture","D - park it"))))</f>
        <v/>
      </c>
      <c r="N254" s="37"/>
      <c r="O254" s="44"/>
      <c r="P254" s="38"/>
      <c r="Q254" s="36"/>
      <c r="R254" s="38"/>
      <c r="S254" s="36"/>
      <c r="T254" s="37"/>
      <c r="U254" s="38"/>
    </row>
    <row r="255" customFormat="false" ht="27.75" hidden="false" customHeight="true" outlineLevel="0" collapsed="false">
      <c r="A255" s="36"/>
      <c r="B255" s="37"/>
      <c r="C255" s="38"/>
      <c r="D255" s="37"/>
      <c r="E255" s="37"/>
      <c r="F255" s="37"/>
      <c r="G255" s="37"/>
      <c r="H255" s="37"/>
      <c r="I255" s="38"/>
      <c r="J255" s="44"/>
      <c r="K255" s="44"/>
      <c r="L255" s="45" t="str">
        <f aca="false">IF(AND($J255="",$K255=""),"",ROUND(IFERROR(VALUE(LEFT($J255,1)),0)*12+IFERROR(VALUE(LEFT($K255,1)),0)*8,0))</f>
        <v/>
      </c>
      <c r="M255" s="45" t="str">
        <f aca="false">IF($L255="","",IF($L255&gt;=80,"A - pursue now",IF($L255&gt;=60,"B - worth pursuing",IF($L255&gt;=40,"C - nurture","D - park it"))))</f>
        <v/>
      </c>
      <c r="N255" s="37"/>
      <c r="O255" s="44"/>
      <c r="P255" s="38"/>
      <c r="Q255" s="36"/>
      <c r="R255" s="38"/>
      <c r="S255" s="36"/>
      <c r="T255" s="37"/>
      <c r="U255" s="38"/>
    </row>
    <row r="256" customFormat="false" ht="27.75" hidden="false" customHeight="true" outlineLevel="0" collapsed="false">
      <c r="A256" s="36"/>
      <c r="B256" s="37"/>
      <c r="C256" s="38"/>
      <c r="D256" s="37"/>
      <c r="E256" s="37"/>
      <c r="F256" s="37"/>
      <c r="G256" s="37"/>
      <c r="H256" s="37"/>
      <c r="I256" s="38"/>
      <c r="J256" s="44"/>
      <c r="K256" s="44"/>
      <c r="L256" s="45" t="str">
        <f aca="false">IF(AND($J256="",$K256=""),"",ROUND(IFERROR(VALUE(LEFT($J256,1)),0)*12+IFERROR(VALUE(LEFT($K256,1)),0)*8,0))</f>
        <v/>
      </c>
      <c r="M256" s="45" t="str">
        <f aca="false">IF($L256="","",IF($L256&gt;=80,"A - pursue now",IF($L256&gt;=60,"B - worth pursuing",IF($L256&gt;=40,"C - nurture","D - park it"))))</f>
        <v/>
      </c>
      <c r="N256" s="37"/>
      <c r="O256" s="44"/>
      <c r="P256" s="38"/>
      <c r="Q256" s="36"/>
      <c r="R256" s="38"/>
      <c r="S256" s="36"/>
      <c r="T256" s="37"/>
      <c r="U256" s="38"/>
    </row>
    <row r="257" customFormat="false" ht="27.75" hidden="false" customHeight="true" outlineLevel="0" collapsed="false">
      <c r="A257" s="36"/>
      <c r="B257" s="37"/>
      <c r="C257" s="38"/>
      <c r="D257" s="37"/>
      <c r="E257" s="37"/>
      <c r="F257" s="37"/>
      <c r="G257" s="37"/>
      <c r="H257" s="37"/>
      <c r="I257" s="38"/>
      <c r="J257" s="44"/>
      <c r="K257" s="44"/>
      <c r="L257" s="45" t="str">
        <f aca="false">IF(AND($J257="",$K257=""),"",ROUND(IFERROR(VALUE(LEFT($J257,1)),0)*12+IFERROR(VALUE(LEFT($K257,1)),0)*8,0))</f>
        <v/>
      </c>
      <c r="M257" s="45" t="str">
        <f aca="false">IF($L257="","",IF($L257&gt;=80,"A - pursue now",IF($L257&gt;=60,"B - worth pursuing",IF($L257&gt;=40,"C - nurture","D - park it"))))</f>
        <v/>
      </c>
      <c r="N257" s="37"/>
      <c r="O257" s="44"/>
      <c r="P257" s="38"/>
      <c r="Q257" s="36"/>
      <c r="R257" s="38"/>
      <c r="S257" s="36"/>
      <c r="T257" s="37"/>
      <c r="U257" s="38"/>
    </row>
    <row r="258" customFormat="false" ht="27.75" hidden="false" customHeight="true" outlineLevel="0" collapsed="false">
      <c r="A258" s="36"/>
      <c r="B258" s="37"/>
      <c r="C258" s="38"/>
      <c r="D258" s="37"/>
      <c r="E258" s="37"/>
      <c r="F258" s="37"/>
      <c r="G258" s="37"/>
      <c r="H258" s="37"/>
      <c r="I258" s="38"/>
      <c r="J258" s="44"/>
      <c r="K258" s="44"/>
      <c r="L258" s="45" t="str">
        <f aca="false">IF(AND($J258="",$K258=""),"",ROUND(IFERROR(VALUE(LEFT($J258,1)),0)*12+IFERROR(VALUE(LEFT($K258,1)),0)*8,0))</f>
        <v/>
      </c>
      <c r="M258" s="45" t="str">
        <f aca="false">IF($L258="","",IF($L258&gt;=80,"A - pursue now",IF($L258&gt;=60,"B - worth pursuing",IF($L258&gt;=40,"C - nurture","D - park it"))))</f>
        <v/>
      </c>
      <c r="N258" s="37"/>
      <c r="O258" s="44"/>
      <c r="P258" s="38"/>
      <c r="Q258" s="36"/>
      <c r="R258" s="38"/>
      <c r="S258" s="36"/>
      <c r="T258" s="37"/>
      <c r="U258" s="38"/>
    </row>
    <row r="259" customFormat="false" ht="27.75" hidden="false" customHeight="true" outlineLevel="0" collapsed="false">
      <c r="A259" s="36"/>
      <c r="B259" s="37"/>
      <c r="C259" s="38"/>
      <c r="D259" s="37"/>
      <c r="E259" s="37"/>
      <c r="F259" s="37"/>
      <c r="G259" s="37"/>
      <c r="H259" s="37"/>
      <c r="I259" s="38"/>
      <c r="J259" s="44"/>
      <c r="K259" s="44"/>
      <c r="L259" s="45" t="str">
        <f aca="false">IF(AND($J259="",$K259=""),"",ROUND(IFERROR(VALUE(LEFT($J259,1)),0)*12+IFERROR(VALUE(LEFT($K259,1)),0)*8,0))</f>
        <v/>
      </c>
      <c r="M259" s="45" t="str">
        <f aca="false">IF($L259="","",IF($L259&gt;=80,"A - pursue now",IF($L259&gt;=60,"B - worth pursuing",IF($L259&gt;=40,"C - nurture","D - park it"))))</f>
        <v/>
      </c>
      <c r="N259" s="37"/>
      <c r="O259" s="44"/>
      <c r="P259" s="38"/>
      <c r="Q259" s="36"/>
      <c r="R259" s="38"/>
      <c r="S259" s="36"/>
      <c r="T259" s="37"/>
      <c r="U259" s="38"/>
    </row>
    <row r="260" customFormat="false" ht="27.75" hidden="false" customHeight="true" outlineLevel="0" collapsed="false">
      <c r="A260" s="36"/>
      <c r="B260" s="37"/>
      <c r="C260" s="38"/>
      <c r="D260" s="37"/>
      <c r="E260" s="37"/>
      <c r="F260" s="37"/>
      <c r="G260" s="37"/>
      <c r="H260" s="37"/>
      <c r="I260" s="38"/>
      <c r="J260" s="44"/>
      <c r="K260" s="44"/>
      <c r="L260" s="45" t="str">
        <f aca="false">IF(AND($J260="",$K260=""),"",ROUND(IFERROR(VALUE(LEFT($J260,1)),0)*12+IFERROR(VALUE(LEFT($K260,1)),0)*8,0))</f>
        <v/>
      </c>
      <c r="M260" s="45" t="str">
        <f aca="false">IF($L260="","",IF($L260&gt;=80,"A - pursue now",IF($L260&gt;=60,"B - worth pursuing",IF($L260&gt;=40,"C - nurture","D - park it"))))</f>
        <v/>
      </c>
      <c r="N260" s="37"/>
      <c r="O260" s="44"/>
      <c r="P260" s="38"/>
      <c r="Q260" s="36"/>
      <c r="R260" s="38"/>
      <c r="S260" s="36"/>
      <c r="T260" s="37"/>
      <c r="U260" s="38"/>
    </row>
    <row r="261" customFormat="false" ht="27.75" hidden="false" customHeight="true" outlineLevel="0" collapsed="false">
      <c r="A261" s="36"/>
      <c r="B261" s="37"/>
      <c r="C261" s="38"/>
      <c r="D261" s="37"/>
      <c r="E261" s="37"/>
      <c r="F261" s="37"/>
      <c r="G261" s="37"/>
      <c r="H261" s="37"/>
      <c r="I261" s="38"/>
      <c r="J261" s="44"/>
      <c r="K261" s="44"/>
      <c r="L261" s="45" t="str">
        <f aca="false">IF(AND($J261="",$K261=""),"",ROUND(IFERROR(VALUE(LEFT($J261,1)),0)*12+IFERROR(VALUE(LEFT($K261,1)),0)*8,0))</f>
        <v/>
      </c>
      <c r="M261" s="45" t="str">
        <f aca="false">IF($L261="","",IF($L261&gt;=80,"A - pursue now",IF($L261&gt;=60,"B - worth pursuing",IF($L261&gt;=40,"C - nurture","D - park it"))))</f>
        <v/>
      </c>
      <c r="N261" s="37"/>
      <c r="O261" s="44"/>
      <c r="P261" s="38"/>
      <c r="Q261" s="36"/>
      <c r="R261" s="38"/>
      <c r="S261" s="36"/>
      <c r="T261" s="37"/>
      <c r="U261" s="38"/>
    </row>
    <row r="262" customFormat="false" ht="27.75" hidden="false" customHeight="true" outlineLevel="0" collapsed="false">
      <c r="A262" s="36"/>
      <c r="B262" s="37"/>
      <c r="C262" s="38"/>
      <c r="D262" s="37"/>
      <c r="E262" s="37"/>
      <c r="F262" s="37"/>
      <c r="G262" s="37"/>
      <c r="H262" s="37"/>
      <c r="I262" s="38"/>
      <c r="J262" s="44"/>
      <c r="K262" s="44"/>
      <c r="L262" s="45" t="str">
        <f aca="false">IF(AND($J262="",$K262=""),"",ROUND(IFERROR(VALUE(LEFT($J262,1)),0)*12+IFERROR(VALUE(LEFT($K262,1)),0)*8,0))</f>
        <v/>
      </c>
      <c r="M262" s="45" t="str">
        <f aca="false">IF($L262="","",IF($L262&gt;=80,"A - pursue now",IF($L262&gt;=60,"B - worth pursuing",IF($L262&gt;=40,"C - nurture","D - park it"))))</f>
        <v/>
      </c>
      <c r="N262" s="37"/>
      <c r="O262" s="44"/>
      <c r="P262" s="38"/>
      <c r="Q262" s="36"/>
      <c r="R262" s="38"/>
      <c r="S262" s="36"/>
      <c r="T262" s="37"/>
      <c r="U262" s="38"/>
    </row>
    <row r="263" customFormat="false" ht="27.75" hidden="false" customHeight="true" outlineLevel="0" collapsed="false">
      <c r="A263" s="36"/>
      <c r="B263" s="37"/>
      <c r="C263" s="38"/>
      <c r="D263" s="37"/>
      <c r="E263" s="37"/>
      <c r="F263" s="37"/>
      <c r="G263" s="37"/>
      <c r="H263" s="37"/>
      <c r="I263" s="38"/>
      <c r="J263" s="44"/>
      <c r="K263" s="44"/>
      <c r="L263" s="45" t="str">
        <f aca="false">IF(AND($J263="",$K263=""),"",ROUND(IFERROR(VALUE(LEFT($J263,1)),0)*12+IFERROR(VALUE(LEFT($K263,1)),0)*8,0))</f>
        <v/>
      </c>
      <c r="M263" s="45" t="str">
        <f aca="false">IF($L263="","",IF($L263&gt;=80,"A - pursue now",IF($L263&gt;=60,"B - worth pursuing",IF($L263&gt;=40,"C - nurture","D - park it"))))</f>
        <v/>
      </c>
      <c r="N263" s="37"/>
      <c r="O263" s="44"/>
      <c r="P263" s="38"/>
      <c r="Q263" s="36"/>
      <c r="R263" s="38"/>
      <c r="S263" s="36"/>
      <c r="T263" s="37"/>
      <c r="U263" s="38"/>
    </row>
    <row r="264" customFormat="false" ht="27.75" hidden="false" customHeight="true" outlineLevel="0" collapsed="false">
      <c r="A264" s="36"/>
      <c r="B264" s="37"/>
      <c r="C264" s="38"/>
      <c r="D264" s="37"/>
      <c r="E264" s="37"/>
      <c r="F264" s="37"/>
      <c r="G264" s="37"/>
      <c r="H264" s="37"/>
      <c r="I264" s="38"/>
      <c r="J264" s="44"/>
      <c r="K264" s="44"/>
      <c r="L264" s="45" t="str">
        <f aca="false">IF(AND($J264="",$K264=""),"",ROUND(IFERROR(VALUE(LEFT($J264,1)),0)*12+IFERROR(VALUE(LEFT($K264,1)),0)*8,0))</f>
        <v/>
      </c>
      <c r="M264" s="45" t="str">
        <f aca="false">IF($L264="","",IF($L264&gt;=80,"A - pursue now",IF($L264&gt;=60,"B - worth pursuing",IF($L264&gt;=40,"C - nurture","D - park it"))))</f>
        <v/>
      </c>
      <c r="N264" s="37"/>
      <c r="O264" s="44"/>
      <c r="P264" s="38"/>
      <c r="Q264" s="36"/>
      <c r="R264" s="38"/>
      <c r="S264" s="36"/>
      <c r="T264" s="37"/>
      <c r="U264" s="38"/>
    </row>
    <row r="265" customFormat="false" ht="27.75" hidden="false" customHeight="true" outlineLevel="0" collapsed="false">
      <c r="A265" s="36"/>
      <c r="B265" s="37"/>
      <c r="C265" s="38"/>
      <c r="D265" s="37"/>
      <c r="E265" s="37"/>
      <c r="F265" s="37"/>
      <c r="G265" s="37"/>
      <c r="H265" s="37"/>
      <c r="I265" s="38"/>
      <c r="J265" s="44"/>
      <c r="K265" s="44"/>
      <c r="L265" s="45" t="str">
        <f aca="false">IF(AND($J265="",$K265=""),"",ROUND(IFERROR(VALUE(LEFT($J265,1)),0)*12+IFERROR(VALUE(LEFT($K265,1)),0)*8,0))</f>
        <v/>
      </c>
      <c r="M265" s="45" t="str">
        <f aca="false">IF($L265="","",IF($L265&gt;=80,"A - pursue now",IF($L265&gt;=60,"B - worth pursuing",IF($L265&gt;=40,"C - nurture","D - park it"))))</f>
        <v/>
      </c>
      <c r="N265" s="37"/>
      <c r="O265" s="44"/>
      <c r="P265" s="38"/>
      <c r="Q265" s="36"/>
      <c r="R265" s="38"/>
      <c r="S265" s="36"/>
      <c r="T265" s="37"/>
      <c r="U265" s="38"/>
    </row>
    <row r="266" customFormat="false" ht="27.75" hidden="false" customHeight="true" outlineLevel="0" collapsed="false">
      <c r="A266" s="36"/>
      <c r="B266" s="37"/>
      <c r="C266" s="38"/>
      <c r="D266" s="37"/>
      <c r="E266" s="37"/>
      <c r="F266" s="37"/>
      <c r="G266" s="37"/>
      <c r="H266" s="37"/>
      <c r="I266" s="38"/>
      <c r="J266" s="44"/>
      <c r="K266" s="44"/>
      <c r="L266" s="45" t="str">
        <f aca="false">IF(AND($J266="",$K266=""),"",ROUND(IFERROR(VALUE(LEFT($J266,1)),0)*12+IFERROR(VALUE(LEFT($K266,1)),0)*8,0))</f>
        <v/>
      </c>
      <c r="M266" s="45" t="str">
        <f aca="false">IF($L266="","",IF($L266&gt;=80,"A - pursue now",IF($L266&gt;=60,"B - worth pursuing",IF($L266&gt;=40,"C - nurture","D - park it"))))</f>
        <v/>
      </c>
      <c r="N266" s="37"/>
      <c r="O266" s="44"/>
      <c r="P266" s="38"/>
      <c r="Q266" s="36"/>
      <c r="R266" s="38"/>
      <c r="S266" s="36"/>
      <c r="T266" s="37"/>
      <c r="U266" s="38"/>
    </row>
    <row r="267" customFormat="false" ht="27.75" hidden="false" customHeight="true" outlineLevel="0" collapsed="false">
      <c r="A267" s="36"/>
      <c r="B267" s="37"/>
      <c r="C267" s="38"/>
      <c r="D267" s="37"/>
      <c r="E267" s="37"/>
      <c r="F267" s="37"/>
      <c r="G267" s="37"/>
      <c r="H267" s="37"/>
      <c r="I267" s="38"/>
      <c r="J267" s="44"/>
      <c r="K267" s="44"/>
      <c r="L267" s="45" t="str">
        <f aca="false">IF(AND($J267="",$K267=""),"",ROUND(IFERROR(VALUE(LEFT($J267,1)),0)*12+IFERROR(VALUE(LEFT($K267,1)),0)*8,0))</f>
        <v/>
      </c>
      <c r="M267" s="45" t="str">
        <f aca="false">IF($L267="","",IF($L267&gt;=80,"A - pursue now",IF($L267&gt;=60,"B - worth pursuing",IF($L267&gt;=40,"C - nurture","D - park it"))))</f>
        <v/>
      </c>
      <c r="N267" s="37"/>
      <c r="O267" s="44"/>
      <c r="P267" s="38"/>
      <c r="Q267" s="36"/>
      <c r="R267" s="38"/>
      <c r="S267" s="36"/>
      <c r="T267" s="37"/>
      <c r="U267" s="38"/>
    </row>
    <row r="268" customFormat="false" ht="27.75" hidden="false" customHeight="true" outlineLevel="0" collapsed="false">
      <c r="A268" s="36"/>
      <c r="B268" s="37"/>
      <c r="C268" s="38"/>
      <c r="D268" s="37"/>
      <c r="E268" s="37"/>
      <c r="F268" s="37"/>
      <c r="G268" s="37"/>
      <c r="H268" s="37"/>
      <c r="I268" s="38"/>
      <c r="J268" s="44"/>
      <c r="K268" s="44"/>
      <c r="L268" s="45" t="str">
        <f aca="false">IF(AND($J268="",$K268=""),"",ROUND(IFERROR(VALUE(LEFT($J268,1)),0)*12+IFERROR(VALUE(LEFT($K268,1)),0)*8,0))</f>
        <v/>
      </c>
      <c r="M268" s="45" t="str">
        <f aca="false">IF($L268="","",IF($L268&gt;=80,"A - pursue now",IF($L268&gt;=60,"B - worth pursuing",IF($L268&gt;=40,"C - nurture","D - park it"))))</f>
        <v/>
      </c>
      <c r="N268" s="37"/>
      <c r="O268" s="44"/>
      <c r="P268" s="38"/>
      <c r="Q268" s="36"/>
      <c r="R268" s="38"/>
      <c r="S268" s="36"/>
      <c r="T268" s="37"/>
      <c r="U268" s="38"/>
    </row>
    <row r="269" customFormat="false" ht="27.75" hidden="false" customHeight="true" outlineLevel="0" collapsed="false">
      <c r="A269" s="36"/>
      <c r="B269" s="37"/>
      <c r="C269" s="38"/>
      <c r="D269" s="37"/>
      <c r="E269" s="37"/>
      <c r="F269" s="37"/>
      <c r="G269" s="37"/>
      <c r="H269" s="37"/>
      <c r="I269" s="38"/>
      <c r="J269" s="44"/>
      <c r="K269" s="44"/>
      <c r="L269" s="45" t="str">
        <f aca="false">IF(AND($J269="",$K269=""),"",ROUND(IFERROR(VALUE(LEFT($J269,1)),0)*12+IFERROR(VALUE(LEFT($K269,1)),0)*8,0))</f>
        <v/>
      </c>
      <c r="M269" s="45" t="str">
        <f aca="false">IF($L269="","",IF($L269&gt;=80,"A - pursue now",IF($L269&gt;=60,"B - worth pursuing",IF($L269&gt;=40,"C - nurture","D - park it"))))</f>
        <v/>
      </c>
      <c r="N269" s="37"/>
      <c r="O269" s="44"/>
      <c r="P269" s="38"/>
      <c r="Q269" s="36"/>
      <c r="R269" s="38"/>
      <c r="S269" s="36"/>
      <c r="T269" s="37"/>
      <c r="U269" s="38"/>
    </row>
    <row r="270" customFormat="false" ht="27.75" hidden="false" customHeight="true" outlineLevel="0" collapsed="false">
      <c r="A270" s="36"/>
      <c r="B270" s="37"/>
      <c r="C270" s="38"/>
      <c r="D270" s="37"/>
      <c r="E270" s="37"/>
      <c r="F270" s="37"/>
      <c r="G270" s="37"/>
      <c r="H270" s="37"/>
      <c r="I270" s="38"/>
      <c r="J270" s="44"/>
      <c r="K270" s="44"/>
      <c r="L270" s="45" t="str">
        <f aca="false">IF(AND($J270="",$K270=""),"",ROUND(IFERROR(VALUE(LEFT($J270,1)),0)*12+IFERROR(VALUE(LEFT($K270,1)),0)*8,0))</f>
        <v/>
      </c>
      <c r="M270" s="45" t="str">
        <f aca="false">IF($L270="","",IF($L270&gt;=80,"A - pursue now",IF($L270&gt;=60,"B - worth pursuing",IF($L270&gt;=40,"C - nurture","D - park it"))))</f>
        <v/>
      </c>
      <c r="N270" s="37"/>
      <c r="O270" s="44"/>
      <c r="P270" s="38"/>
      <c r="Q270" s="36"/>
      <c r="R270" s="38"/>
      <c r="S270" s="36"/>
      <c r="T270" s="37"/>
      <c r="U270" s="38"/>
    </row>
    <row r="271" customFormat="false" ht="27.75" hidden="false" customHeight="true" outlineLevel="0" collapsed="false">
      <c r="A271" s="36"/>
      <c r="B271" s="37"/>
      <c r="C271" s="38"/>
      <c r="D271" s="37"/>
      <c r="E271" s="37"/>
      <c r="F271" s="37"/>
      <c r="G271" s="37"/>
      <c r="H271" s="37"/>
      <c r="I271" s="38"/>
      <c r="J271" s="44"/>
      <c r="K271" s="44"/>
      <c r="L271" s="45" t="str">
        <f aca="false">IF(AND($J271="",$K271=""),"",ROUND(IFERROR(VALUE(LEFT($J271,1)),0)*12+IFERROR(VALUE(LEFT($K271,1)),0)*8,0))</f>
        <v/>
      </c>
      <c r="M271" s="45" t="str">
        <f aca="false">IF($L271="","",IF($L271&gt;=80,"A - pursue now",IF($L271&gt;=60,"B - worth pursuing",IF($L271&gt;=40,"C - nurture","D - park it"))))</f>
        <v/>
      </c>
      <c r="N271" s="37"/>
      <c r="O271" s="44"/>
      <c r="P271" s="38"/>
      <c r="Q271" s="36"/>
      <c r="R271" s="38"/>
      <c r="S271" s="36"/>
      <c r="T271" s="37"/>
      <c r="U271" s="38"/>
    </row>
    <row r="272" customFormat="false" ht="27.75" hidden="false" customHeight="true" outlineLevel="0" collapsed="false">
      <c r="A272" s="36"/>
      <c r="B272" s="37"/>
      <c r="C272" s="38"/>
      <c r="D272" s="37"/>
      <c r="E272" s="37"/>
      <c r="F272" s="37"/>
      <c r="G272" s="37"/>
      <c r="H272" s="37"/>
      <c r="I272" s="38"/>
      <c r="J272" s="44"/>
      <c r="K272" s="44"/>
      <c r="L272" s="45" t="str">
        <f aca="false">IF(AND($J272="",$K272=""),"",ROUND(IFERROR(VALUE(LEFT($J272,1)),0)*12+IFERROR(VALUE(LEFT($K272,1)),0)*8,0))</f>
        <v/>
      </c>
      <c r="M272" s="45" t="str">
        <f aca="false">IF($L272="","",IF($L272&gt;=80,"A - pursue now",IF($L272&gt;=60,"B - worth pursuing",IF($L272&gt;=40,"C - nurture","D - park it"))))</f>
        <v/>
      </c>
      <c r="N272" s="37"/>
      <c r="O272" s="44"/>
      <c r="P272" s="38"/>
      <c r="Q272" s="36"/>
      <c r="R272" s="38"/>
      <c r="S272" s="36"/>
      <c r="T272" s="37"/>
      <c r="U272" s="38"/>
    </row>
    <row r="273" customFormat="false" ht="27.75" hidden="false" customHeight="true" outlineLevel="0" collapsed="false">
      <c r="A273" s="36"/>
      <c r="B273" s="37"/>
      <c r="C273" s="38"/>
      <c r="D273" s="37"/>
      <c r="E273" s="37"/>
      <c r="F273" s="37"/>
      <c r="G273" s="37"/>
      <c r="H273" s="37"/>
      <c r="I273" s="38"/>
      <c r="J273" s="44"/>
      <c r="K273" s="44"/>
      <c r="L273" s="45" t="str">
        <f aca="false">IF(AND($J273="",$K273=""),"",ROUND(IFERROR(VALUE(LEFT($J273,1)),0)*12+IFERROR(VALUE(LEFT($K273,1)),0)*8,0))</f>
        <v/>
      </c>
      <c r="M273" s="45" t="str">
        <f aca="false">IF($L273="","",IF($L273&gt;=80,"A - pursue now",IF($L273&gt;=60,"B - worth pursuing",IF($L273&gt;=40,"C - nurture","D - park it"))))</f>
        <v/>
      </c>
      <c r="N273" s="37"/>
      <c r="O273" s="44"/>
      <c r="P273" s="38"/>
      <c r="Q273" s="36"/>
      <c r="R273" s="38"/>
      <c r="S273" s="36"/>
      <c r="T273" s="37"/>
      <c r="U273" s="38"/>
    </row>
    <row r="274" customFormat="false" ht="27.75" hidden="false" customHeight="true" outlineLevel="0" collapsed="false">
      <c r="A274" s="36"/>
      <c r="B274" s="37"/>
      <c r="C274" s="38"/>
      <c r="D274" s="37"/>
      <c r="E274" s="37"/>
      <c r="F274" s="37"/>
      <c r="G274" s="37"/>
      <c r="H274" s="37"/>
      <c r="I274" s="38"/>
      <c r="J274" s="44"/>
      <c r="K274" s="44"/>
      <c r="L274" s="45" t="str">
        <f aca="false">IF(AND($J274="",$K274=""),"",ROUND(IFERROR(VALUE(LEFT($J274,1)),0)*12+IFERROR(VALUE(LEFT($K274,1)),0)*8,0))</f>
        <v/>
      </c>
      <c r="M274" s="45" t="str">
        <f aca="false">IF($L274="","",IF($L274&gt;=80,"A - pursue now",IF($L274&gt;=60,"B - worth pursuing",IF($L274&gt;=40,"C - nurture","D - park it"))))</f>
        <v/>
      </c>
      <c r="N274" s="37"/>
      <c r="O274" s="44"/>
      <c r="P274" s="38"/>
      <c r="Q274" s="36"/>
      <c r="R274" s="38"/>
      <c r="S274" s="36"/>
      <c r="T274" s="37"/>
      <c r="U274" s="38"/>
    </row>
    <row r="275" customFormat="false" ht="27.75" hidden="false" customHeight="true" outlineLevel="0" collapsed="false">
      <c r="A275" s="36"/>
      <c r="B275" s="37"/>
      <c r="C275" s="38"/>
      <c r="D275" s="37"/>
      <c r="E275" s="37"/>
      <c r="F275" s="37"/>
      <c r="G275" s="37"/>
      <c r="H275" s="37"/>
      <c r="I275" s="38"/>
      <c r="J275" s="44"/>
      <c r="K275" s="44"/>
      <c r="L275" s="45" t="str">
        <f aca="false">IF(AND($J275="",$K275=""),"",ROUND(IFERROR(VALUE(LEFT($J275,1)),0)*12+IFERROR(VALUE(LEFT($K275,1)),0)*8,0))</f>
        <v/>
      </c>
      <c r="M275" s="45" t="str">
        <f aca="false">IF($L275="","",IF($L275&gt;=80,"A - pursue now",IF($L275&gt;=60,"B - worth pursuing",IF($L275&gt;=40,"C - nurture","D - park it"))))</f>
        <v/>
      </c>
      <c r="N275" s="37"/>
      <c r="O275" s="44"/>
      <c r="P275" s="38"/>
      <c r="Q275" s="36"/>
      <c r="R275" s="38"/>
      <c r="S275" s="36"/>
      <c r="T275" s="37"/>
      <c r="U275" s="38"/>
    </row>
    <row r="276" customFormat="false" ht="27.75" hidden="false" customHeight="true" outlineLevel="0" collapsed="false">
      <c r="A276" s="36"/>
      <c r="B276" s="37"/>
      <c r="C276" s="38"/>
      <c r="D276" s="37"/>
      <c r="E276" s="37"/>
      <c r="F276" s="37"/>
      <c r="G276" s="37"/>
      <c r="H276" s="37"/>
      <c r="I276" s="38"/>
      <c r="J276" s="44"/>
      <c r="K276" s="44"/>
      <c r="L276" s="45" t="str">
        <f aca="false">IF(AND($J276="",$K276=""),"",ROUND(IFERROR(VALUE(LEFT($J276,1)),0)*12+IFERROR(VALUE(LEFT($K276,1)),0)*8,0))</f>
        <v/>
      </c>
      <c r="M276" s="45" t="str">
        <f aca="false">IF($L276="","",IF($L276&gt;=80,"A - pursue now",IF($L276&gt;=60,"B - worth pursuing",IF($L276&gt;=40,"C - nurture","D - park it"))))</f>
        <v/>
      </c>
      <c r="N276" s="37"/>
      <c r="O276" s="44"/>
      <c r="P276" s="38"/>
      <c r="Q276" s="36"/>
      <c r="R276" s="38"/>
      <c r="S276" s="36"/>
      <c r="T276" s="37"/>
      <c r="U276" s="38"/>
    </row>
    <row r="277" customFormat="false" ht="27.75" hidden="false" customHeight="true" outlineLevel="0" collapsed="false">
      <c r="A277" s="36"/>
      <c r="B277" s="37"/>
      <c r="C277" s="38"/>
      <c r="D277" s="37"/>
      <c r="E277" s="37"/>
      <c r="F277" s="37"/>
      <c r="G277" s="37"/>
      <c r="H277" s="37"/>
      <c r="I277" s="38"/>
      <c r="J277" s="44"/>
      <c r="K277" s="44"/>
      <c r="L277" s="45" t="str">
        <f aca="false">IF(AND($J277="",$K277=""),"",ROUND(IFERROR(VALUE(LEFT($J277,1)),0)*12+IFERROR(VALUE(LEFT($K277,1)),0)*8,0))</f>
        <v/>
      </c>
      <c r="M277" s="45" t="str">
        <f aca="false">IF($L277="","",IF($L277&gt;=80,"A - pursue now",IF($L277&gt;=60,"B - worth pursuing",IF($L277&gt;=40,"C - nurture","D - park it"))))</f>
        <v/>
      </c>
      <c r="N277" s="37"/>
      <c r="O277" s="44"/>
      <c r="P277" s="38"/>
      <c r="Q277" s="36"/>
      <c r="R277" s="38"/>
      <c r="S277" s="36"/>
      <c r="T277" s="37"/>
      <c r="U277" s="38"/>
    </row>
    <row r="278" customFormat="false" ht="27.75" hidden="false" customHeight="true" outlineLevel="0" collapsed="false">
      <c r="A278" s="36"/>
      <c r="B278" s="37"/>
      <c r="C278" s="38"/>
      <c r="D278" s="37"/>
      <c r="E278" s="37"/>
      <c r="F278" s="37"/>
      <c r="G278" s="37"/>
      <c r="H278" s="37"/>
      <c r="I278" s="38"/>
      <c r="J278" s="44"/>
      <c r="K278" s="44"/>
      <c r="L278" s="45" t="str">
        <f aca="false">IF(AND($J278="",$K278=""),"",ROUND(IFERROR(VALUE(LEFT($J278,1)),0)*12+IFERROR(VALUE(LEFT($K278,1)),0)*8,0))</f>
        <v/>
      </c>
      <c r="M278" s="45" t="str">
        <f aca="false">IF($L278="","",IF($L278&gt;=80,"A - pursue now",IF($L278&gt;=60,"B - worth pursuing",IF($L278&gt;=40,"C - nurture","D - park it"))))</f>
        <v/>
      </c>
      <c r="N278" s="37"/>
      <c r="O278" s="44"/>
      <c r="P278" s="38"/>
      <c r="Q278" s="36"/>
      <c r="R278" s="38"/>
      <c r="S278" s="36"/>
      <c r="T278" s="37"/>
      <c r="U278" s="38"/>
    </row>
    <row r="279" customFormat="false" ht="27.75" hidden="false" customHeight="true" outlineLevel="0" collapsed="false">
      <c r="A279" s="36"/>
      <c r="B279" s="37"/>
      <c r="C279" s="38"/>
      <c r="D279" s="37"/>
      <c r="E279" s="37"/>
      <c r="F279" s="37"/>
      <c r="G279" s="37"/>
      <c r="H279" s="37"/>
      <c r="I279" s="38"/>
      <c r="J279" s="44"/>
      <c r="K279" s="44"/>
      <c r="L279" s="45" t="str">
        <f aca="false">IF(AND($J279="",$K279=""),"",ROUND(IFERROR(VALUE(LEFT($J279,1)),0)*12+IFERROR(VALUE(LEFT($K279,1)),0)*8,0))</f>
        <v/>
      </c>
      <c r="M279" s="45" t="str">
        <f aca="false">IF($L279="","",IF($L279&gt;=80,"A - pursue now",IF($L279&gt;=60,"B - worth pursuing",IF($L279&gt;=40,"C - nurture","D - park it"))))</f>
        <v/>
      </c>
      <c r="N279" s="37"/>
      <c r="O279" s="44"/>
      <c r="P279" s="38"/>
      <c r="Q279" s="36"/>
      <c r="R279" s="38"/>
      <c r="S279" s="36"/>
      <c r="T279" s="37"/>
      <c r="U279" s="38"/>
    </row>
    <row r="280" customFormat="false" ht="27.75" hidden="false" customHeight="true" outlineLevel="0" collapsed="false">
      <c r="A280" s="36"/>
      <c r="B280" s="37"/>
      <c r="C280" s="38"/>
      <c r="D280" s="37"/>
      <c r="E280" s="37"/>
      <c r="F280" s="37"/>
      <c r="G280" s="37"/>
      <c r="H280" s="37"/>
      <c r="I280" s="38"/>
      <c r="J280" s="44"/>
      <c r="K280" s="44"/>
      <c r="L280" s="45" t="str">
        <f aca="false">IF(AND($J280="",$K280=""),"",ROUND(IFERROR(VALUE(LEFT($J280,1)),0)*12+IFERROR(VALUE(LEFT($K280,1)),0)*8,0))</f>
        <v/>
      </c>
      <c r="M280" s="45" t="str">
        <f aca="false">IF($L280="","",IF($L280&gt;=80,"A - pursue now",IF($L280&gt;=60,"B - worth pursuing",IF($L280&gt;=40,"C - nurture","D - park it"))))</f>
        <v/>
      </c>
      <c r="N280" s="37"/>
      <c r="O280" s="44"/>
      <c r="P280" s="38"/>
      <c r="Q280" s="36"/>
      <c r="R280" s="38"/>
      <c r="S280" s="36"/>
      <c r="T280" s="37"/>
      <c r="U280" s="38"/>
    </row>
    <row r="281" customFormat="false" ht="27.75" hidden="false" customHeight="true" outlineLevel="0" collapsed="false">
      <c r="A281" s="36"/>
      <c r="B281" s="37"/>
      <c r="C281" s="38"/>
      <c r="D281" s="37"/>
      <c r="E281" s="37"/>
      <c r="F281" s="37"/>
      <c r="G281" s="37"/>
      <c r="H281" s="37"/>
      <c r="I281" s="38"/>
      <c r="J281" s="44"/>
      <c r="K281" s="44"/>
      <c r="L281" s="45" t="str">
        <f aca="false">IF(AND($J281="",$K281=""),"",ROUND(IFERROR(VALUE(LEFT($J281,1)),0)*12+IFERROR(VALUE(LEFT($K281,1)),0)*8,0))</f>
        <v/>
      </c>
      <c r="M281" s="45" t="str">
        <f aca="false">IF($L281="","",IF($L281&gt;=80,"A - pursue now",IF($L281&gt;=60,"B - worth pursuing",IF($L281&gt;=40,"C - nurture","D - park it"))))</f>
        <v/>
      </c>
      <c r="N281" s="37"/>
      <c r="O281" s="44"/>
      <c r="P281" s="38"/>
      <c r="Q281" s="36"/>
      <c r="R281" s="38"/>
      <c r="S281" s="36"/>
      <c r="T281" s="37"/>
      <c r="U281" s="38"/>
    </row>
    <row r="282" customFormat="false" ht="27.75" hidden="false" customHeight="true" outlineLevel="0" collapsed="false">
      <c r="A282" s="36"/>
      <c r="B282" s="37"/>
      <c r="C282" s="38"/>
      <c r="D282" s="37"/>
      <c r="E282" s="37"/>
      <c r="F282" s="37"/>
      <c r="G282" s="37"/>
      <c r="H282" s="37"/>
      <c r="I282" s="38"/>
      <c r="J282" s="44"/>
      <c r="K282" s="44"/>
      <c r="L282" s="45" t="str">
        <f aca="false">IF(AND($J282="",$K282=""),"",ROUND(IFERROR(VALUE(LEFT($J282,1)),0)*12+IFERROR(VALUE(LEFT($K282,1)),0)*8,0))</f>
        <v/>
      </c>
      <c r="M282" s="45" t="str">
        <f aca="false">IF($L282="","",IF($L282&gt;=80,"A - pursue now",IF($L282&gt;=60,"B - worth pursuing",IF($L282&gt;=40,"C - nurture","D - park it"))))</f>
        <v/>
      </c>
      <c r="N282" s="37"/>
      <c r="O282" s="44"/>
      <c r="P282" s="38"/>
      <c r="Q282" s="36"/>
      <c r="R282" s="38"/>
      <c r="S282" s="36"/>
      <c r="T282" s="37"/>
      <c r="U282" s="38"/>
    </row>
    <row r="283" customFormat="false" ht="27.75" hidden="false" customHeight="true" outlineLevel="0" collapsed="false">
      <c r="A283" s="36"/>
      <c r="B283" s="37"/>
      <c r="C283" s="38"/>
      <c r="D283" s="37"/>
      <c r="E283" s="37"/>
      <c r="F283" s="37"/>
      <c r="G283" s="37"/>
      <c r="H283" s="37"/>
      <c r="I283" s="38"/>
      <c r="J283" s="44"/>
      <c r="K283" s="44"/>
      <c r="L283" s="45" t="str">
        <f aca="false">IF(AND($J283="",$K283=""),"",ROUND(IFERROR(VALUE(LEFT($J283,1)),0)*12+IFERROR(VALUE(LEFT($K283,1)),0)*8,0))</f>
        <v/>
      </c>
      <c r="M283" s="45" t="str">
        <f aca="false">IF($L283="","",IF($L283&gt;=80,"A - pursue now",IF($L283&gt;=60,"B - worth pursuing",IF($L283&gt;=40,"C - nurture","D - park it"))))</f>
        <v/>
      </c>
      <c r="N283" s="37"/>
      <c r="O283" s="44"/>
      <c r="P283" s="38"/>
      <c r="Q283" s="36"/>
      <c r="R283" s="38"/>
      <c r="S283" s="36"/>
      <c r="T283" s="37"/>
      <c r="U283" s="38"/>
    </row>
    <row r="284" customFormat="false" ht="27.75" hidden="false" customHeight="true" outlineLevel="0" collapsed="false">
      <c r="A284" s="36"/>
      <c r="B284" s="37"/>
      <c r="C284" s="38"/>
      <c r="D284" s="37"/>
      <c r="E284" s="37"/>
      <c r="F284" s="37"/>
      <c r="G284" s="37"/>
      <c r="H284" s="37"/>
      <c r="I284" s="38"/>
      <c r="J284" s="44"/>
      <c r="K284" s="44"/>
      <c r="L284" s="45" t="str">
        <f aca="false">IF(AND($J284="",$K284=""),"",ROUND(IFERROR(VALUE(LEFT($J284,1)),0)*12+IFERROR(VALUE(LEFT($K284,1)),0)*8,0))</f>
        <v/>
      </c>
      <c r="M284" s="45" t="str">
        <f aca="false">IF($L284="","",IF($L284&gt;=80,"A - pursue now",IF($L284&gt;=60,"B - worth pursuing",IF($L284&gt;=40,"C - nurture","D - park it"))))</f>
        <v/>
      </c>
      <c r="N284" s="37"/>
      <c r="O284" s="44"/>
      <c r="P284" s="38"/>
      <c r="Q284" s="36"/>
      <c r="R284" s="38"/>
      <c r="S284" s="36"/>
      <c r="T284" s="37"/>
      <c r="U284" s="38"/>
    </row>
    <row r="285" customFormat="false" ht="27.75" hidden="false" customHeight="true" outlineLevel="0" collapsed="false">
      <c r="A285" s="36"/>
      <c r="B285" s="37"/>
      <c r="C285" s="38"/>
      <c r="D285" s="37"/>
      <c r="E285" s="37"/>
      <c r="F285" s="37"/>
      <c r="G285" s="37"/>
      <c r="H285" s="37"/>
      <c r="I285" s="38"/>
      <c r="J285" s="44"/>
      <c r="K285" s="44"/>
      <c r="L285" s="45" t="str">
        <f aca="false">IF(AND($J285="",$K285=""),"",ROUND(IFERROR(VALUE(LEFT($J285,1)),0)*12+IFERROR(VALUE(LEFT($K285,1)),0)*8,0))</f>
        <v/>
      </c>
      <c r="M285" s="45" t="str">
        <f aca="false">IF($L285="","",IF($L285&gt;=80,"A - pursue now",IF($L285&gt;=60,"B - worth pursuing",IF($L285&gt;=40,"C - nurture","D - park it"))))</f>
        <v/>
      </c>
      <c r="N285" s="37"/>
      <c r="O285" s="44"/>
      <c r="P285" s="38"/>
      <c r="Q285" s="36"/>
      <c r="R285" s="38"/>
      <c r="S285" s="36"/>
      <c r="T285" s="37"/>
      <c r="U285" s="38"/>
    </row>
    <row r="286" customFormat="false" ht="27.75" hidden="false" customHeight="true" outlineLevel="0" collapsed="false">
      <c r="A286" s="36"/>
      <c r="B286" s="37"/>
      <c r="C286" s="38"/>
      <c r="D286" s="37"/>
      <c r="E286" s="37"/>
      <c r="F286" s="37"/>
      <c r="G286" s="37"/>
      <c r="H286" s="37"/>
      <c r="I286" s="38"/>
      <c r="J286" s="44"/>
      <c r="K286" s="44"/>
      <c r="L286" s="45" t="str">
        <f aca="false">IF(AND($J286="",$K286=""),"",ROUND(IFERROR(VALUE(LEFT($J286,1)),0)*12+IFERROR(VALUE(LEFT($K286,1)),0)*8,0))</f>
        <v/>
      </c>
      <c r="M286" s="45" t="str">
        <f aca="false">IF($L286="","",IF($L286&gt;=80,"A - pursue now",IF($L286&gt;=60,"B - worth pursuing",IF($L286&gt;=40,"C - nurture","D - park it"))))</f>
        <v/>
      </c>
      <c r="N286" s="37"/>
      <c r="O286" s="44"/>
      <c r="P286" s="38"/>
      <c r="Q286" s="36"/>
      <c r="R286" s="38"/>
      <c r="S286" s="36"/>
      <c r="T286" s="37"/>
      <c r="U286" s="38"/>
    </row>
    <row r="287" customFormat="false" ht="27.75" hidden="false" customHeight="true" outlineLevel="0" collapsed="false">
      <c r="A287" s="36"/>
      <c r="B287" s="37"/>
      <c r="C287" s="38"/>
      <c r="D287" s="37"/>
      <c r="E287" s="37"/>
      <c r="F287" s="37"/>
      <c r="G287" s="37"/>
      <c r="H287" s="37"/>
      <c r="I287" s="38"/>
      <c r="J287" s="44"/>
      <c r="K287" s="44"/>
      <c r="L287" s="45" t="str">
        <f aca="false">IF(AND($J287="",$K287=""),"",ROUND(IFERROR(VALUE(LEFT($J287,1)),0)*12+IFERROR(VALUE(LEFT($K287,1)),0)*8,0))</f>
        <v/>
      </c>
      <c r="M287" s="45" t="str">
        <f aca="false">IF($L287="","",IF($L287&gt;=80,"A - pursue now",IF($L287&gt;=60,"B - worth pursuing",IF($L287&gt;=40,"C - nurture","D - park it"))))</f>
        <v/>
      </c>
      <c r="N287" s="37"/>
      <c r="O287" s="44"/>
      <c r="P287" s="38"/>
      <c r="Q287" s="36"/>
      <c r="R287" s="38"/>
      <c r="S287" s="36"/>
      <c r="T287" s="37"/>
      <c r="U287" s="38"/>
    </row>
    <row r="288" customFormat="false" ht="27.75" hidden="false" customHeight="true" outlineLevel="0" collapsed="false">
      <c r="A288" s="36"/>
      <c r="B288" s="37"/>
      <c r="C288" s="38"/>
      <c r="D288" s="37"/>
      <c r="E288" s="37"/>
      <c r="F288" s="37"/>
      <c r="G288" s="37"/>
      <c r="H288" s="37"/>
      <c r="I288" s="38"/>
      <c r="J288" s="44"/>
      <c r="K288" s="44"/>
      <c r="L288" s="45" t="str">
        <f aca="false">IF(AND($J288="",$K288=""),"",ROUND(IFERROR(VALUE(LEFT($J288,1)),0)*12+IFERROR(VALUE(LEFT($K288,1)),0)*8,0))</f>
        <v/>
      </c>
      <c r="M288" s="45" t="str">
        <f aca="false">IF($L288="","",IF($L288&gt;=80,"A - pursue now",IF($L288&gt;=60,"B - worth pursuing",IF($L288&gt;=40,"C - nurture","D - park it"))))</f>
        <v/>
      </c>
      <c r="N288" s="37"/>
      <c r="O288" s="44"/>
      <c r="P288" s="38"/>
      <c r="Q288" s="36"/>
      <c r="R288" s="38"/>
      <c r="S288" s="36"/>
      <c r="T288" s="37"/>
      <c r="U288" s="38"/>
    </row>
    <row r="289" customFormat="false" ht="27.75" hidden="false" customHeight="true" outlineLevel="0" collapsed="false">
      <c r="A289" s="36"/>
      <c r="B289" s="37"/>
      <c r="C289" s="38"/>
      <c r="D289" s="37"/>
      <c r="E289" s="37"/>
      <c r="F289" s="37"/>
      <c r="G289" s="37"/>
      <c r="H289" s="37"/>
      <c r="I289" s="38"/>
      <c r="J289" s="44"/>
      <c r="K289" s="44"/>
      <c r="L289" s="45" t="str">
        <f aca="false">IF(AND($J289="",$K289=""),"",ROUND(IFERROR(VALUE(LEFT($J289,1)),0)*12+IFERROR(VALUE(LEFT($K289,1)),0)*8,0))</f>
        <v/>
      </c>
      <c r="M289" s="45" t="str">
        <f aca="false">IF($L289="","",IF($L289&gt;=80,"A - pursue now",IF($L289&gt;=60,"B - worth pursuing",IF($L289&gt;=40,"C - nurture","D - park it"))))</f>
        <v/>
      </c>
      <c r="N289" s="37"/>
      <c r="O289" s="44"/>
      <c r="P289" s="38"/>
      <c r="Q289" s="36"/>
      <c r="R289" s="38"/>
      <c r="S289" s="36"/>
      <c r="T289" s="37"/>
      <c r="U289" s="38"/>
    </row>
    <row r="290" customFormat="false" ht="27.75" hidden="false" customHeight="true" outlineLevel="0" collapsed="false">
      <c r="A290" s="36"/>
      <c r="B290" s="37"/>
      <c r="C290" s="38"/>
      <c r="D290" s="37"/>
      <c r="E290" s="37"/>
      <c r="F290" s="37"/>
      <c r="G290" s="37"/>
      <c r="H290" s="37"/>
      <c r="I290" s="38"/>
      <c r="J290" s="44"/>
      <c r="K290" s="44"/>
      <c r="L290" s="45" t="str">
        <f aca="false">IF(AND($J290="",$K290=""),"",ROUND(IFERROR(VALUE(LEFT($J290,1)),0)*12+IFERROR(VALUE(LEFT($K290,1)),0)*8,0))</f>
        <v/>
      </c>
      <c r="M290" s="45" t="str">
        <f aca="false">IF($L290="","",IF($L290&gt;=80,"A - pursue now",IF($L290&gt;=60,"B - worth pursuing",IF($L290&gt;=40,"C - nurture","D - park it"))))</f>
        <v/>
      </c>
      <c r="N290" s="37"/>
      <c r="O290" s="44"/>
      <c r="P290" s="38"/>
      <c r="Q290" s="36"/>
      <c r="R290" s="38"/>
      <c r="S290" s="36"/>
      <c r="T290" s="37"/>
      <c r="U290" s="38"/>
    </row>
    <row r="291" customFormat="false" ht="27.75" hidden="false" customHeight="true" outlineLevel="0" collapsed="false">
      <c r="A291" s="36"/>
      <c r="B291" s="37"/>
      <c r="C291" s="38"/>
      <c r="D291" s="37"/>
      <c r="E291" s="37"/>
      <c r="F291" s="37"/>
      <c r="G291" s="37"/>
      <c r="H291" s="37"/>
      <c r="I291" s="38"/>
      <c r="J291" s="44"/>
      <c r="K291" s="44"/>
      <c r="L291" s="45" t="str">
        <f aca="false">IF(AND($J291="",$K291=""),"",ROUND(IFERROR(VALUE(LEFT($J291,1)),0)*12+IFERROR(VALUE(LEFT($K291,1)),0)*8,0))</f>
        <v/>
      </c>
      <c r="M291" s="45" t="str">
        <f aca="false">IF($L291="","",IF($L291&gt;=80,"A - pursue now",IF($L291&gt;=60,"B - worth pursuing",IF($L291&gt;=40,"C - nurture","D - park it"))))</f>
        <v/>
      </c>
      <c r="N291" s="37"/>
      <c r="O291" s="44"/>
      <c r="P291" s="38"/>
      <c r="Q291" s="36"/>
      <c r="R291" s="38"/>
      <c r="S291" s="36"/>
      <c r="T291" s="37"/>
      <c r="U291" s="38"/>
    </row>
    <row r="292" customFormat="false" ht="27.75" hidden="false" customHeight="true" outlineLevel="0" collapsed="false">
      <c r="A292" s="36"/>
      <c r="B292" s="37"/>
      <c r="C292" s="38"/>
      <c r="D292" s="37"/>
      <c r="E292" s="37"/>
      <c r="F292" s="37"/>
      <c r="G292" s="37"/>
      <c r="H292" s="37"/>
      <c r="I292" s="38"/>
      <c r="J292" s="44"/>
      <c r="K292" s="44"/>
      <c r="L292" s="45" t="str">
        <f aca="false">IF(AND($J292="",$K292=""),"",ROUND(IFERROR(VALUE(LEFT($J292,1)),0)*12+IFERROR(VALUE(LEFT($K292,1)),0)*8,0))</f>
        <v/>
      </c>
      <c r="M292" s="45" t="str">
        <f aca="false">IF($L292="","",IF($L292&gt;=80,"A - pursue now",IF($L292&gt;=60,"B - worth pursuing",IF($L292&gt;=40,"C - nurture","D - park it"))))</f>
        <v/>
      </c>
      <c r="N292" s="37"/>
      <c r="O292" s="44"/>
      <c r="P292" s="38"/>
      <c r="Q292" s="36"/>
      <c r="R292" s="38"/>
      <c r="S292" s="36"/>
      <c r="T292" s="37"/>
      <c r="U292" s="38"/>
    </row>
    <row r="293" customFormat="false" ht="27.75" hidden="false" customHeight="true" outlineLevel="0" collapsed="false">
      <c r="A293" s="36"/>
      <c r="B293" s="37"/>
      <c r="C293" s="38"/>
      <c r="D293" s="37"/>
      <c r="E293" s="37"/>
      <c r="F293" s="37"/>
      <c r="G293" s="37"/>
      <c r="H293" s="37"/>
      <c r="I293" s="38"/>
      <c r="J293" s="44"/>
      <c r="K293" s="44"/>
      <c r="L293" s="45" t="str">
        <f aca="false">IF(AND($J293="",$K293=""),"",ROUND(IFERROR(VALUE(LEFT($J293,1)),0)*12+IFERROR(VALUE(LEFT($K293,1)),0)*8,0))</f>
        <v/>
      </c>
      <c r="M293" s="45" t="str">
        <f aca="false">IF($L293="","",IF($L293&gt;=80,"A - pursue now",IF($L293&gt;=60,"B - worth pursuing",IF($L293&gt;=40,"C - nurture","D - park it"))))</f>
        <v/>
      </c>
      <c r="N293" s="37"/>
      <c r="O293" s="44"/>
      <c r="P293" s="38"/>
      <c r="Q293" s="36"/>
      <c r="R293" s="38"/>
      <c r="S293" s="36"/>
      <c r="T293" s="37"/>
      <c r="U293" s="38"/>
    </row>
    <row r="294" customFormat="false" ht="27.75" hidden="false" customHeight="true" outlineLevel="0" collapsed="false">
      <c r="A294" s="36"/>
      <c r="B294" s="37"/>
      <c r="C294" s="38"/>
      <c r="D294" s="37"/>
      <c r="E294" s="37"/>
      <c r="F294" s="37"/>
      <c r="G294" s="37"/>
      <c r="H294" s="37"/>
      <c r="I294" s="38"/>
      <c r="J294" s="44"/>
      <c r="K294" s="44"/>
      <c r="L294" s="45" t="str">
        <f aca="false">IF(AND($J294="",$K294=""),"",ROUND(IFERROR(VALUE(LEFT($J294,1)),0)*12+IFERROR(VALUE(LEFT($K294,1)),0)*8,0))</f>
        <v/>
      </c>
      <c r="M294" s="45" t="str">
        <f aca="false">IF($L294="","",IF($L294&gt;=80,"A - pursue now",IF($L294&gt;=60,"B - worth pursuing",IF($L294&gt;=40,"C - nurture","D - park it"))))</f>
        <v/>
      </c>
      <c r="N294" s="37"/>
      <c r="O294" s="44"/>
      <c r="P294" s="38"/>
      <c r="Q294" s="36"/>
      <c r="R294" s="38"/>
      <c r="S294" s="36"/>
      <c r="T294" s="37"/>
      <c r="U294" s="38"/>
    </row>
    <row r="295" customFormat="false" ht="27.75" hidden="false" customHeight="true" outlineLevel="0" collapsed="false">
      <c r="A295" s="36"/>
      <c r="B295" s="37"/>
      <c r="C295" s="38"/>
      <c r="D295" s="37"/>
      <c r="E295" s="37"/>
      <c r="F295" s="37"/>
      <c r="G295" s="37"/>
      <c r="H295" s="37"/>
      <c r="I295" s="38"/>
      <c r="J295" s="44"/>
      <c r="K295" s="44"/>
      <c r="L295" s="45" t="str">
        <f aca="false">IF(AND($J295="",$K295=""),"",ROUND(IFERROR(VALUE(LEFT($J295,1)),0)*12+IFERROR(VALUE(LEFT($K295,1)),0)*8,0))</f>
        <v/>
      </c>
      <c r="M295" s="45" t="str">
        <f aca="false">IF($L295="","",IF($L295&gt;=80,"A - pursue now",IF($L295&gt;=60,"B - worth pursuing",IF($L295&gt;=40,"C - nurture","D - park it"))))</f>
        <v/>
      </c>
      <c r="N295" s="37"/>
      <c r="O295" s="44"/>
      <c r="P295" s="38"/>
      <c r="Q295" s="36"/>
      <c r="R295" s="38"/>
      <c r="S295" s="36"/>
      <c r="T295" s="37"/>
      <c r="U295" s="38"/>
    </row>
    <row r="296" customFormat="false" ht="27.75" hidden="false" customHeight="true" outlineLevel="0" collapsed="false">
      <c r="A296" s="36"/>
      <c r="B296" s="37"/>
      <c r="C296" s="38"/>
      <c r="D296" s="37"/>
      <c r="E296" s="37"/>
      <c r="F296" s="37"/>
      <c r="G296" s="37"/>
      <c r="H296" s="37"/>
      <c r="I296" s="38"/>
      <c r="J296" s="44"/>
      <c r="K296" s="44"/>
      <c r="L296" s="45" t="str">
        <f aca="false">IF(AND($J296="",$K296=""),"",ROUND(IFERROR(VALUE(LEFT($J296,1)),0)*12+IFERROR(VALUE(LEFT($K296,1)),0)*8,0))</f>
        <v/>
      </c>
      <c r="M296" s="45" t="str">
        <f aca="false">IF($L296="","",IF($L296&gt;=80,"A - pursue now",IF($L296&gt;=60,"B - worth pursuing",IF($L296&gt;=40,"C - nurture","D - park it"))))</f>
        <v/>
      </c>
      <c r="N296" s="37"/>
      <c r="O296" s="44"/>
      <c r="P296" s="38"/>
      <c r="Q296" s="36"/>
      <c r="R296" s="38"/>
      <c r="S296" s="36"/>
      <c r="T296" s="37"/>
      <c r="U296" s="38"/>
    </row>
    <row r="297" customFormat="false" ht="27.75" hidden="false" customHeight="true" outlineLevel="0" collapsed="false">
      <c r="A297" s="36"/>
      <c r="B297" s="37"/>
      <c r="C297" s="38"/>
      <c r="D297" s="37"/>
      <c r="E297" s="37"/>
      <c r="F297" s="37"/>
      <c r="G297" s="37"/>
      <c r="H297" s="37"/>
      <c r="I297" s="38"/>
      <c r="J297" s="44"/>
      <c r="K297" s="44"/>
      <c r="L297" s="45" t="str">
        <f aca="false">IF(AND($J297="",$K297=""),"",ROUND(IFERROR(VALUE(LEFT($J297,1)),0)*12+IFERROR(VALUE(LEFT($K297,1)),0)*8,0))</f>
        <v/>
      </c>
      <c r="M297" s="45" t="str">
        <f aca="false">IF($L297="","",IF($L297&gt;=80,"A - pursue now",IF($L297&gt;=60,"B - worth pursuing",IF($L297&gt;=40,"C - nurture","D - park it"))))</f>
        <v/>
      </c>
      <c r="N297" s="37"/>
      <c r="O297" s="44"/>
      <c r="P297" s="38"/>
      <c r="Q297" s="36"/>
      <c r="R297" s="38"/>
      <c r="S297" s="36"/>
      <c r="T297" s="37"/>
      <c r="U297" s="38"/>
    </row>
    <row r="298" customFormat="false" ht="27.75" hidden="false" customHeight="true" outlineLevel="0" collapsed="false">
      <c r="A298" s="36"/>
      <c r="B298" s="37"/>
      <c r="C298" s="38"/>
      <c r="D298" s="37"/>
      <c r="E298" s="37"/>
      <c r="F298" s="37"/>
      <c r="G298" s="37"/>
      <c r="H298" s="37"/>
      <c r="I298" s="38"/>
      <c r="J298" s="44"/>
      <c r="K298" s="44"/>
      <c r="L298" s="45" t="str">
        <f aca="false">IF(AND($J298="",$K298=""),"",ROUND(IFERROR(VALUE(LEFT($J298,1)),0)*12+IFERROR(VALUE(LEFT($K298,1)),0)*8,0))</f>
        <v/>
      </c>
      <c r="M298" s="45" t="str">
        <f aca="false">IF($L298="","",IF($L298&gt;=80,"A - pursue now",IF($L298&gt;=60,"B - worth pursuing",IF($L298&gt;=40,"C - nurture","D - park it"))))</f>
        <v/>
      </c>
      <c r="N298" s="37"/>
      <c r="O298" s="44"/>
      <c r="P298" s="38"/>
      <c r="Q298" s="36"/>
      <c r="R298" s="38"/>
      <c r="S298" s="36"/>
      <c r="T298" s="37"/>
      <c r="U298" s="38"/>
    </row>
    <row r="299" customFormat="false" ht="27.75" hidden="false" customHeight="true" outlineLevel="0" collapsed="false">
      <c r="A299" s="36"/>
      <c r="B299" s="37"/>
      <c r="C299" s="38"/>
      <c r="D299" s="37"/>
      <c r="E299" s="37"/>
      <c r="F299" s="37"/>
      <c r="G299" s="37"/>
      <c r="H299" s="37"/>
      <c r="I299" s="38"/>
      <c r="J299" s="44"/>
      <c r="K299" s="44"/>
      <c r="L299" s="45" t="str">
        <f aca="false">IF(AND($J299="",$K299=""),"",ROUND(IFERROR(VALUE(LEFT($J299,1)),0)*12+IFERROR(VALUE(LEFT($K299,1)),0)*8,0))</f>
        <v/>
      </c>
      <c r="M299" s="45" t="str">
        <f aca="false">IF($L299="","",IF($L299&gt;=80,"A - pursue now",IF($L299&gt;=60,"B - worth pursuing",IF($L299&gt;=40,"C - nurture","D - park it"))))</f>
        <v/>
      </c>
      <c r="N299" s="37"/>
      <c r="O299" s="44"/>
      <c r="P299" s="38"/>
      <c r="Q299" s="36"/>
      <c r="R299" s="38"/>
      <c r="S299" s="36"/>
      <c r="T299" s="37"/>
      <c r="U299" s="38"/>
    </row>
    <row r="300" customFormat="false" ht="27.75" hidden="false" customHeight="true" outlineLevel="0" collapsed="false">
      <c r="A300" s="36"/>
      <c r="B300" s="37"/>
      <c r="C300" s="38"/>
      <c r="D300" s="37"/>
      <c r="E300" s="37"/>
      <c r="F300" s="37"/>
      <c r="G300" s="37"/>
      <c r="H300" s="37"/>
      <c r="I300" s="38"/>
      <c r="J300" s="44"/>
      <c r="K300" s="44"/>
      <c r="L300" s="45" t="str">
        <f aca="false">IF(AND($J300="",$K300=""),"",ROUND(IFERROR(VALUE(LEFT($J300,1)),0)*12+IFERROR(VALUE(LEFT($K300,1)),0)*8,0))</f>
        <v/>
      </c>
      <c r="M300" s="45" t="str">
        <f aca="false">IF($L300="","",IF($L300&gt;=80,"A - pursue now",IF($L300&gt;=60,"B - worth pursuing",IF($L300&gt;=40,"C - nurture","D - park it"))))</f>
        <v/>
      </c>
      <c r="N300" s="37"/>
      <c r="O300" s="44"/>
      <c r="P300" s="38"/>
      <c r="Q300" s="36"/>
      <c r="R300" s="38"/>
      <c r="S300" s="36"/>
      <c r="T300" s="37"/>
      <c r="U300" s="38"/>
    </row>
    <row r="301" customFormat="false" ht="27.75" hidden="false" customHeight="true" outlineLevel="0" collapsed="false">
      <c r="A301" s="36"/>
      <c r="B301" s="37"/>
      <c r="C301" s="38"/>
      <c r="D301" s="37"/>
      <c r="E301" s="37"/>
      <c r="F301" s="37"/>
      <c r="G301" s="37"/>
      <c r="H301" s="37"/>
      <c r="I301" s="38"/>
      <c r="J301" s="44"/>
      <c r="K301" s="44"/>
      <c r="L301" s="45" t="str">
        <f aca="false">IF(AND($J301="",$K301=""),"",ROUND(IFERROR(VALUE(LEFT($J301,1)),0)*12+IFERROR(VALUE(LEFT($K301,1)),0)*8,0))</f>
        <v/>
      </c>
      <c r="M301" s="45" t="str">
        <f aca="false">IF($L301="","",IF($L301&gt;=80,"A - pursue now",IF($L301&gt;=60,"B - worth pursuing",IF($L301&gt;=40,"C - nurture","D - park it"))))</f>
        <v/>
      </c>
      <c r="N301" s="37"/>
      <c r="O301" s="44"/>
      <c r="P301" s="38"/>
      <c r="Q301" s="36"/>
      <c r="R301" s="38"/>
      <c r="S301" s="36"/>
      <c r="T301" s="37"/>
      <c r="U301" s="38"/>
    </row>
    <row r="302" customFormat="false" ht="27.75" hidden="false" customHeight="true" outlineLevel="0" collapsed="false">
      <c r="A302" s="36"/>
      <c r="B302" s="37"/>
      <c r="C302" s="38"/>
      <c r="D302" s="37"/>
      <c r="E302" s="37"/>
      <c r="F302" s="37"/>
      <c r="G302" s="37"/>
      <c r="H302" s="37"/>
      <c r="I302" s="38"/>
      <c r="J302" s="44"/>
      <c r="K302" s="44"/>
      <c r="L302" s="45" t="str">
        <f aca="false">IF(AND($J302="",$K302=""),"",ROUND(IFERROR(VALUE(LEFT($J302,1)),0)*12+IFERROR(VALUE(LEFT($K302,1)),0)*8,0))</f>
        <v/>
      </c>
      <c r="M302" s="45" t="str">
        <f aca="false">IF($L302="","",IF($L302&gt;=80,"A - pursue now",IF($L302&gt;=60,"B - worth pursuing",IF($L302&gt;=40,"C - nurture","D - park it"))))</f>
        <v/>
      </c>
      <c r="N302" s="37"/>
      <c r="O302" s="44"/>
      <c r="P302" s="38"/>
      <c r="Q302" s="36"/>
      <c r="R302" s="38"/>
      <c r="S302" s="36"/>
      <c r="T302" s="37"/>
      <c r="U302" s="38"/>
    </row>
    <row r="303" customFormat="false" ht="27.75" hidden="false" customHeight="true" outlineLevel="0" collapsed="false">
      <c r="A303" s="36"/>
      <c r="B303" s="37"/>
      <c r="C303" s="38"/>
      <c r="D303" s="37"/>
      <c r="E303" s="37"/>
      <c r="F303" s="37"/>
      <c r="G303" s="37"/>
      <c r="H303" s="37"/>
      <c r="I303" s="38"/>
      <c r="J303" s="44"/>
      <c r="K303" s="44"/>
      <c r="L303" s="45" t="str">
        <f aca="false">IF(AND($J303="",$K303=""),"",ROUND(IFERROR(VALUE(LEFT($J303,1)),0)*12+IFERROR(VALUE(LEFT($K303,1)),0)*8,0))</f>
        <v/>
      </c>
      <c r="M303" s="45" t="str">
        <f aca="false">IF($L303="","",IF($L303&gt;=80,"A - pursue now",IF($L303&gt;=60,"B - worth pursuing",IF($L303&gt;=40,"C - nurture","D - park it"))))</f>
        <v/>
      </c>
      <c r="N303" s="37"/>
      <c r="O303" s="44"/>
      <c r="P303" s="38"/>
      <c r="Q303" s="36"/>
      <c r="R303" s="38"/>
      <c r="S303" s="36"/>
      <c r="T303" s="37"/>
      <c r="U303" s="38"/>
    </row>
    <row r="304" customFormat="false" ht="27.75" hidden="false" customHeight="true" outlineLevel="0" collapsed="false">
      <c r="A304" s="36"/>
      <c r="B304" s="37"/>
      <c r="C304" s="38"/>
      <c r="D304" s="37"/>
      <c r="E304" s="37"/>
      <c r="F304" s="37"/>
      <c r="G304" s="37"/>
      <c r="H304" s="37"/>
      <c r="I304" s="38"/>
      <c r="J304" s="44"/>
      <c r="K304" s="44"/>
      <c r="L304" s="45" t="str">
        <f aca="false">IF(AND($J304="",$K304=""),"",ROUND(IFERROR(VALUE(LEFT($J304,1)),0)*12+IFERROR(VALUE(LEFT($K304,1)),0)*8,0))</f>
        <v/>
      </c>
      <c r="M304" s="45" t="str">
        <f aca="false">IF($L304="","",IF($L304&gt;=80,"A - pursue now",IF($L304&gt;=60,"B - worth pursuing",IF($L304&gt;=40,"C - nurture","D - park it"))))</f>
        <v/>
      </c>
      <c r="N304" s="37"/>
      <c r="O304" s="44"/>
      <c r="P304" s="38"/>
      <c r="Q304" s="36"/>
      <c r="R304" s="38"/>
      <c r="S304" s="36"/>
      <c r="T304" s="37"/>
      <c r="U304" s="38"/>
    </row>
    <row r="305" customFormat="false" ht="27.75" hidden="false" customHeight="true" outlineLevel="0" collapsed="false">
      <c r="A305" s="36"/>
      <c r="B305" s="37"/>
      <c r="C305" s="38"/>
      <c r="D305" s="37"/>
      <c r="E305" s="37"/>
      <c r="F305" s="37"/>
      <c r="G305" s="37"/>
      <c r="H305" s="37"/>
      <c r="I305" s="38"/>
      <c r="J305" s="44"/>
      <c r="K305" s="44"/>
      <c r="L305" s="45" t="str">
        <f aca="false">IF(AND($J305="",$K305=""),"",ROUND(IFERROR(VALUE(LEFT($J305,1)),0)*12+IFERROR(VALUE(LEFT($K305,1)),0)*8,0))</f>
        <v/>
      </c>
      <c r="M305" s="45" t="str">
        <f aca="false">IF($L305="","",IF($L305&gt;=80,"A - pursue now",IF($L305&gt;=60,"B - worth pursuing",IF($L305&gt;=40,"C - nurture","D - park it"))))</f>
        <v/>
      </c>
      <c r="N305" s="37"/>
      <c r="O305" s="44"/>
      <c r="P305" s="38"/>
      <c r="Q305" s="36"/>
      <c r="R305" s="38"/>
      <c r="S305" s="36"/>
      <c r="T305" s="37"/>
      <c r="U305" s="38"/>
    </row>
    <row r="306" customFormat="false" ht="27.75" hidden="false" customHeight="true" outlineLevel="0" collapsed="false">
      <c r="A306" s="36"/>
      <c r="B306" s="37"/>
      <c r="C306" s="38"/>
      <c r="D306" s="37"/>
      <c r="E306" s="37"/>
      <c r="F306" s="37"/>
      <c r="G306" s="37"/>
      <c r="H306" s="37"/>
      <c r="I306" s="38"/>
      <c r="J306" s="44"/>
      <c r="K306" s="44"/>
      <c r="L306" s="45" t="str">
        <f aca="false">IF(AND($J306="",$K306=""),"",ROUND(IFERROR(VALUE(LEFT($J306,1)),0)*12+IFERROR(VALUE(LEFT($K306,1)),0)*8,0))</f>
        <v/>
      </c>
      <c r="M306" s="45" t="str">
        <f aca="false">IF($L306="","",IF($L306&gt;=80,"A - pursue now",IF($L306&gt;=60,"B - worth pursuing",IF($L306&gt;=40,"C - nurture","D - park it"))))</f>
        <v/>
      </c>
      <c r="N306" s="37"/>
      <c r="O306" s="44"/>
      <c r="P306" s="38"/>
      <c r="Q306" s="36"/>
      <c r="R306" s="38"/>
      <c r="S306" s="36"/>
      <c r="T306" s="37"/>
      <c r="U306" s="38"/>
    </row>
    <row r="307" customFormat="false" ht="27.75" hidden="false" customHeight="true" outlineLevel="0" collapsed="false">
      <c r="A307" s="36"/>
      <c r="B307" s="37"/>
      <c r="C307" s="38"/>
      <c r="D307" s="37"/>
      <c r="E307" s="37"/>
      <c r="F307" s="37"/>
      <c r="G307" s="37"/>
      <c r="H307" s="37"/>
      <c r="I307" s="38"/>
      <c r="J307" s="44"/>
      <c r="K307" s="44"/>
      <c r="L307" s="45" t="str">
        <f aca="false">IF(AND($J307="",$K307=""),"",ROUND(IFERROR(VALUE(LEFT($J307,1)),0)*12+IFERROR(VALUE(LEFT($K307,1)),0)*8,0))</f>
        <v/>
      </c>
      <c r="M307" s="45" t="str">
        <f aca="false">IF($L307="","",IF($L307&gt;=80,"A - pursue now",IF($L307&gt;=60,"B - worth pursuing",IF($L307&gt;=40,"C - nurture","D - park it"))))</f>
        <v/>
      </c>
      <c r="N307" s="37"/>
      <c r="O307" s="44"/>
      <c r="P307" s="38"/>
      <c r="Q307" s="36"/>
      <c r="R307" s="38"/>
      <c r="S307" s="36"/>
      <c r="T307" s="37"/>
      <c r="U307" s="38"/>
    </row>
    <row r="308" customFormat="false" ht="27.75" hidden="false" customHeight="true" outlineLevel="0" collapsed="false">
      <c r="A308" s="36"/>
      <c r="B308" s="37"/>
      <c r="C308" s="38"/>
      <c r="D308" s="37"/>
      <c r="E308" s="37"/>
      <c r="F308" s="37"/>
      <c r="G308" s="37"/>
      <c r="H308" s="37"/>
      <c r="I308" s="38"/>
      <c r="J308" s="44"/>
      <c r="K308" s="44"/>
      <c r="L308" s="45" t="str">
        <f aca="false">IF(AND($J308="",$K308=""),"",ROUND(IFERROR(VALUE(LEFT($J308,1)),0)*12+IFERROR(VALUE(LEFT($K308,1)),0)*8,0))</f>
        <v/>
      </c>
      <c r="M308" s="45" t="str">
        <f aca="false">IF($L308="","",IF($L308&gt;=80,"A - pursue now",IF($L308&gt;=60,"B - worth pursuing",IF($L308&gt;=40,"C - nurture","D - park it"))))</f>
        <v/>
      </c>
      <c r="N308" s="37"/>
      <c r="O308" s="44"/>
      <c r="P308" s="38"/>
      <c r="Q308" s="36"/>
      <c r="R308" s="38"/>
      <c r="S308" s="36"/>
      <c r="T308" s="37"/>
      <c r="U308" s="38"/>
    </row>
    <row r="309" customFormat="false" ht="27.75" hidden="false" customHeight="true" outlineLevel="0" collapsed="false">
      <c r="A309" s="36"/>
      <c r="B309" s="37"/>
      <c r="C309" s="38"/>
      <c r="D309" s="37"/>
      <c r="E309" s="37"/>
      <c r="F309" s="37"/>
      <c r="G309" s="37"/>
      <c r="H309" s="37"/>
      <c r="I309" s="38"/>
      <c r="J309" s="44"/>
      <c r="K309" s="44"/>
      <c r="L309" s="45" t="str">
        <f aca="false">IF(AND($J309="",$K309=""),"",ROUND(IFERROR(VALUE(LEFT($J309,1)),0)*12+IFERROR(VALUE(LEFT($K309,1)),0)*8,0))</f>
        <v/>
      </c>
      <c r="M309" s="45" t="str">
        <f aca="false">IF($L309="","",IF($L309&gt;=80,"A - pursue now",IF($L309&gt;=60,"B - worth pursuing",IF($L309&gt;=40,"C - nurture","D - park it"))))</f>
        <v/>
      </c>
      <c r="N309" s="37"/>
      <c r="O309" s="44"/>
      <c r="P309" s="38"/>
      <c r="Q309" s="36"/>
      <c r="R309" s="38"/>
      <c r="S309" s="36"/>
      <c r="T309" s="37"/>
      <c r="U309" s="38"/>
    </row>
    <row r="310" customFormat="false" ht="27.75" hidden="false" customHeight="true" outlineLevel="0" collapsed="false">
      <c r="A310" s="36"/>
      <c r="B310" s="37"/>
      <c r="C310" s="38"/>
      <c r="D310" s="37"/>
      <c r="E310" s="37"/>
      <c r="F310" s="37"/>
      <c r="G310" s="37"/>
      <c r="H310" s="37"/>
      <c r="I310" s="38"/>
      <c r="J310" s="44"/>
      <c r="K310" s="44"/>
      <c r="L310" s="45" t="str">
        <f aca="false">IF(AND($J310="",$K310=""),"",ROUND(IFERROR(VALUE(LEFT($J310,1)),0)*12+IFERROR(VALUE(LEFT($K310,1)),0)*8,0))</f>
        <v/>
      </c>
      <c r="M310" s="45" t="str">
        <f aca="false">IF($L310="","",IF($L310&gt;=80,"A - pursue now",IF($L310&gt;=60,"B - worth pursuing",IF($L310&gt;=40,"C - nurture","D - park it"))))</f>
        <v/>
      </c>
      <c r="N310" s="37"/>
      <c r="O310" s="44"/>
      <c r="P310" s="38"/>
      <c r="Q310" s="36"/>
      <c r="R310" s="38"/>
      <c r="S310" s="36"/>
      <c r="T310" s="37"/>
      <c r="U310" s="38"/>
    </row>
    <row r="311" customFormat="false" ht="27.75" hidden="false" customHeight="true" outlineLevel="0" collapsed="false">
      <c r="A311" s="36"/>
      <c r="B311" s="37"/>
      <c r="C311" s="38"/>
      <c r="D311" s="37"/>
      <c r="E311" s="37"/>
      <c r="F311" s="37"/>
      <c r="G311" s="37"/>
      <c r="H311" s="37"/>
      <c r="I311" s="38"/>
      <c r="J311" s="44"/>
      <c r="K311" s="44"/>
      <c r="L311" s="45" t="str">
        <f aca="false">IF(AND($J311="",$K311=""),"",ROUND(IFERROR(VALUE(LEFT($J311,1)),0)*12+IFERROR(VALUE(LEFT($K311,1)),0)*8,0))</f>
        <v/>
      </c>
      <c r="M311" s="45" t="str">
        <f aca="false">IF($L311="","",IF($L311&gt;=80,"A - pursue now",IF($L311&gt;=60,"B - worth pursuing",IF($L311&gt;=40,"C - nurture","D - park it"))))</f>
        <v/>
      </c>
      <c r="N311" s="37"/>
      <c r="O311" s="44"/>
      <c r="P311" s="38"/>
      <c r="Q311" s="36"/>
      <c r="R311" s="38"/>
      <c r="S311" s="36"/>
      <c r="T311" s="37"/>
      <c r="U311" s="38"/>
    </row>
    <row r="312" customFormat="false" ht="27.75" hidden="false" customHeight="true" outlineLevel="0" collapsed="false">
      <c r="A312" s="36"/>
      <c r="B312" s="37"/>
      <c r="C312" s="38"/>
      <c r="D312" s="37"/>
      <c r="E312" s="37"/>
      <c r="F312" s="37"/>
      <c r="G312" s="37"/>
      <c r="H312" s="37"/>
      <c r="I312" s="38"/>
      <c r="J312" s="44"/>
      <c r="K312" s="44"/>
      <c r="L312" s="45" t="str">
        <f aca="false">IF(AND($J312="",$K312=""),"",ROUND(IFERROR(VALUE(LEFT($J312,1)),0)*12+IFERROR(VALUE(LEFT($K312,1)),0)*8,0))</f>
        <v/>
      </c>
      <c r="M312" s="45" t="str">
        <f aca="false">IF($L312="","",IF($L312&gt;=80,"A - pursue now",IF($L312&gt;=60,"B - worth pursuing",IF($L312&gt;=40,"C - nurture","D - park it"))))</f>
        <v/>
      </c>
      <c r="N312" s="37"/>
      <c r="O312" s="44"/>
      <c r="P312" s="38"/>
      <c r="Q312" s="36"/>
      <c r="R312" s="38"/>
      <c r="S312" s="36"/>
      <c r="T312" s="37"/>
      <c r="U312" s="38"/>
    </row>
    <row r="313" customFormat="false" ht="27.75" hidden="false" customHeight="true" outlineLevel="0" collapsed="false">
      <c r="A313" s="36"/>
      <c r="B313" s="37"/>
      <c r="C313" s="38"/>
      <c r="D313" s="37"/>
      <c r="E313" s="37"/>
      <c r="F313" s="37"/>
      <c r="G313" s="37"/>
      <c r="H313" s="37"/>
      <c r="I313" s="38"/>
      <c r="J313" s="44"/>
      <c r="K313" s="44"/>
      <c r="L313" s="45" t="str">
        <f aca="false">IF(AND($J313="",$K313=""),"",ROUND(IFERROR(VALUE(LEFT($J313,1)),0)*12+IFERROR(VALUE(LEFT($K313,1)),0)*8,0))</f>
        <v/>
      </c>
      <c r="M313" s="45" t="str">
        <f aca="false">IF($L313="","",IF($L313&gt;=80,"A - pursue now",IF($L313&gt;=60,"B - worth pursuing",IF($L313&gt;=40,"C - nurture","D - park it"))))</f>
        <v/>
      </c>
      <c r="N313" s="37"/>
      <c r="O313" s="44"/>
      <c r="P313" s="38"/>
      <c r="Q313" s="36"/>
      <c r="R313" s="38"/>
      <c r="S313" s="36"/>
      <c r="T313" s="37"/>
      <c r="U313" s="38"/>
    </row>
    <row r="314" customFormat="false" ht="27.75" hidden="false" customHeight="true" outlineLevel="0" collapsed="false">
      <c r="A314" s="36"/>
      <c r="B314" s="37"/>
      <c r="C314" s="38"/>
      <c r="D314" s="37"/>
      <c r="E314" s="37"/>
      <c r="F314" s="37"/>
      <c r="G314" s="37"/>
      <c r="H314" s="37"/>
      <c r="I314" s="38"/>
      <c r="J314" s="44"/>
      <c r="K314" s="44"/>
      <c r="L314" s="45" t="str">
        <f aca="false">IF(AND($J314="",$K314=""),"",ROUND(IFERROR(VALUE(LEFT($J314,1)),0)*12+IFERROR(VALUE(LEFT($K314,1)),0)*8,0))</f>
        <v/>
      </c>
      <c r="M314" s="45" t="str">
        <f aca="false">IF($L314="","",IF($L314&gt;=80,"A - pursue now",IF($L314&gt;=60,"B - worth pursuing",IF($L314&gt;=40,"C - nurture","D - park it"))))</f>
        <v/>
      </c>
      <c r="N314" s="37"/>
      <c r="O314" s="44"/>
      <c r="P314" s="38"/>
      <c r="Q314" s="36"/>
      <c r="R314" s="38"/>
      <c r="S314" s="36"/>
      <c r="T314" s="37"/>
      <c r="U314" s="38"/>
    </row>
    <row r="315" customFormat="false" ht="27.75" hidden="false" customHeight="true" outlineLevel="0" collapsed="false">
      <c r="A315" s="36"/>
      <c r="B315" s="37"/>
      <c r="C315" s="38"/>
      <c r="D315" s="37"/>
      <c r="E315" s="37"/>
      <c r="F315" s="37"/>
      <c r="G315" s="37"/>
      <c r="H315" s="37"/>
      <c r="I315" s="38"/>
      <c r="J315" s="44"/>
      <c r="K315" s="44"/>
      <c r="L315" s="45" t="str">
        <f aca="false">IF(AND($J315="",$K315=""),"",ROUND(IFERROR(VALUE(LEFT($J315,1)),0)*12+IFERROR(VALUE(LEFT($K315,1)),0)*8,0))</f>
        <v/>
      </c>
      <c r="M315" s="45" t="str">
        <f aca="false">IF($L315="","",IF($L315&gt;=80,"A - pursue now",IF($L315&gt;=60,"B - worth pursuing",IF($L315&gt;=40,"C - nurture","D - park it"))))</f>
        <v/>
      </c>
      <c r="N315" s="37"/>
      <c r="O315" s="44"/>
      <c r="P315" s="38"/>
      <c r="Q315" s="36"/>
      <c r="R315" s="38"/>
      <c r="S315" s="36"/>
      <c r="T315" s="37"/>
      <c r="U315" s="38"/>
    </row>
    <row r="316" customFormat="false" ht="27.75" hidden="false" customHeight="true" outlineLevel="0" collapsed="false">
      <c r="A316" s="36"/>
      <c r="B316" s="37"/>
      <c r="C316" s="38"/>
      <c r="D316" s="37"/>
      <c r="E316" s="37"/>
      <c r="F316" s="37"/>
      <c r="G316" s="37"/>
      <c r="H316" s="37"/>
      <c r="I316" s="38"/>
      <c r="J316" s="44"/>
      <c r="K316" s="44"/>
      <c r="L316" s="45" t="str">
        <f aca="false">IF(AND($J316="",$K316=""),"",ROUND(IFERROR(VALUE(LEFT($J316,1)),0)*12+IFERROR(VALUE(LEFT($K316,1)),0)*8,0))</f>
        <v/>
      </c>
      <c r="M316" s="45" t="str">
        <f aca="false">IF($L316="","",IF($L316&gt;=80,"A - pursue now",IF($L316&gt;=60,"B - worth pursuing",IF($L316&gt;=40,"C - nurture","D - park it"))))</f>
        <v/>
      </c>
      <c r="N316" s="37"/>
      <c r="O316" s="44"/>
      <c r="P316" s="38"/>
      <c r="Q316" s="36"/>
      <c r="R316" s="38"/>
      <c r="S316" s="36"/>
      <c r="T316" s="37"/>
      <c r="U316" s="38"/>
    </row>
    <row r="317" customFormat="false" ht="27.75" hidden="false" customHeight="true" outlineLevel="0" collapsed="false">
      <c r="A317" s="36"/>
      <c r="B317" s="37"/>
      <c r="C317" s="38"/>
      <c r="D317" s="37"/>
      <c r="E317" s="37"/>
      <c r="F317" s="37"/>
      <c r="G317" s="37"/>
      <c r="H317" s="37"/>
      <c r="I317" s="38"/>
      <c r="J317" s="44"/>
      <c r="K317" s="44"/>
      <c r="L317" s="45" t="str">
        <f aca="false">IF(AND($J317="",$K317=""),"",ROUND(IFERROR(VALUE(LEFT($J317,1)),0)*12+IFERROR(VALUE(LEFT($K317,1)),0)*8,0))</f>
        <v/>
      </c>
      <c r="M317" s="45" t="str">
        <f aca="false">IF($L317="","",IF($L317&gt;=80,"A - pursue now",IF($L317&gt;=60,"B - worth pursuing",IF($L317&gt;=40,"C - nurture","D - park it"))))</f>
        <v/>
      </c>
      <c r="N317" s="37"/>
      <c r="O317" s="44"/>
      <c r="P317" s="38"/>
      <c r="Q317" s="36"/>
      <c r="R317" s="38"/>
      <c r="S317" s="36"/>
      <c r="T317" s="37"/>
      <c r="U317" s="38"/>
    </row>
    <row r="318" customFormat="false" ht="27.75" hidden="false" customHeight="true" outlineLevel="0" collapsed="false">
      <c r="A318" s="36"/>
      <c r="B318" s="37"/>
      <c r="C318" s="38"/>
      <c r="D318" s="37"/>
      <c r="E318" s="37"/>
      <c r="F318" s="37"/>
      <c r="G318" s="37"/>
      <c r="H318" s="37"/>
      <c r="I318" s="38"/>
      <c r="J318" s="44"/>
      <c r="K318" s="44"/>
      <c r="L318" s="45" t="str">
        <f aca="false">IF(AND($J318="",$K318=""),"",ROUND(IFERROR(VALUE(LEFT($J318,1)),0)*12+IFERROR(VALUE(LEFT($K318,1)),0)*8,0))</f>
        <v/>
      </c>
      <c r="M318" s="45" t="str">
        <f aca="false">IF($L318="","",IF($L318&gt;=80,"A - pursue now",IF($L318&gt;=60,"B - worth pursuing",IF($L318&gt;=40,"C - nurture","D - park it"))))</f>
        <v/>
      </c>
      <c r="N318" s="37"/>
      <c r="O318" s="44"/>
      <c r="P318" s="38"/>
      <c r="Q318" s="36"/>
      <c r="R318" s="38"/>
      <c r="S318" s="36"/>
      <c r="T318" s="37"/>
      <c r="U318" s="38"/>
    </row>
    <row r="319" customFormat="false" ht="27.75" hidden="false" customHeight="true" outlineLevel="0" collapsed="false">
      <c r="A319" s="36"/>
      <c r="B319" s="37"/>
      <c r="C319" s="38"/>
      <c r="D319" s="37"/>
      <c r="E319" s="37"/>
      <c r="F319" s="37"/>
      <c r="G319" s="37"/>
      <c r="H319" s="37"/>
      <c r="I319" s="38"/>
      <c r="J319" s="44"/>
      <c r="K319" s="44"/>
      <c r="L319" s="45" t="str">
        <f aca="false">IF(AND($J319="",$K319=""),"",ROUND(IFERROR(VALUE(LEFT($J319,1)),0)*12+IFERROR(VALUE(LEFT($K319,1)),0)*8,0))</f>
        <v/>
      </c>
      <c r="M319" s="45" t="str">
        <f aca="false">IF($L319="","",IF($L319&gt;=80,"A - pursue now",IF($L319&gt;=60,"B - worth pursuing",IF($L319&gt;=40,"C - nurture","D - park it"))))</f>
        <v/>
      </c>
      <c r="N319" s="37"/>
      <c r="O319" s="44"/>
      <c r="P319" s="38"/>
      <c r="Q319" s="36"/>
      <c r="R319" s="38"/>
      <c r="S319" s="36"/>
      <c r="T319" s="37"/>
      <c r="U319" s="38"/>
    </row>
    <row r="320" customFormat="false" ht="27.75" hidden="false" customHeight="true" outlineLevel="0" collapsed="false">
      <c r="A320" s="36"/>
      <c r="B320" s="37"/>
      <c r="C320" s="38"/>
      <c r="D320" s="37"/>
      <c r="E320" s="37"/>
      <c r="F320" s="37"/>
      <c r="G320" s="37"/>
      <c r="H320" s="37"/>
      <c r="I320" s="38"/>
      <c r="J320" s="44"/>
      <c r="K320" s="44"/>
      <c r="L320" s="45" t="str">
        <f aca="false">IF(AND($J320="",$K320=""),"",ROUND(IFERROR(VALUE(LEFT($J320,1)),0)*12+IFERROR(VALUE(LEFT($K320,1)),0)*8,0))</f>
        <v/>
      </c>
      <c r="M320" s="45" t="str">
        <f aca="false">IF($L320="","",IF($L320&gt;=80,"A - pursue now",IF($L320&gt;=60,"B - worth pursuing",IF($L320&gt;=40,"C - nurture","D - park it"))))</f>
        <v/>
      </c>
      <c r="N320" s="37"/>
      <c r="O320" s="44"/>
      <c r="P320" s="38"/>
      <c r="Q320" s="36"/>
      <c r="R320" s="38"/>
      <c r="S320" s="36"/>
      <c r="T320" s="37"/>
      <c r="U320" s="38"/>
    </row>
    <row r="321" customFormat="false" ht="27.75" hidden="false" customHeight="true" outlineLevel="0" collapsed="false">
      <c r="A321" s="36"/>
      <c r="B321" s="37"/>
      <c r="C321" s="38"/>
      <c r="D321" s="37"/>
      <c r="E321" s="37"/>
      <c r="F321" s="37"/>
      <c r="G321" s="37"/>
      <c r="H321" s="37"/>
      <c r="I321" s="38"/>
      <c r="J321" s="44"/>
      <c r="K321" s="44"/>
      <c r="L321" s="45" t="str">
        <f aca="false">IF(AND($J321="",$K321=""),"",ROUND(IFERROR(VALUE(LEFT($J321,1)),0)*12+IFERROR(VALUE(LEFT($K321,1)),0)*8,0))</f>
        <v/>
      </c>
      <c r="M321" s="45" t="str">
        <f aca="false">IF($L321="","",IF($L321&gt;=80,"A - pursue now",IF($L321&gt;=60,"B - worth pursuing",IF($L321&gt;=40,"C - nurture","D - park it"))))</f>
        <v/>
      </c>
      <c r="N321" s="37"/>
      <c r="O321" s="44"/>
      <c r="P321" s="38"/>
      <c r="Q321" s="36"/>
      <c r="R321" s="38"/>
      <c r="S321" s="36"/>
      <c r="T321" s="37"/>
      <c r="U321" s="38"/>
    </row>
    <row r="322" customFormat="false" ht="27.75" hidden="false" customHeight="true" outlineLevel="0" collapsed="false">
      <c r="A322" s="36"/>
      <c r="B322" s="37"/>
      <c r="C322" s="38"/>
      <c r="D322" s="37"/>
      <c r="E322" s="37"/>
      <c r="F322" s="37"/>
      <c r="G322" s="37"/>
      <c r="H322" s="37"/>
      <c r="I322" s="38"/>
      <c r="J322" s="44"/>
      <c r="K322" s="44"/>
      <c r="L322" s="45" t="str">
        <f aca="false">IF(AND($J322="",$K322=""),"",ROUND(IFERROR(VALUE(LEFT($J322,1)),0)*12+IFERROR(VALUE(LEFT($K322,1)),0)*8,0))</f>
        <v/>
      </c>
      <c r="M322" s="45" t="str">
        <f aca="false">IF($L322="","",IF($L322&gt;=80,"A - pursue now",IF($L322&gt;=60,"B - worth pursuing",IF($L322&gt;=40,"C - nurture","D - park it"))))</f>
        <v/>
      </c>
      <c r="N322" s="37"/>
      <c r="O322" s="44"/>
      <c r="P322" s="38"/>
      <c r="Q322" s="36"/>
      <c r="R322" s="38"/>
      <c r="S322" s="36"/>
      <c r="T322" s="37"/>
      <c r="U322" s="38"/>
    </row>
    <row r="323" customFormat="false" ht="27.75" hidden="false" customHeight="true" outlineLevel="0" collapsed="false">
      <c r="A323" s="36"/>
      <c r="B323" s="37"/>
      <c r="C323" s="38"/>
      <c r="D323" s="37"/>
      <c r="E323" s="37"/>
      <c r="F323" s="37"/>
      <c r="G323" s="37"/>
      <c r="H323" s="37"/>
      <c r="I323" s="38"/>
      <c r="J323" s="44"/>
      <c r="K323" s="44"/>
      <c r="L323" s="45" t="str">
        <f aca="false">IF(AND($J323="",$K323=""),"",ROUND(IFERROR(VALUE(LEFT($J323,1)),0)*12+IFERROR(VALUE(LEFT($K323,1)),0)*8,0))</f>
        <v/>
      </c>
      <c r="M323" s="45" t="str">
        <f aca="false">IF($L323="","",IF($L323&gt;=80,"A - pursue now",IF($L323&gt;=60,"B - worth pursuing",IF($L323&gt;=40,"C - nurture","D - park it"))))</f>
        <v/>
      </c>
      <c r="N323" s="37"/>
      <c r="O323" s="44"/>
      <c r="P323" s="38"/>
      <c r="Q323" s="36"/>
      <c r="R323" s="38"/>
      <c r="S323" s="36"/>
      <c r="T323" s="37"/>
      <c r="U323" s="38"/>
    </row>
    <row r="324" customFormat="false" ht="27.75" hidden="false" customHeight="true" outlineLevel="0" collapsed="false">
      <c r="A324" s="36"/>
      <c r="B324" s="37"/>
      <c r="C324" s="38"/>
      <c r="D324" s="37"/>
      <c r="E324" s="37"/>
      <c r="F324" s="37"/>
      <c r="G324" s="37"/>
      <c r="H324" s="37"/>
      <c r="I324" s="38"/>
      <c r="J324" s="44"/>
      <c r="K324" s="44"/>
      <c r="L324" s="45" t="str">
        <f aca="false">IF(AND($J324="",$K324=""),"",ROUND(IFERROR(VALUE(LEFT($J324,1)),0)*12+IFERROR(VALUE(LEFT($K324,1)),0)*8,0))</f>
        <v/>
      </c>
      <c r="M324" s="45" t="str">
        <f aca="false">IF($L324="","",IF($L324&gt;=80,"A - pursue now",IF($L324&gt;=60,"B - worth pursuing",IF($L324&gt;=40,"C - nurture","D - park it"))))</f>
        <v/>
      </c>
      <c r="N324" s="37"/>
      <c r="O324" s="44"/>
      <c r="P324" s="38"/>
      <c r="Q324" s="36"/>
      <c r="R324" s="38"/>
      <c r="S324" s="36"/>
      <c r="T324" s="37"/>
      <c r="U324" s="38"/>
    </row>
    <row r="325" customFormat="false" ht="27.75" hidden="false" customHeight="true" outlineLevel="0" collapsed="false">
      <c r="A325" s="36"/>
      <c r="B325" s="37"/>
      <c r="C325" s="38"/>
      <c r="D325" s="37"/>
      <c r="E325" s="37"/>
      <c r="F325" s="37"/>
      <c r="G325" s="37"/>
      <c r="H325" s="37"/>
      <c r="I325" s="38"/>
      <c r="J325" s="44"/>
      <c r="K325" s="44"/>
      <c r="L325" s="45" t="str">
        <f aca="false">IF(AND($J325="",$K325=""),"",ROUND(IFERROR(VALUE(LEFT($J325,1)),0)*12+IFERROR(VALUE(LEFT($K325,1)),0)*8,0))</f>
        <v/>
      </c>
      <c r="M325" s="45" t="str">
        <f aca="false">IF($L325="","",IF($L325&gt;=80,"A - pursue now",IF($L325&gt;=60,"B - worth pursuing",IF($L325&gt;=40,"C - nurture","D - park it"))))</f>
        <v/>
      </c>
      <c r="N325" s="37"/>
      <c r="O325" s="44"/>
      <c r="P325" s="38"/>
      <c r="Q325" s="36"/>
      <c r="R325" s="38"/>
      <c r="S325" s="36"/>
      <c r="T325" s="37"/>
      <c r="U325" s="38"/>
    </row>
    <row r="326" customFormat="false" ht="27.75" hidden="false" customHeight="true" outlineLevel="0" collapsed="false">
      <c r="A326" s="36"/>
      <c r="B326" s="37"/>
      <c r="C326" s="38"/>
      <c r="D326" s="37"/>
      <c r="E326" s="37"/>
      <c r="F326" s="37"/>
      <c r="G326" s="37"/>
      <c r="H326" s="37"/>
      <c r="I326" s="38"/>
      <c r="J326" s="44"/>
      <c r="K326" s="44"/>
      <c r="L326" s="45" t="str">
        <f aca="false">IF(AND($J326="",$K326=""),"",ROUND(IFERROR(VALUE(LEFT($J326,1)),0)*12+IFERROR(VALUE(LEFT($K326,1)),0)*8,0))</f>
        <v/>
      </c>
      <c r="M326" s="45" t="str">
        <f aca="false">IF($L326="","",IF($L326&gt;=80,"A - pursue now",IF($L326&gt;=60,"B - worth pursuing",IF($L326&gt;=40,"C - nurture","D - park it"))))</f>
        <v/>
      </c>
      <c r="N326" s="37"/>
      <c r="O326" s="44"/>
      <c r="P326" s="38"/>
      <c r="Q326" s="36"/>
      <c r="R326" s="38"/>
      <c r="S326" s="36"/>
      <c r="T326" s="37"/>
      <c r="U326" s="38"/>
    </row>
    <row r="327" customFormat="false" ht="27.75" hidden="false" customHeight="true" outlineLevel="0" collapsed="false">
      <c r="A327" s="36"/>
      <c r="B327" s="37"/>
      <c r="C327" s="38"/>
      <c r="D327" s="37"/>
      <c r="E327" s="37"/>
      <c r="F327" s="37"/>
      <c r="G327" s="37"/>
      <c r="H327" s="37"/>
      <c r="I327" s="38"/>
      <c r="J327" s="44"/>
      <c r="K327" s="44"/>
      <c r="L327" s="45" t="str">
        <f aca="false">IF(AND($J327="",$K327=""),"",ROUND(IFERROR(VALUE(LEFT($J327,1)),0)*12+IFERROR(VALUE(LEFT($K327,1)),0)*8,0))</f>
        <v/>
      </c>
      <c r="M327" s="45" t="str">
        <f aca="false">IF($L327="","",IF($L327&gt;=80,"A - pursue now",IF($L327&gt;=60,"B - worth pursuing",IF($L327&gt;=40,"C - nurture","D - park it"))))</f>
        <v/>
      </c>
      <c r="N327" s="37"/>
      <c r="O327" s="44"/>
      <c r="P327" s="38"/>
      <c r="Q327" s="36"/>
      <c r="R327" s="38"/>
      <c r="S327" s="36"/>
      <c r="T327" s="37"/>
      <c r="U327" s="38"/>
    </row>
    <row r="328" customFormat="false" ht="27.75" hidden="false" customHeight="true" outlineLevel="0" collapsed="false">
      <c r="A328" s="36"/>
      <c r="B328" s="37"/>
      <c r="C328" s="38"/>
      <c r="D328" s="37"/>
      <c r="E328" s="37"/>
      <c r="F328" s="37"/>
      <c r="G328" s="37"/>
      <c r="H328" s="37"/>
      <c r="I328" s="38"/>
      <c r="J328" s="44"/>
      <c r="K328" s="44"/>
      <c r="L328" s="45" t="str">
        <f aca="false">IF(AND($J328="",$K328=""),"",ROUND(IFERROR(VALUE(LEFT($J328,1)),0)*12+IFERROR(VALUE(LEFT($K328,1)),0)*8,0))</f>
        <v/>
      </c>
      <c r="M328" s="45" t="str">
        <f aca="false">IF($L328="","",IF($L328&gt;=80,"A - pursue now",IF($L328&gt;=60,"B - worth pursuing",IF($L328&gt;=40,"C - nurture","D - park it"))))</f>
        <v/>
      </c>
      <c r="N328" s="37"/>
      <c r="O328" s="44"/>
      <c r="P328" s="38"/>
      <c r="Q328" s="36"/>
      <c r="R328" s="38"/>
      <c r="S328" s="36"/>
      <c r="T328" s="37"/>
      <c r="U328" s="38"/>
    </row>
    <row r="329" customFormat="false" ht="27.75" hidden="false" customHeight="true" outlineLevel="0" collapsed="false">
      <c r="A329" s="36"/>
      <c r="B329" s="37"/>
      <c r="C329" s="38"/>
      <c r="D329" s="37"/>
      <c r="E329" s="37"/>
      <c r="F329" s="37"/>
      <c r="G329" s="37"/>
      <c r="H329" s="37"/>
      <c r="I329" s="38"/>
      <c r="J329" s="44"/>
      <c r="K329" s="44"/>
      <c r="L329" s="45" t="str">
        <f aca="false">IF(AND($J329="",$K329=""),"",ROUND(IFERROR(VALUE(LEFT($J329,1)),0)*12+IFERROR(VALUE(LEFT($K329,1)),0)*8,0))</f>
        <v/>
      </c>
      <c r="M329" s="45" t="str">
        <f aca="false">IF($L329="","",IF($L329&gt;=80,"A - pursue now",IF($L329&gt;=60,"B - worth pursuing",IF($L329&gt;=40,"C - nurture","D - park it"))))</f>
        <v/>
      </c>
      <c r="N329" s="37"/>
      <c r="O329" s="44"/>
      <c r="P329" s="38"/>
      <c r="Q329" s="36"/>
      <c r="R329" s="38"/>
      <c r="S329" s="36"/>
      <c r="T329" s="37"/>
      <c r="U329" s="38"/>
    </row>
    <row r="330" customFormat="false" ht="27.75" hidden="false" customHeight="true" outlineLevel="0" collapsed="false">
      <c r="A330" s="36"/>
      <c r="B330" s="37"/>
      <c r="C330" s="38"/>
      <c r="D330" s="37"/>
      <c r="E330" s="37"/>
      <c r="F330" s="37"/>
      <c r="G330" s="37"/>
      <c r="H330" s="37"/>
      <c r="I330" s="38"/>
      <c r="J330" s="44"/>
      <c r="K330" s="44"/>
      <c r="L330" s="45" t="str">
        <f aca="false">IF(AND($J330="",$K330=""),"",ROUND(IFERROR(VALUE(LEFT($J330,1)),0)*12+IFERROR(VALUE(LEFT($K330,1)),0)*8,0))</f>
        <v/>
      </c>
      <c r="M330" s="45" t="str">
        <f aca="false">IF($L330="","",IF($L330&gt;=80,"A - pursue now",IF($L330&gt;=60,"B - worth pursuing",IF($L330&gt;=40,"C - nurture","D - park it"))))</f>
        <v/>
      </c>
      <c r="N330" s="37"/>
      <c r="O330" s="44"/>
      <c r="P330" s="38"/>
      <c r="Q330" s="36"/>
      <c r="R330" s="38"/>
      <c r="S330" s="36"/>
      <c r="T330" s="37"/>
      <c r="U330" s="38"/>
    </row>
    <row r="331" customFormat="false" ht="27.75" hidden="false" customHeight="true" outlineLevel="0" collapsed="false">
      <c r="A331" s="36"/>
      <c r="B331" s="37"/>
      <c r="C331" s="38"/>
      <c r="D331" s="37"/>
      <c r="E331" s="37"/>
      <c r="F331" s="37"/>
      <c r="G331" s="37"/>
      <c r="H331" s="37"/>
      <c r="I331" s="38"/>
      <c r="J331" s="44"/>
      <c r="K331" s="44"/>
      <c r="L331" s="45" t="str">
        <f aca="false">IF(AND($J331="",$K331=""),"",ROUND(IFERROR(VALUE(LEFT($J331,1)),0)*12+IFERROR(VALUE(LEFT($K331,1)),0)*8,0))</f>
        <v/>
      </c>
      <c r="M331" s="45" t="str">
        <f aca="false">IF($L331="","",IF($L331&gt;=80,"A - pursue now",IF($L331&gt;=60,"B - worth pursuing",IF($L331&gt;=40,"C - nurture","D - park it"))))</f>
        <v/>
      </c>
      <c r="N331" s="37"/>
      <c r="O331" s="44"/>
      <c r="P331" s="38"/>
      <c r="Q331" s="36"/>
      <c r="R331" s="38"/>
      <c r="S331" s="36"/>
      <c r="T331" s="37"/>
      <c r="U331" s="38"/>
    </row>
    <row r="332" customFormat="false" ht="27.75" hidden="false" customHeight="true" outlineLevel="0" collapsed="false">
      <c r="A332" s="36"/>
      <c r="B332" s="37"/>
      <c r="C332" s="38"/>
      <c r="D332" s="37"/>
      <c r="E332" s="37"/>
      <c r="F332" s="37"/>
      <c r="G332" s="37"/>
      <c r="H332" s="37"/>
      <c r="I332" s="38"/>
      <c r="J332" s="44"/>
      <c r="K332" s="44"/>
      <c r="L332" s="45" t="str">
        <f aca="false">IF(AND($J332="",$K332=""),"",ROUND(IFERROR(VALUE(LEFT($J332,1)),0)*12+IFERROR(VALUE(LEFT($K332,1)),0)*8,0))</f>
        <v/>
      </c>
      <c r="M332" s="45" t="str">
        <f aca="false">IF($L332="","",IF($L332&gt;=80,"A - pursue now",IF($L332&gt;=60,"B - worth pursuing",IF($L332&gt;=40,"C - nurture","D - park it"))))</f>
        <v/>
      </c>
      <c r="N332" s="37"/>
      <c r="O332" s="44"/>
      <c r="P332" s="38"/>
      <c r="Q332" s="36"/>
      <c r="R332" s="38"/>
      <c r="S332" s="36"/>
      <c r="T332" s="37"/>
      <c r="U332" s="38"/>
    </row>
    <row r="333" customFormat="false" ht="27.75" hidden="false" customHeight="true" outlineLevel="0" collapsed="false">
      <c r="A333" s="36"/>
      <c r="B333" s="37"/>
      <c r="C333" s="38"/>
      <c r="D333" s="37"/>
      <c r="E333" s="37"/>
      <c r="F333" s="37"/>
      <c r="G333" s="37"/>
      <c r="H333" s="37"/>
      <c r="I333" s="38"/>
      <c r="J333" s="44"/>
      <c r="K333" s="44"/>
      <c r="L333" s="45" t="str">
        <f aca="false">IF(AND($J333="",$K333=""),"",ROUND(IFERROR(VALUE(LEFT($J333,1)),0)*12+IFERROR(VALUE(LEFT($K333,1)),0)*8,0))</f>
        <v/>
      </c>
      <c r="M333" s="45" t="str">
        <f aca="false">IF($L333="","",IF($L333&gt;=80,"A - pursue now",IF($L333&gt;=60,"B - worth pursuing",IF($L333&gt;=40,"C - nurture","D - park it"))))</f>
        <v/>
      </c>
      <c r="N333" s="37"/>
      <c r="O333" s="44"/>
      <c r="P333" s="38"/>
      <c r="Q333" s="36"/>
      <c r="R333" s="38"/>
      <c r="S333" s="36"/>
      <c r="T333" s="37"/>
      <c r="U333" s="38"/>
    </row>
    <row r="334" customFormat="false" ht="27.75" hidden="false" customHeight="true" outlineLevel="0" collapsed="false">
      <c r="A334" s="36"/>
      <c r="B334" s="37"/>
      <c r="C334" s="38"/>
      <c r="D334" s="37"/>
      <c r="E334" s="37"/>
      <c r="F334" s="37"/>
      <c r="G334" s="37"/>
      <c r="H334" s="37"/>
      <c r="I334" s="38"/>
      <c r="J334" s="44"/>
      <c r="K334" s="44"/>
      <c r="L334" s="45" t="str">
        <f aca="false">IF(AND($J334="",$K334=""),"",ROUND(IFERROR(VALUE(LEFT($J334,1)),0)*12+IFERROR(VALUE(LEFT($K334,1)),0)*8,0))</f>
        <v/>
      </c>
      <c r="M334" s="45" t="str">
        <f aca="false">IF($L334="","",IF($L334&gt;=80,"A - pursue now",IF($L334&gt;=60,"B - worth pursuing",IF($L334&gt;=40,"C - nurture","D - park it"))))</f>
        <v/>
      </c>
      <c r="N334" s="37"/>
      <c r="O334" s="44"/>
      <c r="P334" s="38"/>
      <c r="Q334" s="36"/>
      <c r="R334" s="38"/>
      <c r="S334" s="36"/>
      <c r="T334" s="37"/>
      <c r="U334" s="38"/>
    </row>
    <row r="335" customFormat="false" ht="27.75" hidden="false" customHeight="true" outlineLevel="0" collapsed="false">
      <c r="A335" s="36"/>
      <c r="B335" s="37"/>
      <c r="C335" s="38"/>
      <c r="D335" s="37"/>
      <c r="E335" s="37"/>
      <c r="F335" s="37"/>
      <c r="G335" s="37"/>
      <c r="H335" s="37"/>
      <c r="I335" s="38"/>
      <c r="J335" s="44"/>
      <c r="K335" s="44"/>
      <c r="L335" s="45" t="str">
        <f aca="false">IF(AND($J335="",$K335=""),"",ROUND(IFERROR(VALUE(LEFT($J335,1)),0)*12+IFERROR(VALUE(LEFT($K335,1)),0)*8,0))</f>
        <v/>
      </c>
      <c r="M335" s="45" t="str">
        <f aca="false">IF($L335="","",IF($L335&gt;=80,"A - pursue now",IF($L335&gt;=60,"B - worth pursuing",IF($L335&gt;=40,"C - nurture","D - park it"))))</f>
        <v/>
      </c>
      <c r="N335" s="37"/>
      <c r="O335" s="44"/>
      <c r="P335" s="38"/>
      <c r="Q335" s="36"/>
      <c r="R335" s="38"/>
      <c r="S335" s="36"/>
      <c r="T335" s="37"/>
      <c r="U335" s="38"/>
    </row>
    <row r="336" customFormat="false" ht="27.75" hidden="false" customHeight="true" outlineLevel="0" collapsed="false">
      <c r="A336" s="36"/>
      <c r="B336" s="37"/>
      <c r="C336" s="38"/>
      <c r="D336" s="37"/>
      <c r="E336" s="37"/>
      <c r="F336" s="37"/>
      <c r="G336" s="37"/>
      <c r="H336" s="37"/>
      <c r="I336" s="38"/>
      <c r="J336" s="44"/>
      <c r="K336" s="44"/>
      <c r="L336" s="45" t="str">
        <f aca="false">IF(AND($J336="",$K336=""),"",ROUND(IFERROR(VALUE(LEFT($J336,1)),0)*12+IFERROR(VALUE(LEFT($K336,1)),0)*8,0))</f>
        <v/>
      </c>
      <c r="M336" s="45" t="str">
        <f aca="false">IF($L336="","",IF($L336&gt;=80,"A - pursue now",IF($L336&gt;=60,"B - worth pursuing",IF($L336&gt;=40,"C - nurture","D - park it"))))</f>
        <v/>
      </c>
      <c r="N336" s="37"/>
      <c r="O336" s="44"/>
      <c r="P336" s="38"/>
      <c r="Q336" s="36"/>
      <c r="R336" s="38"/>
      <c r="S336" s="36"/>
      <c r="T336" s="37"/>
      <c r="U336" s="38"/>
    </row>
    <row r="337" customFormat="false" ht="27.75" hidden="false" customHeight="true" outlineLevel="0" collapsed="false">
      <c r="A337" s="36"/>
      <c r="B337" s="37"/>
      <c r="C337" s="38"/>
      <c r="D337" s="37"/>
      <c r="E337" s="37"/>
      <c r="F337" s="37"/>
      <c r="G337" s="37"/>
      <c r="H337" s="37"/>
      <c r="I337" s="38"/>
      <c r="J337" s="44"/>
      <c r="K337" s="44"/>
      <c r="L337" s="45" t="str">
        <f aca="false">IF(AND($J337="",$K337=""),"",ROUND(IFERROR(VALUE(LEFT($J337,1)),0)*12+IFERROR(VALUE(LEFT($K337,1)),0)*8,0))</f>
        <v/>
      </c>
      <c r="M337" s="45" t="str">
        <f aca="false">IF($L337="","",IF($L337&gt;=80,"A - pursue now",IF($L337&gt;=60,"B - worth pursuing",IF($L337&gt;=40,"C - nurture","D - park it"))))</f>
        <v/>
      </c>
      <c r="N337" s="37"/>
      <c r="O337" s="44"/>
      <c r="P337" s="38"/>
      <c r="Q337" s="36"/>
      <c r="R337" s="38"/>
      <c r="S337" s="36"/>
      <c r="T337" s="37"/>
      <c r="U337" s="38"/>
    </row>
    <row r="338" customFormat="false" ht="27.75" hidden="false" customHeight="true" outlineLevel="0" collapsed="false">
      <c r="A338" s="36"/>
      <c r="B338" s="37"/>
      <c r="C338" s="38"/>
      <c r="D338" s="37"/>
      <c r="E338" s="37"/>
      <c r="F338" s="37"/>
      <c r="G338" s="37"/>
      <c r="H338" s="37"/>
      <c r="I338" s="38"/>
      <c r="J338" s="44"/>
      <c r="K338" s="44"/>
      <c r="L338" s="45" t="str">
        <f aca="false">IF(AND($J338="",$K338=""),"",ROUND(IFERROR(VALUE(LEFT($J338,1)),0)*12+IFERROR(VALUE(LEFT($K338,1)),0)*8,0))</f>
        <v/>
      </c>
      <c r="M338" s="45" t="str">
        <f aca="false">IF($L338="","",IF($L338&gt;=80,"A - pursue now",IF($L338&gt;=60,"B - worth pursuing",IF($L338&gt;=40,"C - nurture","D - park it"))))</f>
        <v/>
      </c>
      <c r="N338" s="37"/>
      <c r="O338" s="44"/>
      <c r="P338" s="38"/>
      <c r="Q338" s="36"/>
      <c r="R338" s="38"/>
      <c r="S338" s="36"/>
      <c r="T338" s="37"/>
      <c r="U338" s="38"/>
    </row>
    <row r="339" customFormat="false" ht="27.75" hidden="false" customHeight="true" outlineLevel="0" collapsed="false">
      <c r="A339" s="36"/>
      <c r="B339" s="37"/>
      <c r="C339" s="38"/>
      <c r="D339" s="37"/>
      <c r="E339" s="37"/>
      <c r="F339" s="37"/>
      <c r="G339" s="37"/>
      <c r="H339" s="37"/>
      <c r="I339" s="38"/>
      <c r="J339" s="44"/>
      <c r="K339" s="44"/>
      <c r="L339" s="45" t="str">
        <f aca="false">IF(AND($J339="",$K339=""),"",ROUND(IFERROR(VALUE(LEFT($J339,1)),0)*12+IFERROR(VALUE(LEFT($K339,1)),0)*8,0))</f>
        <v/>
      </c>
      <c r="M339" s="45" t="str">
        <f aca="false">IF($L339="","",IF($L339&gt;=80,"A - pursue now",IF($L339&gt;=60,"B - worth pursuing",IF($L339&gt;=40,"C - nurture","D - park it"))))</f>
        <v/>
      </c>
      <c r="N339" s="37"/>
      <c r="O339" s="44"/>
      <c r="P339" s="38"/>
      <c r="Q339" s="36"/>
      <c r="R339" s="38"/>
      <c r="S339" s="36"/>
      <c r="T339" s="37"/>
      <c r="U339" s="38"/>
    </row>
    <row r="340" customFormat="false" ht="27.75" hidden="false" customHeight="true" outlineLevel="0" collapsed="false">
      <c r="A340" s="36"/>
      <c r="B340" s="37"/>
      <c r="C340" s="38"/>
      <c r="D340" s="37"/>
      <c r="E340" s="37"/>
      <c r="F340" s="37"/>
      <c r="G340" s="37"/>
      <c r="H340" s="37"/>
      <c r="I340" s="38"/>
      <c r="J340" s="44"/>
      <c r="K340" s="44"/>
      <c r="L340" s="45" t="str">
        <f aca="false">IF(AND($J340="",$K340=""),"",ROUND(IFERROR(VALUE(LEFT($J340,1)),0)*12+IFERROR(VALUE(LEFT($K340,1)),0)*8,0))</f>
        <v/>
      </c>
      <c r="M340" s="45" t="str">
        <f aca="false">IF($L340="","",IF($L340&gt;=80,"A - pursue now",IF($L340&gt;=60,"B - worth pursuing",IF($L340&gt;=40,"C - nurture","D - park it"))))</f>
        <v/>
      </c>
      <c r="N340" s="37"/>
      <c r="O340" s="44"/>
      <c r="P340" s="38"/>
      <c r="Q340" s="36"/>
      <c r="R340" s="38"/>
      <c r="S340" s="36"/>
      <c r="T340" s="37"/>
      <c r="U340" s="38"/>
    </row>
    <row r="341" customFormat="false" ht="27.75" hidden="false" customHeight="true" outlineLevel="0" collapsed="false">
      <c r="A341" s="36"/>
      <c r="B341" s="37"/>
      <c r="C341" s="38"/>
      <c r="D341" s="37"/>
      <c r="E341" s="37"/>
      <c r="F341" s="37"/>
      <c r="G341" s="37"/>
      <c r="H341" s="37"/>
      <c r="I341" s="38"/>
      <c r="J341" s="44"/>
      <c r="K341" s="44"/>
      <c r="L341" s="45" t="str">
        <f aca="false">IF(AND($J341="",$K341=""),"",ROUND(IFERROR(VALUE(LEFT($J341,1)),0)*12+IFERROR(VALUE(LEFT($K341,1)),0)*8,0))</f>
        <v/>
      </c>
      <c r="M341" s="45" t="str">
        <f aca="false">IF($L341="","",IF($L341&gt;=80,"A - pursue now",IF($L341&gt;=60,"B - worth pursuing",IF($L341&gt;=40,"C - nurture","D - park it"))))</f>
        <v/>
      </c>
      <c r="N341" s="37"/>
      <c r="O341" s="44"/>
      <c r="P341" s="38"/>
      <c r="Q341" s="36"/>
      <c r="R341" s="38"/>
      <c r="S341" s="36"/>
      <c r="T341" s="37"/>
      <c r="U341" s="38"/>
    </row>
    <row r="342" customFormat="false" ht="27.75" hidden="false" customHeight="true" outlineLevel="0" collapsed="false">
      <c r="A342" s="36"/>
      <c r="B342" s="37"/>
      <c r="C342" s="38"/>
      <c r="D342" s="37"/>
      <c r="E342" s="37"/>
      <c r="F342" s="37"/>
      <c r="G342" s="37"/>
      <c r="H342" s="37"/>
      <c r="I342" s="38"/>
      <c r="J342" s="44"/>
      <c r="K342" s="44"/>
      <c r="L342" s="45" t="str">
        <f aca="false">IF(AND($J342="",$K342=""),"",ROUND(IFERROR(VALUE(LEFT($J342,1)),0)*12+IFERROR(VALUE(LEFT($K342,1)),0)*8,0))</f>
        <v/>
      </c>
      <c r="M342" s="45" t="str">
        <f aca="false">IF($L342="","",IF($L342&gt;=80,"A - pursue now",IF($L342&gt;=60,"B - worth pursuing",IF($L342&gt;=40,"C - nurture","D - park it"))))</f>
        <v/>
      </c>
      <c r="N342" s="37"/>
      <c r="O342" s="44"/>
      <c r="P342" s="38"/>
      <c r="Q342" s="36"/>
      <c r="R342" s="38"/>
      <c r="S342" s="36"/>
      <c r="T342" s="37"/>
      <c r="U342" s="38"/>
    </row>
    <row r="343" customFormat="false" ht="27.75" hidden="false" customHeight="true" outlineLevel="0" collapsed="false">
      <c r="A343" s="36"/>
      <c r="B343" s="37"/>
      <c r="C343" s="38"/>
      <c r="D343" s="37"/>
      <c r="E343" s="37"/>
      <c r="F343" s="37"/>
      <c r="G343" s="37"/>
      <c r="H343" s="37"/>
      <c r="I343" s="38"/>
      <c r="J343" s="44"/>
      <c r="K343" s="44"/>
      <c r="L343" s="45" t="str">
        <f aca="false">IF(AND($J343="",$K343=""),"",ROUND(IFERROR(VALUE(LEFT($J343,1)),0)*12+IFERROR(VALUE(LEFT($K343,1)),0)*8,0))</f>
        <v/>
      </c>
      <c r="M343" s="45" t="str">
        <f aca="false">IF($L343="","",IF($L343&gt;=80,"A - pursue now",IF($L343&gt;=60,"B - worth pursuing",IF($L343&gt;=40,"C - nurture","D - park it"))))</f>
        <v/>
      </c>
      <c r="N343" s="37"/>
      <c r="O343" s="44"/>
      <c r="P343" s="38"/>
      <c r="Q343" s="36"/>
      <c r="R343" s="38"/>
      <c r="S343" s="36"/>
      <c r="T343" s="37"/>
      <c r="U343" s="38"/>
    </row>
    <row r="344" customFormat="false" ht="27.75" hidden="false" customHeight="true" outlineLevel="0" collapsed="false">
      <c r="A344" s="36"/>
      <c r="B344" s="37"/>
      <c r="C344" s="38"/>
      <c r="D344" s="37"/>
      <c r="E344" s="37"/>
      <c r="F344" s="37"/>
      <c r="G344" s="37"/>
      <c r="H344" s="37"/>
      <c r="I344" s="38"/>
      <c r="J344" s="44"/>
      <c r="K344" s="44"/>
      <c r="L344" s="45" t="str">
        <f aca="false">IF(AND($J344="",$K344=""),"",ROUND(IFERROR(VALUE(LEFT($J344,1)),0)*12+IFERROR(VALUE(LEFT($K344,1)),0)*8,0))</f>
        <v/>
      </c>
      <c r="M344" s="45" t="str">
        <f aca="false">IF($L344="","",IF($L344&gt;=80,"A - pursue now",IF($L344&gt;=60,"B - worth pursuing",IF($L344&gt;=40,"C - nurture","D - park it"))))</f>
        <v/>
      </c>
      <c r="N344" s="37"/>
      <c r="O344" s="44"/>
      <c r="P344" s="38"/>
      <c r="Q344" s="36"/>
      <c r="R344" s="38"/>
      <c r="S344" s="36"/>
      <c r="T344" s="37"/>
      <c r="U344" s="38"/>
    </row>
    <row r="345" customFormat="false" ht="27.75" hidden="false" customHeight="true" outlineLevel="0" collapsed="false">
      <c r="A345" s="36"/>
      <c r="B345" s="37"/>
      <c r="C345" s="38"/>
      <c r="D345" s="37"/>
      <c r="E345" s="37"/>
      <c r="F345" s="37"/>
      <c r="G345" s="37"/>
      <c r="H345" s="37"/>
      <c r="I345" s="38"/>
      <c r="J345" s="44"/>
      <c r="K345" s="44"/>
      <c r="L345" s="45" t="str">
        <f aca="false">IF(AND($J345="",$K345=""),"",ROUND(IFERROR(VALUE(LEFT($J345,1)),0)*12+IFERROR(VALUE(LEFT($K345,1)),0)*8,0))</f>
        <v/>
      </c>
      <c r="M345" s="45" t="str">
        <f aca="false">IF($L345="","",IF($L345&gt;=80,"A - pursue now",IF($L345&gt;=60,"B - worth pursuing",IF($L345&gt;=40,"C - nurture","D - park it"))))</f>
        <v/>
      </c>
      <c r="N345" s="37"/>
      <c r="O345" s="44"/>
      <c r="P345" s="38"/>
      <c r="Q345" s="36"/>
      <c r="R345" s="38"/>
      <c r="S345" s="36"/>
      <c r="T345" s="37"/>
      <c r="U345" s="38"/>
    </row>
    <row r="346" customFormat="false" ht="27.75" hidden="false" customHeight="true" outlineLevel="0" collapsed="false">
      <c r="A346" s="36"/>
      <c r="B346" s="37"/>
      <c r="C346" s="38"/>
      <c r="D346" s="37"/>
      <c r="E346" s="37"/>
      <c r="F346" s="37"/>
      <c r="G346" s="37"/>
      <c r="H346" s="37"/>
      <c r="I346" s="38"/>
      <c r="J346" s="44"/>
      <c r="K346" s="44"/>
      <c r="L346" s="45" t="str">
        <f aca="false">IF(AND($J346="",$K346=""),"",ROUND(IFERROR(VALUE(LEFT($J346,1)),0)*12+IFERROR(VALUE(LEFT($K346,1)),0)*8,0))</f>
        <v/>
      </c>
      <c r="M346" s="45" t="str">
        <f aca="false">IF($L346="","",IF($L346&gt;=80,"A - pursue now",IF($L346&gt;=60,"B - worth pursuing",IF($L346&gt;=40,"C - nurture","D - park it"))))</f>
        <v/>
      </c>
      <c r="N346" s="37"/>
      <c r="O346" s="44"/>
      <c r="P346" s="38"/>
      <c r="Q346" s="36"/>
      <c r="R346" s="38"/>
      <c r="S346" s="36"/>
      <c r="T346" s="37"/>
      <c r="U346" s="38"/>
    </row>
    <row r="347" customFormat="false" ht="27.75" hidden="false" customHeight="true" outlineLevel="0" collapsed="false">
      <c r="A347" s="36"/>
      <c r="B347" s="37"/>
      <c r="C347" s="38"/>
      <c r="D347" s="37"/>
      <c r="E347" s="37"/>
      <c r="F347" s="37"/>
      <c r="G347" s="37"/>
      <c r="H347" s="37"/>
      <c r="I347" s="38"/>
      <c r="J347" s="44"/>
      <c r="K347" s="44"/>
      <c r="L347" s="45" t="str">
        <f aca="false">IF(AND($J347="",$K347=""),"",ROUND(IFERROR(VALUE(LEFT($J347,1)),0)*12+IFERROR(VALUE(LEFT($K347,1)),0)*8,0))</f>
        <v/>
      </c>
      <c r="M347" s="45" t="str">
        <f aca="false">IF($L347="","",IF($L347&gt;=80,"A - pursue now",IF($L347&gt;=60,"B - worth pursuing",IF($L347&gt;=40,"C - nurture","D - park it"))))</f>
        <v/>
      </c>
      <c r="N347" s="37"/>
      <c r="O347" s="44"/>
      <c r="P347" s="38"/>
      <c r="Q347" s="36"/>
      <c r="R347" s="38"/>
      <c r="S347" s="36"/>
      <c r="T347" s="37"/>
      <c r="U347" s="38"/>
    </row>
    <row r="348" customFormat="false" ht="27.75" hidden="false" customHeight="true" outlineLevel="0" collapsed="false">
      <c r="A348" s="36"/>
      <c r="B348" s="37"/>
      <c r="C348" s="38"/>
      <c r="D348" s="37"/>
      <c r="E348" s="37"/>
      <c r="F348" s="37"/>
      <c r="G348" s="37"/>
      <c r="H348" s="37"/>
      <c r="I348" s="38"/>
      <c r="J348" s="44"/>
      <c r="K348" s="44"/>
      <c r="L348" s="45" t="str">
        <f aca="false">IF(AND($J348="",$K348=""),"",ROUND(IFERROR(VALUE(LEFT($J348,1)),0)*12+IFERROR(VALUE(LEFT($K348,1)),0)*8,0))</f>
        <v/>
      </c>
      <c r="M348" s="45" t="str">
        <f aca="false">IF($L348="","",IF($L348&gt;=80,"A - pursue now",IF($L348&gt;=60,"B - worth pursuing",IF($L348&gt;=40,"C - nurture","D - park it"))))</f>
        <v/>
      </c>
      <c r="N348" s="37"/>
      <c r="O348" s="44"/>
      <c r="P348" s="38"/>
      <c r="Q348" s="36"/>
      <c r="R348" s="38"/>
      <c r="S348" s="36"/>
      <c r="T348" s="37"/>
      <c r="U348" s="38"/>
    </row>
    <row r="349" customFormat="false" ht="27.75" hidden="false" customHeight="true" outlineLevel="0" collapsed="false">
      <c r="A349" s="36"/>
      <c r="B349" s="37"/>
      <c r="C349" s="38"/>
      <c r="D349" s="37"/>
      <c r="E349" s="37"/>
      <c r="F349" s="37"/>
      <c r="G349" s="37"/>
      <c r="H349" s="37"/>
      <c r="I349" s="38"/>
      <c r="J349" s="44"/>
      <c r="K349" s="44"/>
      <c r="L349" s="45" t="str">
        <f aca="false">IF(AND($J349="",$K349=""),"",ROUND(IFERROR(VALUE(LEFT($J349,1)),0)*12+IFERROR(VALUE(LEFT($K349,1)),0)*8,0))</f>
        <v/>
      </c>
      <c r="M349" s="45" t="str">
        <f aca="false">IF($L349="","",IF($L349&gt;=80,"A - pursue now",IF($L349&gt;=60,"B - worth pursuing",IF($L349&gt;=40,"C - nurture","D - park it"))))</f>
        <v/>
      </c>
      <c r="N349" s="37"/>
      <c r="O349" s="44"/>
      <c r="P349" s="38"/>
      <c r="Q349" s="36"/>
      <c r="R349" s="38"/>
      <c r="S349" s="36"/>
      <c r="T349" s="37"/>
      <c r="U349" s="38"/>
    </row>
    <row r="350" customFormat="false" ht="27.75" hidden="false" customHeight="true" outlineLevel="0" collapsed="false">
      <c r="A350" s="36"/>
      <c r="B350" s="37"/>
      <c r="C350" s="38"/>
      <c r="D350" s="37"/>
      <c r="E350" s="37"/>
      <c r="F350" s="37"/>
      <c r="G350" s="37"/>
      <c r="H350" s="37"/>
      <c r="I350" s="38"/>
      <c r="J350" s="44"/>
      <c r="K350" s="44"/>
      <c r="L350" s="45" t="str">
        <f aca="false">IF(AND($J350="",$K350=""),"",ROUND(IFERROR(VALUE(LEFT($J350,1)),0)*12+IFERROR(VALUE(LEFT($K350,1)),0)*8,0))</f>
        <v/>
      </c>
      <c r="M350" s="45" t="str">
        <f aca="false">IF($L350="","",IF($L350&gt;=80,"A - pursue now",IF($L350&gt;=60,"B - worth pursuing",IF($L350&gt;=40,"C - nurture","D - park it"))))</f>
        <v/>
      </c>
      <c r="N350" s="37"/>
      <c r="O350" s="44"/>
      <c r="P350" s="38"/>
      <c r="Q350" s="36"/>
      <c r="R350" s="38"/>
      <c r="S350" s="36"/>
      <c r="T350" s="37"/>
      <c r="U350" s="38"/>
    </row>
    <row r="351" customFormat="false" ht="27.75" hidden="false" customHeight="true" outlineLevel="0" collapsed="false">
      <c r="A351" s="36"/>
      <c r="B351" s="37"/>
      <c r="C351" s="38"/>
      <c r="D351" s="37"/>
      <c r="E351" s="37"/>
      <c r="F351" s="37"/>
      <c r="G351" s="37"/>
      <c r="H351" s="37"/>
      <c r="I351" s="38"/>
      <c r="J351" s="44"/>
      <c r="K351" s="44"/>
      <c r="L351" s="45" t="str">
        <f aca="false">IF(AND($J351="",$K351=""),"",ROUND(IFERROR(VALUE(LEFT($J351,1)),0)*12+IFERROR(VALUE(LEFT($K351,1)),0)*8,0))</f>
        <v/>
      </c>
      <c r="M351" s="45" t="str">
        <f aca="false">IF($L351="","",IF($L351&gt;=80,"A - pursue now",IF($L351&gt;=60,"B - worth pursuing",IF($L351&gt;=40,"C - nurture","D - park it"))))</f>
        <v/>
      </c>
      <c r="N351" s="37"/>
      <c r="O351" s="44"/>
      <c r="P351" s="38"/>
      <c r="Q351" s="36"/>
      <c r="R351" s="38"/>
      <c r="S351" s="36"/>
      <c r="T351" s="37"/>
      <c r="U351" s="38"/>
    </row>
    <row r="352" customFormat="false" ht="27.75" hidden="false" customHeight="true" outlineLevel="0" collapsed="false">
      <c r="A352" s="36"/>
      <c r="B352" s="37"/>
      <c r="C352" s="38"/>
      <c r="D352" s="37"/>
      <c r="E352" s="37"/>
      <c r="F352" s="37"/>
      <c r="G352" s="37"/>
      <c r="H352" s="37"/>
      <c r="I352" s="38"/>
      <c r="J352" s="44"/>
      <c r="K352" s="44"/>
      <c r="L352" s="45" t="str">
        <f aca="false">IF(AND($J352="",$K352=""),"",ROUND(IFERROR(VALUE(LEFT($J352,1)),0)*12+IFERROR(VALUE(LEFT($K352,1)),0)*8,0))</f>
        <v/>
      </c>
      <c r="M352" s="45" t="str">
        <f aca="false">IF($L352="","",IF($L352&gt;=80,"A - pursue now",IF($L352&gt;=60,"B - worth pursuing",IF($L352&gt;=40,"C - nurture","D - park it"))))</f>
        <v/>
      </c>
      <c r="N352" s="37"/>
      <c r="O352" s="44"/>
      <c r="P352" s="38"/>
      <c r="Q352" s="36"/>
      <c r="R352" s="38"/>
      <c r="S352" s="36"/>
      <c r="T352" s="37"/>
      <c r="U352" s="38"/>
    </row>
    <row r="353" customFormat="false" ht="27.75" hidden="false" customHeight="true" outlineLevel="0" collapsed="false">
      <c r="A353" s="36"/>
      <c r="B353" s="37"/>
      <c r="C353" s="38"/>
      <c r="D353" s="37"/>
      <c r="E353" s="37"/>
      <c r="F353" s="37"/>
      <c r="G353" s="37"/>
      <c r="H353" s="37"/>
      <c r="I353" s="38"/>
      <c r="J353" s="44"/>
      <c r="K353" s="44"/>
      <c r="L353" s="45" t="str">
        <f aca="false">IF(AND($J353="",$K353=""),"",ROUND(IFERROR(VALUE(LEFT($J353,1)),0)*12+IFERROR(VALUE(LEFT($K353,1)),0)*8,0))</f>
        <v/>
      </c>
      <c r="M353" s="45" t="str">
        <f aca="false">IF($L353="","",IF($L353&gt;=80,"A - pursue now",IF($L353&gt;=60,"B - worth pursuing",IF($L353&gt;=40,"C - nurture","D - park it"))))</f>
        <v/>
      </c>
      <c r="N353" s="37"/>
      <c r="O353" s="44"/>
      <c r="P353" s="38"/>
      <c r="Q353" s="36"/>
      <c r="R353" s="38"/>
      <c r="S353" s="36"/>
      <c r="T353" s="37"/>
      <c r="U353" s="38"/>
    </row>
    <row r="354" customFormat="false" ht="27.75" hidden="false" customHeight="true" outlineLevel="0" collapsed="false">
      <c r="A354" s="36"/>
      <c r="B354" s="37"/>
      <c r="C354" s="38"/>
      <c r="D354" s="37"/>
      <c r="E354" s="37"/>
      <c r="F354" s="37"/>
      <c r="G354" s="37"/>
      <c r="H354" s="37"/>
      <c r="I354" s="38"/>
      <c r="J354" s="44"/>
      <c r="K354" s="44"/>
      <c r="L354" s="45" t="str">
        <f aca="false">IF(AND($J354="",$K354=""),"",ROUND(IFERROR(VALUE(LEFT($J354,1)),0)*12+IFERROR(VALUE(LEFT($K354,1)),0)*8,0))</f>
        <v/>
      </c>
      <c r="M354" s="45" t="str">
        <f aca="false">IF($L354="","",IF($L354&gt;=80,"A - pursue now",IF($L354&gt;=60,"B - worth pursuing",IF($L354&gt;=40,"C - nurture","D - park it"))))</f>
        <v/>
      </c>
      <c r="N354" s="37"/>
      <c r="O354" s="44"/>
      <c r="P354" s="38"/>
      <c r="Q354" s="36"/>
      <c r="R354" s="38"/>
      <c r="S354" s="36"/>
      <c r="T354" s="37"/>
      <c r="U354" s="38"/>
    </row>
    <row r="355" customFormat="false" ht="27.75" hidden="false" customHeight="true" outlineLevel="0" collapsed="false">
      <c r="A355" s="36"/>
      <c r="B355" s="37"/>
      <c r="C355" s="38"/>
      <c r="D355" s="37"/>
      <c r="E355" s="37"/>
      <c r="F355" s="37"/>
      <c r="G355" s="37"/>
      <c r="H355" s="37"/>
      <c r="I355" s="38"/>
      <c r="J355" s="44"/>
      <c r="K355" s="44"/>
      <c r="L355" s="45" t="str">
        <f aca="false">IF(AND($J355="",$K355=""),"",ROUND(IFERROR(VALUE(LEFT($J355,1)),0)*12+IFERROR(VALUE(LEFT($K355,1)),0)*8,0))</f>
        <v/>
      </c>
      <c r="M355" s="45" t="str">
        <f aca="false">IF($L355="","",IF($L355&gt;=80,"A - pursue now",IF($L355&gt;=60,"B - worth pursuing",IF($L355&gt;=40,"C - nurture","D - park it"))))</f>
        <v/>
      </c>
      <c r="N355" s="37"/>
      <c r="O355" s="44"/>
      <c r="P355" s="38"/>
      <c r="Q355" s="36"/>
      <c r="R355" s="38"/>
      <c r="S355" s="36"/>
      <c r="T355" s="37"/>
      <c r="U355" s="38"/>
    </row>
    <row r="356" customFormat="false" ht="27.75" hidden="false" customHeight="true" outlineLevel="0" collapsed="false">
      <c r="A356" s="36"/>
      <c r="B356" s="37"/>
      <c r="C356" s="38"/>
      <c r="D356" s="37"/>
      <c r="E356" s="37"/>
      <c r="F356" s="37"/>
      <c r="G356" s="37"/>
      <c r="H356" s="37"/>
      <c r="I356" s="38"/>
      <c r="J356" s="44"/>
      <c r="K356" s="44"/>
      <c r="L356" s="45" t="str">
        <f aca="false">IF(AND($J356="",$K356=""),"",ROUND(IFERROR(VALUE(LEFT($J356,1)),0)*12+IFERROR(VALUE(LEFT($K356,1)),0)*8,0))</f>
        <v/>
      </c>
      <c r="M356" s="45" t="str">
        <f aca="false">IF($L356="","",IF($L356&gt;=80,"A - pursue now",IF($L356&gt;=60,"B - worth pursuing",IF($L356&gt;=40,"C - nurture","D - park it"))))</f>
        <v/>
      </c>
      <c r="N356" s="37"/>
      <c r="O356" s="44"/>
      <c r="P356" s="38"/>
      <c r="Q356" s="36"/>
      <c r="R356" s="38"/>
      <c r="S356" s="36"/>
      <c r="T356" s="37"/>
      <c r="U356" s="38"/>
    </row>
    <row r="357" customFormat="false" ht="27.75" hidden="false" customHeight="true" outlineLevel="0" collapsed="false">
      <c r="A357" s="36"/>
      <c r="B357" s="37"/>
      <c r="C357" s="38"/>
      <c r="D357" s="37"/>
      <c r="E357" s="37"/>
      <c r="F357" s="37"/>
      <c r="G357" s="37"/>
      <c r="H357" s="37"/>
      <c r="I357" s="38"/>
      <c r="J357" s="44"/>
      <c r="K357" s="44"/>
      <c r="L357" s="45" t="str">
        <f aca="false">IF(AND($J357="",$K357=""),"",ROUND(IFERROR(VALUE(LEFT($J357,1)),0)*12+IFERROR(VALUE(LEFT($K357,1)),0)*8,0))</f>
        <v/>
      </c>
      <c r="M357" s="45" t="str">
        <f aca="false">IF($L357="","",IF($L357&gt;=80,"A - pursue now",IF($L357&gt;=60,"B - worth pursuing",IF($L357&gt;=40,"C - nurture","D - park it"))))</f>
        <v/>
      </c>
      <c r="N357" s="37"/>
      <c r="O357" s="44"/>
      <c r="P357" s="38"/>
      <c r="Q357" s="36"/>
      <c r="R357" s="38"/>
      <c r="S357" s="36"/>
      <c r="T357" s="37"/>
      <c r="U357" s="38"/>
    </row>
    <row r="358" customFormat="false" ht="27.75" hidden="false" customHeight="true" outlineLevel="0" collapsed="false">
      <c r="A358" s="36"/>
      <c r="B358" s="37"/>
      <c r="C358" s="38"/>
      <c r="D358" s="37"/>
      <c r="E358" s="37"/>
      <c r="F358" s="37"/>
      <c r="G358" s="37"/>
      <c r="H358" s="37"/>
      <c r="I358" s="38"/>
      <c r="J358" s="44"/>
      <c r="K358" s="44"/>
      <c r="L358" s="45" t="str">
        <f aca="false">IF(AND($J358="",$K358=""),"",ROUND(IFERROR(VALUE(LEFT($J358,1)),0)*12+IFERROR(VALUE(LEFT($K358,1)),0)*8,0))</f>
        <v/>
      </c>
      <c r="M358" s="45" t="str">
        <f aca="false">IF($L358="","",IF($L358&gt;=80,"A - pursue now",IF($L358&gt;=60,"B - worth pursuing",IF($L358&gt;=40,"C - nurture","D - park it"))))</f>
        <v/>
      </c>
      <c r="N358" s="37"/>
      <c r="O358" s="44"/>
      <c r="P358" s="38"/>
      <c r="Q358" s="36"/>
      <c r="R358" s="38"/>
      <c r="S358" s="36"/>
      <c r="T358" s="37"/>
      <c r="U358" s="38"/>
    </row>
    <row r="359" customFormat="false" ht="27.75" hidden="false" customHeight="true" outlineLevel="0" collapsed="false">
      <c r="A359" s="36"/>
      <c r="B359" s="37"/>
      <c r="C359" s="38"/>
      <c r="D359" s="37"/>
      <c r="E359" s="37"/>
      <c r="F359" s="37"/>
      <c r="G359" s="37"/>
      <c r="H359" s="37"/>
      <c r="I359" s="38"/>
      <c r="J359" s="44"/>
      <c r="K359" s="44"/>
      <c r="L359" s="45" t="str">
        <f aca="false">IF(AND($J359="",$K359=""),"",ROUND(IFERROR(VALUE(LEFT($J359,1)),0)*12+IFERROR(VALUE(LEFT($K359,1)),0)*8,0))</f>
        <v/>
      </c>
      <c r="M359" s="45" t="str">
        <f aca="false">IF($L359="","",IF($L359&gt;=80,"A - pursue now",IF($L359&gt;=60,"B - worth pursuing",IF($L359&gt;=40,"C - nurture","D - park it"))))</f>
        <v/>
      </c>
      <c r="N359" s="37"/>
      <c r="O359" s="44"/>
      <c r="P359" s="38"/>
      <c r="Q359" s="36"/>
      <c r="R359" s="38"/>
      <c r="S359" s="36"/>
      <c r="T359" s="37"/>
      <c r="U359" s="38"/>
    </row>
    <row r="360" customFormat="false" ht="27.75" hidden="false" customHeight="true" outlineLevel="0" collapsed="false">
      <c r="A360" s="36"/>
      <c r="B360" s="37"/>
      <c r="C360" s="38"/>
      <c r="D360" s="37"/>
      <c r="E360" s="37"/>
      <c r="F360" s="37"/>
      <c r="G360" s="37"/>
      <c r="H360" s="37"/>
      <c r="I360" s="38"/>
      <c r="J360" s="44"/>
      <c r="K360" s="44"/>
      <c r="L360" s="45" t="str">
        <f aca="false">IF(AND($J360="",$K360=""),"",ROUND(IFERROR(VALUE(LEFT($J360,1)),0)*12+IFERROR(VALUE(LEFT($K360,1)),0)*8,0))</f>
        <v/>
      </c>
      <c r="M360" s="45" t="str">
        <f aca="false">IF($L360="","",IF($L360&gt;=80,"A - pursue now",IF($L360&gt;=60,"B - worth pursuing",IF($L360&gt;=40,"C - nurture","D - park it"))))</f>
        <v/>
      </c>
      <c r="N360" s="37"/>
      <c r="O360" s="44"/>
      <c r="P360" s="38"/>
      <c r="Q360" s="36"/>
      <c r="R360" s="38"/>
      <c r="S360" s="36"/>
      <c r="T360" s="37"/>
      <c r="U360" s="38"/>
    </row>
    <row r="361" customFormat="false" ht="27.75" hidden="false" customHeight="true" outlineLevel="0" collapsed="false">
      <c r="A361" s="36"/>
      <c r="B361" s="37"/>
      <c r="C361" s="38"/>
      <c r="D361" s="37"/>
      <c r="E361" s="37"/>
      <c r="F361" s="37"/>
      <c r="G361" s="37"/>
      <c r="H361" s="37"/>
      <c r="I361" s="38"/>
      <c r="J361" s="44"/>
      <c r="K361" s="44"/>
      <c r="L361" s="45" t="str">
        <f aca="false">IF(AND($J361="",$K361=""),"",ROUND(IFERROR(VALUE(LEFT($J361,1)),0)*12+IFERROR(VALUE(LEFT($K361,1)),0)*8,0))</f>
        <v/>
      </c>
      <c r="M361" s="45" t="str">
        <f aca="false">IF($L361="","",IF($L361&gt;=80,"A - pursue now",IF($L361&gt;=60,"B - worth pursuing",IF($L361&gt;=40,"C - nurture","D - park it"))))</f>
        <v/>
      </c>
      <c r="N361" s="37"/>
      <c r="O361" s="44"/>
      <c r="P361" s="38"/>
      <c r="Q361" s="36"/>
      <c r="R361" s="38"/>
      <c r="S361" s="36"/>
      <c r="T361" s="37"/>
      <c r="U361" s="38"/>
    </row>
    <row r="362" customFormat="false" ht="27.75" hidden="false" customHeight="true" outlineLevel="0" collapsed="false">
      <c r="A362" s="36"/>
      <c r="B362" s="37"/>
      <c r="C362" s="38"/>
      <c r="D362" s="37"/>
      <c r="E362" s="37"/>
      <c r="F362" s="37"/>
      <c r="G362" s="37"/>
      <c r="H362" s="37"/>
      <c r="I362" s="38"/>
      <c r="J362" s="44"/>
      <c r="K362" s="44"/>
      <c r="L362" s="45" t="str">
        <f aca="false">IF(AND($J362="",$K362=""),"",ROUND(IFERROR(VALUE(LEFT($J362,1)),0)*12+IFERROR(VALUE(LEFT($K362,1)),0)*8,0))</f>
        <v/>
      </c>
      <c r="M362" s="45" t="str">
        <f aca="false">IF($L362="","",IF($L362&gt;=80,"A - pursue now",IF($L362&gt;=60,"B - worth pursuing",IF($L362&gt;=40,"C - nurture","D - park it"))))</f>
        <v/>
      </c>
      <c r="N362" s="37"/>
      <c r="O362" s="44"/>
      <c r="P362" s="38"/>
      <c r="Q362" s="36"/>
      <c r="R362" s="38"/>
      <c r="S362" s="36"/>
      <c r="T362" s="37"/>
      <c r="U362" s="38"/>
    </row>
    <row r="363" customFormat="false" ht="27.75" hidden="false" customHeight="true" outlineLevel="0" collapsed="false">
      <c r="A363" s="36"/>
      <c r="B363" s="37"/>
      <c r="C363" s="38"/>
      <c r="D363" s="37"/>
      <c r="E363" s="37"/>
      <c r="F363" s="37"/>
      <c r="G363" s="37"/>
      <c r="H363" s="37"/>
      <c r="I363" s="38"/>
      <c r="J363" s="44"/>
      <c r="K363" s="44"/>
      <c r="L363" s="45" t="str">
        <f aca="false">IF(AND($J363="",$K363=""),"",ROUND(IFERROR(VALUE(LEFT($J363,1)),0)*12+IFERROR(VALUE(LEFT($K363,1)),0)*8,0))</f>
        <v/>
      </c>
      <c r="M363" s="45" t="str">
        <f aca="false">IF($L363="","",IF($L363&gt;=80,"A - pursue now",IF($L363&gt;=60,"B - worth pursuing",IF($L363&gt;=40,"C - nurture","D - park it"))))</f>
        <v/>
      </c>
      <c r="N363" s="37"/>
      <c r="O363" s="44"/>
      <c r="P363" s="38"/>
      <c r="Q363" s="36"/>
      <c r="R363" s="38"/>
      <c r="S363" s="36"/>
      <c r="T363" s="37"/>
      <c r="U363" s="38"/>
    </row>
    <row r="364" customFormat="false" ht="27.75" hidden="false" customHeight="true" outlineLevel="0" collapsed="false">
      <c r="A364" s="36"/>
      <c r="B364" s="37"/>
      <c r="C364" s="38"/>
      <c r="D364" s="37"/>
      <c r="E364" s="37"/>
      <c r="F364" s="37"/>
      <c r="G364" s="37"/>
      <c r="H364" s="37"/>
      <c r="I364" s="38"/>
      <c r="J364" s="44"/>
      <c r="K364" s="44"/>
      <c r="L364" s="45" t="str">
        <f aca="false">IF(AND($J364="",$K364=""),"",ROUND(IFERROR(VALUE(LEFT($J364,1)),0)*12+IFERROR(VALUE(LEFT($K364,1)),0)*8,0))</f>
        <v/>
      </c>
      <c r="M364" s="45" t="str">
        <f aca="false">IF($L364="","",IF($L364&gt;=80,"A - pursue now",IF($L364&gt;=60,"B - worth pursuing",IF($L364&gt;=40,"C - nurture","D - park it"))))</f>
        <v/>
      </c>
      <c r="N364" s="37"/>
      <c r="O364" s="44"/>
      <c r="P364" s="38"/>
      <c r="Q364" s="36"/>
      <c r="R364" s="38"/>
      <c r="S364" s="36"/>
      <c r="T364" s="37"/>
      <c r="U364" s="38"/>
    </row>
    <row r="365" customFormat="false" ht="27.75" hidden="false" customHeight="true" outlineLevel="0" collapsed="false">
      <c r="A365" s="36"/>
      <c r="B365" s="37"/>
      <c r="C365" s="38"/>
      <c r="D365" s="37"/>
      <c r="E365" s="37"/>
      <c r="F365" s="37"/>
      <c r="G365" s="37"/>
      <c r="H365" s="37"/>
      <c r="I365" s="38"/>
      <c r="J365" s="44"/>
      <c r="K365" s="44"/>
      <c r="L365" s="45" t="str">
        <f aca="false">IF(AND($J365="",$K365=""),"",ROUND(IFERROR(VALUE(LEFT($J365,1)),0)*12+IFERROR(VALUE(LEFT($K365,1)),0)*8,0))</f>
        <v/>
      </c>
      <c r="M365" s="45" t="str">
        <f aca="false">IF($L365="","",IF($L365&gt;=80,"A - pursue now",IF($L365&gt;=60,"B - worth pursuing",IF($L365&gt;=40,"C - nurture","D - park it"))))</f>
        <v/>
      </c>
      <c r="N365" s="37"/>
      <c r="O365" s="44"/>
      <c r="P365" s="38"/>
      <c r="Q365" s="36"/>
      <c r="R365" s="38"/>
      <c r="S365" s="36"/>
      <c r="T365" s="37"/>
      <c r="U365" s="38"/>
    </row>
    <row r="366" customFormat="false" ht="27.75" hidden="false" customHeight="true" outlineLevel="0" collapsed="false">
      <c r="A366" s="36"/>
      <c r="B366" s="37"/>
      <c r="C366" s="38"/>
      <c r="D366" s="37"/>
      <c r="E366" s="37"/>
      <c r="F366" s="37"/>
      <c r="G366" s="37"/>
      <c r="H366" s="37"/>
      <c r="I366" s="38"/>
      <c r="J366" s="44"/>
      <c r="K366" s="44"/>
      <c r="L366" s="45" t="str">
        <f aca="false">IF(AND($J366="",$K366=""),"",ROUND(IFERROR(VALUE(LEFT($J366,1)),0)*12+IFERROR(VALUE(LEFT($K366,1)),0)*8,0))</f>
        <v/>
      </c>
      <c r="M366" s="45" t="str">
        <f aca="false">IF($L366="","",IF($L366&gt;=80,"A - pursue now",IF($L366&gt;=60,"B - worth pursuing",IF($L366&gt;=40,"C - nurture","D - park it"))))</f>
        <v/>
      </c>
      <c r="N366" s="37"/>
      <c r="O366" s="44"/>
      <c r="P366" s="38"/>
      <c r="Q366" s="36"/>
      <c r="R366" s="38"/>
      <c r="S366" s="36"/>
      <c r="T366" s="37"/>
      <c r="U366" s="38"/>
    </row>
    <row r="367" customFormat="false" ht="27.75" hidden="false" customHeight="true" outlineLevel="0" collapsed="false">
      <c r="A367" s="36"/>
      <c r="B367" s="37"/>
      <c r="C367" s="38"/>
      <c r="D367" s="37"/>
      <c r="E367" s="37"/>
      <c r="F367" s="37"/>
      <c r="G367" s="37"/>
      <c r="H367" s="37"/>
      <c r="I367" s="38"/>
      <c r="J367" s="44"/>
      <c r="K367" s="44"/>
      <c r="L367" s="45" t="str">
        <f aca="false">IF(AND($J367="",$K367=""),"",ROUND(IFERROR(VALUE(LEFT($J367,1)),0)*12+IFERROR(VALUE(LEFT($K367,1)),0)*8,0))</f>
        <v/>
      </c>
      <c r="M367" s="45" t="str">
        <f aca="false">IF($L367="","",IF($L367&gt;=80,"A - pursue now",IF($L367&gt;=60,"B - worth pursuing",IF($L367&gt;=40,"C - nurture","D - park it"))))</f>
        <v/>
      </c>
      <c r="N367" s="37"/>
      <c r="O367" s="44"/>
      <c r="P367" s="38"/>
      <c r="Q367" s="36"/>
      <c r="R367" s="38"/>
      <c r="S367" s="36"/>
      <c r="T367" s="37"/>
      <c r="U367" s="38"/>
    </row>
    <row r="368" customFormat="false" ht="27.75" hidden="false" customHeight="true" outlineLevel="0" collapsed="false">
      <c r="A368" s="36"/>
      <c r="B368" s="37"/>
      <c r="C368" s="38"/>
      <c r="D368" s="37"/>
      <c r="E368" s="37"/>
      <c r="F368" s="37"/>
      <c r="G368" s="37"/>
      <c r="H368" s="37"/>
      <c r="I368" s="38"/>
      <c r="J368" s="44"/>
      <c r="K368" s="44"/>
      <c r="L368" s="45" t="str">
        <f aca="false">IF(AND($J368="",$K368=""),"",ROUND(IFERROR(VALUE(LEFT($J368,1)),0)*12+IFERROR(VALUE(LEFT($K368,1)),0)*8,0))</f>
        <v/>
      </c>
      <c r="M368" s="45" t="str">
        <f aca="false">IF($L368="","",IF($L368&gt;=80,"A - pursue now",IF($L368&gt;=60,"B - worth pursuing",IF($L368&gt;=40,"C - nurture","D - park it"))))</f>
        <v/>
      </c>
      <c r="N368" s="37"/>
      <c r="O368" s="44"/>
      <c r="P368" s="38"/>
      <c r="Q368" s="36"/>
      <c r="R368" s="38"/>
      <c r="S368" s="36"/>
      <c r="T368" s="37"/>
      <c r="U368" s="38"/>
    </row>
    <row r="369" customFormat="false" ht="27.75" hidden="false" customHeight="true" outlineLevel="0" collapsed="false">
      <c r="A369" s="36"/>
      <c r="B369" s="37"/>
      <c r="C369" s="38"/>
      <c r="D369" s="37"/>
      <c r="E369" s="37"/>
      <c r="F369" s="37"/>
      <c r="G369" s="37"/>
      <c r="H369" s="37"/>
      <c r="I369" s="38"/>
      <c r="J369" s="44"/>
      <c r="K369" s="44"/>
      <c r="L369" s="45" t="str">
        <f aca="false">IF(AND($J369="",$K369=""),"",ROUND(IFERROR(VALUE(LEFT($J369,1)),0)*12+IFERROR(VALUE(LEFT($K369,1)),0)*8,0))</f>
        <v/>
      </c>
      <c r="M369" s="45" t="str">
        <f aca="false">IF($L369="","",IF($L369&gt;=80,"A - pursue now",IF($L369&gt;=60,"B - worth pursuing",IF($L369&gt;=40,"C - nurture","D - park it"))))</f>
        <v/>
      </c>
      <c r="N369" s="37"/>
      <c r="O369" s="44"/>
      <c r="P369" s="38"/>
      <c r="Q369" s="36"/>
      <c r="R369" s="38"/>
      <c r="S369" s="36"/>
      <c r="T369" s="37"/>
      <c r="U369" s="38"/>
    </row>
    <row r="370" customFormat="false" ht="27.75" hidden="false" customHeight="true" outlineLevel="0" collapsed="false">
      <c r="A370" s="36"/>
      <c r="B370" s="37"/>
      <c r="C370" s="38"/>
      <c r="D370" s="37"/>
      <c r="E370" s="37"/>
      <c r="F370" s="37"/>
      <c r="G370" s="37"/>
      <c r="H370" s="37"/>
      <c r="I370" s="38"/>
      <c r="J370" s="44"/>
      <c r="K370" s="44"/>
      <c r="L370" s="45" t="str">
        <f aca="false">IF(AND($J370="",$K370=""),"",ROUND(IFERROR(VALUE(LEFT($J370,1)),0)*12+IFERROR(VALUE(LEFT($K370,1)),0)*8,0))</f>
        <v/>
      </c>
      <c r="M370" s="45" t="str">
        <f aca="false">IF($L370="","",IF($L370&gt;=80,"A - pursue now",IF($L370&gt;=60,"B - worth pursuing",IF($L370&gt;=40,"C - nurture","D - park it"))))</f>
        <v/>
      </c>
      <c r="N370" s="37"/>
      <c r="O370" s="44"/>
      <c r="P370" s="38"/>
      <c r="Q370" s="36"/>
      <c r="R370" s="38"/>
      <c r="S370" s="36"/>
      <c r="T370" s="37"/>
      <c r="U370" s="38"/>
    </row>
    <row r="371" customFormat="false" ht="27.75" hidden="false" customHeight="true" outlineLevel="0" collapsed="false">
      <c r="A371" s="36"/>
      <c r="B371" s="37"/>
      <c r="C371" s="38"/>
      <c r="D371" s="37"/>
      <c r="E371" s="37"/>
      <c r="F371" s="37"/>
      <c r="G371" s="37"/>
      <c r="H371" s="37"/>
      <c r="I371" s="38"/>
      <c r="J371" s="44"/>
      <c r="K371" s="44"/>
      <c r="L371" s="45" t="str">
        <f aca="false">IF(AND($J371="",$K371=""),"",ROUND(IFERROR(VALUE(LEFT($J371,1)),0)*12+IFERROR(VALUE(LEFT($K371,1)),0)*8,0))</f>
        <v/>
      </c>
      <c r="M371" s="45" t="str">
        <f aca="false">IF($L371="","",IF($L371&gt;=80,"A - pursue now",IF($L371&gt;=60,"B - worth pursuing",IF($L371&gt;=40,"C - nurture","D - park it"))))</f>
        <v/>
      </c>
      <c r="N371" s="37"/>
      <c r="O371" s="44"/>
      <c r="P371" s="38"/>
      <c r="Q371" s="36"/>
      <c r="R371" s="38"/>
      <c r="S371" s="36"/>
      <c r="T371" s="37"/>
      <c r="U371" s="38"/>
    </row>
    <row r="372" customFormat="false" ht="27.75" hidden="false" customHeight="true" outlineLevel="0" collapsed="false">
      <c r="A372" s="36"/>
      <c r="B372" s="37"/>
      <c r="C372" s="38"/>
      <c r="D372" s="37"/>
      <c r="E372" s="37"/>
      <c r="F372" s="37"/>
      <c r="G372" s="37"/>
      <c r="H372" s="37"/>
      <c r="I372" s="38"/>
      <c r="J372" s="44"/>
      <c r="K372" s="44"/>
      <c r="L372" s="45" t="str">
        <f aca="false">IF(AND($J372="",$K372=""),"",ROUND(IFERROR(VALUE(LEFT($J372,1)),0)*12+IFERROR(VALUE(LEFT($K372,1)),0)*8,0))</f>
        <v/>
      </c>
      <c r="M372" s="45" t="str">
        <f aca="false">IF($L372="","",IF($L372&gt;=80,"A - pursue now",IF($L372&gt;=60,"B - worth pursuing",IF($L372&gt;=40,"C - nurture","D - park it"))))</f>
        <v/>
      </c>
      <c r="N372" s="37"/>
      <c r="O372" s="44"/>
      <c r="P372" s="38"/>
      <c r="Q372" s="36"/>
      <c r="R372" s="38"/>
      <c r="S372" s="36"/>
      <c r="T372" s="37"/>
      <c r="U372" s="38"/>
    </row>
    <row r="373" customFormat="false" ht="27.75" hidden="false" customHeight="true" outlineLevel="0" collapsed="false">
      <c r="A373" s="36"/>
      <c r="B373" s="37"/>
      <c r="C373" s="38"/>
      <c r="D373" s="37"/>
      <c r="E373" s="37"/>
      <c r="F373" s="37"/>
      <c r="G373" s="37"/>
      <c r="H373" s="37"/>
      <c r="I373" s="38"/>
      <c r="J373" s="44"/>
      <c r="K373" s="44"/>
      <c r="L373" s="45" t="str">
        <f aca="false">IF(AND($J373="",$K373=""),"",ROUND(IFERROR(VALUE(LEFT($J373,1)),0)*12+IFERROR(VALUE(LEFT($K373,1)),0)*8,0))</f>
        <v/>
      </c>
      <c r="M373" s="45" t="str">
        <f aca="false">IF($L373="","",IF($L373&gt;=80,"A - pursue now",IF($L373&gt;=60,"B - worth pursuing",IF($L373&gt;=40,"C - nurture","D - park it"))))</f>
        <v/>
      </c>
      <c r="N373" s="37"/>
      <c r="O373" s="44"/>
      <c r="P373" s="38"/>
      <c r="Q373" s="36"/>
      <c r="R373" s="38"/>
      <c r="S373" s="36"/>
      <c r="T373" s="37"/>
      <c r="U373" s="38"/>
    </row>
    <row r="374" customFormat="false" ht="27.75" hidden="false" customHeight="true" outlineLevel="0" collapsed="false">
      <c r="A374" s="36"/>
      <c r="B374" s="37"/>
      <c r="C374" s="38"/>
      <c r="D374" s="37"/>
      <c r="E374" s="37"/>
      <c r="F374" s="37"/>
      <c r="G374" s="37"/>
      <c r="H374" s="37"/>
      <c r="I374" s="38"/>
      <c r="J374" s="44"/>
      <c r="K374" s="44"/>
      <c r="L374" s="45" t="str">
        <f aca="false">IF(AND($J374="",$K374=""),"",ROUND(IFERROR(VALUE(LEFT($J374,1)),0)*12+IFERROR(VALUE(LEFT($K374,1)),0)*8,0))</f>
        <v/>
      </c>
      <c r="M374" s="45" t="str">
        <f aca="false">IF($L374="","",IF($L374&gt;=80,"A - pursue now",IF($L374&gt;=60,"B - worth pursuing",IF($L374&gt;=40,"C - nurture","D - park it"))))</f>
        <v/>
      </c>
      <c r="N374" s="37"/>
      <c r="O374" s="44"/>
      <c r="P374" s="38"/>
      <c r="Q374" s="36"/>
      <c r="R374" s="38"/>
      <c r="S374" s="36"/>
      <c r="T374" s="37"/>
      <c r="U374" s="38"/>
    </row>
    <row r="375" customFormat="false" ht="27.75" hidden="false" customHeight="true" outlineLevel="0" collapsed="false">
      <c r="A375" s="36"/>
      <c r="B375" s="37"/>
      <c r="C375" s="38"/>
      <c r="D375" s="37"/>
      <c r="E375" s="37"/>
      <c r="F375" s="37"/>
      <c r="G375" s="37"/>
      <c r="H375" s="37"/>
      <c r="I375" s="38"/>
      <c r="J375" s="44"/>
      <c r="K375" s="44"/>
      <c r="L375" s="45" t="str">
        <f aca="false">IF(AND($J375="",$K375=""),"",ROUND(IFERROR(VALUE(LEFT($J375,1)),0)*12+IFERROR(VALUE(LEFT($K375,1)),0)*8,0))</f>
        <v/>
      </c>
      <c r="M375" s="45" t="str">
        <f aca="false">IF($L375="","",IF($L375&gt;=80,"A - pursue now",IF($L375&gt;=60,"B - worth pursuing",IF($L375&gt;=40,"C - nurture","D - park it"))))</f>
        <v/>
      </c>
      <c r="N375" s="37"/>
      <c r="O375" s="44"/>
      <c r="P375" s="38"/>
      <c r="Q375" s="36"/>
      <c r="R375" s="38"/>
      <c r="S375" s="36"/>
      <c r="T375" s="37"/>
      <c r="U375" s="38"/>
    </row>
    <row r="376" customFormat="false" ht="27.75" hidden="false" customHeight="true" outlineLevel="0" collapsed="false">
      <c r="A376" s="36"/>
      <c r="B376" s="37"/>
      <c r="C376" s="38"/>
      <c r="D376" s="37"/>
      <c r="E376" s="37"/>
      <c r="F376" s="37"/>
      <c r="G376" s="37"/>
      <c r="H376" s="37"/>
      <c r="I376" s="38"/>
      <c r="J376" s="44"/>
      <c r="K376" s="44"/>
      <c r="L376" s="45" t="str">
        <f aca="false">IF(AND($J376="",$K376=""),"",ROUND(IFERROR(VALUE(LEFT($J376,1)),0)*12+IFERROR(VALUE(LEFT($K376,1)),0)*8,0))</f>
        <v/>
      </c>
      <c r="M376" s="45" t="str">
        <f aca="false">IF($L376="","",IF($L376&gt;=80,"A - pursue now",IF($L376&gt;=60,"B - worth pursuing",IF($L376&gt;=40,"C - nurture","D - park it"))))</f>
        <v/>
      </c>
      <c r="N376" s="37"/>
      <c r="O376" s="44"/>
      <c r="P376" s="38"/>
      <c r="Q376" s="36"/>
      <c r="R376" s="38"/>
      <c r="S376" s="36"/>
      <c r="T376" s="37"/>
      <c r="U376" s="38"/>
    </row>
    <row r="377" customFormat="false" ht="27.75" hidden="false" customHeight="true" outlineLevel="0" collapsed="false">
      <c r="A377" s="36"/>
      <c r="B377" s="37"/>
      <c r="C377" s="38"/>
      <c r="D377" s="37"/>
      <c r="E377" s="37"/>
      <c r="F377" s="37"/>
      <c r="G377" s="37"/>
      <c r="H377" s="37"/>
      <c r="I377" s="38"/>
      <c r="J377" s="44"/>
      <c r="K377" s="44"/>
      <c r="L377" s="45" t="str">
        <f aca="false">IF(AND($J377="",$K377=""),"",ROUND(IFERROR(VALUE(LEFT($J377,1)),0)*12+IFERROR(VALUE(LEFT($K377,1)),0)*8,0))</f>
        <v/>
      </c>
      <c r="M377" s="45" t="str">
        <f aca="false">IF($L377="","",IF($L377&gt;=80,"A - pursue now",IF($L377&gt;=60,"B - worth pursuing",IF($L377&gt;=40,"C - nurture","D - park it"))))</f>
        <v/>
      </c>
      <c r="N377" s="37"/>
      <c r="O377" s="44"/>
      <c r="P377" s="38"/>
      <c r="Q377" s="36"/>
      <c r="R377" s="38"/>
      <c r="S377" s="36"/>
      <c r="T377" s="37"/>
      <c r="U377" s="38"/>
    </row>
    <row r="378" customFormat="false" ht="27.75" hidden="false" customHeight="true" outlineLevel="0" collapsed="false">
      <c r="A378" s="36"/>
      <c r="B378" s="37"/>
      <c r="C378" s="38"/>
      <c r="D378" s="37"/>
      <c r="E378" s="37"/>
      <c r="F378" s="37"/>
      <c r="G378" s="37"/>
      <c r="H378" s="37"/>
      <c r="I378" s="38"/>
      <c r="J378" s="44"/>
      <c r="K378" s="44"/>
      <c r="L378" s="45" t="str">
        <f aca="false">IF(AND($J378="",$K378=""),"",ROUND(IFERROR(VALUE(LEFT($J378,1)),0)*12+IFERROR(VALUE(LEFT($K378,1)),0)*8,0))</f>
        <v/>
      </c>
      <c r="M378" s="45" t="str">
        <f aca="false">IF($L378="","",IF($L378&gt;=80,"A - pursue now",IF($L378&gt;=60,"B - worth pursuing",IF($L378&gt;=40,"C - nurture","D - park it"))))</f>
        <v/>
      </c>
      <c r="N378" s="37"/>
      <c r="O378" s="44"/>
      <c r="P378" s="38"/>
      <c r="Q378" s="36"/>
      <c r="R378" s="38"/>
      <c r="S378" s="36"/>
      <c r="T378" s="37"/>
      <c r="U378" s="38"/>
    </row>
    <row r="379" customFormat="false" ht="27.75" hidden="false" customHeight="true" outlineLevel="0" collapsed="false">
      <c r="A379" s="36"/>
      <c r="B379" s="37"/>
      <c r="C379" s="38"/>
      <c r="D379" s="37"/>
      <c r="E379" s="37"/>
      <c r="F379" s="37"/>
      <c r="G379" s="37"/>
      <c r="H379" s="37"/>
      <c r="I379" s="38"/>
      <c r="J379" s="44"/>
      <c r="K379" s="44"/>
      <c r="L379" s="45" t="str">
        <f aca="false">IF(AND($J379="",$K379=""),"",ROUND(IFERROR(VALUE(LEFT($J379,1)),0)*12+IFERROR(VALUE(LEFT($K379,1)),0)*8,0))</f>
        <v/>
      </c>
      <c r="M379" s="45" t="str">
        <f aca="false">IF($L379="","",IF($L379&gt;=80,"A - pursue now",IF($L379&gt;=60,"B - worth pursuing",IF($L379&gt;=40,"C - nurture","D - park it"))))</f>
        <v/>
      </c>
      <c r="N379" s="37"/>
      <c r="O379" s="44"/>
      <c r="P379" s="38"/>
      <c r="Q379" s="36"/>
      <c r="R379" s="38"/>
      <c r="S379" s="36"/>
      <c r="T379" s="37"/>
      <c r="U379" s="38"/>
    </row>
    <row r="380" customFormat="false" ht="27.75" hidden="false" customHeight="true" outlineLevel="0" collapsed="false">
      <c r="A380" s="36"/>
      <c r="B380" s="37"/>
      <c r="C380" s="38"/>
      <c r="D380" s="37"/>
      <c r="E380" s="37"/>
      <c r="F380" s="37"/>
      <c r="G380" s="37"/>
      <c r="H380" s="37"/>
      <c r="I380" s="38"/>
      <c r="J380" s="44"/>
      <c r="K380" s="44"/>
      <c r="L380" s="45" t="str">
        <f aca="false">IF(AND($J380="",$K380=""),"",ROUND(IFERROR(VALUE(LEFT($J380,1)),0)*12+IFERROR(VALUE(LEFT($K380,1)),0)*8,0))</f>
        <v/>
      </c>
      <c r="M380" s="45" t="str">
        <f aca="false">IF($L380="","",IF($L380&gt;=80,"A - pursue now",IF($L380&gt;=60,"B - worth pursuing",IF($L380&gt;=40,"C - nurture","D - park it"))))</f>
        <v/>
      </c>
      <c r="N380" s="37"/>
      <c r="O380" s="44"/>
      <c r="P380" s="38"/>
      <c r="Q380" s="36"/>
      <c r="R380" s="38"/>
      <c r="S380" s="36"/>
      <c r="T380" s="37"/>
      <c r="U380" s="38"/>
    </row>
    <row r="381" customFormat="false" ht="27.75" hidden="false" customHeight="true" outlineLevel="0" collapsed="false">
      <c r="A381" s="36"/>
      <c r="B381" s="37"/>
      <c r="C381" s="38"/>
      <c r="D381" s="37"/>
      <c r="E381" s="37"/>
      <c r="F381" s="37"/>
      <c r="G381" s="37"/>
      <c r="H381" s="37"/>
      <c r="I381" s="38"/>
      <c r="J381" s="44"/>
      <c r="K381" s="44"/>
      <c r="L381" s="45" t="str">
        <f aca="false">IF(AND($J381="",$K381=""),"",ROUND(IFERROR(VALUE(LEFT($J381,1)),0)*12+IFERROR(VALUE(LEFT($K381,1)),0)*8,0))</f>
        <v/>
      </c>
      <c r="M381" s="45" t="str">
        <f aca="false">IF($L381="","",IF($L381&gt;=80,"A - pursue now",IF($L381&gt;=60,"B - worth pursuing",IF($L381&gt;=40,"C - nurture","D - park it"))))</f>
        <v/>
      </c>
      <c r="N381" s="37"/>
      <c r="O381" s="44"/>
      <c r="P381" s="38"/>
      <c r="Q381" s="36"/>
      <c r="R381" s="38"/>
      <c r="S381" s="36"/>
      <c r="T381" s="37"/>
      <c r="U381" s="38"/>
    </row>
    <row r="382" customFormat="false" ht="27.75" hidden="false" customHeight="true" outlineLevel="0" collapsed="false">
      <c r="A382" s="36"/>
      <c r="B382" s="37"/>
      <c r="C382" s="38"/>
      <c r="D382" s="37"/>
      <c r="E382" s="37"/>
      <c r="F382" s="37"/>
      <c r="G382" s="37"/>
      <c r="H382" s="37"/>
      <c r="I382" s="38"/>
      <c r="J382" s="44"/>
      <c r="K382" s="44"/>
      <c r="L382" s="45" t="str">
        <f aca="false">IF(AND($J382="",$K382=""),"",ROUND(IFERROR(VALUE(LEFT($J382,1)),0)*12+IFERROR(VALUE(LEFT($K382,1)),0)*8,0))</f>
        <v/>
      </c>
      <c r="M382" s="45" t="str">
        <f aca="false">IF($L382="","",IF($L382&gt;=80,"A - pursue now",IF($L382&gt;=60,"B - worth pursuing",IF($L382&gt;=40,"C - nurture","D - park it"))))</f>
        <v/>
      </c>
      <c r="N382" s="37"/>
      <c r="O382" s="44"/>
      <c r="P382" s="38"/>
      <c r="Q382" s="36"/>
      <c r="R382" s="38"/>
      <c r="S382" s="36"/>
      <c r="T382" s="37"/>
      <c r="U382" s="38"/>
    </row>
    <row r="383" customFormat="false" ht="27.75" hidden="false" customHeight="true" outlineLevel="0" collapsed="false">
      <c r="A383" s="36"/>
      <c r="B383" s="37"/>
      <c r="C383" s="38"/>
      <c r="D383" s="37"/>
      <c r="E383" s="37"/>
      <c r="F383" s="37"/>
      <c r="G383" s="37"/>
      <c r="H383" s="37"/>
      <c r="I383" s="38"/>
      <c r="J383" s="44"/>
      <c r="K383" s="44"/>
      <c r="L383" s="45" t="str">
        <f aca="false">IF(AND($J383="",$K383=""),"",ROUND(IFERROR(VALUE(LEFT($J383,1)),0)*12+IFERROR(VALUE(LEFT($K383,1)),0)*8,0))</f>
        <v/>
      </c>
      <c r="M383" s="45" t="str">
        <f aca="false">IF($L383="","",IF($L383&gt;=80,"A - pursue now",IF($L383&gt;=60,"B - worth pursuing",IF($L383&gt;=40,"C - nurture","D - park it"))))</f>
        <v/>
      </c>
      <c r="N383" s="37"/>
      <c r="O383" s="44"/>
      <c r="P383" s="38"/>
      <c r="Q383" s="36"/>
      <c r="R383" s="38"/>
      <c r="S383" s="36"/>
      <c r="T383" s="37"/>
      <c r="U383" s="38"/>
    </row>
    <row r="384" customFormat="false" ht="27.75" hidden="false" customHeight="true" outlineLevel="0" collapsed="false">
      <c r="A384" s="36"/>
      <c r="B384" s="37"/>
      <c r="C384" s="38"/>
      <c r="D384" s="37"/>
      <c r="E384" s="37"/>
      <c r="F384" s="37"/>
      <c r="G384" s="37"/>
      <c r="H384" s="37"/>
      <c r="I384" s="38"/>
      <c r="J384" s="44"/>
      <c r="K384" s="44"/>
      <c r="L384" s="45" t="str">
        <f aca="false">IF(AND($J384="",$K384=""),"",ROUND(IFERROR(VALUE(LEFT($J384,1)),0)*12+IFERROR(VALUE(LEFT($K384,1)),0)*8,0))</f>
        <v/>
      </c>
      <c r="M384" s="45" t="str">
        <f aca="false">IF($L384="","",IF($L384&gt;=80,"A - pursue now",IF($L384&gt;=60,"B - worth pursuing",IF($L384&gt;=40,"C - nurture","D - park it"))))</f>
        <v/>
      </c>
      <c r="N384" s="37"/>
      <c r="O384" s="44"/>
      <c r="P384" s="38"/>
      <c r="Q384" s="36"/>
      <c r="R384" s="38"/>
      <c r="S384" s="36"/>
      <c r="T384" s="37"/>
      <c r="U384" s="38"/>
    </row>
    <row r="385" customFormat="false" ht="27.75" hidden="false" customHeight="true" outlineLevel="0" collapsed="false">
      <c r="A385" s="36"/>
      <c r="B385" s="37"/>
      <c r="C385" s="38"/>
      <c r="D385" s="37"/>
      <c r="E385" s="37"/>
      <c r="F385" s="37"/>
      <c r="G385" s="37"/>
      <c r="H385" s="37"/>
      <c r="I385" s="38"/>
      <c r="J385" s="44"/>
      <c r="K385" s="44"/>
      <c r="L385" s="45" t="str">
        <f aca="false">IF(AND($J385="",$K385=""),"",ROUND(IFERROR(VALUE(LEFT($J385,1)),0)*12+IFERROR(VALUE(LEFT($K385,1)),0)*8,0))</f>
        <v/>
      </c>
      <c r="M385" s="45" t="str">
        <f aca="false">IF($L385="","",IF($L385&gt;=80,"A - pursue now",IF($L385&gt;=60,"B - worth pursuing",IF($L385&gt;=40,"C - nurture","D - park it"))))</f>
        <v/>
      </c>
      <c r="N385" s="37"/>
      <c r="O385" s="44"/>
      <c r="P385" s="38"/>
      <c r="Q385" s="36"/>
      <c r="R385" s="38"/>
      <c r="S385" s="36"/>
      <c r="T385" s="37"/>
      <c r="U385" s="38"/>
    </row>
    <row r="386" customFormat="false" ht="27.75" hidden="false" customHeight="true" outlineLevel="0" collapsed="false">
      <c r="A386" s="36"/>
      <c r="B386" s="37"/>
      <c r="C386" s="38"/>
      <c r="D386" s="37"/>
      <c r="E386" s="37"/>
      <c r="F386" s="37"/>
      <c r="G386" s="37"/>
      <c r="H386" s="37"/>
      <c r="I386" s="38"/>
      <c r="J386" s="44"/>
      <c r="K386" s="44"/>
      <c r="L386" s="45" t="str">
        <f aca="false">IF(AND($J386="",$K386=""),"",ROUND(IFERROR(VALUE(LEFT($J386,1)),0)*12+IFERROR(VALUE(LEFT($K386,1)),0)*8,0))</f>
        <v/>
      </c>
      <c r="M386" s="45" t="str">
        <f aca="false">IF($L386="","",IF($L386&gt;=80,"A - pursue now",IF($L386&gt;=60,"B - worth pursuing",IF($L386&gt;=40,"C - nurture","D - park it"))))</f>
        <v/>
      </c>
      <c r="N386" s="37"/>
      <c r="O386" s="44"/>
      <c r="P386" s="38"/>
      <c r="Q386" s="36"/>
      <c r="R386" s="38"/>
      <c r="S386" s="36"/>
      <c r="T386" s="37"/>
      <c r="U386" s="38"/>
    </row>
    <row r="387" customFormat="false" ht="27.75" hidden="false" customHeight="true" outlineLevel="0" collapsed="false">
      <c r="A387" s="36"/>
      <c r="B387" s="37"/>
      <c r="C387" s="38"/>
      <c r="D387" s="37"/>
      <c r="E387" s="37"/>
      <c r="F387" s="37"/>
      <c r="G387" s="37"/>
      <c r="H387" s="37"/>
      <c r="I387" s="38"/>
      <c r="J387" s="44"/>
      <c r="K387" s="44"/>
      <c r="L387" s="45" t="str">
        <f aca="false">IF(AND($J387="",$K387=""),"",ROUND(IFERROR(VALUE(LEFT($J387,1)),0)*12+IFERROR(VALUE(LEFT($K387,1)),0)*8,0))</f>
        <v/>
      </c>
      <c r="M387" s="45" t="str">
        <f aca="false">IF($L387="","",IF($L387&gt;=80,"A - pursue now",IF($L387&gt;=60,"B - worth pursuing",IF($L387&gt;=40,"C - nurture","D - park it"))))</f>
        <v/>
      </c>
      <c r="N387" s="37"/>
      <c r="O387" s="44"/>
      <c r="P387" s="38"/>
      <c r="Q387" s="36"/>
      <c r="R387" s="38"/>
      <c r="S387" s="36"/>
      <c r="T387" s="37"/>
      <c r="U387" s="38"/>
    </row>
    <row r="388" customFormat="false" ht="27.75" hidden="false" customHeight="true" outlineLevel="0" collapsed="false">
      <c r="A388" s="36"/>
      <c r="B388" s="37"/>
      <c r="C388" s="38"/>
      <c r="D388" s="37"/>
      <c r="E388" s="37"/>
      <c r="F388" s="37"/>
      <c r="G388" s="37"/>
      <c r="H388" s="37"/>
      <c r="I388" s="38"/>
      <c r="J388" s="44"/>
      <c r="K388" s="44"/>
      <c r="L388" s="45" t="str">
        <f aca="false">IF(AND($J388="",$K388=""),"",ROUND(IFERROR(VALUE(LEFT($J388,1)),0)*12+IFERROR(VALUE(LEFT($K388,1)),0)*8,0))</f>
        <v/>
      </c>
      <c r="M388" s="45" t="str">
        <f aca="false">IF($L388="","",IF($L388&gt;=80,"A - pursue now",IF($L388&gt;=60,"B - worth pursuing",IF($L388&gt;=40,"C - nurture","D - park it"))))</f>
        <v/>
      </c>
      <c r="N388" s="37"/>
      <c r="O388" s="44"/>
      <c r="P388" s="38"/>
      <c r="Q388" s="36"/>
      <c r="R388" s="38"/>
      <c r="S388" s="36"/>
      <c r="T388" s="37"/>
      <c r="U388" s="38"/>
    </row>
    <row r="389" customFormat="false" ht="27.75" hidden="false" customHeight="true" outlineLevel="0" collapsed="false">
      <c r="A389" s="36"/>
      <c r="B389" s="37"/>
      <c r="C389" s="38"/>
      <c r="D389" s="37"/>
      <c r="E389" s="37"/>
      <c r="F389" s="37"/>
      <c r="G389" s="37"/>
      <c r="H389" s="37"/>
      <c r="I389" s="38"/>
      <c r="J389" s="44"/>
      <c r="K389" s="44"/>
      <c r="L389" s="45" t="str">
        <f aca="false">IF(AND($J389="",$K389=""),"",ROUND(IFERROR(VALUE(LEFT($J389,1)),0)*12+IFERROR(VALUE(LEFT($K389,1)),0)*8,0))</f>
        <v/>
      </c>
      <c r="M389" s="45" t="str">
        <f aca="false">IF($L389="","",IF($L389&gt;=80,"A - pursue now",IF($L389&gt;=60,"B - worth pursuing",IF($L389&gt;=40,"C - nurture","D - park it"))))</f>
        <v/>
      </c>
      <c r="N389" s="37"/>
      <c r="O389" s="44"/>
      <c r="P389" s="38"/>
      <c r="Q389" s="36"/>
      <c r="R389" s="38"/>
      <c r="S389" s="36"/>
      <c r="T389" s="37"/>
      <c r="U389" s="38"/>
    </row>
    <row r="390" customFormat="false" ht="27.75" hidden="false" customHeight="true" outlineLevel="0" collapsed="false">
      <c r="A390" s="36"/>
      <c r="B390" s="37"/>
      <c r="C390" s="38"/>
      <c r="D390" s="37"/>
      <c r="E390" s="37"/>
      <c r="F390" s="37"/>
      <c r="G390" s="37"/>
      <c r="H390" s="37"/>
      <c r="I390" s="38"/>
      <c r="J390" s="44"/>
      <c r="K390" s="44"/>
      <c r="L390" s="45" t="str">
        <f aca="false">IF(AND($J390="",$K390=""),"",ROUND(IFERROR(VALUE(LEFT($J390,1)),0)*12+IFERROR(VALUE(LEFT($K390,1)),0)*8,0))</f>
        <v/>
      </c>
      <c r="M390" s="45" t="str">
        <f aca="false">IF($L390="","",IF($L390&gt;=80,"A - pursue now",IF($L390&gt;=60,"B - worth pursuing",IF($L390&gt;=40,"C - nurture","D - park it"))))</f>
        <v/>
      </c>
      <c r="N390" s="37"/>
      <c r="O390" s="44"/>
      <c r="P390" s="38"/>
      <c r="Q390" s="36"/>
      <c r="R390" s="38"/>
      <c r="S390" s="36"/>
      <c r="T390" s="37"/>
      <c r="U390" s="38"/>
    </row>
    <row r="391" customFormat="false" ht="27.75" hidden="false" customHeight="true" outlineLevel="0" collapsed="false">
      <c r="A391" s="36"/>
      <c r="B391" s="37"/>
      <c r="C391" s="38"/>
      <c r="D391" s="37"/>
      <c r="E391" s="37"/>
      <c r="F391" s="37"/>
      <c r="G391" s="37"/>
      <c r="H391" s="37"/>
      <c r="I391" s="38"/>
      <c r="J391" s="44"/>
      <c r="K391" s="44"/>
      <c r="L391" s="45" t="str">
        <f aca="false">IF(AND($J391="",$K391=""),"",ROUND(IFERROR(VALUE(LEFT($J391,1)),0)*12+IFERROR(VALUE(LEFT($K391,1)),0)*8,0))</f>
        <v/>
      </c>
      <c r="M391" s="45" t="str">
        <f aca="false">IF($L391="","",IF($L391&gt;=80,"A - pursue now",IF($L391&gt;=60,"B - worth pursuing",IF($L391&gt;=40,"C - nurture","D - park it"))))</f>
        <v/>
      </c>
      <c r="N391" s="37"/>
      <c r="O391" s="44"/>
      <c r="P391" s="38"/>
      <c r="Q391" s="36"/>
      <c r="R391" s="38"/>
      <c r="S391" s="36"/>
      <c r="T391" s="37"/>
      <c r="U391" s="38"/>
    </row>
    <row r="392" customFormat="false" ht="27.75" hidden="false" customHeight="true" outlineLevel="0" collapsed="false">
      <c r="A392" s="36"/>
      <c r="B392" s="37"/>
      <c r="C392" s="38"/>
      <c r="D392" s="37"/>
      <c r="E392" s="37"/>
      <c r="F392" s="37"/>
      <c r="G392" s="37"/>
      <c r="H392" s="37"/>
      <c r="I392" s="38"/>
      <c r="J392" s="44"/>
      <c r="K392" s="44"/>
      <c r="L392" s="45" t="str">
        <f aca="false">IF(AND($J392="",$K392=""),"",ROUND(IFERROR(VALUE(LEFT($J392,1)),0)*12+IFERROR(VALUE(LEFT($K392,1)),0)*8,0))</f>
        <v/>
      </c>
      <c r="M392" s="45" t="str">
        <f aca="false">IF($L392="","",IF($L392&gt;=80,"A - pursue now",IF($L392&gt;=60,"B - worth pursuing",IF($L392&gt;=40,"C - nurture","D - park it"))))</f>
        <v/>
      </c>
      <c r="N392" s="37"/>
      <c r="O392" s="44"/>
      <c r="P392" s="38"/>
      <c r="Q392" s="36"/>
      <c r="R392" s="38"/>
      <c r="S392" s="36"/>
      <c r="T392" s="37"/>
      <c r="U392" s="38"/>
    </row>
    <row r="393" customFormat="false" ht="27.75" hidden="false" customHeight="true" outlineLevel="0" collapsed="false">
      <c r="A393" s="36"/>
      <c r="B393" s="37"/>
      <c r="C393" s="38"/>
      <c r="D393" s="37"/>
      <c r="E393" s="37"/>
      <c r="F393" s="37"/>
      <c r="G393" s="37"/>
      <c r="H393" s="37"/>
      <c r="I393" s="38"/>
      <c r="J393" s="44"/>
      <c r="K393" s="44"/>
      <c r="L393" s="45" t="str">
        <f aca="false">IF(AND($J393="",$K393=""),"",ROUND(IFERROR(VALUE(LEFT($J393,1)),0)*12+IFERROR(VALUE(LEFT($K393,1)),0)*8,0))</f>
        <v/>
      </c>
      <c r="M393" s="45" t="str">
        <f aca="false">IF($L393="","",IF($L393&gt;=80,"A - pursue now",IF($L393&gt;=60,"B - worth pursuing",IF($L393&gt;=40,"C - nurture","D - park it"))))</f>
        <v/>
      </c>
      <c r="N393" s="37"/>
      <c r="O393" s="44"/>
      <c r="P393" s="38"/>
      <c r="Q393" s="36"/>
      <c r="R393" s="38"/>
      <c r="S393" s="36"/>
      <c r="T393" s="37"/>
      <c r="U393" s="38"/>
    </row>
    <row r="394" customFormat="false" ht="27.75" hidden="false" customHeight="true" outlineLevel="0" collapsed="false">
      <c r="A394" s="36"/>
      <c r="B394" s="37"/>
      <c r="C394" s="38"/>
      <c r="D394" s="37"/>
      <c r="E394" s="37"/>
      <c r="F394" s="37"/>
      <c r="G394" s="37"/>
      <c r="H394" s="37"/>
      <c r="I394" s="38"/>
      <c r="J394" s="44"/>
      <c r="K394" s="44"/>
      <c r="L394" s="45" t="str">
        <f aca="false">IF(AND($J394="",$K394=""),"",ROUND(IFERROR(VALUE(LEFT($J394,1)),0)*12+IFERROR(VALUE(LEFT($K394,1)),0)*8,0))</f>
        <v/>
      </c>
      <c r="M394" s="45" t="str">
        <f aca="false">IF($L394="","",IF($L394&gt;=80,"A - pursue now",IF($L394&gt;=60,"B - worth pursuing",IF($L394&gt;=40,"C - nurture","D - park it"))))</f>
        <v/>
      </c>
      <c r="N394" s="37"/>
      <c r="O394" s="44"/>
      <c r="P394" s="38"/>
      <c r="Q394" s="36"/>
      <c r="R394" s="38"/>
      <c r="S394" s="36"/>
      <c r="T394" s="37"/>
      <c r="U394" s="38"/>
    </row>
    <row r="395" customFormat="false" ht="27.75" hidden="false" customHeight="true" outlineLevel="0" collapsed="false">
      <c r="A395" s="36"/>
      <c r="B395" s="37"/>
      <c r="C395" s="38"/>
      <c r="D395" s="37"/>
      <c r="E395" s="37"/>
      <c r="F395" s="37"/>
      <c r="G395" s="37"/>
      <c r="H395" s="37"/>
      <c r="I395" s="38"/>
      <c r="J395" s="44"/>
      <c r="K395" s="44"/>
      <c r="L395" s="45" t="str">
        <f aca="false">IF(AND($J395="",$K395=""),"",ROUND(IFERROR(VALUE(LEFT($J395,1)),0)*12+IFERROR(VALUE(LEFT($K395,1)),0)*8,0))</f>
        <v/>
      </c>
      <c r="M395" s="45" t="str">
        <f aca="false">IF($L395="","",IF($L395&gt;=80,"A - pursue now",IF($L395&gt;=60,"B - worth pursuing",IF($L395&gt;=40,"C - nurture","D - park it"))))</f>
        <v/>
      </c>
      <c r="N395" s="37"/>
      <c r="O395" s="44"/>
      <c r="P395" s="38"/>
      <c r="Q395" s="36"/>
      <c r="R395" s="38"/>
      <c r="S395" s="36"/>
      <c r="T395" s="37"/>
      <c r="U395" s="38"/>
    </row>
    <row r="396" customFormat="false" ht="27.75" hidden="false" customHeight="true" outlineLevel="0" collapsed="false">
      <c r="A396" s="36"/>
      <c r="B396" s="37"/>
      <c r="C396" s="38"/>
      <c r="D396" s="37"/>
      <c r="E396" s="37"/>
      <c r="F396" s="37"/>
      <c r="G396" s="37"/>
      <c r="H396" s="37"/>
      <c r="I396" s="38"/>
      <c r="J396" s="44"/>
      <c r="K396" s="44"/>
      <c r="L396" s="45" t="str">
        <f aca="false">IF(AND($J396="",$K396=""),"",ROUND(IFERROR(VALUE(LEFT($J396,1)),0)*12+IFERROR(VALUE(LEFT($K396,1)),0)*8,0))</f>
        <v/>
      </c>
      <c r="M396" s="45" t="str">
        <f aca="false">IF($L396="","",IF($L396&gt;=80,"A - pursue now",IF($L396&gt;=60,"B - worth pursuing",IF($L396&gt;=40,"C - nurture","D - park it"))))</f>
        <v/>
      </c>
      <c r="N396" s="37"/>
      <c r="O396" s="44"/>
      <c r="P396" s="38"/>
      <c r="Q396" s="36"/>
      <c r="R396" s="38"/>
      <c r="S396" s="36"/>
      <c r="T396" s="37"/>
      <c r="U396" s="38"/>
    </row>
    <row r="397" customFormat="false" ht="27.75" hidden="false" customHeight="true" outlineLevel="0" collapsed="false">
      <c r="A397" s="36"/>
      <c r="B397" s="37"/>
      <c r="C397" s="38"/>
      <c r="D397" s="37"/>
      <c r="E397" s="37"/>
      <c r="F397" s="37"/>
      <c r="G397" s="37"/>
      <c r="H397" s="37"/>
      <c r="I397" s="38"/>
      <c r="J397" s="44"/>
      <c r="K397" s="44"/>
      <c r="L397" s="45" t="str">
        <f aca="false">IF(AND($J397="",$K397=""),"",ROUND(IFERROR(VALUE(LEFT($J397,1)),0)*12+IFERROR(VALUE(LEFT($K397,1)),0)*8,0))</f>
        <v/>
      </c>
      <c r="M397" s="45" t="str">
        <f aca="false">IF($L397="","",IF($L397&gt;=80,"A - pursue now",IF($L397&gt;=60,"B - worth pursuing",IF($L397&gt;=40,"C - nurture","D - park it"))))</f>
        <v/>
      </c>
      <c r="N397" s="37"/>
      <c r="O397" s="44"/>
      <c r="P397" s="38"/>
      <c r="Q397" s="36"/>
      <c r="R397" s="38"/>
      <c r="S397" s="36"/>
      <c r="T397" s="37"/>
      <c r="U397" s="38"/>
    </row>
    <row r="398" customFormat="false" ht="27.75" hidden="false" customHeight="true" outlineLevel="0" collapsed="false">
      <c r="A398" s="36"/>
      <c r="B398" s="37"/>
      <c r="C398" s="38"/>
      <c r="D398" s="37"/>
      <c r="E398" s="37"/>
      <c r="F398" s="37"/>
      <c r="G398" s="37"/>
      <c r="H398" s="37"/>
      <c r="I398" s="38"/>
      <c r="J398" s="44"/>
      <c r="K398" s="44"/>
      <c r="L398" s="45" t="str">
        <f aca="false">IF(AND($J398="",$K398=""),"",ROUND(IFERROR(VALUE(LEFT($J398,1)),0)*12+IFERROR(VALUE(LEFT($K398,1)),0)*8,0))</f>
        <v/>
      </c>
      <c r="M398" s="45" t="str">
        <f aca="false">IF($L398="","",IF($L398&gt;=80,"A - pursue now",IF($L398&gt;=60,"B - worth pursuing",IF($L398&gt;=40,"C - nurture","D - park it"))))</f>
        <v/>
      </c>
      <c r="N398" s="37"/>
      <c r="O398" s="44"/>
      <c r="P398" s="38"/>
      <c r="Q398" s="36"/>
      <c r="R398" s="38"/>
      <c r="S398" s="36"/>
      <c r="T398" s="37"/>
      <c r="U398" s="38"/>
    </row>
    <row r="399" customFormat="false" ht="27.75" hidden="false" customHeight="true" outlineLevel="0" collapsed="false">
      <c r="A399" s="36"/>
      <c r="B399" s="37"/>
      <c r="C399" s="38"/>
      <c r="D399" s="37"/>
      <c r="E399" s="37"/>
      <c r="F399" s="37"/>
      <c r="G399" s="37"/>
      <c r="H399" s="37"/>
      <c r="I399" s="38"/>
      <c r="J399" s="44"/>
      <c r="K399" s="44"/>
      <c r="L399" s="45" t="str">
        <f aca="false">IF(AND($J399="",$K399=""),"",ROUND(IFERROR(VALUE(LEFT($J399,1)),0)*12+IFERROR(VALUE(LEFT($K399,1)),0)*8,0))</f>
        <v/>
      </c>
      <c r="M399" s="45" t="str">
        <f aca="false">IF($L399="","",IF($L399&gt;=80,"A - pursue now",IF($L399&gt;=60,"B - worth pursuing",IF($L399&gt;=40,"C - nurture","D - park it"))))</f>
        <v/>
      </c>
      <c r="N399" s="37"/>
      <c r="O399" s="44"/>
      <c r="P399" s="38"/>
      <c r="Q399" s="36"/>
      <c r="R399" s="38"/>
      <c r="S399" s="36"/>
      <c r="T399" s="37"/>
      <c r="U399" s="38"/>
    </row>
    <row r="400" customFormat="false" ht="27.75" hidden="false" customHeight="true" outlineLevel="0" collapsed="false">
      <c r="A400" s="36"/>
      <c r="B400" s="37"/>
      <c r="C400" s="38"/>
      <c r="D400" s="37"/>
      <c r="E400" s="37"/>
      <c r="F400" s="37"/>
      <c r="G400" s="37"/>
      <c r="H400" s="37"/>
      <c r="I400" s="38"/>
      <c r="J400" s="44"/>
      <c r="K400" s="44"/>
      <c r="L400" s="45" t="str">
        <f aca="false">IF(AND($J400="",$K400=""),"",ROUND(IFERROR(VALUE(LEFT($J400,1)),0)*12+IFERROR(VALUE(LEFT($K400,1)),0)*8,0))</f>
        <v/>
      </c>
      <c r="M400" s="45" t="str">
        <f aca="false">IF($L400="","",IF($L400&gt;=80,"A - pursue now",IF($L400&gt;=60,"B - worth pursuing",IF($L400&gt;=40,"C - nurture","D - park it"))))</f>
        <v/>
      </c>
      <c r="N400" s="37"/>
      <c r="O400" s="44"/>
      <c r="P400" s="38"/>
      <c r="Q400" s="36"/>
      <c r="R400" s="38"/>
      <c r="S400" s="36"/>
      <c r="T400" s="37"/>
      <c r="U400" s="38"/>
    </row>
    <row r="401" customFormat="false" ht="27.75" hidden="false" customHeight="true" outlineLevel="0" collapsed="false">
      <c r="A401" s="36"/>
      <c r="B401" s="37"/>
      <c r="C401" s="38"/>
      <c r="D401" s="37"/>
      <c r="E401" s="37"/>
      <c r="F401" s="37"/>
      <c r="G401" s="37"/>
      <c r="H401" s="37"/>
      <c r="I401" s="38"/>
      <c r="J401" s="44"/>
      <c r="K401" s="44"/>
      <c r="L401" s="45" t="str">
        <f aca="false">IF(AND($J401="",$K401=""),"",ROUND(IFERROR(VALUE(LEFT($J401,1)),0)*12+IFERROR(VALUE(LEFT($K401,1)),0)*8,0))</f>
        <v/>
      </c>
      <c r="M401" s="45" t="str">
        <f aca="false">IF($L401="","",IF($L401&gt;=80,"A - pursue now",IF($L401&gt;=60,"B - worth pursuing",IF($L401&gt;=40,"C - nurture","D - park it"))))</f>
        <v/>
      </c>
      <c r="N401" s="37"/>
      <c r="O401" s="44"/>
      <c r="P401" s="38"/>
      <c r="Q401" s="36"/>
      <c r="R401" s="38"/>
      <c r="S401" s="36"/>
      <c r="T401" s="37"/>
      <c r="U401" s="38"/>
    </row>
    <row r="402" customFormat="false" ht="27.75" hidden="false" customHeight="true" outlineLevel="0" collapsed="false">
      <c r="A402" s="36"/>
      <c r="B402" s="37"/>
      <c r="C402" s="38"/>
      <c r="D402" s="37"/>
      <c r="E402" s="37"/>
      <c r="F402" s="37"/>
      <c r="G402" s="37"/>
      <c r="H402" s="37"/>
      <c r="I402" s="38"/>
      <c r="J402" s="44"/>
      <c r="K402" s="44"/>
      <c r="L402" s="45" t="str">
        <f aca="false">IF(AND($J402="",$K402=""),"",ROUND(IFERROR(VALUE(LEFT($J402,1)),0)*12+IFERROR(VALUE(LEFT($K402,1)),0)*8,0))</f>
        <v/>
      </c>
      <c r="M402" s="45" t="str">
        <f aca="false">IF($L402="","",IF($L402&gt;=80,"A - pursue now",IF($L402&gt;=60,"B - worth pursuing",IF($L402&gt;=40,"C - nurture","D - park it"))))</f>
        <v/>
      </c>
      <c r="N402" s="37"/>
      <c r="O402" s="44"/>
      <c r="P402" s="38"/>
      <c r="Q402" s="36"/>
      <c r="R402" s="38"/>
      <c r="S402" s="36"/>
      <c r="T402" s="37"/>
      <c r="U402" s="38"/>
    </row>
    <row r="403" customFormat="false" ht="27.75" hidden="false" customHeight="true" outlineLevel="0" collapsed="false">
      <c r="A403" s="36"/>
      <c r="B403" s="37"/>
      <c r="C403" s="38"/>
      <c r="D403" s="37"/>
      <c r="E403" s="37"/>
      <c r="F403" s="37"/>
      <c r="G403" s="37"/>
      <c r="H403" s="37"/>
      <c r="I403" s="38"/>
      <c r="J403" s="44"/>
      <c r="K403" s="44"/>
      <c r="L403" s="45" t="str">
        <f aca="false">IF(AND($J403="",$K403=""),"",ROUND(IFERROR(VALUE(LEFT($J403,1)),0)*12+IFERROR(VALUE(LEFT($K403,1)),0)*8,0))</f>
        <v/>
      </c>
      <c r="M403" s="45" t="str">
        <f aca="false">IF($L403="","",IF($L403&gt;=80,"A - pursue now",IF($L403&gt;=60,"B - worth pursuing",IF($L403&gt;=40,"C - nurture","D - park it"))))</f>
        <v/>
      </c>
      <c r="N403" s="37"/>
      <c r="O403" s="44"/>
      <c r="P403" s="38"/>
      <c r="Q403" s="36"/>
      <c r="R403" s="38"/>
      <c r="S403" s="36"/>
      <c r="T403" s="37"/>
      <c r="U403" s="38"/>
    </row>
  </sheetData>
  <autoFilter ref="A3:U403"/>
  <mergeCells count="2">
    <mergeCell ref="A1:U1"/>
    <mergeCell ref="A2:U2"/>
  </mergeCells>
  <conditionalFormatting sqref="M4:M403">
    <cfRule type="expression" priority="2" aboveAverage="0" equalAverage="0" bottom="0" percent="0" rank="0" text="" dxfId="7">
      <formula>LEFT($M4,1)="A"</formula>
    </cfRule>
  </conditionalFormatting>
  <conditionalFormatting sqref="S4:S403">
    <cfRule type="expression" priority="3" aboveAverage="0" equalAverage="0" bottom="0" percent="0" rank="0" text="" dxfId="6">
      <formula>AND($S4&lt;&gt;"",$S4&lt;TODAY(),$T4&lt;&gt;"Complete")</formula>
    </cfRule>
  </conditionalFormatting>
  <dataValidations count="5">
    <dataValidation allowBlank="true" error="Pick a name from the team roster on the START HERE tab." errorStyle="stop" errorTitle="Name not on the roster" operator="between" prompt="Choose the team member" showDropDown="false" showErrorMessage="false" showInputMessage="false" sqref="B4:B403" type="list">
      <formula1>'START HERE'!$B$55:$B$64</formula1>
      <formula2>0</formula2>
    </dataValidation>
    <dataValidation allowBlank="true" error="Please choose a value from the dropdown list." errorStyle="stop" errorTitle="Value not in list" operator="between" prompt="Choose from the Pipeline Type list" showDropDown="false" showErrorMessage="false" showInputMessage="false" sqref="D4:D403" type="list">
      <formula1>Lists!$U$4:$U$11</formula1>
      <formula2>0</formula2>
    </dataValidation>
    <dataValidation allowBlank="true" error="Please choose a value from the dropdown list." errorStyle="stop" errorTitle="Value not in list" operator="between" prompt="Choose from the Score 1-5 list" showDropDown="false" showErrorMessage="false" showInputMessage="false" sqref="J4:K403" type="list">
      <formula1>Lists!$T$4:$T$8</formula1>
      <formula2>0</formula2>
    </dataValidation>
    <dataValidation allowBlank="true" error="Please choose a value from the dropdown list." errorStyle="stop" errorTitle="Value not in list" operator="between" prompt="Choose from the Funnel Stage list" showDropDown="false" showErrorMessage="false" showInputMessage="false" sqref="N4:N403" type="list">
      <formula1>Lists!$S$4:$S$11</formula1>
      <formula2>0</formula2>
    </dataValidation>
    <dataValidation allowBlank="true" error="Please choose a value from the dropdown list." errorStyle="stop" errorTitle="Value not in list" operator="between" prompt="Choose from the Status list" showDropDown="false" showErrorMessage="false" showInputMessage="false" sqref="T4:T403" type="list">
      <formula1>Lists!$A$4:$A$9</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I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8"/>
    <col collapsed="false" customWidth="true" hidden="false" outlineLevel="0" max="4" min="4" style="1" width="14"/>
    <col collapsed="false" customWidth="true" hidden="false" outlineLevel="0" max="5" min="5" style="1" width="62"/>
    <col collapsed="false" customWidth="true" hidden="false" outlineLevel="0" max="13" min="6" style="1" width="13"/>
  </cols>
  <sheetData>
    <row r="1" customFormat="false" ht="25.5" hidden="false" customHeight="true" outlineLevel="0" collapsed="false">
      <c r="A1" s="2" t="s">
        <v>217</v>
      </c>
      <c r="B1" s="2"/>
      <c r="C1" s="2"/>
      <c r="D1" s="2"/>
      <c r="E1" s="2"/>
    </row>
    <row r="2" customFormat="false" ht="18" hidden="false" customHeight="true" outlineLevel="0" collapsed="false">
      <c r="A2" s="3" t="s">
        <v>218</v>
      </c>
      <c r="B2" s="3"/>
      <c r="C2" s="3"/>
      <c r="D2" s="3"/>
      <c r="E2" s="3"/>
      <c r="H2" s="49" t="s">
        <v>219</v>
      </c>
    </row>
    <row r="4" customFormat="false" ht="21.75" hidden="false" customHeight="true" outlineLevel="0" collapsed="false">
      <c r="A4" s="50" t="s">
        <v>220</v>
      </c>
      <c r="B4" s="50"/>
      <c r="C4" s="50"/>
      <c r="D4" s="50"/>
      <c r="E4" s="50"/>
      <c r="H4" s="51" t="s">
        <v>221</v>
      </c>
      <c r="I4" s="51" t="n">
        <f aca="false">COUNTIF('Master Tasks'!$J$4:$J$66,H4)</f>
        <v>63</v>
      </c>
    </row>
    <row r="5" customFormat="false" ht="18" hidden="false" customHeight="true" outlineLevel="0" collapsed="false">
      <c r="A5" s="52" t="s">
        <v>222</v>
      </c>
      <c r="B5" s="52" t="s">
        <v>223</v>
      </c>
      <c r="C5" s="52" t="s">
        <v>224</v>
      </c>
      <c r="D5" s="52" t="s">
        <v>202</v>
      </c>
      <c r="E5" s="52" t="s">
        <v>225</v>
      </c>
      <c r="H5" s="51" t="s">
        <v>215</v>
      </c>
      <c r="I5" s="51" t="n">
        <f aca="false">COUNTIF('Master Tasks'!$J$4:$J$66,H5)</f>
        <v>0</v>
      </c>
    </row>
    <row r="6" customFormat="false" ht="19.5" hidden="false" customHeight="true" outlineLevel="0" collapsed="false">
      <c r="A6" s="13" t="s">
        <v>226</v>
      </c>
      <c r="B6" s="53" t="n">
        <f aca="false">COUNTA('Master Tasks'!$A$4:$A$66)</f>
        <v>63</v>
      </c>
      <c r="C6" s="15" t="s">
        <v>227</v>
      </c>
      <c r="D6" s="54"/>
      <c r="E6" s="55" t="s">
        <v>228</v>
      </c>
      <c r="H6" s="51" t="s">
        <v>229</v>
      </c>
      <c r="I6" s="51" t="n">
        <f aca="false">COUNTIF('Master Tasks'!$J$4:$J$66,H6)</f>
        <v>0</v>
      </c>
    </row>
    <row r="7" customFormat="false" ht="19.5" hidden="false" customHeight="true" outlineLevel="0" collapsed="false">
      <c r="A7" s="13" t="s">
        <v>230</v>
      </c>
      <c r="B7" s="53" t="n">
        <f aca="false">COUNTIF('Master Tasks'!$J$4:$J$66,"Complete")</f>
        <v>0</v>
      </c>
      <c r="C7" s="15"/>
      <c r="D7" s="54"/>
      <c r="E7" s="55" t="s">
        <v>231</v>
      </c>
      <c r="H7" s="51" t="s">
        <v>232</v>
      </c>
      <c r="I7" s="51" t="n">
        <f aca="false">COUNTIF('Master Tasks'!$J$4:$J$66,H7)</f>
        <v>0</v>
      </c>
    </row>
    <row r="8" customFormat="false" ht="19.5" hidden="false" customHeight="true" outlineLevel="0" collapsed="false">
      <c r="A8" s="13" t="s">
        <v>233</v>
      </c>
      <c r="B8" s="53" t="n">
        <f aca="false">COUNTIF('Master Tasks'!$J$4:$J$66,"In Progress")</f>
        <v>0</v>
      </c>
      <c r="C8" s="15"/>
      <c r="D8" s="54"/>
      <c r="E8" s="55" t="s">
        <v>234</v>
      </c>
      <c r="H8" s="51" t="s">
        <v>230</v>
      </c>
      <c r="I8" s="51" t="n">
        <f aca="false">COUNTIF('Master Tasks'!$J$4:$J$66,H8)</f>
        <v>0</v>
      </c>
    </row>
    <row r="9" customFormat="false" ht="19.5" hidden="false" customHeight="true" outlineLevel="0" collapsed="false">
      <c r="A9" s="13" t="s">
        <v>235</v>
      </c>
      <c r="B9" s="53" t="n">
        <f aca="false">COUNTIF('Master Tasks'!$J$4:$J$66,"Waiting")+COUNTIF('Master Tasks'!$J$4:$J$66,"Paused")</f>
        <v>0</v>
      </c>
      <c r="C9" s="15"/>
      <c r="D9" s="54"/>
      <c r="E9" s="55" t="s">
        <v>236</v>
      </c>
      <c r="H9" s="51" t="s">
        <v>237</v>
      </c>
      <c r="I9" s="51" t="n">
        <f aca="false">COUNTIF('Master Tasks'!$J$4:$J$66,H9)</f>
        <v>0</v>
      </c>
    </row>
    <row r="10" customFormat="false" ht="19.5" hidden="false" customHeight="true" outlineLevel="0" collapsed="false">
      <c r="A10" s="13" t="s">
        <v>238</v>
      </c>
      <c r="B10" s="53" t="n">
        <f aca="false">COUNTIF('Master Tasks'!$J$4:$J$66,"Blocked")</f>
        <v>0</v>
      </c>
      <c r="C10" s="15" t="s">
        <v>239</v>
      </c>
      <c r="D10" s="54"/>
      <c r="E10" s="55" t="s">
        <v>240</v>
      </c>
    </row>
    <row r="11" customFormat="false" ht="19.5" hidden="false" customHeight="true" outlineLevel="0" collapsed="false">
      <c r="A11" s="13" t="s">
        <v>241</v>
      </c>
      <c r="B11" s="53" t="n">
        <f aca="false">COUNTIF('Master Tasks'!$J$4:$J$66,"Not Started")</f>
        <v>63</v>
      </c>
      <c r="C11" s="15"/>
      <c r="D11" s="54"/>
      <c r="E11" s="55" t="s">
        <v>242</v>
      </c>
    </row>
    <row r="12" customFormat="false" ht="19.5" hidden="false" customHeight="true" outlineLevel="0" collapsed="false">
      <c r="A12" s="13" t="s">
        <v>243</v>
      </c>
      <c r="B12" s="56" t="n">
        <f aca="false">IFERROR(COUNTIF('Master Tasks'!$J$4:$J$66,"Complete")/COUNTA('Master Tasks'!$A$4:$A$66),0)</f>
        <v>0</v>
      </c>
      <c r="C12" s="15" t="s">
        <v>244</v>
      </c>
      <c r="D12" s="54"/>
      <c r="E12" s="55" t="s">
        <v>245</v>
      </c>
      <c r="H12" s="51" t="s">
        <v>221</v>
      </c>
      <c r="I12" s="51" t="n">
        <f aca="false">COUNTIF('Platform Setup'!$J$4:$J$49,H12)</f>
        <v>46</v>
      </c>
    </row>
    <row r="13" customFormat="false" ht="19.5" hidden="false" customHeight="true" outlineLevel="0" collapsed="false">
      <c r="A13" s="13" t="s">
        <v>246</v>
      </c>
      <c r="B13" s="56" t="n">
        <f aca="false">IFERROR(AVERAGE('Master Tasks'!$K$4:$K$66),0)</f>
        <v>0</v>
      </c>
      <c r="C13" s="15" t="s">
        <v>244</v>
      </c>
      <c r="D13" s="54"/>
      <c r="E13" s="55" t="s">
        <v>247</v>
      </c>
      <c r="H13" s="51" t="s">
        <v>215</v>
      </c>
      <c r="I13" s="51" t="n">
        <f aca="false">COUNTIF('Platform Setup'!$J$4:$J$49,H13)</f>
        <v>0</v>
      </c>
    </row>
    <row r="14" customFormat="false" ht="15" hidden="false" customHeight="false" outlineLevel="0" collapsed="false">
      <c r="H14" s="51" t="s">
        <v>229</v>
      </c>
      <c r="I14" s="51" t="n">
        <f aca="false">COUNTIF('Platform Setup'!$J$4:$J$49,H14)</f>
        <v>0</v>
      </c>
    </row>
    <row r="15" customFormat="false" ht="21.75" hidden="false" customHeight="true" outlineLevel="0" collapsed="false">
      <c r="A15" s="50" t="s">
        <v>248</v>
      </c>
      <c r="B15" s="50"/>
      <c r="C15" s="50"/>
      <c r="D15" s="50"/>
      <c r="E15" s="50"/>
      <c r="H15" s="51" t="s">
        <v>232</v>
      </c>
      <c r="I15" s="51" t="n">
        <f aca="false">COUNTIF('Platform Setup'!$J$4:$J$49,H15)</f>
        <v>0</v>
      </c>
    </row>
    <row r="16" customFormat="false" ht="18" hidden="false" customHeight="true" outlineLevel="0" collapsed="false">
      <c r="A16" s="52" t="s">
        <v>222</v>
      </c>
      <c r="B16" s="52" t="s">
        <v>223</v>
      </c>
      <c r="C16" s="52" t="s">
        <v>224</v>
      </c>
      <c r="D16" s="52" t="s">
        <v>202</v>
      </c>
      <c r="E16" s="52" t="s">
        <v>225</v>
      </c>
      <c r="H16" s="51" t="s">
        <v>230</v>
      </c>
      <c r="I16" s="51" t="n">
        <f aca="false">COUNTIF('Platform Setup'!$J$4:$J$49,H16)</f>
        <v>0</v>
      </c>
    </row>
    <row r="17" customFormat="false" ht="19.5" hidden="false" customHeight="true" outlineLevel="0" collapsed="false">
      <c r="A17" s="13" t="s">
        <v>249</v>
      </c>
      <c r="B17" s="53" t="n">
        <f aca="false">COUNTA('Platform Setup'!$B$4:$B$49)</f>
        <v>46</v>
      </c>
      <c r="C17" s="15" t="s">
        <v>250</v>
      </c>
      <c r="D17" s="54"/>
      <c r="E17" s="55" t="s">
        <v>251</v>
      </c>
      <c r="H17" s="51" t="s">
        <v>237</v>
      </c>
      <c r="I17" s="51" t="n">
        <f aca="false">COUNTIF('Platform Setup'!$J$4:$J$49,H17)</f>
        <v>0</v>
      </c>
    </row>
    <row r="18" customFormat="false" ht="19.5" hidden="false" customHeight="true" outlineLevel="0" collapsed="false">
      <c r="A18" s="13" t="s">
        <v>252</v>
      </c>
      <c r="B18" s="53" t="n">
        <f aca="false">COUNTIF('Platform Setup'!$J$4:$J$49,"Complete")</f>
        <v>0</v>
      </c>
      <c r="C18" s="15"/>
      <c r="D18" s="54"/>
      <c r="E18" s="55" t="s">
        <v>253</v>
      </c>
    </row>
    <row r="19" customFormat="false" ht="19.5" hidden="false" customHeight="true" outlineLevel="0" collapsed="false">
      <c r="A19" s="13" t="s">
        <v>233</v>
      </c>
      <c r="B19" s="53" t="n">
        <f aca="false">COUNTIF('Platform Setup'!$J$4:$J$49,"In Progress")</f>
        <v>0</v>
      </c>
      <c r="C19" s="15"/>
      <c r="D19" s="54"/>
      <c r="E19" s="55" t="s">
        <v>254</v>
      </c>
    </row>
    <row r="20" customFormat="false" ht="19.5" hidden="false" customHeight="true" outlineLevel="0" collapsed="false">
      <c r="A20" s="13" t="s">
        <v>241</v>
      </c>
      <c r="B20" s="53" t="n">
        <f aca="false">COUNTIF('Platform Setup'!$J$4:$J$49,"Not Started")</f>
        <v>46</v>
      </c>
      <c r="C20" s="15" t="s">
        <v>239</v>
      </c>
      <c r="D20" s="54"/>
      <c r="E20" s="55" t="s">
        <v>255</v>
      </c>
    </row>
    <row r="21" customFormat="false" ht="19.5" hidden="false" customHeight="true" outlineLevel="0" collapsed="false">
      <c r="A21" s="13" t="s">
        <v>256</v>
      </c>
      <c r="B21" s="56" t="n">
        <f aca="false">IFERROR(COUNTIF('Platform Setup'!$J$4:$J$49,"Complete")/COUNTA('Platform Setup'!$B$4:$B$49),0)</f>
        <v>0</v>
      </c>
      <c r="C21" s="15" t="s">
        <v>244</v>
      </c>
      <c r="D21" s="54"/>
      <c r="E21" s="55" t="s">
        <v>257</v>
      </c>
    </row>
    <row r="22" customFormat="false" ht="19.5" hidden="false" customHeight="true" outlineLevel="0" collapsed="false">
      <c r="A22" s="13" t="s">
        <v>258</v>
      </c>
      <c r="B22" s="53" t="n">
        <f aca="false">COUNTIFS('Platform Setup'!$I$4:$I$49,"No",'Platform Setup'!$J$4:$J$49,"&lt;&gt;Not Started")</f>
        <v>0</v>
      </c>
      <c r="C22" s="15" t="s">
        <v>239</v>
      </c>
      <c r="D22" s="54"/>
      <c r="E22" s="55" t="s">
        <v>259</v>
      </c>
    </row>
    <row r="24" customFormat="false" ht="21.75" hidden="false" customHeight="true" outlineLevel="0" collapsed="false">
      <c r="A24" s="50" t="s">
        <v>260</v>
      </c>
      <c r="B24" s="50"/>
      <c r="C24" s="50"/>
      <c r="D24" s="50"/>
      <c r="E24" s="50"/>
    </row>
    <row r="25" customFormat="false" ht="18" hidden="false" customHeight="true" outlineLevel="0" collapsed="false">
      <c r="A25" s="52" t="s">
        <v>222</v>
      </c>
      <c r="B25" s="52" t="s">
        <v>223</v>
      </c>
      <c r="C25" s="52" t="s">
        <v>224</v>
      </c>
      <c r="D25" s="52" t="s">
        <v>202</v>
      </c>
      <c r="E25" s="52" t="s">
        <v>225</v>
      </c>
    </row>
    <row r="26" customFormat="false" ht="19.5" hidden="false" customHeight="true" outlineLevel="0" collapsed="false">
      <c r="A26" s="13" t="s">
        <v>261</v>
      </c>
      <c r="B26" s="53" t="n">
        <f aca="false">COUNTA('LinkedIn Outreach'!$C$5:$C$1203)</f>
        <v>0</v>
      </c>
      <c r="C26" s="15"/>
      <c r="D26" s="54"/>
      <c r="E26" s="55" t="s">
        <v>262</v>
      </c>
    </row>
    <row r="27" customFormat="false" ht="19.5" hidden="false" customHeight="true" outlineLevel="0" collapsed="false">
      <c r="A27" s="13" t="s">
        <v>36</v>
      </c>
      <c r="B27" s="53" t="n">
        <f aca="false">COUNTIF('LinkedIn Outreach'!$M$5:$M$1203,"Yes")</f>
        <v>0</v>
      </c>
      <c r="C27" s="15"/>
      <c r="D27" s="54"/>
      <c r="E27" s="55" t="s">
        <v>263</v>
      </c>
    </row>
    <row r="28" customFormat="false" ht="19.5" hidden="false" customHeight="true" outlineLevel="0" collapsed="false">
      <c r="A28" s="13" t="s">
        <v>264</v>
      </c>
      <c r="B28" s="53" t="n">
        <f aca="false">COUNTIF('LinkedIn Outreach'!$N$5:$N$1203,"Yes")</f>
        <v>0</v>
      </c>
      <c r="C28" s="15"/>
      <c r="D28" s="54"/>
      <c r="E28" s="55" t="s">
        <v>265</v>
      </c>
    </row>
    <row r="29" customFormat="false" ht="19.5" hidden="false" customHeight="true" outlineLevel="0" collapsed="false">
      <c r="A29" s="13" t="s">
        <v>266</v>
      </c>
      <c r="B29" s="56" t="n">
        <f aca="false">IFERROR(COUNTIF('LinkedIn Outreach'!$N$5:$N$1203,"Yes")/COUNTIF('LinkedIn Outreach'!$M$5:$M$1203,"Yes"),0)</f>
        <v>0</v>
      </c>
      <c r="C29" s="15" t="s">
        <v>267</v>
      </c>
      <c r="D29" s="54"/>
      <c r="E29" s="55" t="s">
        <v>268</v>
      </c>
    </row>
    <row r="30" customFormat="false" ht="19.5" hidden="false" customHeight="true" outlineLevel="0" collapsed="false">
      <c r="A30" s="13" t="s">
        <v>269</v>
      </c>
      <c r="B30" s="53" t="n">
        <f aca="false">COUNTIF('LinkedIn Outreach'!$R$5:$R$1203,"Yes")</f>
        <v>0</v>
      </c>
      <c r="C30" s="15"/>
      <c r="D30" s="54"/>
      <c r="E30" s="55" t="s">
        <v>270</v>
      </c>
    </row>
    <row r="31" customFormat="false" ht="19.5" hidden="false" customHeight="true" outlineLevel="0" collapsed="false">
      <c r="A31" s="13" t="s">
        <v>271</v>
      </c>
      <c r="B31" s="53" t="n">
        <f aca="false">COUNTIF('LinkedIn Outreach'!$S$5:$S$1203,"Interested")+COUNTIF('LinkedIn Outreach'!$S$5:$S$1203,"Info Requested")</f>
        <v>0</v>
      </c>
      <c r="C31" s="15"/>
      <c r="D31" s="54"/>
      <c r="E31" s="55" t="s">
        <v>272</v>
      </c>
    </row>
    <row r="32" customFormat="false" ht="19.5" hidden="false" customHeight="true" outlineLevel="0" collapsed="false">
      <c r="A32" s="13" t="s">
        <v>273</v>
      </c>
      <c r="B32" s="56" t="n">
        <f aca="false">IFERROR((COUNTIF('LinkedIn Outreach'!$S$5:$S$1203,"Interested")+COUNTIF('LinkedIn Outreach'!$S$5:$S$1203,"Info Requested")+COUNTIF('LinkedIn Outreach'!$S$5:$S$1203,"Meeting Booked")+COUNTIF('LinkedIn Outreach'!$S$5:$S$1203,"Converted"))/COUNTIF('LinkedIn Outreach'!$R$5:$R$1203,"Yes"),0)</f>
        <v>0</v>
      </c>
      <c r="C32" s="15" t="s">
        <v>274</v>
      </c>
      <c r="D32" s="54"/>
      <c r="E32" s="55" t="s">
        <v>275</v>
      </c>
    </row>
    <row r="33" customFormat="false" ht="19.5" hidden="false" customHeight="true" outlineLevel="0" collapsed="false">
      <c r="A33" s="13" t="s">
        <v>276</v>
      </c>
      <c r="B33" s="53" t="n">
        <f aca="false">COUNTIF('LinkedIn Outreach'!$S$5:$S$1203,"Meeting Booked")</f>
        <v>0</v>
      </c>
      <c r="C33" s="15"/>
      <c r="D33" s="54"/>
      <c r="E33" s="55" t="s">
        <v>277</v>
      </c>
    </row>
    <row r="34" customFormat="false" ht="19.5" hidden="false" customHeight="true" outlineLevel="0" collapsed="false">
      <c r="A34" s="13" t="s">
        <v>278</v>
      </c>
      <c r="B34" s="53" t="n">
        <f aca="false">COUNTIF('LinkedIn Outreach'!$S$5:$S$1203,"Application Started")+COUNTIF('LinkedIn Outreach'!$S$5:$S$1203,"Converted")</f>
        <v>0</v>
      </c>
      <c r="C34" s="15"/>
      <c r="D34" s="54"/>
      <c r="E34" s="55" t="s">
        <v>279</v>
      </c>
    </row>
    <row r="35" customFormat="false" ht="19.5" hidden="false" customHeight="true" outlineLevel="0" collapsed="false">
      <c r="A35" s="13" t="s">
        <v>280</v>
      </c>
      <c r="B35" s="53" t="n">
        <f aca="false">COUNTIF('LinkedIn Outreach'!$S$5:$S$1203,"Declined")</f>
        <v>0</v>
      </c>
      <c r="C35" s="15"/>
      <c r="D35" s="54"/>
      <c r="E35" s="55" t="s">
        <v>281</v>
      </c>
    </row>
    <row r="36" customFormat="false" ht="19.5" hidden="false" customHeight="true" outlineLevel="0" collapsed="false">
      <c r="A36" s="13" t="s">
        <v>282</v>
      </c>
      <c r="B36" s="53" t="n">
        <f aca="false">COUNTIF('LinkedIn Outreach'!$Q$5:$Q$1203,"&gt;300")</f>
        <v>0</v>
      </c>
      <c r="C36" s="15" t="s">
        <v>239</v>
      </c>
      <c r="D36" s="54"/>
      <c r="E36" s="55" t="s">
        <v>283</v>
      </c>
    </row>
    <row r="37" customFormat="false" ht="19.5" hidden="false" customHeight="true" outlineLevel="0" collapsed="false">
      <c r="A37" s="13" t="s">
        <v>284</v>
      </c>
      <c r="B37" s="53" t="n">
        <f aca="true">COUNTIFS('LinkedIn Outreach'!$U$5:$U$1203,"&lt;="&amp;TODAY(),'LinkedIn Outreach'!$U$5:$U$1203,"&gt;0",'LinkedIn Outreach'!$S$5:$S$1203,"Awaiting Reply")</f>
        <v>0</v>
      </c>
      <c r="C37" s="15" t="s">
        <v>239</v>
      </c>
      <c r="D37" s="54"/>
      <c r="E37" s="55" t="s">
        <v>285</v>
      </c>
    </row>
    <row r="39" customFormat="false" ht="21.75" hidden="false" customHeight="true" outlineLevel="0" collapsed="false">
      <c r="A39" s="50" t="s">
        <v>286</v>
      </c>
      <c r="B39" s="50"/>
      <c r="C39" s="50"/>
      <c r="D39" s="50"/>
      <c r="E39" s="50"/>
    </row>
    <row r="40" customFormat="false" ht="15" hidden="false" customHeight="false" outlineLevel="0" collapsed="false">
      <c r="A40" s="52" t="s">
        <v>32</v>
      </c>
      <c r="B40" s="52" t="s">
        <v>287</v>
      </c>
      <c r="C40" s="52" t="s">
        <v>288</v>
      </c>
      <c r="D40" s="52" t="s">
        <v>289</v>
      </c>
      <c r="E40" s="52" t="s">
        <v>162</v>
      </c>
    </row>
    <row r="41" customFormat="false" ht="19.5" hidden="false" customHeight="true" outlineLevel="0" collapsed="false">
      <c r="A41" s="13" t="s">
        <v>290</v>
      </c>
      <c r="B41" s="53" t="n">
        <f aca="false">SUMPRODUCT(('DAILY ENTRY'!$A$7:$A$1203&lt;&gt;"")/COUNTIFS('DAILY ENTRY'!$A$7:$A$1203,'DAILY ENTRY'!$A$7:$A$1203&amp;""))</f>
        <v>0</v>
      </c>
      <c r="C41" s="15"/>
      <c r="D41" s="54"/>
      <c r="E41" s="55" t="s">
        <v>291</v>
      </c>
    </row>
    <row r="42" customFormat="false" ht="19.5" hidden="false" customHeight="true" outlineLevel="0" collapsed="false">
      <c r="A42" s="13" t="s">
        <v>35</v>
      </c>
      <c r="B42" s="57" t="n">
        <f aca="false">SUMIFS('DAILY ENTRY'!$F$7:$F$1203,'DAILY ENTRY'!$D$7:$D$1203,"Lead researched (Sales Navigator)")</f>
        <v>0</v>
      </c>
      <c r="C42" s="58" t="n">
        <f aca="false">'START HERE'!$B$25*$B$41</f>
        <v>0</v>
      </c>
      <c r="D42" s="59" t="n">
        <f aca="false">IFERROR(B42/C42,0)</f>
        <v>0</v>
      </c>
      <c r="E42" s="55" t="str">
        <f aca="false">IF(C42=0,"No days logged yet",IF(D42&gt;=1,"On target",IF(D42&gt;=0.8,"Slightly behind - recoverable this week","Behind target - discuss in the weekly review")))</f>
        <v>No days logged yet</v>
      </c>
    </row>
    <row r="43" customFormat="false" ht="19.5" hidden="false" customHeight="true" outlineLevel="0" collapsed="false">
      <c r="A43" s="13" t="s">
        <v>36</v>
      </c>
      <c r="B43" s="57" t="n">
        <f aca="false">SUMIFS('DAILY ENTRY'!$F$7:$F$1203,'DAILY ENTRY'!$D$7:$D$1203,"Connection request sent")</f>
        <v>0</v>
      </c>
      <c r="C43" s="58" t="n">
        <f aca="false">'START HERE'!$B$26*$B$41</f>
        <v>0</v>
      </c>
      <c r="D43" s="59" t="n">
        <f aca="false">IFERROR(B43/C43,0)</f>
        <v>0</v>
      </c>
      <c r="E43" s="55" t="str">
        <f aca="false">IF(C43=0,"No days logged yet",IF(D43&gt;=1,"On target",IF(D43&gt;=0.8,"Slightly behind - recoverable this week","Behind target - discuss in the weekly review")))</f>
        <v>No days logged yet</v>
      </c>
    </row>
    <row r="44" customFormat="false" ht="19.5" hidden="false" customHeight="true" outlineLevel="0" collapsed="false">
      <c r="A44" s="13" t="s">
        <v>292</v>
      </c>
      <c r="B44" s="57" t="n">
        <f aca="false">SUMIFS('DAILY ENTRY'!$F$7:$F$1203,'DAILY ENTRY'!$D$7:$D$1203,"First message sent")</f>
        <v>0</v>
      </c>
      <c r="C44" s="58" t="n">
        <f aca="false">'START HERE'!$B$27*$B$41</f>
        <v>0</v>
      </c>
      <c r="D44" s="59" t="n">
        <f aca="false">IFERROR(B44/C44,0)</f>
        <v>0</v>
      </c>
      <c r="E44" s="55" t="str">
        <f aca="false">IF(C44=0,"No days logged yet",IF(D44&gt;=1,"On target",IF(D44&gt;=0.8,"Slightly behind - recoverable this week","Behind target - discuss in the weekly review")))</f>
        <v>No days logged yet</v>
      </c>
    </row>
    <row r="45" customFormat="false" ht="19.5" hidden="false" customHeight="true" outlineLevel="0" collapsed="false">
      <c r="A45" s="13" t="s">
        <v>38</v>
      </c>
      <c r="B45" s="57" t="n">
        <f aca="false">SUMIFS('DAILY ENTRY'!$F$7:$F$1203,'DAILY ENTRY'!$D$7:$D$1203,"Follow-up message sent")</f>
        <v>0</v>
      </c>
      <c r="C45" s="58" t="n">
        <f aca="false">'START HERE'!$B$28*$B$41</f>
        <v>0</v>
      </c>
      <c r="D45" s="59" t="n">
        <f aca="false">IFERROR(B45/C45,0)</f>
        <v>0</v>
      </c>
      <c r="E45" s="55" t="str">
        <f aca="false">IF(C45=0,"No days logged yet",IF(D45&gt;=1,"On target",IF(D45&gt;=0.8,"Slightly behind - recoverable this week","Behind target - discuss in the weekly review")))</f>
        <v>No days logged yet</v>
      </c>
    </row>
    <row r="46" customFormat="false" ht="19.5" hidden="false" customHeight="true" outlineLevel="0" collapsed="false">
      <c r="A46" s="13" t="s">
        <v>293</v>
      </c>
      <c r="B46" s="57" t="n">
        <f aca="false">SUMIFS('DAILY ENTRY'!$F$7:$F$1203,'DAILY ENTRY'!$D$7:$D$1203,"Post / content published")</f>
        <v>0</v>
      </c>
      <c r="C46" s="58" t="n">
        <f aca="false">'START HERE'!$B$29*$B$41</f>
        <v>0</v>
      </c>
      <c r="D46" s="59" t="n">
        <f aca="false">IFERROR(B46/C46,0)</f>
        <v>0</v>
      </c>
      <c r="E46" s="55" t="str">
        <f aca="false">IF(C46=0,"No days logged yet",IF(D46&gt;=1,"On target",IF(D46&gt;=0.8,"Slightly behind - recoverable this week","Behind target - discuss in the weekly review")))</f>
        <v>No days logged yet</v>
      </c>
    </row>
    <row r="47" customFormat="false" ht="19.5" hidden="false" customHeight="true" outlineLevel="0" collapsed="false">
      <c r="A47" s="13" t="s">
        <v>294</v>
      </c>
      <c r="B47" s="57" t="n">
        <f aca="false">SUMIFS('DAILY ENTRY'!$F$7:$F$1203,'DAILY ENTRY'!$D$7:$D$1203,"Community answer or comment")</f>
        <v>0</v>
      </c>
      <c r="C47" s="58" t="n">
        <f aca="false">'START HERE'!$B$30*$B$41</f>
        <v>0</v>
      </c>
      <c r="D47" s="59" t="n">
        <f aca="false">IFERROR(B47/C47,0)</f>
        <v>0</v>
      </c>
      <c r="E47" s="55" t="str">
        <f aca="false">IF(C47=0,"No days logged yet",IF(D47&gt;=1,"On target",IF(D47&gt;=0.8,"Slightly behind - recoverable this week","Behind target - discuss in the weekly review")))</f>
        <v>No days logged yet</v>
      </c>
    </row>
    <row r="48" customFormat="false" ht="19.5" hidden="false" customHeight="true" outlineLevel="0" collapsed="false">
      <c r="A48" s="13" t="s">
        <v>295</v>
      </c>
      <c r="B48" s="57" t="n">
        <f aca="false">SUMIFS('DAILY ENTRY'!$F$7:$F$1203,'DAILY ENTRY'!$D$7:$D$1203,"Partnership / PR contact")</f>
        <v>0</v>
      </c>
      <c r="C48" s="58" t="n">
        <f aca="false">'START HERE'!$B$31*$B$41</f>
        <v>0</v>
      </c>
      <c r="D48" s="59" t="n">
        <f aca="false">IFERROR(B48/C48,0)</f>
        <v>0</v>
      </c>
      <c r="E48" s="55" t="str">
        <f aca="false">IF(C48=0,"No days logged yet",IF(D48&gt;=1,"On target",IF(D48&gt;=0.8,"Slightly behind - recoverable this week","Behind target - discuss in the weekly review")))</f>
        <v>No days logged yet</v>
      </c>
    </row>
    <row r="49" customFormat="false" ht="19.5" hidden="false" customHeight="true" outlineLevel="0" collapsed="false">
      <c r="A49" s="13" t="s">
        <v>296</v>
      </c>
      <c r="B49" s="57" t="n">
        <f aca="false">SUMIFS('DAILY ENTRY'!$F$7:$F$1203,'DAILY ENTRY'!$D$7:$D$1203,"Engagement (commented on someone else)")</f>
        <v>0</v>
      </c>
      <c r="C49" s="58" t="n">
        <f aca="false">'START HERE'!$B$32*$B$41</f>
        <v>0</v>
      </c>
      <c r="D49" s="59" t="n">
        <f aca="false">IFERROR(B49/C49,0)</f>
        <v>0</v>
      </c>
      <c r="E49" s="55" t="str">
        <f aca="false">IF(C49=0,"No days logged yet",IF(D49&gt;=1,"On target",IF(D49&gt;=0.8,"Slightly behind - recoverable this week","Behind target - discuss in the weekly review")))</f>
        <v>No days logged yet</v>
      </c>
    </row>
    <row r="51" customFormat="false" ht="21.75" hidden="false" customHeight="true" outlineLevel="0" collapsed="false">
      <c r="A51" s="50" t="s">
        <v>297</v>
      </c>
      <c r="B51" s="50"/>
      <c r="C51" s="50"/>
      <c r="D51" s="50"/>
      <c r="E51" s="50"/>
    </row>
    <row r="52" customFormat="false" ht="18" hidden="false" customHeight="true" outlineLevel="0" collapsed="false">
      <c r="A52" s="52" t="s">
        <v>222</v>
      </c>
      <c r="B52" s="52" t="s">
        <v>223</v>
      </c>
      <c r="C52" s="52" t="s">
        <v>224</v>
      </c>
      <c r="D52" s="52" t="s">
        <v>202</v>
      </c>
      <c r="E52" s="52" t="s">
        <v>225</v>
      </c>
    </row>
    <row r="53" customFormat="false" ht="19.5" hidden="false" customHeight="true" outlineLevel="0" collapsed="false">
      <c r="A53" s="13" t="s">
        <v>298</v>
      </c>
      <c r="B53" s="53" t="n">
        <f aca="false">COUNTA('Content Calendar'!$E$5:$E$403)</f>
        <v>0</v>
      </c>
      <c r="C53" s="15"/>
      <c r="D53" s="54"/>
      <c r="E53" s="55" t="s">
        <v>299</v>
      </c>
    </row>
    <row r="54" customFormat="false" ht="19.5" hidden="false" customHeight="true" outlineLevel="0" collapsed="false">
      <c r="A54" s="13" t="s">
        <v>300</v>
      </c>
      <c r="B54" s="53" t="n">
        <f aca="false">COUNTIF('Content Calendar'!$J$5:$J$403,"Published")+COUNTIF('Content Calendar'!$J$5:$J$403,"Repurposed")</f>
        <v>0</v>
      </c>
      <c r="C54" s="15"/>
      <c r="D54" s="54"/>
      <c r="E54" s="55" t="s">
        <v>301</v>
      </c>
    </row>
    <row r="55" customFormat="false" ht="19.5" hidden="false" customHeight="true" outlineLevel="0" collapsed="false">
      <c r="A55" s="13" t="s">
        <v>302</v>
      </c>
      <c r="B55" s="53" t="n">
        <f aca="false">SUM('Content Calendar'!$M$5:$M$403)</f>
        <v>0</v>
      </c>
      <c r="C55" s="15"/>
      <c r="D55" s="54"/>
      <c r="E55" s="55" t="s">
        <v>303</v>
      </c>
    </row>
    <row r="56" customFormat="false" ht="19.5" hidden="false" customHeight="true" outlineLevel="0" collapsed="false">
      <c r="A56" s="13" t="s">
        <v>304</v>
      </c>
      <c r="B56" s="53" t="n">
        <f aca="false">SUM('Content Calendar'!$N$5:$N$403)</f>
        <v>0</v>
      </c>
      <c r="C56" s="15"/>
      <c r="D56" s="54"/>
      <c r="E56" s="55" t="s">
        <v>305</v>
      </c>
    </row>
    <row r="57" customFormat="false" ht="19.5" hidden="false" customHeight="true" outlineLevel="0" collapsed="false">
      <c r="A57" s="13" t="s">
        <v>306</v>
      </c>
      <c r="B57" s="56" t="n">
        <f aca="false">IFERROR(SUM('Content Calendar'!$N$5:$N$403)/SUM('Content Calendar'!$M$5:$M$403),0)</f>
        <v>0</v>
      </c>
      <c r="C57" s="15" t="s">
        <v>307</v>
      </c>
      <c r="D57" s="54"/>
      <c r="E57" s="55" t="s">
        <v>308</v>
      </c>
    </row>
    <row r="58" customFormat="false" ht="19.5" hidden="false" customHeight="true" outlineLevel="0" collapsed="false">
      <c r="A58" s="13" t="s">
        <v>309</v>
      </c>
      <c r="B58" s="53" t="n">
        <f aca="false">SUM('Content Calendar'!$O$5:$O$403)</f>
        <v>0</v>
      </c>
      <c r="C58" s="15"/>
      <c r="D58" s="54"/>
      <c r="E58" s="55" t="s">
        <v>310</v>
      </c>
    </row>
    <row r="59" customFormat="false" ht="19.5" hidden="false" customHeight="true" outlineLevel="0" collapsed="false">
      <c r="A59" s="13" t="s">
        <v>311</v>
      </c>
      <c r="B59" s="53" t="n">
        <f aca="false">SUM('Content Calendar'!$P$5:$P$403)</f>
        <v>0</v>
      </c>
      <c r="C59" s="15"/>
      <c r="D59" s="54"/>
      <c r="E59" s="55" t="s">
        <v>312</v>
      </c>
    </row>
    <row r="60" customFormat="false" ht="19.5" hidden="false" customHeight="true" outlineLevel="0" collapsed="false">
      <c r="A60" s="13" t="s">
        <v>313</v>
      </c>
      <c r="B60" s="53" t="n">
        <f aca="false">COUNTA('Community &amp; PR'!$C$5:$C$403)</f>
        <v>0</v>
      </c>
      <c r="C60" s="15"/>
      <c r="D60" s="54"/>
      <c r="E60" s="55" t="s">
        <v>314</v>
      </c>
    </row>
    <row r="61" customFormat="false" ht="19.5" hidden="false" customHeight="true" outlineLevel="0" collapsed="false">
      <c r="A61" s="13" t="s">
        <v>315</v>
      </c>
      <c r="B61" s="53" t="n">
        <f aca="false">COUNTIF('Community &amp; PR'!$N$5:$N$403,"Meeting Booked")</f>
        <v>0</v>
      </c>
      <c r="C61" s="15"/>
      <c r="D61" s="54"/>
      <c r="E61" s="55" t="s">
        <v>316</v>
      </c>
    </row>
    <row r="63" customFormat="false" ht="21.75" hidden="false" customHeight="true" outlineLevel="0" collapsed="false">
      <c r="A63" s="50" t="s">
        <v>317</v>
      </c>
      <c r="B63" s="50"/>
      <c r="C63" s="50"/>
      <c r="D63" s="50"/>
      <c r="E63" s="50"/>
    </row>
    <row r="64" customFormat="false" ht="15" hidden="false" customHeight="false" outlineLevel="0" collapsed="false">
      <c r="A64" s="52" t="s">
        <v>318</v>
      </c>
      <c r="B64" s="52" t="s">
        <v>319</v>
      </c>
      <c r="C64" s="52" t="s">
        <v>230</v>
      </c>
      <c r="D64" s="52" t="s">
        <v>320</v>
      </c>
      <c r="E64" s="52" t="s">
        <v>321</v>
      </c>
    </row>
    <row r="65" customFormat="false" ht="18.75" hidden="false" customHeight="true" outlineLevel="0" collapsed="false">
      <c r="A65" s="13" t="s">
        <v>129</v>
      </c>
      <c r="B65" s="15" t="n">
        <f aca="false">COUNTIF('Master Tasks'!$B$4:$B$66,$A65)</f>
        <v>12</v>
      </c>
      <c r="C65" s="15" t="n">
        <f aca="false">COUNTIFS('Master Tasks'!$B$4:$B$66,$A65,'Master Tasks'!$J$4:$J$66,"Complete")</f>
        <v>0</v>
      </c>
      <c r="D65" s="59" t="n">
        <f aca="false">IFERROR(C65/B65,0)</f>
        <v>0</v>
      </c>
      <c r="E65" s="15" t="str">
        <f aca="false">COUNTIFS('Platform Setup'!$C$4:$C$49,$A65,'Platform Setup'!$J$4:$J$49,"Complete")&amp;" of "&amp;COUNTIF('Platform Setup'!$C$4:$C$49,$A65)</f>
        <v>0 of 3</v>
      </c>
    </row>
    <row r="66" customFormat="false" ht="18.75" hidden="false" customHeight="true" outlineLevel="0" collapsed="false">
      <c r="A66" s="13" t="s">
        <v>322</v>
      </c>
      <c r="B66" s="15" t="n">
        <f aca="false">COUNTIF('Master Tasks'!$B$4:$B$66,$A66)</f>
        <v>12</v>
      </c>
      <c r="C66" s="15" t="n">
        <f aca="false">COUNTIFS('Master Tasks'!$B$4:$B$66,$A66,'Master Tasks'!$J$4:$J$66,"Complete")</f>
        <v>0</v>
      </c>
      <c r="D66" s="59" t="n">
        <f aca="false">IFERROR(C66/B66,0)</f>
        <v>0</v>
      </c>
      <c r="E66" s="15" t="str">
        <f aca="false">COUNTIFS('Platform Setup'!$C$4:$C$49,$A66,'Platform Setup'!$J$4:$J$49,"Complete")&amp;" of "&amp;COUNTIF('Platform Setup'!$C$4:$C$49,$A66)</f>
        <v>0 of 10</v>
      </c>
    </row>
    <row r="67" customFormat="false" ht="18.75" hidden="false" customHeight="true" outlineLevel="0" collapsed="false">
      <c r="A67" s="13" t="s">
        <v>323</v>
      </c>
      <c r="B67" s="15" t="n">
        <f aca="false">COUNTIF('Master Tasks'!$B$4:$B$66,$A67)</f>
        <v>12</v>
      </c>
      <c r="C67" s="15" t="n">
        <f aca="false">COUNTIFS('Master Tasks'!$B$4:$B$66,$A67,'Master Tasks'!$J$4:$J$66,"Complete")</f>
        <v>0</v>
      </c>
      <c r="D67" s="59" t="n">
        <f aca="false">IFERROR(C67/B67,0)</f>
        <v>0</v>
      </c>
      <c r="E67" s="15" t="str">
        <f aca="false">COUNTIFS('Platform Setup'!$C$4:$C$49,$A67,'Platform Setup'!$J$4:$J$49,"Complete")&amp;" of "&amp;COUNTIF('Platform Setup'!$C$4:$C$49,$A67)</f>
        <v>0 of 11</v>
      </c>
    </row>
    <row r="68" customFormat="false" ht="18.75" hidden="false" customHeight="true" outlineLevel="0" collapsed="false">
      <c r="A68" s="13" t="s">
        <v>324</v>
      </c>
      <c r="B68" s="15" t="n">
        <f aca="false">COUNTIF('Master Tasks'!$B$4:$B$66,$A68)</f>
        <v>4</v>
      </c>
      <c r="C68" s="15" t="n">
        <f aca="false">COUNTIFS('Master Tasks'!$B$4:$B$66,$A68,'Master Tasks'!$J$4:$J$66,"Complete")</f>
        <v>0</v>
      </c>
      <c r="D68" s="59" t="n">
        <f aca="false">IFERROR(C68/B68,0)</f>
        <v>0</v>
      </c>
      <c r="E68" s="15" t="str">
        <f aca="false">COUNTIFS('Platform Setup'!$C$4:$C$49,$A68,'Platform Setup'!$J$4:$J$49,"Complete")&amp;" of "&amp;COUNTIF('Platform Setup'!$C$4:$C$49,$A68)</f>
        <v>0 of 7</v>
      </c>
    </row>
    <row r="69" customFormat="false" ht="18.75" hidden="false" customHeight="true" outlineLevel="0" collapsed="false">
      <c r="A69" s="13" t="s">
        <v>325</v>
      </c>
      <c r="B69" s="15" t="n">
        <f aca="false">COUNTIF('Master Tasks'!$B$4:$B$66,$A69)</f>
        <v>7</v>
      </c>
      <c r="C69" s="15" t="n">
        <f aca="false">COUNTIFS('Master Tasks'!$B$4:$B$66,$A69,'Master Tasks'!$J$4:$J$66,"Complete")</f>
        <v>0</v>
      </c>
      <c r="D69" s="59" t="n">
        <f aca="false">IFERROR(C69/B69,0)</f>
        <v>0</v>
      </c>
      <c r="E69" s="15" t="str">
        <f aca="false">COUNTIFS('Platform Setup'!$C$4:$C$49,$A69,'Platform Setup'!$J$4:$J$49,"Complete")&amp;" of "&amp;COUNTIF('Platform Setup'!$C$4:$C$49,$A69)</f>
        <v>0 of 7</v>
      </c>
    </row>
    <row r="70" customFormat="false" ht="18.75" hidden="false" customHeight="true" outlineLevel="0" collapsed="false">
      <c r="A70" s="13" t="s">
        <v>326</v>
      </c>
      <c r="B70" s="15" t="n">
        <f aca="false">COUNTIF('Master Tasks'!$B$4:$B$66,$A70)</f>
        <v>7</v>
      </c>
      <c r="C70" s="15" t="n">
        <f aca="false">COUNTIFS('Master Tasks'!$B$4:$B$66,$A70,'Master Tasks'!$J$4:$J$66,"Complete")</f>
        <v>0</v>
      </c>
      <c r="D70" s="59" t="n">
        <f aca="false">IFERROR(C70/B70,0)</f>
        <v>0</v>
      </c>
      <c r="E70" s="15" t="str">
        <f aca="false">COUNTIFS('Platform Setup'!$C$4:$C$49,$A70,'Platform Setup'!$J$4:$J$49,"Complete")&amp;" of "&amp;COUNTIF('Platform Setup'!$C$4:$C$49,$A70)</f>
        <v>0 of 0</v>
      </c>
    </row>
    <row r="71" customFormat="false" ht="18.75" hidden="false" customHeight="true" outlineLevel="0" collapsed="false">
      <c r="A71" s="13" t="s">
        <v>327</v>
      </c>
      <c r="B71" s="15" t="n">
        <f aca="false">COUNTIF('Master Tasks'!$B$4:$B$66,$A71)</f>
        <v>5</v>
      </c>
      <c r="C71" s="15" t="n">
        <f aca="false">COUNTIFS('Master Tasks'!$B$4:$B$66,$A71,'Master Tasks'!$J$4:$J$66,"Complete")</f>
        <v>0</v>
      </c>
      <c r="D71" s="59" t="n">
        <f aca="false">IFERROR(C71/B71,0)</f>
        <v>0</v>
      </c>
      <c r="E71" s="15" t="str">
        <f aca="false">COUNTIFS('Platform Setup'!$C$4:$C$49,$A71,'Platform Setup'!$J$4:$J$49,"Complete")&amp;" of "&amp;COUNTIF('Platform Setup'!$C$4:$C$49,$A71)</f>
        <v>0 of 5</v>
      </c>
    </row>
    <row r="72" customFormat="false" ht="18.75" hidden="false" customHeight="true" outlineLevel="0" collapsed="false">
      <c r="A72" s="13" t="s">
        <v>328</v>
      </c>
      <c r="B72" s="15" t="n">
        <f aca="false">COUNTIF('Master Tasks'!$B$4:$B$66,$A72)</f>
        <v>4</v>
      </c>
      <c r="C72" s="15" t="n">
        <f aca="false">COUNTIFS('Master Tasks'!$B$4:$B$66,$A72,'Master Tasks'!$J$4:$J$66,"Complete")</f>
        <v>0</v>
      </c>
      <c r="D72" s="59" t="n">
        <f aca="false">IFERROR(C72/B72,0)</f>
        <v>0</v>
      </c>
      <c r="E72" s="15" t="str">
        <f aca="false">COUNTIFS('Platform Setup'!$C$4:$C$49,$A72,'Platform Setup'!$J$4:$J$49,"Complete")&amp;" of "&amp;COUNTIF('Platform Setup'!$C$4:$C$49,$A72)</f>
        <v>0 of 3</v>
      </c>
    </row>
    <row r="74" customFormat="false" ht="39.75" hidden="false" customHeight="true" outlineLevel="0" collapsed="false">
      <c r="A74" s="60" t="s">
        <v>329</v>
      </c>
      <c r="B74" s="60"/>
      <c r="C74" s="60"/>
      <c r="D74" s="60"/>
      <c r="E74" s="60"/>
    </row>
    <row r="76" customFormat="false" ht="21.75" hidden="false" customHeight="true" outlineLevel="0" collapsed="false">
      <c r="A76" s="50" t="s">
        <v>330</v>
      </c>
      <c r="B76" s="50"/>
      <c r="C76" s="50"/>
      <c r="D76" s="50"/>
      <c r="E76" s="50"/>
    </row>
    <row r="77" customFormat="false" ht="15" hidden="false" customHeight="false" outlineLevel="0" collapsed="false">
      <c r="A77" s="52" t="s">
        <v>196</v>
      </c>
      <c r="B77" s="52" t="s">
        <v>331</v>
      </c>
      <c r="C77" s="52" t="s">
        <v>332</v>
      </c>
      <c r="D77" s="52" t="s">
        <v>333</v>
      </c>
      <c r="E77" s="52" t="s">
        <v>334</v>
      </c>
    </row>
    <row r="78" customFormat="false" ht="18.75" hidden="false" customHeight="true" outlineLevel="0" collapsed="false">
      <c r="A78" s="13" t="s">
        <v>335</v>
      </c>
      <c r="B78" s="15" t="n">
        <f aca="false">COUNTIF('LinkedIn Outreach'!$AC$5:$AC$1203,$A78)</f>
        <v>0</v>
      </c>
      <c r="C78" s="15" t="n">
        <f aca="false">COUNTIF('Partnership Pipeline'!$N$5:$N$403,$A78)</f>
        <v>0</v>
      </c>
      <c r="D78" s="61" t="n">
        <f aca="false">B78+C78</f>
        <v>0</v>
      </c>
      <c r="E78" s="62" t="s">
        <v>336</v>
      </c>
    </row>
    <row r="79" customFormat="false" ht="18.75" hidden="false" customHeight="true" outlineLevel="0" collapsed="false">
      <c r="A79" s="13" t="s">
        <v>337</v>
      </c>
      <c r="B79" s="15" t="n">
        <f aca="false">COUNTIF('LinkedIn Outreach'!$AC$5:$AC$1203,$A79)</f>
        <v>0</v>
      </c>
      <c r="C79" s="15" t="n">
        <f aca="false">COUNTIF('Partnership Pipeline'!$N$5:$N$403,$A79)</f>
        <v>0</v>
      </c>
      <c r="D79" s="61" t="n">
        <f aca="false">B79+C79</f>
        <v>0</v>
      </c>
      <c r="E79" s="62" t="s">
        <v>338</v>
      </c>
    </row>
    <row r="80" customFormat="false" ht="18.75" hidden="false" customHeight="true" outlineLevel="0" collapsed="false">
      <c r="A80" s="13" t="s">
        <v>339</v>
      </c>
      <c r="B80" s="15" t="n">
        <f aca="false">COUNTIF('LinkedIn Outreach'!$AC$5:$AC$1203,$A80)</f>
        <v>0</v>
      </c>
      <c r="C80" s="15" t="n">
        <f aca="false">COUNTIF('Partnership Pipeline'!$N$5:$N$403,$A80)</f>
        <v>0</v>
      </c>
      <c r="D80" s="61" t="n">
        <f aca="false">B80+C80</f>
        <v>0</v>
      </c>
      <c r="E80" s="62" t="s">
        <v>340</v>
      </c>
    </row>
    <row r="81" customFormat="false" ht="18.75" hidden="false" customHeight="true" outlineLevel="0" collapsed="false">
      <c r="A81" s="13" t="s">
        <v>211</v>
      </c>
      <c r="B81" s="15" t="n">
        <f aca="false">COUNTIF('LinkedIn Outreach'!$AC$5:$AC$1203,$A81)</f>
        <v>0</v>
      </c>
      <c r="C81" s="15" t="n">
        <f aca="false">COUNTIF('Partnership Pipeline'!$N$5:$N$403,$A81)</f>
        <v>0</v>
      </c>
      <c r="D81" s="61" t="n">
        <f aca="false">B81+C81</f>
        <v>0</v>
      </c>
      <c r="E81" s="62" t="s">
        <v>341</v>
      </c>
    </row>
    <row r="82" customFormat="false" ht="18.75" hidden="false" customHeight="true" outlineLevel="0" collapsed="false">
      <c r="A82" s="13" t="s">
        <v>342</v>
      </c>
      <c r="B82" s="15" t="n">
        <f aca="false">COUNTIF('LinkedIn Outreach'!$AC$5:$AC$1203,$A82)</f>
        <v>0</v>
      </c>
      <c r="C82" s="15" t="n">
        <f aca="false">COUNTIF('Partnership Pipeline'!$N$5:$N$403,$A82)</f>
        <v>0</v>
      </c>
      <c r="D82" s="61" t="n">
        <f aca="false">B82+C82</f>
        <v>0</v>
      </c>
      <c r="E82" s="62" t="s">
        <v>343</v>
      </c>
    </row>
    <row r="83" customFormat="false" ht="18.75" hidden="false" customHeight="true" outlineLevel="0" collapsed="false">
      <c r="A83" s="13" t="s">
        <v>344</v>
      </c>
      <c r="B83" s="15" t="n">
        <f aca="false">COUNTIF('LinkedIn Outreach'!$AC$5:$AC$1203,$A83)</f>
        <v>0</v>
      </c>
      <c r="C83" s="15" t="n">
        <f aca="false">COUNTIF('Partnership Pipeline'!$N$5:$N$403,$A83)</f>
        <v>0</v>
      </c>
      <c r="D83" s="61" t="n">
        <f aca="false">B83+C83</f>
        <v>0</v>
      </c>
      <c r="E83" s="62" t="s">
        <v>345</v>
      </c>
    </row>
    <row r="84" customFormat="false" ht="18.75" hidden="false" customHeight="true" outlineLevel="0" collapsed="false">
      <c r="A84" s="13" t="s">
        <v>346</v>
      </c>
      <c r="B84" s="15" t="n">
        <f aca="false">COUNTIF('LinkedIn Outreach'!$AC$5:$AC$1203,$A84)</f>
        <v>0</v>
      </c>
      <c r="C84" s="15" t="n">
        <f aca="false">COUNTIF('Partnership Pipeline'!$N$5:$N$403,$A84)</f>
        <v>0</v>
      </c>
      <c r="D84" s="61" t="n">
        <f aca="false">B84+C84</f>
        <v>0</v>
      </c>
      <c r="E84" s="62" t="s">
        <v>279</v>
      </c>
    </row>
    <row r="85" customFormat="false" ht="18.75" hidden="false" customHeight="true" outlineLevel="0" collapsed="false">
      <c r="A85" s="13" t="s">
        <v>347</v>
      </c>
      <c r="B85" s="15" t="n">
        <f aca="false">COUNTIF('LinkedIn Outreach'!$AC$5:$AC$1203,$A85)</f>
        <v>0</v>
      </c>
      <c r="C85" s="15" t="n">
        <f aca="false">COUNTIF('Partnership Pipeline'!$N$5:$N$403,$A85)</f>
        <v>0</v>
      </c>
      <c r="D85" s="61" t="n">
        <f aca="false">B85+C85</f>
        <v>0</v>
      </c>
      <c r="E85" s="62" t="s">
        <v>348</v>
      </c>
    </row>
    <row r="86" customFormat="false" ht="31.5" hidden="false" customHeight="true" outlineLevel="0" collapsed="false">
      <c r="A86" s="63" t="s">
        <v>349</v>
      </c>
      <c r="B86" s="63"/>
      <c r="C86" s="63"/>
      <c r="D86" s="63"/>
      <c r="E86" s="63"/>
    </row>
  </sheetData>
  <mergeCells count="11">
    <mergeCell ref="A1:E1"/>
    <mergeCell ref="A2:E2"/>
    <mergeCell ref="A4:E4"/>
    <mergeCell ref="A15:E15"/>
    <mergeCell ref="A24:E24"/>
    <mergeCell ref="A39:E39"/>
    <mergeCell ref="A51:E51"/>
    <mergeCell ref="A63:E63"/>
    <mergeCell ref="A74:E74"/>
    <mergeCell ref="A76:E76"/>
    <mergeCell ref="A86:E86"/>
  </mergeCells>
  <conditionalFormatting sqref="D65:D72">
    <cfRule type="colorScale" priority="2">
      <colorScale>
        <cfvo type="num" val="0"/>
        <cfvo type="num" val="0.5"/>
        <cfvo type="num" val="1"/>
        <color rgb="FFF8CBAD"/>
        <color rgb="FFFFE699"/>
        <color rgb="FFC6EFCE"/>
      </colorScale>
    </cfRule>
  </conditionalFormatting>
  <conditionalFormatting sqref="B29">
    <cfRule type="cellIs" priority="3" operator="greaterThanOrEqual" aboveAverage="0" equalAverage="0" bottom="0" percent="0" rank="0" text="" dxfId="7">
      <formula>0.3</formula>
    </cfRule>
    <cfRule type="cellIs" priority="4" operator="between" aboveAverage="0" equalAverage="0" bottom="0" percent="0" rank="0" text="" dxfId="9">
      <formula>0.2</formula>
      <formula>0.2999</formula>
    </cfRule>
    <cfRule type="cellIs" priority="5" operator="between" aboveAverage="0" equalAverage="0" bottom="0" percent="0" rank="0" text="" dxfId="6">
      <formula>0.00001</formula>
      <formula>0.1999</formula>
    </cfRule>
  </conditionalFormatting>
  <conditionalFormatting sqref="B32">
    <cfRule type="cellIs" priority="6" operator="greaterThanOrEqual" aboveAverage="0" equalAverage="0" bottom="0" percent="0" rank="0" text="" dxfId="7">
      <formula>0.15</formula>
    </cfRule>
    <cfRule type="cellIs" priority="7" operator="between" aboveAverage="0" equalAverage="0" bottom="0" percent="0" rank="0" text="" dxfId="9">
      <formula>0.1</formula>
      <formula>0.1499</formula>
    </cfRule>
    <cfRule type="cellIs" priority="8" operator="between" aboveAverage="0" equalAverage="0" bottom="0" percent="0" rank="0" text="" dxfId="6">
      <formula>0.00001</formula>
      <formula>0.0999</formula>
    </cfRule>
  </conditionalFormatting>
  <conditionalFormatting sqref="B10">
    <cfRule type="cellIs" priority="9" operator="greaterThan" aboveAverage="0" equalAverage="0" bottom="0" percent="0" rank="0" text="" dxfId="6">
      <formula>0</formula>
    </cfRule>
    <cfRule type="cellIs" priority="10" operator="equal" aboveAverage="0" equalAverage="0" bottom="0" percent="0" rank="0" text="" dxfId="7">
      <formula>0</formula>
    </cfRule>
  </conditionalFormatting>
  <conditionalFormatting sqref="B36">
    <cfRule type="cellIs" priority="11" operator="greaterThan" aboveAverage="0" equalAverage="0" bottom="0" percent="0" rank="0" text="" dxfId="6">
      <formula>0</formula>
    </cfRule>
    <cfRule type="cellIs" priority="12" operator="equal" aboveAverage="0" equalAverage="0" bottom="0" percent="0" rank="0" text="" dxfId="7">
      <formula>0</formula>
    </cfRule>
  </conditionalFormatting>
  <conditionalFormatting sqref="D42">
    <cfRule type="cellIs" priority="13" operator="greaterThanOrEqual" aboveAverage="0" equalAverage="0" bottom="0" percent="0" rank="0" text="" dxfId="7">
      <formula>1</formula>
    </cfRule>
    <cfRule type="cellIs" priority="14" operator="between" aboveAverage="0" equalAverage="0" bottom="0" percent="0" rank="0" text="" dxfId="9">
      <formula>0.8</formula>
      <formula>0.9999</formula>
    </cfRule>
    <cfRule type="cellIs" priority="15" operator="lessThan" aboveAverage="0" equalAverage="0" bottom="0" percent="0" rank="0" text="" dxfId="6">
      <formula>0.8</formula>
    </cfRule>
  </conditionalFormatting>
  <conditionalFormatting sqref="D43">
    <cfRule type="cellIs" priority="16" operator="greaterThanOrEqual" aboveAverage="0" equalAverage="0" bottom="0" percent="0" rank="0" text="" dxfId="7">
      <formula>1</formula>
    </cfRule>
    <cfRule type="cellIs" priority="17" operator="between" aboveAverage="0" equalAverage="0" bottom="0" percent="0" rank="0" text="" dxfId="9">
      <formula>0.8</formula>
      <formula>0.9999</formula>
    </cfRule>
    <cfRule type="cellIs" priority="18" operator="lessThan" aboveAverage="0" equalAverage="0" bottom="0" percent="0" rank="0" text="" dxfId="6">
      <formula>0.8</formula>
    </cfRule>
  </conditionalFormatting>
  <conditionalFormatting sqref="D44">
    <cfRule type="cellIs" priority="19" operator="greaterThanOrEqual" aboveAverage="0" equalAverage="0" bottom="0" percent="0" rank="0" text="" dxfId="7">
      <formula>1</formula>
    </cfRule>
    <cfRule type="cellIs" priority="20" operator="between" aboveAverage="0" equalAverage="0" bottom="0" percent="0" rank="0" text="" dxfId="9">
      <formula>0.8</formula>
      <formula>0.9999</formula>
    </cfRule>
    <cfRule type="cellIs" priority="21" operator="lessThan" aboveAverage="0" equalAverage="0" bottom="0" percent="0" rank="0" text="" dxfId="6">
      <formula>0.8</formula>
    </cfRule>
  </conditionalFormatting>
  <conditionalFormatting sqref="D45">
    <cfRule type="cellIs" priority="22" operator="greaterThanOrEqual" aboveAverage="0" equalAverage="0" bottom="0" percent="0" rank="0" text="" dxfId="7">
      <formula>1</formula>
    </cfRule>
    <cfRule type="cellIs" priority="23" operator="between" aboveAverage="0" equalAverage="0" bottom="0" percent="0" rank="0" text="" dxfId="9">
      <formula>0.8</formula>
      <formula>0.9999</formula>
    </cfRule>
    <cfRule type="cellIs" priority="24" operator="lessThan" aboveAverage="0" equalAverage="0" bottom="0" percent="0" rank="0" text="" dxfId="6">
      <formula>0.8</formula>
    </cfRule>
  </conditionalFormatting>
  <conditionalFormatting sqref="D46">
    <cfRule type="cellIs" priority="25" operator="greaterThanOrEqual" aboveAverage="0" equalAverage="0" bottom="0" percent="0" rank="0" text="" dxfId="7">
      <formula>1</formula>
    </cfRule>
    <cfRule type="cellIs" priority="26" operator="between" aboveAverage="0" equalAverage="0" bottom="0" percent="0" rank="0" text="" dxfId="9">
      <formula>0.8</formula>
      <formula>0.9999</formula>
    </cfRule>
    <cfRule type="cellIs" priority="27" operator="lessThan" aboveAverage="0" equalAverage="0" bottom="0" percent="0" rank="0" text="" dxfId="6">
      <formula>0.8</formula>
    </cfRule>
  </conditionalFormatting>
  <conditionalFormatting sqref="D47">
    <cfRule type="cellIs" priority="28" operator="greaterThanOrEqual" aboveAverage="0" equalAverage="0" bottom="0" percent="0" rank="0" text="" dxfId="7">
      <formula>1</formula>
    </cfRule>
    <cfRule type="cellIs" priority="29" operator="between" aboveAverage="0" equalAverage="0" bottom="0" percent="0" rank="0" text="" dxfId="9">
      <formula>0.8</formula>
      <formula>0.9999</formula>
    </cfRule>
    <cfRule type="cellIs" priority="30" operator="lessThan" aboveAverage="0" equalAverage="0" bottom="0" percent="0" rank="0" text="" dxfId="6">
      <formula>0.8</formula>
    </cfRule>
  </conditionalFormatting>
  <conditionalFormatting sqref="D48">
    <cfRule type="cellIs" priority="31" operator="greaterThanOrEqual" aboveAverage="0" equalAverage="0" bottom="0" percent="0" rank="0" text="" dxfId="7">
      <formula>1</formula>
    </cfRule>
    <cfRule type="cellIs" priority="32" operator="between" aboveAverage="0" equalAverage="0" bottom="0" percent="0" rank="0" text="" dxfId="9">
      <formula>0.8</formula>
      <formula>0.9999</formula>
    </cfRule>
    <cfRule type="cellIs" priority="33" operator="lessThan" aboveAverage="0" equalAverage="0" bottom="0" percent="0" rank="0" text="" dxfId="6">
      <formula>0.8</formula>
    </cfRule>
  </conditionalFormatting>
  <conditionalFormatting sqref="D49">
    <cfRule type="cellIs" priority="34" operator="greaterThanOrEqual" aboveAverage="0" equalAverage="0" bottom="0" percent="0" rank="0" text="" dxfId="7">
      <formula>1</formula>
    </cfRule>
    <cfRule type="cellIs" priority="35" operator="between" aboveAverage="0" equalAverage="0" bottom="0" percent="0" rank="0" text="" dxfId="9">
      <formula>0.8</formula>
      <formula>0.9999</formula>
    </cfRule>
    <cfRule type="cellIs" priority="36" operator="lessThan" aboveAverage="0" equalAverage="0" bottom="0" percent="0" rank="0" text="" dxfId="6">
      <formula>0.8</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3F00"/>
    <pageSetUpPr fitToPage="true"/>
  </sheetPr>
  <dimension ref="A1:L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1"/>
    <col collapsed="false" customWidth="true" hidden="false" outlineLevel="0" max="3" min="3" style="1" width="12"/>
    <col collapsed="false" customWidth="true" hidden="false" outlineLevel="0" max="5" min="4" style="1" width="11"/>
    <col collapsed="false" customWidth="true" hidden="false" outlineLevel="0" max="6" min="6" style="1" width="13"/>
    <col collapsed="false" customWidth="true" hidden="false" outlineLevel="0" max="7" min="7" style="1" width="12"/>
    <col collapsed="false" customWidth="true" hidden="false" outlineLevel="0" max="8" min="8" style="1" width="11"/>
    <col collapsed="false" customWidth="true" hidden="false" outlineLevel="0" max="9" min="9" style="1" width="12"/>
    <col collapsed="false" customWidth="true" hidden="false" outlineLevel="0" max="10" min="10" style="1" width="16"/>
    <col collapsed="false" customWidth="true" hidden="false" outlineLevel="0" max="11" min="11" style="1" width="20"/>
    <col collapsed="false" customWidth="true" hidden="false" outlineLevel="0" max="12" min="12" style="1" width="54"/>
  </cols>
  <sheetData>
    <row r="1" customFormat="false" ht="25.5" hidden="false" customHeight="true" outlineLevel="0" collapsed="false">
      <c r="A1" s="2" t="s">
        <v>350</v>
      </c>
      <c r="B1" s="2"/>
      <c r="C1" s="2"/>
      <c r="D1" s="2"/>
      <c r="E1" s="2"/>
      <c r="F1" s="2"/>
      <c r="G1" s="2"/>
      <c r="H1" s="2"/>
      <c r="I1" s="2"/>
      <c r="J1" s="2"/>
      <c r="K1" s="2"/>
      <c r="L1" s="2"/>
    </row>
    <row r="2" customFormat="false" ht="18" hidden="false" customHeight="true" outlineLevel="0" collapsed="false">
      <c r="A2" s="3" t="s">
        <v>351</v>
      </c>
      <c r="B2" s="3"/>
      <c r="C2" s="3"/>
      <c r="D2" s="3"/>
      <c r="E2" s="3"/>
      <c r="F2" s="3"/>
      <c r="G2" s="3"/>
      <c r="H2" s="3"/>
      <c r="I2" s="3"/>
      <c r="J2" s="3"/>
      <c r="K2" s="3"/>
      <c r="L2" s="3"/>
    </row>
    <row r="3" customFormat="false" ht="55.5" hidden="false" customHeight="true" outlineLevel="0" collapsed="false">
      <c r="A3" s="31" t="s">
        <v>140</v>
      </c>
      <c r="B3" s="31" t="s">
        <v>352</v>
      </c>
      <c r="C3" s="31" t="s">
        <v>353</v>
      </c>
      <c r="D3" s="31" t="s">
        <v>354</v>
      </c>
      <c r="E3" s="31" t="s">
        <v>355</v>
      </c>
      <c r="F3" s="31" t="s">
        <v>356</v>
      </c>
      <c r="G3" s="31" t="s">
        <v>357</v>
      </c>
      <c r="H3" s="31" t="s">
        <v>358</v>
      </c>
      <c r="I3" s="31" t="s">
        <v>359</v>
      </c>
      <c r="J3" s="31" t="s">
        <v>360</v>
      </c>
      <c r="K3" s="31" t="s">
        <v>361</v>
      </c>
      <c r="L3" s="31" t="s">
        <v>362</v>
      </c>
    </row>
    <row r="4" customFormat="false" ht="33.75" hidden="false" customHeight="true" outlineLevel="0" collapsed="false">
      <c r="A4" s="64" t="str">
        <f aca="false">IF('START HERE'!$B$55="","",'START HERE'!$B$55)</f>
        <v>Employee 1</v>
      </c>
      <c r="B4" s="45" t="n">
        <f aca="false">IF($A4="","",ROUND(IFERROR(AVERAGEIFS('LinkedIn Outreach'!$AA$5:$AA$1203,'LinkedIn Outreach'!$B$5:$B$1203,$A4,'LinkedIn Outreach'!$AA$5:$AA$1203,"&gt;0"),0)/100*15,1))</f>
        <v>0</v>
      </c>
      <c r="C4" s="45" t="n">
        <f aca="false">IF($A4="","",ROUND(MIN(1,IFERROR('Team Scorecard'!F4/0.3,0))*20,1))</f>
        <v>0</v>
      </c>
      <c r="D4" s="45" t="n">
        <f aca="false">IF($A4="","",ROUND(MIN(1,IFERROR('Team Scorecard'!I4/0.15,0))*20,1))</f>
        <v>0</v>
      </c>
      <c r="E4" s="45" t="n">
        <f aca="false">IF($A4="","",ROUND(MIN(1,IFERROR('Team Scorecard'!H4/MAX(1,'Team Scorecard'!G4)/0.2,0))*10,1))</f>
        <v>0</v>
      </c>
      <c r="F4" s="45" t="n">
        <f aca="false">IF($A4="","",ROUND(MIN(1,(COUNTIFS('LinkedIn Outreach'!$B$5:$B$1203,$A4,'LinkedIn Outreach'!$AC$5:$AC$1203,"6 Meeting / Application")+COUNTIFS('LinkedIn Outreach'!$B$5:$B$1203,$A4,'LinkedIn Outreach'!$AC$5:$AC$1203,"7 Certification / Enterprise opportunity"))/5)*20,1))</f>
        <v>0</v>
      </c>
      <c r="G4" s="45" t="n">
        <f aca="false">IF($A4="","",ROUND(MIN(1,COUNTIFS('LinkedIn Outreach'!$B$5:$B$1203,$A4,'LinkedIn Outreach'!$AC$5:$AC$1203,"7 Certification / Enterprise opportunity")/3)*10,1))</f>
        <v>0</v>
      </c>
      <c r="H4" s="65" t="n">
        <f aca="false">IF($A4="","",MAX(0,5-'Team Scorecard'!O4*2.5))</f>
        <v>5</v>
      </c>
      <c r="I4" s="66" t="n">
        <f aca="false">IF($A4="","",ROUND(SUM(B4:H4),1))</f>
        <v>5</v>
      </c>
      <c r="J4" s="45" t="str">
        <f aca="false">IF($A4="","",IF(I4&gt;=80,"A - excellent",IF(I4&gt;=65,"B - solid",IF(I4&gt;=50,"C - needs coaching",IF(I4&gt;=30,"D - at risk","E - not working")))))</f>
        <v>E - not working</v>
      </c>
      <c r="K4" s="46" t="str">
        <f aca="false">IF($A4="","",IF('Team Scorecard'!B4=0,"No activity logged",IF('Team Scorecard'!D4&lt;20,"Too little data to score fairly yet","Enough data")))</f>
        <v>No activity logged</v>
      </c>
      <c r="L4" s="67" t="str">
        <f aca="false">IF($A4="","",IF(H4&lt;5,"Compliance first: messages were sent over the 300-character limit.",IF(C4&lt;10,"Targeting: acceptance is well below benchmark. Fix who is being approached and the personal line.",IF(D4&lt;10,"Message quality: people accept but do not reply. Rewrite the opening message.",IF(F4&lt;10,"Conversion: replies are not turning into meetings. Work on the ask and the follow-through.",IF(B4&lt;8,"Lead quality: the prospects being researched score low on fit. Tighten the Sales Navigator filters.","Nothing structural - keep going and raise the volume gradually."))))))</f>
        <v>Targeting: acceptance is well below benchmark. Fix who is being approached and the personal line.</v>
      </c>
    </row>
    <row r="5" customFormat="false" ht="33.75" hidden="false" customHeight="true" outlineLevel="0" collapsed="false">
      <c r="A5" s="64" t="str">
        <f aca="false">IF('START HERE'!$B$56="","",'START HERE'!$B$56)</f>
        <v/>
      </c>
      <c r="B5" s="45" t="str">
        <f aca="false">IF($A5="","",ROUND(IFERROR(AVERAGEIFS('LinkedIn Outreach'!$AA$5:$AA$1203,'LinkedIn Outreach'!$B$5:$B$1203,$A5,'LinkedIn Outreach'!$AA$5:$AA$1203,"&gt;0"),0)/100*15,1))</f>
        <v/>
      </c>
      <c r="C5" s="45" t="str">
        <f aca="false">IF($A5="","",ROUND(MIN(1,IFERROR('Team Scorecard'!F5/0.3,0))*20,1))</f>
        <v/>
      </c>
      <c r="D5" s="45" t="str">
        <f aca="false">IF($A5="","",ROUND(MIN(1,IFERROR('Team Scorecard'!I5/0.15,0))*20,1))</f>
        <v/>
      </c>
      <c r="E5" s="45" t="str">
        <f aca="false">IF($A5="","",ROUND(MIN(1,IFERROR('Team Scorecard'!H5/MAX(1,'Team Scorecard'!G5)/0.2,0))*10,1))</f>
        <v/>
      </c>
      <c r="F5" s="45" t="str">
        <f aca="false">IF($A5="","",ROUND(MIN(1,(COUNTIFS('LinkedIn Outreach'!$B$5:$B$1203,$A5,'LinkedIn Outreach'!$AC$5:$AC$1203,"6 Meeting / Application")+COUNTIFS('LinkedIn Outreach'!$B$5:$B$1203,$A5,'LinkedIn Outreach'!$AC$5:$AC$1203,"7 Certification / Enterprise opportunity"))/5)*20,1))</f>
        <v/>
      </c>
      <c r="G5" s="45" t="str">
        <f aca="false">IF($A5="","",ROUND(MIN(1,COUNTIFS('LinkedIn Outreach'!$B$5:$B$1203,$A5,'LinkedIn Outreach'!$AC$5:$AC$1203,"7 Certification / Enterprise opportunity")/3)*10,1))</f>
        <v/>
      </c>
      <c r="H5" s="65" t="str">
        <f aca="false">IF($A5="","",MAX(0,5-'Team Scorecard'!O5*2.5))</f>
        <v/>
      </c>
      <c r="I5" s="66" t="str">
        <f aca="false">IF($A5="","",ROUND(SUM(B5:H5),1))</f>
        <v/>
      </c>
      <c r="J5" s="45" t="str">
        <f aca="false">IF($A5="","",IF(I5&gt;=80,"A - excellent",IF(I5&gt;=65,"B - solid",IF(I5&gt;=50,"C - needs coaching",IF(I5&gt;=30,"D - at risk","E - not working")))))</f>
        <v/>
      </c>
      <c r="K5" s="46" t="str">
        <f aca="false">IF($A5="","",IF('Team Scorecard'!B5=0,"No activity logged",IF('Team Scorecard'!D5&lt;20,"Too little data to score fairly yet","Enough data")))</f>
        <v/>
      </c>
      <c r="L5" s="67" t="str">
        <f aca="false">IF($A5="","",IF(H5&lt;5,"Compliance first: messages were sent over the 300-character limit.",IF(C5&lt;10,"Targeting: acceptance is well below benchmark. Fix who is being approached and the personal line.",IF(D5&lt;10,"Message quality: people accept but do not reply. Rewrite the opening message.",IF(F5&lt;10,"Conversion: replies are not turning into meetings. Work on the ask and the follow-through.",IF(B5&lt;8,"Lead quality: the prospects being researched score low on fit. Tighten the Sales Navigator filters.","Nothing structural - keep going and raise the volume gradually."))))))</f>
        <v/>
      </c>
    </row>
    <row r="6" customFormat="false" ht="33.75" hidden="false" customHeight="true" outlineLevel="0" collapsed="false">
      <c r="A6" s="64" t="str">
        <f aca="false">IF('START HERE'!$B$57="","",'START HERE'!$B$57)</f>
        <v/>
      </c>
      <c r="B6" s="45" t="str">
        <f aca="false">IF($A6="","",ROUND(IFERROR(AVERAGEIFS('LinkedIn Outreach'!$AA$5:$AA$1203,'LinkedIn Outreach'!$B$5:$B$1203,$A6,'LinkedIn Outreach'!$AA$5:$AA$1203,"&gt;0"),0)/100*15,1))</f>
        <v/>
      </c>
      <c r="C6" s="45" t="str">
        <f aca="false">IF($A6="","",ROUND(MIN(1,IFERROR('Team Scorecard'!F6/0.3,0))*20,1))</f>
        <v/>
      </c>
      <c r="D6" s="45" t="str">
        <f aca="false">IF($A6="","",ROUND(MIN(1,IFERROR('Team Scorecard'!I6/0.15,0))*20,1))</f>
        <v/>
      </c>
      <c r="E6" s="45" t="str">
        <f aca="false">IF($A6="","",ROUND(MIN(1,IFERROR('Team Scorecard'!H6/MAX(1,'Team Scorecard'!G6)/0.2,0))*10,1))</f>
        <v/>
      </c>
      <c r="F6" s="45" t="str">
        <f aca="false">IF($A6="","",ROUND(MIN(1,(COUNTIFS('LinkedIn Outreach'!$B$5:$B$1203,$A6,'LinkedIn Outreach'!$AC$5:$AC$1203,"6 Meeting / Application")+COUNTIFS('LinkedIn Outreach'!$B$5:$B$1203,$A6,'LinkedIn Outreach'!$AC$5:$AC$1203,"7 Certification / Enterprise opportunity"))/5)*20,1))</f>
        <v/>
      </c>
      <c r="G6" s="45" t="str">
        <f aca="false">IF($A6="","",ROUND(MIN(1,COUNTIFS('LinkedIn Outreach'!$B$5:$B$1203,$A6,'LinkedIn Outreach'!$AC$5:$AC$1203,"7 Certification / Enterprise opportunity")/3)*10,1))</f>
        <v/>
      </c>
      <c r="H6" s="65" t="str">
        <f aca="false">IF($A6="","",MAX(0,5-'Team Scorecard'!O6*2.5))</f>
        <v/>
      </c>
      <c r="I6" s="66" t="str">
        <f aca="false">IF($A6="","",ROUND(SUM(B6:H6),1))</f>
        <v/>
      </c>
      <c r="J6" s="45" t="str">
        <f aca="false">IF($A6="","",IF(I6&gt;=80,"A - excellent",IF(I6&gt;=65,"B - solid",IF(I6&gt;=50,"C - needs coaching",IF(I6&gt;=30,"D - at risk","E - not working")))))</f>
        <v/>
      </c>
      <c r="K6" s="46" t="str">
        <f aca="false">IF($A6="","",IF('Team Scorecard'!B6=0,"No activity logged",IF('Team Scorecard'!D6&lt;20,"Too little data to score fairly yet","Enough data")))</f>
        <v/>
      </c>
      <c r="L6" s="67" t="str">
        <f aca="false">IF($A6="","",IF(H6&lt;5,"Compliance first: messages were sent over the 300-character limit.",IF(C6&lt;10,"Targeting: acceptance is well below benchmark. Fix who is being approached and the personal line.",IF(D6&lt;10,"Message quality: people accept but do not reply. Rewrite the opening message.",IF(F6&lt;10,"Conversion: replies are not turning into meetings. Work on the ask and the follow-through.",IF(B6&lt;8,"Lead quality: the prospects being researched score low on fit. Tighten the Sales Navigator filters.","Nothing structural - keep going and raise the volume gradually."))))))</f>
        <v/>
      </c>
    </row>
    <row r="7" customFormat="false" ht="33.75" hidden="false" customHeight="true" outlineLevel="0" collapsed="false">
      <c r="A7" s="64" t="str">
        <f aca="false">IF('START HERE'!$B$58="","",'START HERE'!$B$58)</f>
        <v/>
      </c>
      <c r="B7" s="45" t="str">
        <f aca="false">IF($A7="","",ROUND(IFERROR(AVERAGEIFS('LinkedIn Outreach'!$AA$5:$AA$1203,'LinkedIn Outreach'!$B$5:$B$1203,$A7,'LinkedIn Outreach'!$AA$5:$AA$1203,"&gt;0"),0)/100*15,1))</f>
        <v/>
      </c>
      <c r="C7" s="45" t="str">
        <f aca="false">IF($A7="","",ROUND(MIN(1,IFERROR('Team Scorecard'!F7/0.3,0))*20,1))</f>
        <v/>
      </c>
      <c r="D7" s="45" t="str">
        <f aca="false">IF($A7="","",ROUND(MIN(1,IFERROR('Team Scorecard'!I7/0.15,0))*20,1))</f>
        <v/>
      </c>
      <c r="E7" s="45" t="str">
        <f aca="false">IF($A7="","",ROUND(MIN(1,IFERROR('Team Scorecard'!H7/MAX(1,'Team Scorecard'!G7)/0.2,0))*10,1))</f>
        <v/>
      </c>
      <c r="F7" s="45" t="str">
        <f aca="false">IF($A7="","",ROUND(MIN(1,(COUNTIFS('LinkedIn Outreach'!$B$5:$B$1203,$A7,'LinkedIn Outreach'!$AC$5:$AC$1203,"6 Meeting / Application")+COUNTIFS('LinkedIn Outreach'!$B$5:$B$1203,$A7,'LinkedIn Outreach'!$AC$5:$AC$1203,"7 Certification / Enterprise opportunity"))/5)*20,1))</f>
        <v/>
      </c>
      <c r="G7" s="45" t="str">
        <f aca="false">IF($A7="","",ROUND(MIN(1,COUNTIFS('LinkedIn Outreach'!$B$5:$B$1203,$A7,'LinkedIn Outreach'!$AC$5:$AC$1203,"7 Certification / Enterprise opportunity")/3)*10,1))</f>
        <v/>
      </c>
      <c r="H7" s="65" t="str">
        <f aca="false">IF($A7="","",MAX(0,5-'Team Scorecard'!O7*2.5))</f>
        <v/>
      </c>
      <c r="I7" s="66" t="str">
        <f aca="false">IF($A7="","",ROUND(SUM(B7:H7),1))</f>
        <v/>
      </c>
      <c r="J7" s="45" t="str">
        <f aca="false">IF($A7="","",IF(I7&gt;=80,"A - excellent",IF(I7&gt;=65,"B - solid",IF(I7&gt;=50,"C - needs coaching",IF(I7&gt;=30,"D - at risk","E - not working")))))</f>
        <v/>
      </c>
      <c r="K7" s="46" t="str">
        <f aca="false">IF($A7="","",IF('Team Scorecard'!B7=0,"No activity logged",IF('Team Scorecard'!D7&lt;20,"Too little data to score fairly yet","Enough data")))</f>
        <v/>
      </c>
      <c r="L7" s="67" t="str">
        <f aca="false">IF($A7="","",IF(H7&lt;5,"Compliance first: messages were sent over the 300-character limit.",IF(C7&lt;10,"Targeting: acceptance is well below benchmark. Fix who is being approached and the personal line.",IF(D7&lt;10,"Message quality: people accept but do not reply. Rewrite the opening message.",IF(F7&lt;10,"Conversion: replies are not turning into meetings. Work on the ask and the follow-through.",IF(B7&lt;8,"Lead quality: the prospects being researched score low on fit. Tighten the Sales Navigator filters.","Nothing structural - keep going and raise the volume gradually."))))))</f>
        <v/>
      </c>
    </row>
    <row r="8" customFormat="false" ht="33.75" hidden="false" customHeight="true" outlineLevel="0" collapsed="false">
      <c r="A8" s="64" t="str">
        <f aca="false">IF('START HERE'!$B$59="","",'START HERE'!$B$59)</f>
        <v/>
      </c>
      <c r="B8" s="45" t="str">
        <f aca="false">IF($A8="","",ROUND(IFERROR(AVERAGEIFS('LinkedIn Outreach'!$AA$5:$AA$1203,'LinkedIn Outreach'!$B$5:$B$1203,$A8,'LinkedIn Outreach'!$AA$5:$AA$1203,"&gt;0"),0)/100*15,1))</f>
        <v/>
      </c>
      <c r="C8" s="45" t="str">
        <f aca="false">IF($A8="","",ROUND(MIN(1,IFERROR('Team Scorecard'!F8/0.3,0))*20,1))</f>
        <v/>
      </c>
      <c r="D8" s="45" t="str">
        <f aca="false">IF($A8="","",ROUND(MIN(1,IFERROR('Team Scorecard'!I8/0.15,0))*20,1))</f>
        <v/>
      </c>
      <c r="E8" s="45" t="str">
        <f aca="false">IF($A8="","",ROUND(MIN(1,IFERROR('Team Scorecard'!H8/MAX(1,'Team Scorecard'!G8)/0.2,0))*10,1))</f>
        <v/>
      </c>
      <c r="F8" s="45" t="str">
        <f aca="false">IF($A8="","",ROUND(MIN(1,(COUNTIFS('LinkedIn Outreach'!$B$5:$B$1203,$A8,'LinkedIn Outreach'!$AC$5:$AC$1203,"6 Meeting / Application")+COUNTIFS('LinkedIn Outreach'!$B$5:$B$1203,$A8,'LinkedIn Outreach'!$AC$5:$AC$1203,"7 Certification / Enterprise opportunity"))/5)*20,1))</f>
        <v/>
      </c>
      <c r="G8" s="45" t="str">
        <f aca="false">IF($A8="","",ROUND(MIN(1,COUNTIFS('LinkedIn Outreach'!$B$5:$B$1203,$A8,'LinkedIn Outreach'!$AC$5:$AC$1203,"7 Certification / Enterprise opportunity")/3)*10,1))</f>
        <v/>
      </c>
      <c r="H8" s="65" t="str">
        <f aca="false">IF($A8="","",MAX(0,5-'Team Scorecard'!O8*2.5))</f>
        <v/>
      </c>
      <c r="I8" s="66" t="str">
        <f aca="false">IF($A8="","",ROUND(SUM(B8:H8),1))</f>
        <v/>
      </c>
      <c r="J8" s="45" t="str">
        <f aca="false">IF($A8="","",IF(I8&gt;=80,"A - excellent",IF(I8&gt;=65,"B - solid",IF(I8&gt;=50,"C - needs coaching",IF(I8&gt;=30,"D - at risk","E - not working")))))</f>
        <v/>
      </c>
      <c r="K8" s="46" t="str">
        <f aca="false">IF($A8="","",IF('Team Scorecard'!B8=0,"No activity logged",IF('Team Scorecard'!D8&lt;20,"Too little data to score fairly yet","Enough data")))</f>
        <v/>
      </c>
      <c r="L8" s="67" t="str">
        <f aca="false">IF($A8="","",IF(H8&lt;5,"Compliance first: messages were sent over the 300-character limit.",IF(C8&lt;10,"Targeting: acceptance is well below benchmark. Fix who is being approached and the personal line.",IF(D8&lt;10,"Message quality: people accept but do not reply. Rewrite the opening message.",IF(F8&lt;10,"Conversion: replies are not turning into meetings. Work on the ask and the follow-through.",IF(B8&lt;8,"Lead quality: the prospects being researched score low on fit. Tighten the Sales Navigator filters.","Nothing structural - keep going and raise the volume gradually."))))))</f>
        <v/>
      </c>
    </row>
    <row r="9" customFormat="false" ht="33.75" hidden="false" customHeight="true" outlineLevel="0" collapsed="false">
      <c r="A9" s="64" t="str">
        <f aca="false">IF('START HERE'!$B$60="","",'START HERE'!$B$60)</f>
        <v/>
      </c>
      <c r="B9" s="45" t="str">
        <f aca="false">IF($A9="","",ROUND(IFERROR(AVERAGEIFS('LinkedIn Outreach'!$AA$5:$AA$1203,'LinkedIn Outreach'!$B$5:$B$1203,$A9,'LinkedIn Outreach'!$AA$5:$AA$1203,"&gt;0"),0)/100*15,1))</f>
        <v/>
      </c>
      <c r="C9" s="45" t="str">
        <f aca="false">IF($A9="","",ROUND(MIN(1,IFERROR('Team Scorecard'!F9/0.3,0))*20,1))</f>
        <v/>
      </c>
      <c r="D9" s="45" t="str">
        <f aca="false">IF($A9="","",ROUND(MIN(1,IFERROR('Team Scorecard'!I9/0.15,0))*20,1))</f>
        <v/>
      </c>
      <c r="E9" s="45" t="str">
        <f aca="false">IF($A9="","",ROUND(MIN(1,IFERROR('Team Scorecard'!H9/MAX(1,'Team Scorecard'!G9)/0.2,0))*10,1))</f>
        <v/>
      </c>
      <c r="F9" s="45" t="str">
        <f aca="false">IF($A9="","",ROUND(MIN(1,(COUNTIFS('LinkedIn Outreach'!$B$5:$B$1203,$A9,'LinkedIn Outreach'!$AC$5:$AC$1203,"6 Meeting / Application")+COUNTIFS('LinkedIn Outreach'!$B$5:$B$1203,$A9,'LinkedIn Outreach'!$AC$5:$AC$1203,"7 Certification / Enterprise opportunity"))/5)*20,1))</f>
        <v/>
      </c>
      <c r="G9" s="45" t="str">
        <f aca="false">IF($A9="","",ROUND(MIN(1,COUNTIFS('LinkedIn Outreach'!$B$5:$B$1203,$A9,'LinkedIn Outreach'!$AC$5:$AC$1203,"7 Certification / Enterprise opportunity")/3)*10,1))</f>
        <v/>
      </c>
      <c r="H9" s="65" t="str">
        <f aca="false">IF($A9="","",MAX(0,5-'Team Scorecard'!O9*2.5))</f>
        <v/>
      </c>
      <c r="I9" s="66" t="str">
        <f aca="false">IF($A9="","",ROUND(SUM(B9:H9),1))</f>
        <v/>
      </c>
      <c r="J9" s="45" t="str">
        <f aca="false">IF($A9="","",IF(I9&gt;=80,"A - excellent",IF(I9&gt;=65,"B - solid",IF(I9&gt;=50,"C - needs coaching",IF(I9&gt;=30,"D - at risk","E - not working")))))</f>
        <v/>
      </c>
      <c r="K9" s="46" t="str">
        <f aca="false">IF($A9="","",IF('Team Scorecard'!B9=0,"No activity logged",IF('Team Scorecard'!D9&lt;20,"Too little data to score fairly yet","Enough data")))</f>
        <v/>
      </c>
      <c r="L9" s="67" t="str">
        <f aca="false">IF($A9="","",IF(H9&lt;5,"Compliance first: messages were sent over the 300-character limit.",IF(C9&lt;10,"Targeting: acceptance is well below benchmark. Fix who is being approached and the personal line.",IF(D9&lt;10,"Message quality: people accept but do not reply. Rewrite the opening message.",IF(F9&lt;10,"Conversion: replies are not turning into meetings. Work on the ask and the follow-through.",IF(B9&lt;8,"Lead quality: the prospects being researched score low on fit. Tighten the Sales Navigator filters.","Nothing structural - keep going and raise the volume gradually."))))))</f>
        <v/>
      </c>
    </row>
    <row r="10" customFormat="false" ht="33.75" hidden="false" customHeight="true" outlineLevel="0" collapsed="false">
      <c r="A10" s="64" t="str">
        <f aca="false">IF('START HERE'!$B$61="","",'START HERE'!$B$61)</f>
        <v/>
      </c>
      <c r="B10" s="45" t="str">
        <f aca="false">IF($A10="","",ROUND(IFERROR(AVERAGEIFS('LinkedIn Outreach'!$AA$5:$AA$1203,'LinkedIn Outreach'!$B$5:$B$1203,$A10,'LinkedIn Outreach'!$AA$5:$AA$1203,"&gt;0"),0)/100*15,1))</f>
        <v/>
      </c>
      <c r="C10" s="45" t="str">
        <f aca="false">IF($A10="","",ROUND(MIN(1,IFERROR('Team Scorecard'!F10/0.3,0))*20,1))</f>
        <v/>
      </c>
      <c r="D10" s="45" t="str">
        <f aca="false">IF($A10="","",ROUND(MIN(1,IFERROR('Team Scorecard'!I10/0.15,0))*20,1))</f>
        <v/>
      </c>
      <c r="E10" s="45" t="str">
        <f aca="false">IF($A10="","",ROUND(MIN(1,IFERROR('Team Scorecard'!H10/MAX(1,'Team Scorecard'!G10)/0.2,0))*10,1))</f>
        <v/>
      </c>
      <c r="F10" s="45" t="str">
        <f aca="false">IF($A10="","",ROUND(MIN(1,(COUNTIFS('LinkedIn Outreach'!$B$5:$B$1203,$A10,'LinkedIn Outreach'!$AC$5:$AC$1203,"6 Meeting / Application")+COUNTIFS('LinkedIn Outreach'!$B$5:$B$1203,$A10,'LinkedIn Outreach'!$AC$5:$AC$1203,"7 Certification / Enterprise opportunity"))/5)*20,1))</f>
        <v/>
      </c>
      <c r="G10" s="45" t="str">
        <f aca="false">IF($A10="","",ROUND(MIN(1,COUNTIFS('LinkedIn Outreach'!$B$5:$B$1203,$A10,'LinkedIn Outreach'!$AC$5:$AC$1203,"7 Certification / Enterprise opportunity")/3)*10,1))</f>
        <v/>
      </c>
      <c r="H10" s="65" t="str">
        <f aca="false">IF($A10="","",MAX(0,5-'Team Scorecard'!O10*2.5))</f>
        <v/>
      </c>
      <c r="I10" s="66" t="str">
        <f aca="false">IF($A10="","",ROUND(SUM(B10:H10),1))</f>
        <v/>
      </c>
      <c r="J10" s="45" t="str">
        <f aca="false">IF($A10="","",IF(I10&gt;=80,"A - excellent",IF(I10&gt;=65,"B - solid",IF(I10&gt;=50,"C - needs coaching",IF(I10&gt;=30,"D - at risk","E - not working")))))</f>
        <v/>
      </c>
      <c r="K10" s="46" t="str">
        <f aca="false">IF($A10="","",IF('Team Scorecard'!B10=0,"No activity logged",IF('Team Scorecard'!D10&lt;20,"Too little data to score fairly yet","Enough data")))</f>
        <v/>
      </c>
      <c r="L10" s="67" t="str">
        <f aca="false">IF($A10="","",IF(H10&lt;5,"Compliance first: messages were sent over the 300-character limit.",IF(C10&lt;10,"Targeting: acceptance is well below benchmark. Fix who is being approached and the personal line.",IF(D10&lt;10,"Message quality: people accept but do not reply. Rewrite the opening message.",IF(F10&lt;10,"Conversion: replies are not turning into meetings. Work on the ask and the follow-through.",IF(B10&lt;8,"Lead quality: the prospects being researched score low on fit. Tighten the Sales Navigator filters.","Nothing structural - keep going and raise the volume gradually."))))))</f>
        <v/>
      </c>
    </row>
    <row r="11" customFormat="false" ht="33.75" hidden="false" customHeight="true" outlineLevel="0" collapsed="false">
      <c r="A11" s="64" t="str">
        <f aca="false">IF('START HERE'!$B$62="","",'START HERE'!$B$62)</f>
        <v/>
      </c>
      <c r="B11" s="45" t="str">
        <f aca="false">IF($A11="","",ROUND(IFERROR(AVERAGEIFS('LinkedIn Outreach'!$AA$5:$AA$1203,'LinkedIn Outreach'!$B$5:$B$1203,$A11,'LinkedIn Outreach'!$AA$5:$AA$1203,"&gt;0"),0)/100*15,1))</f>
        <v/>
      </c>
      <c r="C11" s="45" t="str">
        <f aca="false">IF($A11="","",ROUND(MIN(1,IFERROR('Team Scorecard'!F11/0.3,0))*20,1))</f>
        <v/>
      </c>
      <c r="D11" s="45" t="str">
        <f aca="false">IF($A11="","",ROUND(MIN(1,IFERROR('Team Scorecard'!I11/0.15,0))*20,1))</f>
        <v/>
      </c>
      <c r="E11" s="45" t="str">
        <f aca="false">IF($A11="","",ROUND(MIN(1,IFERROR('Team Scorecard'!H11/MAX(1,'Team Scorecard'!G11)/0.2,0))*10,1))</f>
        <v/>
      </c>
      <c r="F11" s="45" t="str">
        <f aca="false">IF($A11="","",ROUND(MIN(1,(COUNTIFS('LinkedIn Outreach'!$B$5:$B$1203,$A11,'LinkedIn Outreach'!$AC$5:$AC$1203,"6 Meeting / Application")+COUNTIFS('LinkedIn Outreach'!$B$5:$B$1203,$A11,'LinkedIn Outreach'!$AC$5:$AC$1203,"7 Certification / Enterprise opportunity"))/5)*20,1))</f>
        <v/>
      </c>
      <c r="G11" s="45" t="str">
        <f aca="false">IF($A11="","",ROUND(MIN(1,COUNTIFS('LinkedIn Outreach'!$B$5:$B$1203,$A11,'LinkedIn Outreach'!$AC$5:$AC$1203,"7 Certification / Enterprise opportunity")/3)*10,1))</f>
        <v/>
      </c>
      <c r="H11" s="65" t="str">
        <f aca="false">IF($A11="","",MAX(0,5-'Team Scorecard'!O11*2.5))</f>
        <v/>
      </c>
      <c r="I11" s="66" t="str">
        <f aca="false">IF($A11="","",ROUND(SUM(B11:H11),1))</f>
        <v/>
      </c>
      <c r="J11" s="45" t="str">
        <f aca="false">IF($A11="","",IF(I11&gt;=80,"A - excellent",IF(I11&gt;=65,"B - solid",IF(I11&gt;=50,"C - needs coaching",IF(I11&gt;=30,"D - at risk","E - not working")))))</f>
        <v/>
      </c>
      <c r="K11" s="46" t="str">
        <f aca="false">IF($A11="","",IF('Team Scorecard'!B11=0,"No activity logged",IF('Team Scorecard'!D11&lt;20,"Too little data to score fairly yet","Enough data")))</f>
        <v/>
      </c>
      <c r="L11" s="67" t="str">
        <f aca="false">IF($A11="","",IF(H11&lt;5,"Compliance first: messages were sent over the 300-character limit.",IF(C11&lt;10,"Targeting: acceptance is well below benchmark. Fix who is being approached and the personal line.",IF(D11&lt;10,"Message quality: people accept but do not reply. Rewrite the opening message.",IF(F11&lt;10,"Conversion: replies are not turning into meetings. Work on the ask and the follow-through.",IF(B11&lt;8,"Lead quality: the prospects being researched score low on fit. Tighten the Sales Navigator filters.","Nothing structural - keep going and raise the volume gradually."))))))</f>
        <v/>
      </c>
    </row>
    <row r="12" customFormat="false" ht="33.75" hidden="false" customHeight="true" outlineLevel="0" collapsed="false">
      <c r="A12" s="64" t="str">
        <f aca="false">IF('START HERE'!$B$63="","",'START HERE'!$B$63)</f>
        <v/>
      </c>
      <c r="B12" s="45" t="str">
        <f aca="false">IF($A12="","",ROUND(IFERROR(AVERAGEIFS('LinkedIn Outreach'!$AA$5:$AA$1203,'LinkedIn Outreach'!$B$5:$B$1203,$A12,'LinkedIn Outreach'!$AA$5:$AA$1203,"&gt;0"),0)/100*15,1))</f>
        <v/>
      </c>
      <c r="C12" s="45" t="str">
        <f aca="false">IF($A12="","",ROUND(MIN(1,IFERROR('Team Scorecard'!F12/0.3,0))*20,1))</f>
        <v/>
      </c>
      <c r="D12" s="45" t="str">
        <f aca="false">IF($A12="","",ROUND(MIN(1,IFERROR('Team Scorecard'!I12/0.15,0))*20,1))</f>
        <v/>
      </c>
      <c r="E12" s="45" t="str">
        <f aca="false">IF($A12="","",ROUND(MIN(1,IFERROR('Team Scorecard'!H12/MAX(1,'Team Scorecard'!G12)/0.2,0))*10,1))</f>
        <v/>
      </c>
      <c r="F12" s="45" t="str">
        <f aca="false">IF($A12="","",ROUND(MIN(1,(COUNTIFS('LinkedIn Outreach'!$B$5:$B$1203,$A12,'LinkedIn Outreach'!$AC$5:$AC$1203,"6 Meeting / Application")+COUNTIFS('LinkedIn Outreach'!$B$5:$B$1203,$A12,'LinkedIn Outreach'!$AC$5:$AC$1203,"7 Certification / Enterprise opportunity"))/5)*20,1))</f>
        <v/>
      </c>
      <c r="G12" s="45" t="str">
        <f aca="false">IF($A12="","",ROUND(MIN(1,COUNTIFS('LinkedIn Outreach'!$B$5:$B$1203,$A12,'LinkedIn Outreach'!$AC$5:$AC$1203,"7 Certification / Enterprise opportunity")/3)*10,1))</f>
        <v/>
      </c>
      <c r="H12" s="65" t="str">
        <f aca="false">IF($A12="","",MAX(0,5-'Team Scorecard'!O12*2.5))</f>
        <v/>
      </c>
      <c r="I12" s="66" t="str">
        <f aca="false">IF($A12="","",ROUND(SUM(B12:H12),1))</f>
        <v/>
      </c>
      <c r="J12" s="45" t="str">
        <f aca="false">IF($A12="","",IF(I12&gt;=80,"A - excellent",IF(I12&gt;=65,"B - solid",IF(I12&gt;=50,"C - needs coaching",IF(I12&gt;=30,"D - at risk","E - not working")))))</f>
        <v/>
      </c>
      <c r="K12" s="46" t="str">
        <f aca="false">IF($A12="","",IF('Team Scorecard'!B12=0,"No activity logged",IF('Team Scorecard'!D12&lt;20,"Too little data to score fairly yet","Enough data")))</f>
        <v/>
      </c>
      <c r="L12" s="67" t="str">
        <f aca="false">IF($A12="","",IF(H12&lt;5,"Compliance first: messages were sent over the 300-character limit.",IF(C12&lt;10,"Targeting: acceptance is well below benchmark. Fix who is being approached and the personal line.",IF(D12&lt;10,"Message quality: people accept but do not reply. Rewrite the opening message.",IF(F12&lt;10,"Conversion: replies are not turning into meetings. Work on the ask and the follow-through.",IF(B12&lt;8,"Lead quality: the prospects being researched score low on fit. Tighten the Sales Navigator filters.","Nothing structural - keep going and raise the volume gradually."))))))</f>
        <v/>
      </c>
    </row>
    <row r="13" customFormat="false" ht="33.75" hidden="false" customHeight="true" outlineLevel="0" collapsed="false">
      <c r="A13" s="64" t="str">
        <f aca="false">IF('START HERE'!$B$64="","",'START HERE'!$B$64)</f>
        <v/>
      </c>
      <c r="B13" s="45" t="str">
        <f aca="false">IF($A13="","",ROUND(IFERROR(AVERAGEIFS('LinkedIn Outreach'!$AA$5:$AA$1203,'LinkedIn Outreach'!$B$5:$B$1203,$A13,'LinkedIn Outreach'!$AA$5:$AA$1203,"&gt;0"),0)/100*15,1))</f>
        <v/>
      </c>
      <c r="C13" s="45" t="str">
        <f aca="false">IF($A13="","",ROUND(MIN(1,IFERROR('Team Scorecard'!F13/0.3,0))*20,1))</f>
        <v/>
      </c>
      <c r="D13" s="45" t="str">
        <f aca="false">IF($A13="","",ROUND(MIN(1,IFERROR('Team Scorecard'!I13/0.15,0))*20,1))</f>
        <v/>
      </c>
      <c r="E13" s="45" t="str">
        <f aca="false">IF($A13="","",ROUND(MIN(1,IFERROR('Team Scorecard'!H13/MAX(1,'Team Scorecard'!G13)/0.2,0))*10,1))</f>
        <v/>
      </c>
      <c r="F13" s="45" t="str">
        <f aca="false">IF($A13="","",ROUND(MIN(1,(COUNTIFS('LinkedIn Outreach'!$B$5:$B$1203,$A13,'LinkedIn Outreach'!$AC$5:$AC$1203,"6 Meeting / Application")+COUNTIFS('LinkedIn Outreach'!$B$5:$B$1203,$A13,'LinkedIn Outreach'!$AC$5:$AC$1203,"7 Certification / Enterprise opportunity"))/5)*20,1))</f>
        <v/>
      </c>
      <c r="G13" s="45" t="str">
        <f aca="false">IF($A13="","",ROUND(MIN(1,COUNTIFS('LinkedIn Outreach'!$B$5:$B$1203,$A13,'LinkedIn Outreach'!$AC$5:$AC$1203,"7 Certification / Enterprise opportunity")/3)*10,1))</f>
        <v/>
      </c>
      <c r="H13" s="65" t="str">
        <f aca="false">IF($A13="","",MAX(0,5-'Team Scorecard'!O13*2.5))</f>
        <v/>
      </c>
      <c r="I13" s="66" t="str">
        <f aca="false">IF($A13="","",ROUND(SUM(B13:H13),1))</f>
        <v/>
      </c>
      <c r="J13" s="45" t="str">
        <f aca="false">IF($A13="","",IF(I13&gt;=80,"A - excellent",IF(I13&gt;=65,"B - solid",IF(I13&gt;=50,"C - needs coaching",IF(I13&gt;=30,"D - at risk","E - not working")))))</f>
        <v/>
      </c>
      <c r="K13" s="46" t="str">
        <f aca="false">IF($A13="","",IF('Team Scorecard'!B13=0,"No activity logged",IF('Team Scorecard'!D13&lt;20,"Too little data to score fairly yet","Enough data")))</f>
        <v/>
      </c>
      <c r="L13" s="67" t="str">
        <f aca="false">IF($A13="","",IF(H13&lt;5,"Compliance first: messages were sent over the 300-character limit.",IF(C13&lt;10,"Targeting: acceptance is well below benchmark. Fix who is being approached and the personal line.",IF(D13&lt;10,"Message quality: people accept but do not reply. Rewrite the opening message.",IF(F13&lt;10,"Conversion: replies are not turning into meetings. Work on the ask and the follow-through.",IF(B13&lt;8,"Lead quality: the prospects being researched score low on fit. Tighten the Sales Navigator filters.","Nothing structural - keep going and raise the volume gradually."))))))</f>
        <v/>
      </c>
    </row>
    <row r="15" customFormat="false" ht="55.5" hidden="false" customHeight="true" outlineLevel="0" collapsed="false">
      <c r="A15" s="68" t="s">
        <v>363</v>
      </c>
      <c r="B15" s="68"/>
      <c r="C15" s="68"/>
      <c r="D15" s="68"/>
      <c r="E15" s="68"/>
      <c r="F15" s="68"/>
      <c r="G15" s="68"/>
      <c r="H15" s="68"/>
      <c r="I15" s="68"/>
      <c r="J15" s="68"/>
      <c r="K15" s="68"/>
      <c r="L15" s="68"/>
    </row>
  </sheetData>
  <mergeCells count="3">
    <mergeCell ref="A1:L1"/>
    <mergeCell ref="A2:L2"/>
    <mergeCell ref="A15:L15"/>
  </mergeCells>
  <conditionalFormatting sqref="I4:I13">
    <cfRule type="colorScale" priority="2">
      <colorScale>
        <cfvo type="num" val="0"/>
        <cfvo type="num" val="55"/>
        <cfvo type="num" val="85"/>
        <color rgb="FFF8CBAD"/>
        <color rgb="FFFFE699"/>
        <color rgb="FFC6EFCE"/>
      </colorScale>
    </cfRule>
  </conditionalFormatting>
  <conditionalFormatting sqref="H4:H13">
    <cfRule type="cellIs" priority="3" operator="lessThan" aboveAverage="0" equalAverage="0" bottom="0" percent="0" rank="0" text="" dxfId="6">
      <formula>5</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3864"/>
    <pageSetUpPr fitToPage="true"/>
  </sheetPr>
  <dimension ref="A1:V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9"/>
    <col collapsed="false" customWidth="true" hidden="false" outlineLevel="0" max="4" min="3" style="1" width="11"/>
    <col collapsed="false" customWidth="true" hidden="false" outlineLevel="0" max="5" min="5" style="1" width="10"/>
    <col collapsed="false" customWidth="true" hidden="false" outlineLevel="0" max="6" min="6" style="1" width="11"/>
    <col collapsed="false" customWidth="true" hidden="false" outlineLevel="0" max="11" min="7" style="1" width="10"/>
    <col collapsed="false" customWidth="true" hidden="false" outlineLevel="0" max="12" min="12" style="1" width="11"/>
    <col collapsed="false" customWidth="true" hidden="false" outlineLevel="0" max="13" min="13" style="1" width="12"/>
    <col collapsed="false" customWidth="true" hidden="false" outlineLevel="0" max="15" min="14" style="1" width="11"/>
    <col collapsed="false" customWidth="true" hidden="false" outlineLevel="0" max="16" min="16" style="1" width="10"/>
    <col collapsed="false" customWidth="true" hidden="false" outlineLevel="0" max="17" min="17" style="1" width="46"/>
    <col collapsed="false" customWidth="true" hidden="false" outlineLevel="0" max="22" min="18" style="1" width="12"/>
  </cols>
  <sheetData>
    <row r="1" customFormat="false" ht="25.5" hidden="false" customHeight="true" outlineLevel="0" collapsed="false">
      <c r="A1" s="2" t="s">
        <v>364</v>
      </c>
      <c r="B1" s="2"/>
      <c r="C1" s="2"/>
      <c r="D1" s="2"/>
      <c r="E1" s="2"/>
      <c r="F1" s="2"/>
      <c r="G1" s="2"/>
      <c r="H1" s="2"/>
      <c r="I1" s="2"/>
      <c r="J1" s="2"/>
      <c r="K1" s="2"/>
      <c r="L1" s="2"/>
      <c r="M1" s="2"/>
      <c r="N1" s="2"/>
      <c r="O1" s="2"/>
      <c r="P1" s="2"/>
      <c r="Q1" s="2"/>
    </row>
    <row r="2" customFormat="false" ht="18" hidden="false" customHeight="true" outlineLevel="0" collapsed="false">
      <c r="A2" s="3" t="s">
        <v>365</v>
      </c>
      <c r="B2" s="3"/>
      <c r="C2" s="3"/>
      <c r="D2" s="3"/>
      <c r="E2" s="3"/>
      <c r="F2" s="3"/>
      <c r="G2" s="3"/>
      <c r="H2" s="3"/>
      <c r="I2" s="3"/>
      <c r="J2" s="3"/>
      <c r="K2" s="3"/>
      <c r="L2" s="3"/>
      <c r="M2" s="3"/>
      <c r="N2" s="3"/>
      <c r="O2" s="3"/>
      <c r="P2" s="3"/>
      <c r="Q2" s="3"/>
    </row>
    <row r="3" customFormat="false" ht="48" hidden="false" customHeight="true" outlineLevel="0" collapsed="false">
      <c r="A3" s="31" t="s">
        <v>140</v>
      </c>
      <c r="B3" s="31" t="s">
        <v>366</v>
      </c>
      <c r="C3" s="31" t="s">
        <v>367</v>
      </c>
      <c r="D3" s="31" t="s">
        <v>368</v>
      </c>
      <c r="E3" s="31" t="s">
        <v>369</v>
      </c>
      <c r="F3" s="31" t="s">
        <v>370</v>
      </c>
      <c r="G3" s="31" t="s">
        <v>371</v>
      </c>
      <c r="H3" s="31" t="s">
        <v>372</v>
      </c>
      <c r="I3" s="31" t="s">
        <v>373</v>
      </c>
      <c r="J3" s="31" t="s">
        <v>374</v>
      </c>
      <c r="K3" s="31" t="s">
        <v>293</v>
      </c>
      <c r="L3" s="31" t="s">
        <v>375</v>
      </c>
      <c r="M3" s="31" t="s">
        <v>376</v>
      </c>
      <c r="N3" s="31" t="s">
        <v>377</v>
      </c>
      <c r="O3" s="31" t="s">
        <v>378</v>
      </c>
      <c r="P3" s="31" t="s">
        <v>379</v>
      </c>
      <c r="Q3" s="31" t="s">
        <v>380</v>
      </c>
      <c r="R3" s="31" t="s">
        <v>381</v>
      </c>
      <c r="S3" s="31" t="s">
        <v>382</v>
      </c>
      <c r="T3" s="31" t="s">
        <v>383</v>
      </c>
      <c r="U3" s="31" t="s">
        <v>384</v>
      </c>
      <c r="V3" s="31" t="s">
        <v>300</v>
      </c>
    </row>
    <row r="4" customFormat="false" ht="33.75" hidden="false" customHeight="true" outlineLevel="0" collapsed="false">
      <c r="A4" s="64" t="str">
        <f aca="false">IF('START HERE'!$B$55="","",'START HERE'!$B$55)</f>
        <v>Employee 1</v>
      </c>
      <c r="B4" s="69" t="n">
        <f aca="false">IF($A4="","",IFERROR(SUMPRODUCT(('DAILY ENTRY'!$B$7:$B$1203=$A4)*('DAILY ENTRY'!$A$7:$A$1203&lt;&gt;"")/COUNTIFS('DAILY ENTRY'!$A$7:$A$1203,'DAILY ENTRY'!$A$7:$A$1203&amp;"",'DAILY ENTRY'!$B$7:$B$1203,'DAILY ENTRY'!$B$7:$B$1203&amp;"")),0))</f>
        <v>0</v>
      </c>
      <c r="C4" s="69" t="n">
        <f aca="false">IF($A4="","",SUMIFS('DAILY ENTRY'!$F$7:$F$1203,'DAILY ENTRY'!$D$7:$D$1203,"Lead researched (Sales Navigator)",'DAILY ENTRY'!$B$7:$B$1203,$A4))</f>
        <v>0</v>
      </c>
      <c r="D4" s="69" t="n">
        <f aca="false">IF($A4="","",COUNTIFS('LinkedIn Outreach'!$B$5:$B$1203,$A4,'LinkedIn Outreach'!$M$5:$M$1203,"Yes"))</f>
        <v>0</v>
      </c>
      <c r="E4" s="69" t="n">
        <f aca="false">IF($A4="","",COUNTIFS('LinkedIn Outreach'!$B$5:$B$1203,$A4,'LinkedIn Outreach'!$N$5:$N$1203,"Yes"))</f>
        <v>0</v>
      </c>
      <c r="F4" s="70" t="str">
        <f aca="false">IF($A4="","",IFERROR(E4/D4,""))</f>
        <v/>
      </c>
      <c r="G4" s="69" t="n">
        <f aca="false">IF($A4="","",COUNTIFS('LinkedIn Outreach'!$B$5:$B$1203,$A4,'LinkedIn Outreach'!$R$5:$R$1203,"Yes"))</f>
        <v>0</v>
      </c>
      <c r="H4" s="69" t="n">
        <f aca="false">IF($A4="","",COUNTIFS('LinkedIn Outreach'!$B$5:$B$1203,$A4,'LinkedIn Outreach'!$S$5:$S$1203,"Interested")+COUNTIFS('LinkedIn Outreach'!$B$5:$B$1203,$A4,'LinkedIn Outreach'!$S$5:$S$1203,"Info Requested")+COUNTIFS('LinkedIn Outreach'!$B$5:$B$1203,$A4,'LinkedIn Outreach'!$S$5:$S$1203,"Meeting Booked")+COUNTIFS('LinkedIn Outreach'!$B$5:$B$1203,$A4,'LinkedIn Outreach'!$S$5:$S$1203,"Converted"))</f>
        <v>0</v>
      </c>
      <c r="I4" s="70" t="str">
        <f aca="false">IF($A4="","",IFERROR(H4/G4,""))</f>
        <v/>
      </c>
      <c r="J4" s="69" t="n">
        <f aca="false">IF($A4="","",COUNTIFS('LinkedIn Outreach'!$B$5:$B$1203,$A4,'LinkedIn Outreach'!$S$5:$S$1203,"Meeting Booked"))</f>
        <v>0</v>
      </c>
      <c r="K4" s="69" t="n">
        <f aca="false">IF($A4="","",SUMIFS('DAILY ENTRY'!$F$7:$F$1203,'DAILY ENTRY'!$D$7:$D$1203,"Post / content published",'DAILY ENTRY'!$B$7:$B$1203,$A4))</f>
        <v>0</v>
      </c>
      <c r="L4" s="69" t="n">
        <f aca="false">IF($A4="","",SUMIFS('DAILY ENTRY'!$F$7:$F$1203,'DAILY ENTRY'!$D$7:$D$1203,"Community answer or comment",'DAILY ENTRY'!$B$7:$B$1203,$A4))</f>
        <v>0</v>
      </c>
      <c r="M4" s="69" t="n">
        <f aca="false">IF($A4="","",SUMIFS('DAILY ENTRY'!$F$7:$F$1203,'DAILY ENTRY'!$D$7:$D$1203,"Partnership / PR contact",'DAILY ENTRY'!$B$7:$B$1203,$A4))</f>
        <v>0</v>
      </c>
      <c r="N4" s="69" t="n">
        <f aca="false">IF($A4="","",SUMIFS('DAILY ENTRY'!$F$7:$F$1203,'DAILY ENTRY'!$D$7:$D$1203,"Engagement (commented on someone else)",'DAILY ENTRY'!$B$7:$B$1203,$A4))</f>
        <v>0</v>
      </c>
      <c r="O4" s="69" t="n">
        <f aca="false">IF($A4="","",COUNTIFS('LinkedIn Outreach'!$B$5:$B$1203,$A4,'LinkedIn Outreach'!$Q$5:$Q$1203,"&gt;300"))</f>
        <v>0</v>
      </c>
      <c r="P4" s="69" t="n">
        <f aca="false">IF($A4="","",COUNTIFS('DAILY ENTRY'!$B$7:$B$1203,$A4,'DAILY ENTRY'!$I$7:$I$1203,"Blocked"))</f>
        <v>0</v>
      </c>
      <c r="Q4" s="67" t="str">
        <f aca="false">IF($A4="","",IF(AND(B4=0,D4=0),"No activity logged yet",IF(O4&gt;0,"BREACH: sent messages over the 300-character limit - review the message text",IF(AND(D4&gt;=20,F4&lt;0.2),"Acceptance below 20% - fix targeting or the connection note before sending more",IF(AND(G4&gt;=20,I4&lt;0.1),"Reply rate below the 10% average - the message needs rewriting, not more volume",IF(AND(F4&gt;=0.3,I4&gt;=0.15),"Strong: both acceptance and reply rate are above benchmark",IF(AND(B4&gt;0,D4=0),"Logging daily work but no LinkedIn outreach recorded","Within normal range - compare against the Benchmarks tab")))))))</f>
        <v>No activity logged yet</v>
      </c>
      <c r="R4" s="69" t="n">
        <f aca="false">IF($A4="","",COUNTIF('Master Tasks'!$I$4:$I$66,$A4))</f>
        <v>0</v>
      </c>
      <c r="S4" s="69" t="n">
        <f aca="false">IF($A4="","",COUNTIFS('Master Tasks'!$I$4:$I$66,$A4,'Master Tasks'!$J$4:$J$66,"Complete"))</f>
        <v>0</v>
      </c>
      <c r="T4" s="71" t="str">
        <f aca="false">IF($A4="","",IFERROR(S4/R4,""))</f>
        <v/>
      </c>
      <c r="U4" s="69" t="n">
        <f aca="false">IF($A4="","",COUNTIFS('Platform Setup'!$M$4:$M$49,$A4,'Platform Setup'!$J$4:$J$49,"Complete"))</f>
        <v>0</v>
      </c>
      <c r="V4" s="69" t="n">
        <f aca="false">IF($A4="","",COUNTIFS('Content Calendar'!$B$5:$B$403,$A4,'Content Calendar'!$J$5:$J$403,"Published")+COUNTIFS('Content Calendar'!$B$5:$B$403,$A4,'Content Calendar'!$J$5:$J$403,"Repurposed"))</f>
        <v>0</v>
      </c>
    </row>
    <row r="5" customFormat="false" ht="33.75" hidden="false" customHeight="true" outlineLevel="0" collapsed="false">
      <c r="A5" s="64" t="str">
        <f aca="false">IF('START HERE'!$B$56="","",'START HERE'!$B$56)</f>
        <v/>
      </c>
      <c r="B5" s="69" t="str">
        <f aca="false">IF($A5="","",IFERROR(SUMPRODUCT(('DAILY ENTRY'!$B$7:$B$1203=$A5)*('DAILY ENTRY'!$A$7:$A$1203&lt;&gt;"")/COUNTIFS('DAILY ENTRY'!$A$7:$A$1203,'DAILY ENTRY'!$A$7:$A$1203&amp;"",'DAILY ENTRY'!$B$7:$B$1203,'DAILY ENTRY'!$B$7:$B$1203&amp;"")),0))</f>
        <v/>
      </c>
      <c r="C5" s="69" t="str">
        <f aca="false">IF($A5="","",SUMIFS('DAILY ENTRY'!$F$7:$F$1203,'DAILY ENTRY'!$D$7:$D$1203,"Lead researched (Sales Navigator)",'DAILY ENTRY'!$B$7:$B$1203,$A5))</f>
        <v/>
      </c>
      <c r="D5" s="69" t="str">
        <f aca="false">IF($A5="","",COUNTIFS('LinkedIn Outreach'!$B$5:$B$1203,$A5,'LinkedIn Outreach'!$M$5:$M$1203,"Yes"))</f>
        <v/>
      </c>
      <c r="E5" s="69" t="str">
        <f aca="false">IF($A5="","",COUNTIFS('LinkedIn Outreach'!$B$5:$B$1203,$A5,'LinkedIn Outreach'!$N$5:$N$1203,"Yes"))</f>
        <v/>
      </c>
      <c r="F5" s="70" t="str">
        <f aca="false">IF($A5="","",IFERROR(E5/D5,""))</f>
        <v/>
      </c>
      <c r="G5" s="69" t="str">
        <f aca="false">IF($A5="","",COUNTIFS('LinkedIn Outreach'!$B$5:$B$1203,$A5,'LinkedIn Outreach'!$R$5:$R$1203,"Yes"))</f>
        <v/>
      </c>
      <c r="H5" s="69" t="str">
        <f aca="false">IF($A5="","",COUNTIFS('LinkedIn Outreach'!$B$5:$B$1203,$A5,'LinkedIn Outreach'!$S$5:$S$1203,"Interested")+COUNTIFS('LinkedIn Outreach'!$B$5:$B$1203,$A5,'LinkedIn Outreach'!$S$5:$S$1203,"Info Requested")+COUNTIFS('LinkedIn Outreach'!$B$5:$B$1203,$A5,'LinkedIn Outreach'!$S$5:$S$1203,"Meeting Booked")+COUNTIFS('LinkedIn Outreach'!$B$5:$B$1203,$A5,'LinkedIn Outreach'!$S$5:$S$1203,"Converted"))</f>
        <v/>
      </c>
      <c r="I5" s="70" t="str">
        <f aca="false">IF($A5="","",IFERROR(H5/G5,""))</f>
        <v/>
      </c>
      <c r="J5" s="69" t="str">
        <f aca="false">IF($A5="","",COUNTIFS('LinkedIn Outreach'!$B$5:$B$1203,$A5,'LinkedIn Outreach'!$S$5:$S$1203,"Meeting Booked"))</f>
        <v/>
      </c>
      <c r="K5" s="69" t="str">
        <f aca="false">IF($A5="","",SUMIFS('DAILY ENTRY'!$F$7:$F$1203,'DAILY ENTRY'!$D$7:$D$1203,"Post / content published",'DAILY ENTRY'!$B$7:$B$1203,$A5))</f>
        <v/>
      </c>
      <c r="L5" s="69" t="str">
        <f aca="false">IF($A5="","",SUMIFS('DAILY ENTRY'!$F$7:$F$1203,'DAILY ENTRY'!$D$7:$D$1203,"Community answer or comment",'DAILY ENTRY'!$B$7:$B$1203,$A5))</f>
        <v/>
      </c>
      <c r="M5" s="69" t="str">
        <f aca="false">IF($A5="","",SUMIFS('DAILY ENTRY'!$F$7:$F$1203,'DAILY ENTRY'!$D$7:$D$1203,"Partnership / PR contact",'DAILY ENTRY'!$B$7:$B$1203,$A5))</f>
        <v/>
      </c>
      <c r="N5" s="69" t="str">
        <f aca="false">IF($A5="","",SUMIFS('DAILY ENTRY'!$F$7:$F$1203,'DAILY ENTRY'!$D$7:$D$1203,"Engagement (commented on someone else)",'DAILY ENTRY'!$B$7:$B$1203,$A5))</f>
        <v/>
      </c>
      <c r="O5" s="69" t="str">
        <f aca="false">IF($A5="","",COUNTIFS('LinkedIn Outreach'!$B$5:$B$1203,$A5,'LinkedIn Outreach'!$Q$5:$Q$1203,"&gt;300"))</f>
        <v/>
      </c>
      <c r="P5" s="69" t="str">
        <f aca="false">IF($A5="","",COUNTIFS('DAILY ENTRY'!$B$7:$B$1203,$A5,'DAILY ENTRY'!$I$7:$I$1203,"Blocked"))</f>
        <v/>
      </c>
      <c r="Q5" s="67" t="str">
        <f aca="false">IF($A5="","",IF(AND(B5=0,D5=0),"No activity logged yet",IF(O5&gt;0,"BREACH: sent messages over the 300-character limit - review the message text",IF(AND(D5&gt;=20,F5&lt;0.2),"Acceptance below 20% - fix targeting or the connection note before sending more",IF(AND(G5&gt;=20,I5&lt;0.1),"Reply rate below the 10% average - the message needs rewriting, not more volume",IF(AND(F5&gt;=0.3,I5&gt;=0.15),"Strong: both acceptance and reply rate are above benchmark",IF(AND(B5&gt;0,D5=0),"Logging daily work but no LinkedIn outreach recorded","Within normal range - compare against the Benchmarks tab")))))))</f>
        <v/>
      </c>
      <c r="R5" s="69" t="str">
        <f aca="false">IF($A5="","",COUNTIF('Master Tasks'!$I$4:$I$66,$A5))</f>
        <v/>
      </c>
      <c r="S5" s="69" t="str">
        <f aca="false">IF($A5="","",COUNTIFS('Master Tasks'!$I$4:$I$66,$A5,'Master Tasks'!$J$4:$J$66,"Complete"))</f>
        <v/>
      </c>
      <c r="T5" s="71" t="str">
        <f aca="false">IF($A5="","",IFERROR(S5/R5,""))</f>
        <v/>
      </c>
      <c r="U5" s="69" t="str">
        <f aca="false">IF($A5="","",COUNTIFS('Platform Setup'!$M$4:$M$49,$A5,'Platform Setup'!$J$4:$J$49,"Complete"))</f>
        <v/>
      </c>
      <c r="V5" s="69" t="str">
        <f aca="false">IF($A5="","",COUNTIFS('Content Calendar'!$B$5:$B$403,$A5,'Content Calendar'!$J$5:$J$403,"Published")+COUNTIFS('Content Calendar'!$B$5:$B$403,$A5,'Content Calendar'!$J$5:$J$403,"Repurposed"))</f>
        <v/>
      </c>
    </row>
    <row r="6" customFormat="false" ht="33.75" hidden="false" customHeight="true" outlineLevel="0" collapsed="false">
      <c r="A6" s="64" t="str">
        <f aca="false">IF('START HERE'!$B$57="","",'START HERE'!$B$57)</f>
        <v/>
      </c>
      <c r="B6" s="69" t="str">
        <f aca="false">IF($A6="","",IFERROR(SUMPRODUCT(('DAILY ENTRY'!$B$7:$B$1203=$A6)*('DAILY ENTRY'!$A$7:$A$1203&lt;&gt;"")/COUNTIFS('DAILY ENTRY'!$A$7:$A$1203,'DAILY ENTRY'!$A$7:$A$1203&amp;"",'DAILY ENTRY'!$B$7:$B$1203,'DAILY ENTRY'!$B$7:$B$1203&amp;"")),0))</f>
        <v/>
      </c>
      <c r="C6" s="69" t="str">
        <f aca="false">IF($A6="","",SUMIFS('DAILY ENTRY'!$F$7:$F$1203,'DAILY ENTRY'!$D$7:$D$1203,"Lead researched (Sales Navigator)",'DAILY ENTRY'!$B$7:$B$1203,$A6))</f>
        <v/>
      </c>
      <c r="D6" s="69" t="str">
        <f aca="false">IF($A6="","",COUNTIFS('LinkedIn Outreach'!$B$5:$B$1203,$A6,'LinkedIn Outreach'!$M$5:$M$1203,"Yes"))</f>
        <v/>
      </c>
      <c r="E6" s="69" t="str">
        <f aca="false">IF($A6="","",COUNTIFS('LinkedIn Outreach'!$B$5:$B$1203,$A6,'LinkedIn Outreach'!$N$5:$N$1203,"Yes"))</f>
        <v/>
      </c>
      <c r="F6" s="70" t="str">
        <f aca="false">IF($A6="","",IFERROR(E6/D6,""))</f>
        <v/>
      </c>
      <c r="G6" s="69" t="str">
        <f aca="false">IF($A6="","",COUNTIFS('LinkedIn Outreach'!$B$5:$B$1203,$A6,'LinkedIn Outreach'!$R$5:$R$1203,"Yes"))</f>
        <v/>
      </c>
      <c r="H6" s="69" t="str">
        <f aca="false">IF($A6="","",COUNTIFS('LinkedIn Outreach'!$B$5:$B$1203,$A6,'LinkedIn Outreach'!$S$5:$S$1203,"Interested")+COUNTIFS('LinkedIn Outreach'!$B$5:$B$1203,$A6,'LinkedIn Outreach'!$S$5:$S$1203,"Info Requested")+COUNTIFS('LinkedIn Outreach'!$B$5:$B$1203,$A6,'LinkedIn Outreach'!$S$5:$S$1203,"Meeting Booked")+COUNTIFS('LinkedIn Outreach'!$B$5:$B$1203,$A6,'LinkedIn Outreach'!$S$5:$S$1203,"Converted"))</f>
        <v/>
      </c>
      <c r="I6" s="70" t="str">
        <f aca="false">IF($A6="","",IFERROR(H6/G6,""))</f>
        <v/>
      </c>
      <c r="J6" s="69" t="str">
        <f aca="false">IF($A6="","",COUNTIFS('LinkedIn Outreach'!$B$5:$B$1203,$A6,'LinkedIn Outreach'!$S$5:$S$1203,"Meeting Booked"))</f>
        <v/>
      </c>
      <c r="K6" s="69" t="str">
        <f aca="false">IF($A6="","",SUMIFS('DAILY ENTRY'!$F$7:$F$1203,'DAILY ENTRY'!$D$7:$D$1203,"Post / content published",'DAILY ENTRY'!$B$7:$B$1203,$A6))</f>
        <v/>
      </c>
      <c r="L6" s="69" t="str">
        <f aca="false">IF($A6="","",SUMIFS('DAILY ENTRY'!$F$7:$F$1203,'DAILY ENTRY'!$D$7:$D$1203,"Community answer or comment",'DAILY ENTRY'!$B$7:$B$1203,$A6))</f>
        <v/>
      </c>
      <c r="M6" s="69" t="str">
        <f aca="false">IF($A6="","",SUMIFS('DAILY ENTRY'!$F$7:$F$1203,'DAILY ENTRY'!$D$7:$D$1203,"Partnership / PR contact",'DAILY ENTRY'!$B$7:$B$1203,$A6))</f>
        <v/>
      </c>
      <c r="N6" s="69" t="str">
        <f aca="false">IF($A6="","",SUMIFS('DAILY ENTRY'!$F$7:$F$1203,'DAILY ENTRY'!$D$7:$D$1203,"Engagement (commented on someone else)",'DAILY ENTRY'!$B$7:$B$1203,$A6))</f>
        <v/>
      </c>
      <c r="O6" s="69" t="str">
        <f aca="false">IF($A6="","",COUNTIFS('LinkedIn Outreach'!$B$5:$B$1203,$A6,'LinkedIn Outreach'!$Q$5:$Q$1203,"&gt;300"))</f>
        <v/>
      </c>
      <c r="P6" s="69" t="str">
        <f aca="false">IF($A6="","",COUNTIFS('DAILY ENTRY'!$B$7:$B$1203,$A6,'DAILY ENTRY'!$I$7:$I$1203,"Blocked"))</f>
        <v/>
      </c>
      <c r="Q6" s="67" t="str">
        <f aca="false">IF($A6="","",IF(AND(B6=0,D6=0),"No activity logged yet",IF(O6&gt;0,"BREACH: sent messages over the 300-character limit - review the message text",IF(AND(D6&gt;=20,F6&lt;0.2),"Acceptance below 20% - fix targeting or the connection note before sending more",IF(AND(G6&gt;=20,I6&lt;0.1),"Reply rate below the 10% average - the message needs rewriting, not more volume",IF(AND(F6&gt;=0.3,I6&gt;=0.15),"Strong: both acceptance and reply rate are above benchmark",IF(AND(B6&gt;0,D6=0),"Logging daily work but no LinkedIn outreach recorded","Within normal range - compare against the Benchmarks tab")))))))</f>
        <v/>
      </c>
      <c r="R6" s="69" t="str">
        <f aca="false">IF($A6="","",COUNTIF('Master Tasks'!$I$4:$I$66,$A6))</f>
        <v/>
      </c>
      <c r="S6" s="69" t="str">
        <f aca="false">IF($A6="","",COUNTIFS('Master Tasks'!$I$4:$I$66,$A6,'Master Tasks'!$J$4:$J$66,"Complete"))</f>
        <v/>
      </c>
      <c r="T6" s="71" t="str">
        <f aca="false">IF($A6="","",IFERROR(S6/R6,""))</f>
        <v/>
      </c>
      <c r="U6" s="69" t="str">
        <f aca="false">IF($A6="","",COUNTIFS('Platform Setup'!$M$4:$M$49,$A6,'Platform Setup'!$J$4:$J$49,"Complete"))</f>
        <v/>
      </c>
      <c r="V6" s="69" t="str">
        <f aca="false">IF($A6="","",COUNTIFS('Content Calendar'!$B$5:$B$403,$A6,'Content Calendar'!$J$5:$J$403,"Published")+COUNTIFS('Content Calendar'!$B$5:$B$403,$A6,'Content Calendar'!$J$5:$J$403,"Repurposed"))</f>
        <v/>
      </c>
    </row>
    <row r="7" customFormat="false" ht="33.75" hidden="false" customHeight="true" outlineLevel="0" collapsed="false">
      <c r="A7" s="64" t="str">
        <f aca="false">IF('START HERE'!$B$58="","",'START HERE'!$B$58)</f>
        <v/>
      </c>
      <c r="B7" s="69" t="str">
        <f aca="false">IF($A7="","",IFERROR(SUMPRODUCT(('DAILY ENTRY'!$B$7:$B$1203=$A7)*('DAILY ENTRY'!$A$7:$A$1203&lt;&gt;"")/COUNTIFS('DAILY ENTRY'!$A$7:$A$1203,'DAILY ENTRY'!$A$7:$A$1203&amp;"",'DAILY ENTRY'!$B$7:$B$1203,'DAILY ENTRY'!$B$7:$B$1203&amp;"")),0))</f>
        <v/>
      </c>
      <c r="C7" s="69" t="str">
        <f aca="false">IF($A7="","",SUMIFS('DAILY ENTRY'!$F$7:$F$1203,'DAILY ENTRY'!$D$7:$D$1203,"Lead researched (Sales Navigator)",'DAILY ENTRY'!$B$7:$B$1203,$A7))</f>
        <v/>
      </c>
      <c r="D7" s="69" t="str">
        <f aca="false">IF($A7="","",COUNTIFS('LinkedIn Outreach'!$B$5:$B$1203,$A7,'LinkedIn Outreach'!$M$5:$M$1203,"Yes"))</f>
        <v/>
      </c>
      <c r="E7" s="69" t="str">
        <f aca="false">IF($A7="","",COUNTIFS('LinkedIn Outreach'!$B$5:$B$1203,$A7,'LinkedIn Outreach'!$N$5:$N$1203,"Yes"))</f>
        <v/>
      </c>
      <c r="F7" s="70" t="str">
        <f aca="false">IF($A7="","",IFERROR(E7/D7,""))</f>
        <v/>
      </c>
      <c r="G7" s="69" t="str">
        <f aca="false">IF($A7="","",COUNTIFS('LinkedIn Outreach'!$B$5:$B$1203,$A7,'LinkedIn Outreach'!$R$5:$R$1203,"Yes"))</f>
        <v/>
      </c>
      <c r="H7" s="69" t="str">
        <f aca="false">IF($A7="","",COUNTIFS('LinkedIn Outreach'!$B$5:$B$1203,$A7,'LinkedIn Outreach'!$S$5:$S$1203,"Interested")+COUNTIFS('LinkedIn Outreach'!$B$5:$B$1203,$A7,'LinkedIn Outreach'!$S$5:$S$1203,"Info Requested")+COUNTIFS('LinkedIn Outreach'!$B$5:$B$1203,$A7,'LinkedIn Outreach'!$S$5:$S$1203,"Meeting Booked")+COUNTIFS('LinkedIn Outreach'!$B$5:$B$1203,$A7,'LinkedIn Outreach'!$S$5:$S$1203,"Converted"))</f>
        <v/>
      </c>
      <c r="I7" s="70" t="str">
        <f aca="false">IF($A7="","",IFERROR(H7/G7,""))</f>
        <v/>
      </c>
      <c r="J7" s="69" t="str">
        <f aca="false">IF($A7="","",COUNTIFS('LinkedIn Outreach'!$B$5:$B$1203,$A7,'LinkedIn Outreach'!$S$5:$S$1203,"Meeting Booked"))</f>
        <v/>
      </c>
      <c r="K7" s="69" t="str">
        <f aca="false">IF($A7="","",SUMIFS('DAILY ENTRY'!$F$7:$F$1203,'DAILY ENTRY'!$D$7:$D$1203,"Post / content published",'DAILY ENTRY'!$B$7:$B$1203,$A7))</f>
        <v/>
      </c>
      <c r="L7" s="69" t="str">
        <f aca="false">IF($A7="","",SUMIFS('DAILY ENTRY'!$F$7:$F$1203,'DAILY ENTRY'!$D$7:$D$1203,"Community answer or comment",'DAILY ENTRY'!$B$7:$B$1203,$A7))</f>
        <v/>
      </c>
      <c r="M7" s="69" t="str">
        <f aca="false">IF($A7="","",SUMIFS('DAILY ENTRY'!$F$7:$F$1203,'DAILY ENTRY'!$D$7:$D$1203,"Partnership / PR contact",'DAILY ENTRY'!$B$7:$B$1203,$A7))</f>
        <v/>
      </c>
      <c r="N7" s="69" t="str">
        <f aca="false">IF($A7="","",SUMIFS('DAILY ENTRY'!$F$7:$F$1203,'DAILY ENTRY'!$D$7:$D$1203,"Engagement (commented on someone else)",'DAILY ENTRY'!$B$7:$B$1203,$A7))</f>
        <v/>
      </c>
      <c r="O7" s="69" t="str">
        <f aca="false">IF($A7="","",COUNTIFS('LinkedIn Outreach'!$B$5:$B$1203,$A7,'LinkedIn Outreach'!$Q$5:$Q$1203,"&gt;300"))</f>
        <v/>
      </c>
      <c r="P7" s="69" t="str">
        <f aca="false">IF($A7="","",COUNTIFS('DAILY ENTRY'!$B$7:$B$1203,$A7,'DAILY ENTRY'!$I$7:$I$1203,"Blocked"))</f>
        <v/>
      </c>
      <c r="Q7" s="67" t="str">
        <f aca="false">IF($A7="","",IF(AND(B7=0,D7=0),"No activity logged yet",IF(O7&gt;0,"BREACH: sent messages over the 300-character limit - review the message text",IF(AND(D7&gt;=20,F7&lt;0.2),"Acceptance below 20% - fix targeting or the connection note before sending more",IF(AND(G7&gt;=20,I7&lt;0.1),"Reply rate below the 10% average - the message needs rewriting, not more volume",IF(AND(F7&gt;=0.3,I7&gt;=0.15),"Strong: both acceptance and reply rate are above benchmark",IF(AND(B7&gt;0,D7=0),"Logging daily work but no LinkedIn outreach recorded","Within normal range - compare against the Benchmarks tab")))))))</f>
        <v/>
      </c>
      <c r="R7" s="69" t="str">
        <f aca="false">IF($A7="","",COUNTIF('Master Tasks'!$I$4:$I$66,$A7))</f>
        <v/>
      </c>
      <c r="S7" s="69" t="str">
        <f aca="false">IF($A7="","",COUNTIFS('Master Tasks'!$I$4:$I$66,$A7,'Master Tasks'!$J$4:$J$66,"Complete"))</f>
        <v/>
      </c>
      <c r="T7" s="71" t="str">
        <f aca="false">IF($A7="","",IFERROR(S7/R7,""))</f>
        <v/>
      </c>
      <c r="U7" s="69" t="str">
        <f aca="false">IF($A7="","",COUNTIFS('Platform Setup'!$M$4:$M$49,$A7,'Platform Setup'!$J$4:$J$49,"Complete"))</f>
        <v/>
      </c>
      <c r="V7" s="69" t="str">
        <f aca="false">IF($A7="","",COUNTIFS('Content Calendar'!$B$5:$B$403,$A7,'Content Calendar'!$J$5:$J$403,"Published")+COUNTIFS('Content Calendar'!$B$5:$B$403,$A7,'Content Calendar'!$J$5:$J$403,"Repurposed"))</f>
        <v/>
      </c>
    </row>
    <row r="8" customFormat="false" ht="33.75" hidden="false" customHeight="true" outlineLevel="0" collapsed="false">
      <c r="A8" s="64" t="str">
        <f aca="false">IF('START HERE'!$B$59="","",'START HERE'!$B$59)</f>
        <v/>
      </c>
      <c r="B8" s="69" t="str">
        <f aca="false">IF($A8="","",IFERROR(SUMPRODUCT(('DAILY ENTRY'!$B$7:$B$1203=$A8)*('DAILY ENTRY'!$A$7:$A$1203&lt;&gt;"")/COUNTIFS('DAILY ENTRY'!$A$7:$A$1203,'DAILY ENTRY'!$A$7:$A$1203&amp;"",'DAILY ENTRY'!$B$7:$B$1203,'DAILY ENTRY'!$B$7:$B$1203&amp;"")),0))</f>
        <v/>
      </c>
      <c r="C8" s="69" t="str">
        <f aca="false">IF($A8="","",SUMIFS('DAILY ENTRY'!$F$7:$F$1203,'DAILY ENTRY'!$D$7:$D$1203,"Lead researched (Sales Navigator)",'DAILY ENTRY'!$B$7:$B$1203,$A8))</f>
        <v/>
      </c>
      <c r="D8" s="69" t="str">
        <f aca="false">IF($A8="","",COUNTIFS('LinkedIn Outreach'!$B$5:$B$1203,$A8,'LinkedIn Outreach'!$M$5:$M$1203,"Yes"))</f>
        <v/>
      </c>
      <c r="E8" s="69" t="str">
        <f aca="false">IF($A8="","",COUNTIFS('LinkedIn Outreach'!$B$5:$B$1203,$A8,'LinkedIn Outreach'!$N$5:$N$1203,"Yes"))</f>
        <v/>
      </c>
      <c r="F8" s="70" t="str">
        <f aca="false">IF($A8="","",IFERROR(E8/D8,""))</f>
        <v/>
      </c>
      <c r="G8" s="69" t="str">
        <f aca="false">IF($A8="","",COUNTIFS('LinkedIn Outreach'!$B$5:$B$1203,$A8,'LinkedIn Outreach'!$R$5:$R$1203,"Yes"))</f>
        <v/>
      </c>
      <c r="H8" s="69" t="str">
        <f aca="false">IF($A8="","",COUNTIFS('LinkedIn Outreach'!$B$5:$B$1203,$A8,'LinkedIn Outreach'!$S$5:$S$1203,"Interested")+COUNTIFS('LinkedIn Outreach'!$B$5:$B$1203,$A8,'LinkedIn Outreach'!$S$5:$S$1203,"Info Requested")+COUNTIFS('LinkedIn Outreach'!$B$5:$B$1203,$A8,'LinkedIn Outreach'!$S$5:$S$1203,"Meeting Booked")+COUNTIFS('LinkedIn Outreach'!$B$5:$B$1203,$A8,'LinkedIn Outreach'!$S$5:$S$1203,"Converted"))</f>
        <v/>
      </c>
      <c r="I8" s="70" t="str">
        <f aca="false">IF($A8="","",IFERROR(H8/G8,""))</f>
        <v/>
      </c>
      <c r="J8" s="69" t="str">
        <f aca="false">IF($A8="","",COUNTIFS('LinkedIn Outreach'!$B$5:$B$1203,$A8,'LinkedIn Outreach'!$S$5:$S$1203,"Meeting Booked"))</f>
        <v/>
      </c>
      <c r="K8" s="69" t="str">
        <f aca="false">IF($A8="","",SUMIFS('DAILY ENTRY'!$F$7:$F$1203,'DAILY ENTRY'!$D$7:$D$1203,"Post / content published",'DAILY ENTRY'!$B$7:$B$1203,$A8))</f>
        <v/>
      </c>
      <c r="L8" s="69" t="str">
        <f aca="false">IF($A8="","",SUMIFS('DAILY ENTRY'!$F$7:$F$1203,'DAILY ENTRY'!$D$7:$D$1203,"Community answer or comment",'DAILY ENTRY'!$B$7:$B$1203,$A8))</f>
        <v/>
      </c>
      <c r="M8" s="69" t="str">
        <f aca="false">IF($A8="","",SUMIFS('DAILY ENTRY'!$F$7:$F$1203,'DAILY ENTRY'!$D$7:$D$1203,"Partnership / PR contact",'DAILY ENTRY'!$B$7:$B$1203,$A8))</f>
        <v/>
      </c>
      <c r="N8" s="69" t="str">
        <f aca="false">IF($A8="","",SUMIFS('DAILY ENTRY'!$F$7:$F$1203,'DAILY ENTRY'!$D$7:$D$1203,"Engagement (commented on someone else)",'DAILY ENTRY'!$B$7:$B$1203,$A8))</f>
        <v/>
      </c>
      <c r="O8" s="69" t="str">
        <f aca="false">IF($A8="","",COUNTIFS('LinkedIn Outreach'!$B$5:$B$1203,$A8,'LinkedIn Outreach'!$Q$5:$Q$1203,"&gt;300"))</f>
        <v/>
      </c>
      <c r="P8" s="69" t="str">
        <f aca="false">IF($A8="","",COUNTIFS('DAILY ENTRY'!$B$7:$B$1203,$A8,'DAILY ENTRY'!$I$7:$I$1203,"Blocked"))</f>
        <v/>
      </c>
      <c r="Q8" s="67" t="str">
        <f aca="false">IF($A8="","",IF(AND(B8=0,D8=0),"No activity logged yet",IF(O8&gt;0,"BREACH: sent messages over the 300-character limit - review the message text",IF(AND(D8&gt;=20,F8&lt;0.2),"Acceptance below 20% - fix targeting or the connection note before sending more",IF(AND(G8&gt;=20,I8&lt;0.1),"Reply rate below the 10% average - the message needs rewriting, not more volume",IF(AND(F8&gt;=0.3,I8&gt;=0.15),"Strong: both acceptance and reply rate are above benchmark",IF(AND(B8&gt;0,D8=0),"Logging daily work but no LinkedIn outreach recorded","Within normal range - compare against the Benchmarks tab")))))))</f>
        <v/>
      </c>
      <c r="R8" s="69" t="str">
        <f aca="false">IF($A8="","",COUNTIF('Master Tasks'!$I$4:$I$66,$A8))</f>
        <v/>
      </c>
      <c r="S8" s="69" t="str">
        <f aca="false">IF($A8="","",COUNTIFS('Master Tasks'!$I$4:$I$66,$A8,'Master Tasks'!$J$4:$J$66,"Complete"))</f>
        <v/>
      </c>
      <c r="T8" s="71" t="str">
        <f aca="false">IF($A8="","",IFERROR(S8/R8,""))</f>
        <v/>
      </c>
      <c r="U8" s="69" t="str">
        <f aca="false">IF($A8="","",COUNTIFS('Platform Setup'!$M$4:$M$49,$A8,'Platform Setup'!$J$4:$J$49,"Complete"))</f>
        <v/>
      </c>
      <c r="V8" s="69" t="str">
        <f aca="false">IF($A8="","",COUNTIFS('Content Calendar'!$B$5:$B$403,$A8,'Content Calendar'!$J$5:$J$403,"Published")+COUNTIFS('Content Calendar'!$B$5:$B$403,$A8,'Content Calendar'!$J$5:$J$403,"Repurposed"))</f>
        <v/>
      </c>
    </row>
    <row r="9" customFormat="false" ht="33.75" hidden="false" customHeight="true" outlineLevel="0" collapsed="false">
      <c r="A9" s="64" t="str">
        <f aca="false">IF('START HERE'!$B$60="","",'START HERE'!$B$60)</f>
        <v/>
      </c>
      <c r="B9" s="69" t="str">
        <f aca="false">IF($A9="","",IFERROR(SUMPRODUCT(('DAILY ENTRY'!$B$7:$B$1203=$A9)*('DAILY ENTRY'!$A$7:$A$1203&lt;&gt;"")/COUNTIFS('DAILY ENTRY'!$A$7:$A$1203,'DAILY ENTRY'!$A$7:$A$1203&amp;"",'DAILY ENTRY'!$B$7:$B$1203,'DAILY ENTRY'!$B$7:$B$1203&amp;"")),0))</f>
        <v/>
      </c>
      <c r="C9" s="69" t="str">
        <f aca="false">IF($A9="","",SUMIFS('DAILY ENTRY'!$F$7:$F$1203,'DAILY ENTRY'!$D$7:$D$1203,"Lead researched (Sales Navigator)",'DAILY ENTRY'!$B$7:$B$1203,$A9))</f>
        <v/>
      </c>
      <c r="D9" s="69" t="str">
        <f aca="false">IF($A9="","",COUNTIFS('LinkedIn Outreach'!$B$5:$B$1203,$A9,'LinkedIn Outreach'!$M$5:$M$1203,"Yes"))</f>
        <v/>
      </c>
      <c r="E9" s="69" t="str">
        <f aca="false">IF($A9="","",COUNTIFS('LinkedIn Outreach'!$B$5:$B$1203,$A9,'LinkedIn Outreach'!$N$5:$N$1203,"Yes"))</f>
        <v/>
      </c>
      <c r="F9" s="70" t="str">
        <f aca="false">IF($A9="","",IFERROR(E9/D9,""))</f>
        <v/>
      </c>
      <c r="G9" s="69" t="str">
        <f aca="false">IF($A9="","",COUNTIFS('LinkedIn Outreach'!$B$5:$B$1203,$A9,'LinkedIn Outreach'!$R$5:$R$1203,"Yes"))</f>
        <v/>
      </c>
      <c r="H9" s="69" t="str">
        <f aca="false">IF($A9="","",COUNTIFS('LinkedIn Outreach'!$B$5:$B$1203,$A9,'LinkedIn Outreach'!$S$5:$S$1203,"Interested")+COUNTIFS('LinkedIn Outreach'!$B$5:$B$1203,$A9,'LinkedIn Outreach'!$S$5:$S$1203,"Info Requested")+COUNTIFS('LinkedIn Outreach'!$B$5:$B$1203,$A9,'LinkedIn Outreach'!$S$5:$S$1203,"Meeting Booked")+COUNTIFS('LinkedIn Outreach'!$B$5:$B$1203,$A9,'LinkedIn Outreach'!$S$5:$S$1203,"Converted"))</f>
        <v/>
      </c>
      <c r="I9" s="70" t="str">
        <f aca="false">IF($A9="","",IFERROR(H9/G9,""))</f>
        <v/>
      </c>
      <c r="J9" s="69" t="str">
        <f aca="false">IF($A9="","",COUNTIFS('LinkedIn Outreach'!$B$5:$B$1203,$A9,'LinkedIn Outreach'!$S$5:$S$1203,"Meeting Booked"))</f>
        <v/>
      </c>
      <c r="K9" s="69" t="str">
        <f aca="false">IF($A9="","",SUMIFS('DAILY ENTRY'!$F$7:$F$1203,'DAILY ENTRY'!$D$7:$D$1203,"Post / content published",'DAILY ENTRY'!$B$7:$B$1203,$A9))</f>
        <v/>
      </c>
      <c r="L9" s="69" t="str">
        <f aca="false">IF($A9="","",SUMIFS('DAILY ENTRY'!$F$7:$F$1203,'DAILY ENTRY'!$D$7:$D$1203,"Community answer or comment",'DAILY ENTRY'!$B$7:$B$1203,$A9))</f>
        <v/>
      </c>
      <c r="M9" s="69" t="str">
        <f aca="false">IF($A9="","",SUMIFS('DAILY ENTRY'!$F$7:$F$1203,'DAILY ENTRY'!$D$7:$D$1203,"Partnership / PR contact",'DAILY ENTRY'!$B$7:$B$1203,$A9))</f>
        <v/>
      </c>
      <c r="N9" s="69" t="str">
        <f aca="false">IF($A9="","",SUMIFS('DAILY ENTRY'!$F$7:$F$1203,'DAILY ENTRY'!$D$7:$D$1203,"Engagement (commented on someone else)",'DAILY ENTRY'!$B$7:$B$1203,$A9))</f>
        <v/>
      </c>
      <c r="O9" s="69" t="str">
        <f aca="false">IF($A9="","",COUNTIFS('LinkedIn Outreach'!$B$5:$B$1203,$A9,'LinkedIn Outreach'!$Q$5:$Q$1203,"&gt;300"))</f>
        <v/>
      </c>
      <c r="P9" s="69" t="str">
        <f aca="false">IF($A9="","",COUNTIFS('DAILY ENTRY'!$B$7:$B$1203,$A9,'DAILY ENTRY'!$I$7:$I$1203,"Blocked"))</f>
        <v/>
      </c>
      <c r="Q9" s="67" t="str">
        <f aca="false">IF($A9="","",IF(AND(B9=0,D9=0),"No activity logged yet",IF(O9&gt;0,"BREACH: sent messages over the 300-character limit - review the message text",IF(AND(D9&gt;=20,F9&lt;0.2),"Acceptance below 20% - fix targeting or the connection note before sending more",IF(AND(G9&gt;=20,I9&lt;0.1),"Reply rate below the 10% average - the message needs rewriting, not more volume",IF(AND(F9&gt;=0.3,I9&gt;=0.15),"Strong: both acceptance and reply rate are above benchmark",IF(AND(B9&gt;0,D9=0),"Logging daily work but no LinkedIn outreach recorded","Within normal range - compare against the Benchmarks tab")))))))</f>
        <v/>
      </c>
      <c r="R9" s="69" t="str">
        <f aca="false">IF($A9="","",COUNTIF('Master Tasks'!$I$4:$I$66,$A9))</f>
        <v/>
      </c>
      <c r="S9" s="69" t="str">
        <f aca="false">IF($A9="","",COUNTIFS('Master Tasks'!$I$4:$I$66,$A9,'Master Tasks'!$J$4:$J$66,"Complete"))</f>
        <v/>
      </c>
      <c r="T9" s="71" t="str">
        <f aca="false">IF($A9="","",IFERROR(S9/R9,""))</f>
        <v/>
      </c>
      <c r="U9" s="69" t="str">
        <f aca="false">IF($A9="","",COUNTIFS('Platform Setup'!$M$4:$M$49,$A9,'Platform Setup'!$J$4:$J$49,"Complete"))</f>
        <v/>
      </c>
      <c r="V9" s="69" t="str">
        <f aca="false">IF($A9="","",COUNTIFS('Content Calendar'!$B$5:$B$403,$A9,'Content Calendar'!$J$5:$J$403,"Published")+COUNTIFS('Content Calendar'!$B$5:$B$403,$A9,'Content Calendar'!$J$5:$J$403,"Repurposed"))</f>
        <v/>
      </c>
    </row>
    <row r="10" customFormat="false" ht="33.75" hidden="false" customHeight="true" outlineLevel="0" collapsed="false">
      <c r="A10" s="64" t="str">
        <f aca="false">IF('START HERE'!$B$61="","",'START HERE'!$B$61)</f>
        <v/>
      </c>
      <c r="B10" s="69" t="str">
        <f aca="false">IF($A10="","",IFERROR(SUMPRODUCT(('DAILY ENTRY'!$B$7:$B$1203=$A10)*('DAILY ENTRY'!$A$7:$A$1203&lt;&gt;"")/COUNTIFS('DAILY ENTRY'!$A$7:$A$1203,'DAILY ENTRY'!$A$7:$A$1203&amp;"",'DAILY ENTRY'!$B$7:$B$1203,'DAILY ENTRY'!$B$7:$B$1203&amp;"")),0))</f>
        <v/>
      </c>
      <c r="C10" s="69" t="str">
        <f aca="false">IF($A10="","",SUMIFS('DAILY ENTRY'!$F$7:$F$1203,'DAILY ENTRY'!$D$7:$D$1203,"Lead researched (Sales Navigator)",'DAILY ENTRY'!$B$7:$B$1203,$A10))</f>
        <v/>
      </c>
      <c r="D10" s="69" t="str">
        <f aca="false">IF($A10="","",COUNTIFS('LinkedIn Outreach'!$B$5:$B$1203,$A10,'LinkedIn Outreach'!$M$5:$M$1203,"Yes"))</f>
        <v/>
      </c>
      <c r="E10" s="69" t="str">
        <f aca="false">IF($A10="","",COUNTIFS('LinkedIn Outreach'!$B$5:$B$1203,$A10,'LinkedIn Outreach'!$N$5:$N$1203,"Yes"))</f>
        <v/>
      </c>
      <c r="F10" s="70" t="str">
        <f aca="false">IF($A10="","",IFERROR(E10/D10,""))</f>
        <v/>
      </c>
      <c r="G10" s="69" t="str">
        <f aca="false">IF($A10="","",COUNTIFS('LinkedIn Outreach'!$B$5:$B$1203,$A10,'LinkedIn Outreach'!$R$5:$R$1203,"Yes"))</f>
        <v/>
      </c>
      <c r="H10" s="69" t="str">
        <f aca="false">IF($A10="","",COUNTIFS('LinkedIn Outreach'!$B$5:$B$1203,$A10,'LinkedIn Outreach'!$S$5:$S$1203,"Interested")+COUNTIFS('LinkedIn Outreach'!$B$5:$B$1203,$A10,'LinkedIn Outreach'!$S$5:$S$1203,"Info Requested")+COUNTIFS('LinkedIn Outreach'!$B$5:$B$1203,$A10,'LinkedIn Outreach'!$S$5:$S$1203,"Meeting Booked")+COUNTIFS('LinkedIn Outreach'!$B$5:$B$1203,$A10,'LinkedIn Outreach'!$S$5:$S$1203,"Converted"))</f>
        <v/>
      </c>
      <c r="I10" s="70" t="str">
        <f aca="false">IF($A10="","",IFERROR(H10/G10,""))</f>
        <v/>
      </c>
      <c r="J10" s="69" t="str">
        <f aca="false">IF($A10="","",COUNTIFS('LinkedIn Outreach'!$B$5:$B$1203,$A10,'LinkedIn Outreach'!$S$5:$S$1203,"Meeting Booked"))</f>
        <v/>
      </c>
      <c r="K10" s="69" t="str">
        <f aca="false">IF($A10="","",SUMIFS('DAILY ENTRY'!$F$7:$F$1203,'DAILY ENTRY'!$D$7:$D$1203,"Post / content published",'DAILY ENTRY'!$B$7:$B$1203,$A10))</f>
        <v/>
      </c>
      <c r="L10" s="69" t="str">
        <f aca="false">IF($A10="","",SUMIFS('DAILY ENTRY'!$F$7:$F$1203,'DAILY ENTRY'!$D$7:$D$1203,"Community answer or comment",'DAILY ENTRY'!$B$7:$B$1203,$A10))</f>
        <v/>
      </c>
      <c r="M10" s="69" t="str">
        <f aca="false">IF($A10="","",SUMIFS('DAILY ENTRY'!$F$7:$F$1203,'DAILY ENTRY'!$D$7:$D$1203,"Partnership / PR contact",'DAILY ENTRY'!$B$7:$B$1203,$A10))</f>
        <v/>
      </c>
      <c r="N10" s="69" t="str">
        <f aca="false">IF($A10="","",SUMIFS('DAILY ENTRY'!$F$7:$F$1203,'DAILY ENTRY'!$D$7:$D$1203,"Engagement (commented on someone else)",'DAILY ENTRY'!$B$7:$B$1203,$A10))</f>
        <v/>
      </c>
      <c r="O10" s="69" t="str">
        <f aca="false">IF($A10="","",COUNTIFS('LinkedIn Outreach'!$B$5:$B$1203,$A10,'LinkedIn Outreach'!$Q$5:$Q$1203,"&gt;300"))</f>
        <v/>
      </c>
      <c r="P10" s="69" t="str">
        <f aca="false">IF($A10="","",COUNTIFS('DAILY ENTRY'!$B$7:$B$1203,$A10,'DAILY ENTRY'!$I$7:$I$1203,"Blocked"))</f>
        <v/>
      </c>
      <c r="Q10" s="67" t="str">
        <f aca="false">IF($A10="","",IF(AND(B10=0,D10=0),"No activity logged yet",IF(O10&gt;0,"BREACH: sent messages over the 300-character limit - review the message text",IF(AND(D10&gt;=20,F10&lt;0.2),"Acceptance below 20% - fix targeting or the connection note before sending more",IF(AND(G10&gt;=20,I10&lt;0.1),"Reply rate below the 10% average - the message needs rewriting, not more volume",IF(AND(F10&gt;=0.3,I10&gt;=0.15),"Strong: both acceptance and reply rate are above benchmark",IF(AND(B10&gt;0,D10=0),"Logging daily work but no LinkedIn outreach recorded","Within normal range - compare against the Benchmarks tab")))))))</f>
        <v/>
      </c>
      <c r="R10" s="69" t="str">
        <f aca="false">IF($A10="","",COUNTIF('Master Tasks'!$I$4:$I$66,$A10))</f>
        <v/>
      </c>
      <c r="S10" s="69" t="str">
        <f aca="false">IF($A10="","",COUNTIFS('Master Tasks'!$I$4:$I$66,$A10,'Master Tasks'!$J$4:$J$66,"Complete"))</f>
        <v/>
      </c>
      <c r="T10" s="71" t="str">
        <f aca="false">IF($A10="","",IFERROR(S10/R10,""))</f>
        <v/>
      </c>
      <c r="U10" s="69" t="str">
        <f aca="false">IF($A10="","",COUNTIFS('Platform Setup'!$M$4:$M$49,$A10,'Platform Setup'!$J$4:$J$49,"Complete"))</f>
        <v/>
      </c>
      <c r="V10" s="69" t="str">
        <f aca="false">IF($A10="","",COUNTIFS('Content Calendar'!$B$5:$B$403,$A10,'Content Calendar'!$J$5:$J$403,"Published")+COUNTIFS('Content Calendar'!$B$5:$B$403,$A10,'Content Calendar'!$J$5:$J$403,"Repurposed"))</f>
        <v/>
      </c>
    </row>
    <row r="11" customFormat="false" ht="33.75" hidden="false" customHeight="true" outlineLevel="0" collapsed="false">
      <c r="A11" s="64" t="str">
        <f aca="false">IF('START HERE'!$B$62="","",'START HERE'!$B$62)</f>
        <v/>
      </c>
      <c r="B11" s="69" t="str">
        <f aca="false">IF($A11="","",IFERROR(SUMPRODUCT(('DAILY ENTRY'!$B$7:$B$1203=$A11)*('DAILY ENTRY'!$A$7:$A$1203&lt;&gt;"")/COUNTIFS('DAILY ENTRY'!$A$7:$A$1203,'DAILY ENTRY'!$A$7:$A$1203&amp;"",'DAILY ENTRY'!$B$7:$B$1203,'DAILY ENTRY'!$B$7:$B$1203&amp;"")),0))</f>
        <v/>
      </c>
      <c r="C11" s="69" t="str">
        <f aca="false">IF($A11="","",SUMIFS('DAILY ENTRY'!$F$7:$F$1203,'DAILY ENTRY'!$D$7:$D$1203,"Lead researched (Sales Navigator)",'DAILY ENTRY'!$B$7:$B$1203,$A11))</f>
        <v/>
      </c>
      <c r="D11" s="69" t="str">
        <f aca="false">IF($A11="","",COUNTIFS('LinkedIn Outreach'!$B$5:$B$1203,$A11,'LinkedIn Outreach'!$M$5:$M$1203,"Yes"))</f>
        <v/>
      </c>
      <c r="E11" s="69" t="str">
        <f aca="false">IF($A11="","",COUNTIFS('LinkedIn Outreach'!$B$5:$B$1203,$A11,'LinkedIn Outreach'!$N$5:$N$1203,"Yes"))</f>
        <v/>
      </c>
      <c r="F11" s="70" t="str">
        <f aca="false">IF($A11="","",IFERROR(E11/D11,""))</f>
        <v/>
      </c>
      <c r="G11" s="69" t="str">
        <f aca="false">IF($A11="","",COUNTIFS('LinkedIn Outreach'!$B$5:$B$1203,$A11,'LinkedIn Outreach'!$R$5:$R$1203,"Yes"))</f>
        <v/>
      </c>
      <c r="H11" s="69" t="str">
        <f aca="false">IF($A11="","",COUNTIFS('LinkedIn Outreach'!$B$5:$B$1203,$A11,'LinkedIn Outreach'!$S$5:$S$1203,"Interested")+COUNTIFS('LinkedIn Outreach'!$B$5:$B$1203,$A11,'LinkedIn Outreach'!$S$5:$S$1203,"Info Requested")+COUNTIFS('LinkedIn Outreach'!$B$5:$B$1203,$A11,'LinkedIn Outreach'!$S$5:$S$1203,"Meeting Booked")+COUNTIFS('LinkedIn Outreach'!$B$5:$B$1203,$A11,'LinkedIn Outreach'!$S$5:$S$1203,"Converted"))</f>
        <v/>
      </c>
      <c r="I11" s="70" t="str">
        <f aca="false">IF($A11="","",IFERROR(H11/G11,""))</f>
        <v/>
      </c>
      <c r="J11" s="69" t="str">
        <f aca="false">IF($A11="","",COUNTIFS('LinkedIn Outreach'!$B$5:$B$1203,$A11,'LinkedIn Outreach'!$S$5:$S$1203,"Meeting Booked"))</f>
        <v/>
      </c>
      <c r="K11" s="69" t="str">
        <f aca="false">IF($A11="","",SUMIFS('DAILY ENTRY'!$F$7:$F$1203,'DAILY ENTRY'!$D$7:$D$1203,"Post / content published",'DAILY ENTRY'!$B$7:$B$1203,$A11))</f>
        <v/>
      </c>
      <c r="L11" s="69" t="str">
        <f aca="false">IF($A11="","",SUMIFS('DAILY ENTRY'!$F$7:$F$1203,'DAILY ENTRY'!$D$7:$D$1203,"Community answer or comment",'DAILY ENTRY'!$B$7:$B$1203,$A11))</f>
        <v/>
      </c>
      <c r="M11" s="69" t="str">
        <f aca="false">IF($A11="","",SUMIFS('DAILY ENTRY'!$F$7:$F$1203,'DAILY ENTRY'!$D$7:$D$1203,"Partnership / PR contact",'DAILY ENTRY'!$B$7:$B$1203,$A11))</f>
        <v/>
      </c>
      <c r="N11" s="69" t="str">
        <f aca="false">IF($A11="","",SUMIFS('DAILY ENTRY'!$F$7:$F$1203,'DAILY ENTRY'!$D$7:$D$1203,"Engagement (commented on someone else)",'DAILY ENTRY'!$B$7:$B$1203,$A11))</f>
        <v/>
      </c>
      <c r="O11" s="69" t="str">
        <f aca="false">IF($A11="","",COUNTIFS('LinkedIn Outreach'!$B$5:$B$1203,$A11,'LinkedIn Outreach'!$Q$5:$Q$1203,"&gt;300"))</f>
        <v/>
      </c>
      <c r="P11" s="69" t="str">
        <f aca="false">IF($A11="","",COUNTIFS('DAILY ENTRY'!$B$7:$B$1203,$A11,'DAILY ENTRY'!$I$7:$I$1203,"Blocked"))</f>
        <v/>
      </c>
      <c r="Q11" s="67" t="str">
        <f aca="false">IF($A11="","",IF(AND(B11=0,D11=0),"No activity logged yet",IF(O11&gt;0,"BREACH: sent messages over the 300-character limit - review the message text",IF(AND(D11&gt;=20,F11&lt;0.2),"Acceptance below 20% - fix targeting or the connection note before sending more",IF(AND(G11&gt;=20,I11&lt;0.1),"Reply rate below the 10% average - the message needs rewriting, not more volume",IF(AND(F11&gt;=0.3,I11&gt;=0.15),"Strong: both acceptance and reply rate are above benchmark",IF(AND(B11&gt;0,D11=0),"Logging daily work but no LinkedIn outreach recorded","Within normal range - compare against the Benchmarks tab")))))))</f>
        <v/>
      </c>
      <c r="R11" s="69" t="str">
        <f aca="false">IF($A11="","",COUNTIF('Master Tasks'!$I$4:$I$66,$A11))</f>
        <v/>
      </c>
      <c r="S11" s="69" t="str">
        <f aca="false">IF($A11="","",COUNTIFS('Master Tasks'!$I$4:$I$66,$A11,'Master Tasks'!$J$4:$J$66,"Complete"))</f>
        <v/>
      </c>
      <c r="T11" s="71" t="str">
        <f aca="false">IF($A11="","",IFERROR(S11/R11,""))</f>
        <v/>
      </c>
      <c r="U11" s="69" t="str">
        <f aca="false">IF($A11="","",COUNTIFS('Platform Setup'!$M$4:$M$49,$A11,'Platform Setup'!$J$4:$J$49,"Complete"))</f>
        <v/>
      </c>
      <c r="V11" s="69" t="str">
        <f aca="false">IF($A11="","",COUNTIFS('Content Calendar'!$B$5:$B$403,$A11,'Content Calendar'!$J$5:$J$403,"Published")+COUNTIFS('Content Calendar'!$B$5:$B$403,$A11,'Content Calendar'!$J$5:$J$403,"Repurposed"))</f>
        <v/>
      </c>
    </row>
    <row r="12" customFormat="false" ht="33.75" hidden="false" customHeight="true" outlineLevel="0" collapsed="false">
      <c r="A12" s="64" t="str">
        <f aca="false">IF('START HERE'!$B$63="","",'START HERE'!$B$63)</f>
        <v/>
      </c>
      <c r="B12" s="69" t="str">
        <f aca="false">IF($A12="","",IFERROR(SUMPRODUCT(('DAILY ENTRY'!$B$7:$B$1203=$A12)*('DAILY ENTRY'!$A$7:$A$1203&lt;&gt;"")/COUNTIFS('DAILY ENTRY'!$A$7:$A$1203,'DAILY ENTRY'!$A$7:$A$1203&amp;"",'DAILY ENTRY'!$B$7:$B$1203,'DAILY ENTRY'!$B$7:$B$1203&amp;"")),0))</f>
        <v/>
      </c>
      <c r="C12" s="69" t="str">
        <f aca="false">IF($A12="","",SUMIFS('DAILY ENTRY'!$F$7:$F$1203,'DAILY ENTRY'!$D$7:$D$1203,"Lead researched (Sales Navigator)",'DAILY ENTRY'!$B$7:$B$1203,$A12))</f>
        <v/>
      </c>
      <c r="D12" s="69" t="str">
        <f aca="false">IF($A12="","",COUNTIFS('LinkedIn Outreach'!$B$5:$B$1203,$A12,'LinkedIn Outreach'!$M$5:$M$1203,"Yes"))</f>
        <v/>
      </c>
      <c r="E12" s="69" t="str">
        <f aca="false">IF($A12="","",COUNTIFS('LinkedIn Outreach'!$B$5:$B$1203,$A12,'LinkedIn Outreach'!$N$5:$N$1203,"Yes"))</f>
        <v/>
      </c>
      <c r="F12" s="70" t="str">
        <f aca="false">IF($A12="","",IFERROR(E12/D12,""))</f>
        <v/>
      </c>
      <c r="G12" s="69" t="str">
        <f aca="false">IF($A12="","",COUNTIFS('LinkedIn Outreach'!$B$5:$B$1203,$A12,'LinkedIn Outreach'!$R$5:$R$1203,"Yes"))</f>
        <v/>
      </c>
      <c r="H12" s="69" t="str">
        <f aca="false">IF($A12="","",COUNTIFS('LinkedIn Outreach'!$B$5:$B$1203,$A12,'LinkedIn Outreach'!$S$5:$S$1203,"Interested")+COUNTIFS('LinkedIn Outreach'!$B$5:$B$1203,$A12,'LinkedIn Outreach'!$S$5:$S$1203,"Info Requested")+COUNTIFS('LinkedIn Outreach'!$B$5:$B$1203,$A12,'LinkedIn Outreach'!$S$5:$S$1203,"Meeting Booked")+COUNTIFS('LinkedIn Outreach'!$B$5:$B$1203,$A12,'LinkedIn Outreach'!$S$5:$S$1203,"Converted"))</f>
        <v/>
      </c>
      <c r="I12" s="70" t="str">
        <f aca="false">IF($A12="","",IFERROR(H12/G12,""))</f>
        <v/>
      </c>
      <c r="J12" s="69" t="str">
        <f aca="false">IF($A12="","",COUNTIFS('LinkedIn Outreach'!$B$5:$B$1203,$A12,'LinkedIn Outreach'!$S$5:$S$1203,"Meeting Booked"))</f>
        <v/>
      </c>
      <c r="K12" s="69" t="str">
        <f aca="false">IF($A12="","",SUMIFS('DAILY ENTRY'!$F$7:$F$1203,'DAILY ENTRY'!$D$7:$D$1203,"Post / content published",'DAILY ENTRY'!$B$7:$B$1203,$A12))</f>
        <v/>
      </c>
      <c r="L12" s="69" t="str">
        <f aca="false">IF($A12="","",SUMIFS('DAILY ENTRY'!$F$7:$F$1203,'DAILY ENTRY'!$D$7:$D$1203,"Community answer or comment",'DAILY ENTRY'!$B$7:$B$1203,$A12))</f>
        <v/>
      </c>
      <c r="M12" s="69" t="str">
        <f aca="false">IF($A12="","",SUMIFS('DAILY ENTRY'!$F$7:$F$1203,'DAILY ENTRY'!$D$7:$D$1203,"Partnership / PR contact",'DAILY ENTRY'!$B$7:$B$1203,$A12))</f>
        <v/>
      </c>
      <c r="N12" s="69" t="str">
        <f aca="false">IF($A12="","",SUMIFS('DAILY ENTRY'!$F$7:$F$1203,'DAILY ENTRY'!$D$7:$D$1203,"Engagement (commented on someone else)",'DAILY ENTRY'!$B$7:$B$1203,$A12))</f>
        <v/>
      </c>
      <c r="O12" s="69" t="str">
        <f aca="false">IF($A12="","",COUNTIFS('LinkedIn Outreach'!$B$5:$B$1203,$A12,'LinkedIn Outreach'!$Q$5:$Q$1203,"&gt;300"))</f>
        <v/>
      </c>
      <c r="P12" s="69" t="str">
        <f aca="false">IF($A12="","",COUNTIFS('DAILY ENTRY'!$B$7:$B$1203,$A12,'DAILY ENTRY'!$I$7:$I$1203,"Blocked"))</f>
        <v/>
      </c>
      <c r="Q12" s="67" t="str">
        <f aca="false">IF($A12="","",IF(AND(B12=0,D12=0),"No activity logged yet",IF(O12&gt;0,"BREACH: sent messages over the 300-character limit - review the message text",IF(AND(D12&gt;=20,F12&lt;0.2),"Acceptance below 20% - fix targeting or the connection note before sending more",IF(AND(G12&gt;=20,I12&lt;0.1),"Reply rate below the 10% average - the message needs rewriting, not more volume",IF(AND(F12&gt;=0.3,I12&gt;=0.15),"Strong: both acceptance and reply rate are above benchmark",IF(AND(B12&gt;0,D12=0),"Logging daily work but no LinkedIn outreach recorded","Within normal range - compare against the Benchmarks tab")))))))</f>
        <v/>
      </c>
      <c r="R12" s="69" t="str">
        <f aca="false">IF($A12="","",COUNTIF('Master Tasks'!$I$4:$I$66,$A12))</f>
        <v/>
      </c>
      <c r="S12" s="69" t="str">
        <f aca="false">IF($A12="","",COUNTIFS('Master Tasks'!$I$4:$I$66,$A12,'Master Tasks'!$J$4:$J$66,"Complete"))</f>
        <v/>
      </c>
      <c r="T12" s="71" t="str">
        <f aca="false">IF($A12="","",IFERROR(S12/R12,""))</f>
        <v/>
      </c>
      <c r="U12" s="69" t="str">
        <f aca="false">IF($A12="","",COUNTIFS('Platform Setup'!$M$4:$M$49,$A12,'Platform Setup'!$J$4:$J$49,"Complete"))</f>
        <v/>
      </c>
      <c r="V12" s="69" t="str">
        <f aca="false">IF($A12="","",COUNTIFS('Content Calendar'!$B$5:$B$403,$A12,'Content Calendar'!$J$5:$J$403,"Published")+COUNTIFS('Content Calendar'!$B$5:$B$403,$A12,'Content Calendar'!$J$5:$J$403,"Repurposed"))</f>
        <v/>
      </c>
    </row>
    <row r="13" customFormat="false" ht="33.75" hidden="false" customHeight="true" outlineLevel="0" collapsed="false">
      <c r="A13" s="64" t="str">
        <f aca="false">IF('START HERE'!$B$64="","",'START HERE'!$B$64)</f>
        <v/>
      </c>
      <c r="B13" s="69" t="str">
        <f aca="false">IF($A13="","",IFERROR(SUMPRODUCT(('DAILY ENTRY'!$B$7:$B$1203=$A13)*('DAILY ENTRY'!$A$7:$A$1203&lt;&gt;"")/COUNTIFS('DAILY ENTRY'!$A$7:$A$1203,'DAILY ENTRY'!$A$7:$A$1203&amp;"",'DAILY ENTRY'!$B$7:$B$1203,'DAILY ENTRY'!$B$7:$B$1203&amp;"")),0))</f>
        <v/>
      </c>
      <c r="C13" s="69" t="str">
        <f aca="false">IF($A13="","",SUMIFS('DAILY ENTRY'!$F$7:$F$1203,'DAILY ENTRY'!$D$7:$D$1203,"Lead researched (Sales Navigator)",'DAILY ENTRY'!$B$7:$B$1203,$A13))</f>
        <v/>
      </c>
      <c r="D13" s="69" t="str">
        <f aca="false">IF($A13="","",COUNTIFS('LinkedIn Outreach'!$B$5:$B$1203,$A13,'LinkedIn Outreach'!$M$5:$M$1203,"Yes"))</f>
        <v/>
      </c>
      <c r="E13" s="69" t="str">
        <f aca="false">IF($A13="","",COUNTIFS('LinkedIn Outreach'!$B$5:$B$1203,$A13,'LinkedIn Outreach'!$N$5:$N$1203,"Yes"))</f>
        <v/>
      </c>
      <c r="F13" s="70" t="str">
        <f aca="false">IF($A13="","",IFERROR(E13/D13,""))</f>
        <v/>
      </c>
      <c r="G13" s="69" t="str">
        <f aca="false">IF($A13="","",COUNTIFS('LinkedIn Outreach'!$B$5:$B$1203,$A13,'LinkedIn Outreach'!$R$5:$R$1203,"Yes"))</f>
        <v/>
      </c>
      <c r="H13" s="69" t="str">
        <f aca="false">IF($A13="","",COUNTIFS('LinkedIn Outreach'!$B$5:$B$1203,$A13,'LinkedIn Outreach'!$S$5:$S$1203,"Interested")+COUNTIFS('LinkedIn Outreach'!$B$5:$B$1203,$A13,'LinkedIn Outreach'!$S$5:$S$1203,"Info Requested")+COUNTIFS('LinkedIn Outreach'!$B$5:$B$1203,$A13,'LinkedIn Outreach'!$S$5:$S$1203,"Meeting Booked")+COUNTIFS('LinkedIn Outreach'!$B$5:$B$1203,$A13,'LinkedIn Outreach'!$S$5:$S$1203,"Converted"))</f>
        <v/>
      </c>
      <c r="I13" s="70" t="str">
        <f aca="false">IF($A13="","",IFERROR(H13/G13,""))</f>
        <v/>
      </c>
      <c r="J13" s="69" t="str">
        <f aca="false">IF($A13="","",COUNTIFS('LinkedIn Outreach'!$B$5:$B$1203,$A13,'LinkedIn Outreach'!$S$5:$S$1203,"Meeting Booked"))</f>
        <v/>
      </c>
      <c r="K13" s="69" t="str">
        <f aca="false">IF($A13="","",SUMIFS('DAILY ENTRY'!$F$7:$F$1203,'DAILY ENTRY'!$D$7:$D$1203,"Post / content published",'DAILY ENTRY'!$B$7:$B$1203,$A13))</f>
        <v/>
      </c>
      <c r="L13" s="69" t="str">
        <f aca="false">IF($A13="","",SUMIFS('DAILY ENTRY'!$F$7:$F$1203,'DAILY ENTRY'!$D$7:$D$1203,"Community answer or comment",'DAILY ENTRY'!$B$7:$B$1203,$A13))</f>
        <v/>
      </c>
      <c r="M13" s="69" t="str">
        <f aca="false">IF($A13="","",SUMIFS('DAILY ENTRY'!$F$7:$F$1203,'DAILY ENTRY'!$D$7:$D$1203,"Partnership / PR contact",'DAILY ENTRY'!$B$7:$B$1203,$A13))</f>
        <v/>
      </c>
      <c r="N13" s="69" t="str">
        <f aca="false">IF($A13="","",SUMIFS('DAILY ENTRY'!$F$7:$F$1203,'DAILY ENTRY'!$D$7:$D$1203,"Engagement (commented on someone else)",'DAILY ENTRY'!$B$7:$B$1203,$A13))</f>
        <v/>
      </c>
      <c r="O13" s="69" t="str">
        <f aca="false">IF($A13="","",COUNTIFS('LinkedIn Outreach'!$B$5:$B$1203,$A13,'LinkedIn Outreach'!$Q$5:$Q$1203,"&gt;300"))</f>
        <v/>
      </c>
      <c r="P13" s="69" t="str">
        <f aca="false">IF($A13="","",COUNTIFS('DAILY ENTRY'!$B$7:$B$1203,$A13,'DAILY ENTRY'!$I$7:$I$1203,"Blocked"))</f>
        <v/>
      </c>
      <c r="Q13" s="67" t="str">
        <f aca="false">IF($A13="","",IF(AND(B13=0,D13=0),"No activity logged yet",IF(O13&gt;0,"BREACH: sent messages over the 300-character limit - review the message text",IF(AND(D13&gt;=20,F13&lt;0.2),"Acceptance below 20% - fix targeting or the connection note before sending more",IF(AND(G13&gt;=20,I13&lt;0.1),"Reply rate below the 10% average - the message needs rewriting, not more volume",IF(AND(F13&gt;=0.3,I13&gt;=0.15),"Strong: both acceptance and reply rate are above benchmark",IF(AND(B13&gt;0,D13=0),"Logging daily work but no LinkedIn outreach recorded","Within normal range - compare against the Benchmarks tab")))))))</f>
        <v/>
      </c>
      <c r="R13" s="69" t="str">
        <f aca="false">IF($A13="","",COUNTIF('Master Tasks'!$I$4:$I$66,$A13))</f>
        <v/>
      </c>
      <c r="S13" s="69" t="str">
        <f aca="false">IF($A13="","",COUNTIFS('Master Tasks'!$I$4:$I$66,$A13,'Master Tasks'!$J$4:$J$66,"Complete"))</f>
        <v/>
      </c>
      <c r="T13" s="71" t="str">
        <f aca="false">IF($A13="","",IFERROR(S13/R13,""))</f>
        <v/>
      </c>
      <c r="U13" s="69" t="str">
        <f aca="false">IF($A13="","",COUNTIFS('Platform Setup'!$M$4:$M$49,$A13,'Platform Setup'!$J$4:$J$49,"Complete"))</f>
        <v/>
      </c>
      <c r="V13" s="69" t="str">
        <f aca="false">IF($A13="","",COUNTIFS('Content Calendar'!$B$5:$B$403,$A13,'Content Calendar'!$J$5:$J$403,"Published")+COUNTIFS('Content Calendar'!$B$5:$B$403,$A13,'Content Calendar'!$J$5:$J$403,"Repurposed"))</f>
        <v/>
      </c>
    </row>
    <row r="14" customFormat="false" ht="30" hidden="false" customHeight="true" outlineLevel="0" collapsed="false">
      <c r="A14" s="72" t="s">
        <v>385</v>
      </c>
      <c r="B14" s="73" t="n">
        <f aca="false">SUM(B4:B13)</f>
        <v>0</v>
      </c>
      <c r="C14" s="73" t="n">
        <f aca="false">SUM(C4:C13)</f>
        <v>0</v>
      </c>
      <c r="D14" s="73" t="n">
        <f aca="false">SUM(D4:D13)</f>
        <v>0</v>
      </c>
      <c r="E14" s="73" t="n">
        <f aca="false">SUM(E4:E13)</f>
        <v>0</v>
      </c>
      <c r="F14" s="74" t="str">
        <f aca="false">IFERROR(E14/D14,"")</f>
        <v/>
      </c>
      <c r="G14" s="73" t="n">
        <f aca="false">SUM(G4:G13)</f>
        <v>0</v>
      </c>
      <c r="H14" s="73" t="n">
        <f aca="false">SUM(H4:H13)</f>
        <v>0</v>
      </c>
      <c r="I14" s="74" t="str">
        <f aca="false">IFERROR(H14/G14,"")</f>
        <v/>
      </c>
      <c r="J14" s="73" t="n">
        <f aca="false">SUM(J4:J13)</f>
        <v>0</v>
      </c>
      <c r="K14" s="73" t="n">
        <f aca="false">SUM(K4:K13)</f>
        <v>0</v>
      </c>
      <c r="L14" s="73" t="n">
        <f aca="false">SUM(L4:L13)</f>
        <v>0</v>
      </c>
      <c r="M14" s="73" t="n">
        <f aca="false">SUM(M4:M13)</f>
        <v>0</v>
      </c>
      <c r="N14" s="73" t="n">
        <f aca="false">SUM(N4:N13)</f>
        <v>0</v>
      </c>
      <c r="O14" s="73" t="n">
        <f aca="false">SUM(O4:O13)</f>
        <v>0</v>
      </c>
      <c r="P14" s="73" t="n">
        <f aca="false">SUM(P4:P13)</f>
        <v>0</v>
      </c>
      <c r="Q14" s="75" t="s">
        <v>386</v>
      </c>
      <c r="R14" s="73" t="n">
        <f aca="false">SUM(R4:R13)</f>
        <v>0</v>
      </c>
      <c r="S14" s="73" t="n">
        <f aca="false">SUM(S4:S13)</f>
        <v>0</v>
      </c>
      <c r="T14" s="76" t="str">
        <f aca="false">IFERROR(S14/R14,"")</f>
        <v/>
      </c>
      <c r="U14" s="73" t="n">
        <f aca="false">SUM(U4:U13)</f>
        <v>0</v>
      </c>
      <c r="V14" s="73" t="n">
        <f aca="false">SUM(V4:V13)</f>
        <v>0</v>
      </c>
    </row>
    <row r="16" customFormat="false" ht="43.5" hidden="false" customHeight="true" outlineLevel="0" collapsed="false">
      <c r="A16" s="68" t="s">
        <v>387</v>
      </c>
      <c r="B16" s="68"/>
      <c r="C16" s="68"/>
      <c r="D16" s="68"/>
      <c r="E16" s="68"/>
      <c r="F16" s="68"/>
      <c r="G16" s="68"/>
      <c r="H16" s="68"/>
      <c r="I16" s="68"/>
      <c r="J16" s="68"/>
      <c r="K16" s="68"/>
      <c r="L16" s="68"/>
      <c r="M16" s="68"/>
      <c r="N16" s="68"/>
      <c r="O16" s="68"/>
      <c r="P16" s="68"/>
      <c r="Q16" s="68"/>
    </row>
  </sheetData>
  <mergeCells count="3">
    <mergeCell ref="A1:Q1"/>
    <mergeCell ref="A2:Q2"/>
    <mergeCell ref="A16:Q16"/>
  </mergeCells>
  <conditionalFormatting sqref="F4:F13">
    <cfRule type="cellIs" priority="2" operator="greaterThanOrEqual" aboveAverage="0" equalAverage="0" bottom="0" percent="0" rank="0" text="" dxfId="7">
      <formula>0.3</formula>
    </cfRule>
    <cfRule type="cellIs" priority="3" operator="between" aboveAverage="0" equalAverage="0" bottom="0" percent="0" rank="0" text="" dxfId="9">
      <formula>0.2</formula>
      <formula>0.2999</formula>
    </cfRule>
    <cfRule type="cellIs" priority="4" operator="between" aboveAverage="0" equalAverage="0" bottom="0" percent="0" rank="0" text="" dxfId="6">
      <formula>0.00001</formula>
      <formula>0.1999</formula>
    </cfRule>
  </conditionalFormatting>
  <conditionalFormatting sqref="I4:I13">
    <cfRule type="cellIs" priority="5" operator="greaterThanOrEqual" aboveAverage="0" equalAverage="0" bottom="0" percent="0" rank="0" text="" dxfId="7">
      <formula>0.15</formula>
    </cfRule>
    <cfRule type="cellIs" priority="6" operator="between" aboveAverage="0" equalAverage="0" bottom="0" percent="0" rank="0" text="" dxfId="9">
      <formula>0.1</formula>
      <formula>0.1499</formula>
    </cfRule>
    <cfRule type="cellIs" priority="7" operator="between" aboveAverage="0" equalAverage="0" bottom="0" percent="0" rank="0" text="" dxfId="6">
      <formula>0.00001</formula>
      <formula>0.0999</formula>
    </cfRule>
  </conditionalFormatting>
  <conditionalFormatting sqref="O4:O13">
    <cfRule type="cellIs" priority="8" operator="greaterThan" aboveAverage="0" equalAverage="0" bottom="0" percent="0" rank="0" text="" dxfId="6">
      <formula>0</formula>
    </cfRule>
  </conditionalFormatting>
  <conditionalFormatting sqref="T4:T13">
    <cfRule type="colorScale" priority="9">
      <colorScale>
        <cfvo type="num" val="0"/>
        <cfvo type="num" val="0.5"/>
        <cfvo type="num" val="1"/>
        <color rgb="FFF8CBAD"/>
        <color rgb="FFFFE699"/>
        <color rgb="FFC6EFCE"/>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K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6"/>
    <col collapsed="false" customWidth="true" hidden="false" outlineLevel="0" max="3" min="3" style="1" width="14"/>
    <col collapsed="false" customWidth="true" hidden="false" outlineLevel="0" max="6" min="4" style="1" width="11"/>
    <col collapsed="false" customWidth="true" hidden="false" outlineLevel="0" max="7" min="7" style="1" width="13"/>
    <col collapsed="false" customWidth="true" hidden="false" outlineLevel="0" max="8" min="8" style="1" width="9"/>
    <col collapsed="false" customWidth="true" hidden="false" outlineLevel="0" max="9" min="9" style="1" width="24"/>
    <col collapsed="false" customWidth="true" hidden="false" outlineLevel="0" max="10" min="10" style="1" width="10"/>
    <col collapsed="false" customWidth="true" hidden="false" outlineLevel="0" max="11" min="11" style="1" width="44"/>
  </cols>
  <sheetData>
    <row r="1" customFormat="false" ht="25.5" hidden="false" customHeight="true" outlineLevel="0" collapsed="false">
      <c r="A1" s="2" t="s">
        <v>388</v>
      </c>
      <c r="B1" s="2"/>
      <c r="C1" s="2"/>
      <c r="D1" s="2"/>
      <c r="E1" s="2"/>
      <c r="F1" s="2"/>
      <c r="G1" s="2"/>
      <c r="H1" s="2"/>
      <c r="I1" s="2"/>
      <c r="J1" s="2"/>
      <c r="K1" s="2"/>
    </row>
    <row r="2" customFormat="false" ht="18" hidden="false" customHeight="true" outlineLevel="0" collapsed="false">
      <c r="A2" s="3" t="s">
        <v>389</v>
      </c>
      <c r="B2" s="3"/>
      <c r="C2" s="3"/>
      <c r="D2" s="3"/>
      <c r="E2" s="3"/>
      <c r="F2" s="3"/>
      <c r="G2" s="3"/>
      <c r="H2" s="3"/>
      <c r="I2" s="3"/>
      <c r="J2" s="3"/>
      <c r="K2" s="3"/>
    </row>
    <row r="3" customFormat="false" ht="39.75" hidden="false" customHeight="true" outlineLevel="0" collapsed="false">
      <c r="A3" s="31" t="s">
        <v>115</v>
      </c>
      <c r="B3" s="31" t="s">
        <v>318</v>
      </c>
      <c r="C3" s="31" t="s">
        <v>390</v>
      </c>
      <c r="D3" s="31" t="s">
        <v>391</v>
      </c>
      <c r="E3" s="31" t="s">
        <v>392</v>
      </c>
      <c r="F3" s="31" t="s">
        <v>119</v>
      </c>
      <c r="G3" s="31" t="s">
        <v>393</v>
      </c>
      <c r="H3" s="31" t="s">
        <v>394</v>
      </c>
      <c r="I3" s="31" t="s">
        <v>395</v>
      </c>
      <c r="J3" s="31" t="s">
        <v>379</v>
      </c>
      <c r="K3" s="31" t="s">
        <v>396</v>
      </c>
    </row>
    <row r="4" customFormat="false" ht="21.75" hidden="false" customHeight="true" outlineLevel="0" collapsed="false">
      <c r="A4" s="77" t="str">
        <f aca="false">'Platform Setup'!$B$4</f>
        <v>LinkedIn Company Page</v>
      </c>
      <c r="B4" s="78" t="str">
        <f aca="false">'Platform Setup'!$C$4</f>
        <v>LinkedIn</v>
      </c>
      <c r="C4" s="45" t="str">
        <f aca="false">'Platform Setup'!$J$4</f>
        <v>Not Started</v>
      </c>
      <c r="D4" s="45" t="n">
        <f aca="false">COUNTIF('DAILY ENTRY'!$C$7:$C$1203,$A4)</f>
        <v>0</v>
      </c>
      <c r="E4" s="45" t="n">
        <f aca="false">SUMIF('DAILY ENTRY'!$C$7:$C$1203,$A4,'DAILY ENTRY'!$F$7:$F$1203)</f>
        <v>0</v>
      </c>
      <c r="F4" s="45" t="n">
        <f aca="false">SUMIF('DAILY ENTRY'!$C$7:$C$1203,$A4,'DAILY ENTRY'!$G$7:$G$1203)</f>
        <v>0</v>
      </c>
      <c r="G4" s="79" t="n">
        <f aca="false">IFERROR(SUMPRODUCT(MAX(('DAILY ENTRY'!$C$7:$C$1203=$A4)*'DAILY ENTRY'!$A$7:$A$1203)),"")</f>
        <v>0</v>
      </c>
      <c r="H4" s="45" t="n">
        <f aca="true">IF(G4="","",TODAY()-G4)</f>
        <v>46251</v>
      </c>
      <c r="I4" s="45" t="n">
        <f aca="false">IFERROR(INDEX('DAILY ENTRY'!$B$7:$B$1203,SUMPRODUCT(MATCH(SUMPRODUCT(MAX(('DAILY ENTRY'!$C$7:$C$1203=$A4)*'DAILY ENTRY'!$A$7:$A$1203)),('DAILY ENTRY'!$C$7:$C$1203=$A4)*'DAILY ENTRY'!$A$7:$A$1203,0))),"")</f>
        <v>0</v>
      </c>
      <c r="J4" s="65" t="n">
        <f aca="false">COUNTIFS('DAILY ENTRY'!$C$7:$C$1203,$A4,'DAILY ENTRY'!$I$7:$I$1203,"Blocked")</f>
        <v>0</v>
      </c>
      <c r="K4" s="67" t="str">
        <f aca="false">IF($C4="Complete",IF(D4=0,"Account is live but nothing has been done on it yet",IF(H4&gt;14,"Live but untouched for over two weeks","Active")),IF($C4="Not Started","Not set up yet","Setup in progress"))</f>
        <v>Not set up yet</v>
      </c>
    </row>
    <row r="5" customFormat="false" ht="21.75" hidden="false" customHeight="true" outlineLevel="0" collapsed="false">
      <c r="A5" s="77" t="str">
        <f aca="false">'Platform Setup'!$B$5</f>
        <v>LinkedIn Personal Profile</v>
      </c>
      <c r="B5" s="78" t="str">
        <f aca="false">'Platform Setup'!$C$5</f>
        <v>LinkedIn</v>
      </c>
      <c r="C5" s="45" t="str">
        <f aca="false">'Platform Setup'!$J$5</f>
        <v>Not Started</v>
      </c>
      <c r="D5" s="45" t="n">
        <f aca="false">COUNTIF('DAILY ENTRY'!$C$7:$C$1203,$A5)</f>
        <v>0</v>
      </c>
      <c r="E5" s="45" t="n">
        <f aca="false">SUMIF('DAILY ENTRY'!$C$7:$C$1203,$A5,'DAILY ENTRY'!$F$7:$F$1203)</f>
        <v>0</v>
      </c>
      <c r="F5" s="45" t="n">
        <f aca="false">SUMIF('DAILY ENTRY'!$C$7:$C$1203,$A5,'DAILY ENTRY'!$G$7:$G$1203)</f>
        <v>0</v>
      </c>
      <c r="G5" s="79" t="n">
        <f aca="false">IFERROR(SUMPRODUCT(MAX(('DAILY ENTRY'!$C$7:$C$1203=$A5)*'DAILY ENTRY'!$A$7:$A$1203)),"")</f>
        <v>0</v>
      </c>
      <c r="H5" s="45" t="n">
        <f aca="true">IF(G5="","",TODAY()-G5)</f>
        <v>46251</v>
      </c>
      <c r="I5" s="45" t="n">
        <f aca="false">IFERROR(INDEX('DAILY ENTRY'!$B$7:$B$1203,SUMPRODUCT(MATCH(SUMPRODUCT(MAX(('DAILY ENTRY'!$C$7:$C$1203=$A5)*'DAILY ENTRY'!$A$7:$A$1203)),('DAILY ENTRY'!$C$7:$C$1203=$A5)*'DAILY ENTRY'!$A$7:$A$1203,0))),"")</f>
        <v>0</v>
      </c>
      <c r="J5" s="65" t="n">
        <f aca="false">COUNTIFS('DAILY ENTRY'!$C$7:$C$1203,$A5,'DAILY ENTRY'!$I$7:$I$1203,"Blocked")</f>
        <v>0</v>
      </c>
      <c r="K5" s="67" t="str">
        <f aca="false">IF($C5="Complete",IF(D5=0,"Account is live but nothing has been done on it yet",IF(H5&gt;14,"Live but untouched for over two weeks","Active")),IF($C5="Not Started","Not set up yet","Setup in progress"))</f>
        <v>Not set up yet</v>
      </c>
    </row>
    <row r="6" customFormat="false" ht="21.75" hidden="false" customHeight="true" outlineLevel="0" collapsed="false">
      <c r="A6" s="77" t="str">
        <f aca="false">'Platform Setup'!$B$6</f>
        <v>LinkedIn Sales Navigator</v>
      </c>
      <c r="B6" s="78" t="str">
        <f aca="false">'Platform Setup'!$C$6</f>
        <v>LinkedIn</v>
      </c>
      <c r="C6" s="45" t="str">
        <f aca="false">'Platform Setup'!$J$6</f>
        <v>Not Started</v>
      </c>
      <c r="D6" s="45" t="n">
        <f aca="false">COUNTIF('DAILY ENTRY'!$C$7:$C$1203,$A6)</f>
        <v>0</v>
      </c>
      <c r="E6" s="45" t="n">
        <f aca="false">SUMIF('DAILY ENTRY'!$C$7:$C$1203,$A6,'DAILY ENTRY'!$F$7:$F$1203)</f>
        <v>0</v>
      </c>
      <c r="F6" s="45" t="n">
        <f aca="false">SUMIF('DAILY ENTRY'!$C$7:$C$1203,$A6,'DAILY ENTRY'!$G$7:$G$1203)</f>
        <v>0</v>
      </c>
      <c r="G6" s="79" t="n">
        <f aca="false">IFERROR(SUMPRODUCT(MAX(('DAILY ENTRY'!$C$7:$C$1203=$A6)*'DAILY ENTRY'!$A$7:$A$1203)),"")</f>
        <v>0</v>
      </c>
      <c r="H6" s="45" t="n">
        <f aca="true">IF(G6="","",TODAY()-G6)</f>
        <v>46251</v>
      </c>
      <c r="I6" s="45" t="n">
        <f aca="false">IFERROR(INDEX('DAILY ENTRY'!$B$7:$B$1203,SUMPRODUCT(MATCH(SUMPRODUCT(MAX(('DAILY ENTRY'!$C$7:$C$1203=$A6)*'DAILY ENTRY'!$A$7:$A$1203)),('DAILY ENTRY'!$C$7:$C$1203=$A6)*'DAILY ENTRY'!$A$7:$A$1203,0))),"")</f>
        <v>0</v>
      </c>
      <c r="J6" s="65" t="n">
        <f aca="false">COUNTIFS('DAILY ENTRY'!$C$7:$C$1203,$A6,'DAILY ENTRY'!$I$7:$I$1203,"Blocked")</f>
        <v>0</v>
      </c>
      <c r="K6" s="67" t="str">
        <f aca="false">IF($C6="Complete",IF(D6=0,"Account is live but nothing has been done on it yet",IF(H6&gt;14,"Live but untouched for over two weeks","Active")),IF($C6="Not Started","Not set up yet","Setup in progress"))</f>
        <v>Not set up yet</v>
      </c>
    </row>
    <row r="7" customFormat="false" ht="21.75" hidden="false" customHeight="true" outlineLevel="0" collapsed="false">
      <c r="A7" s="77" t="str">
        <f aca="false">'Platform Setup'!$B$7</f>
        <v>LinkedIn Newsletter</v>
      </c>
      <c r="B7" s="78" t="str">
        <f aca="false">'Platform Setup'!$C$7</f>
        <v>Publishing</v>
      </c>
      <c r="C7" s="45" t="str">
        <f aca="false">'Platform Setup'!$J$7</f>
        <v>Not Started</v>
      </c>
      <c r="D7" s="45" t="n">
        <f aca="false">COUNTIF('DAILY ENTRY'!$C$7:$C$1203,$A7)</f>
        <v>0</v>
      </c>
      <c r="E7" s="45" t="n">
        <f aca="false">SUMIF('DAILY ENTRY'!$C$7:$C$1203,$A7,'DAILY ENTRY'!$F$7:$F$1203)</f>
        <v>0</v>
      </c>
      <c r="F7" s="45" t="n">
        <f aca="false">SUMIF('DAILY ENTRY'!$C$7:$C$1203,$A7,'DAILY ENTRY'!$G$7:$G$1203)</f>
        <v>0</v>
      </c>
      <c r="G7" s="79" t="n">
        <f aca="false">IFERROR(SUMPRODUCT(MAX(('DAILY ENTRY'!$C$7:$C$1203=$A7)*'DAILY ENTRY'!$A$7:$A$1203)),"")</f>
        <v>0</v>
      </c>
      <c r="H7" s="45" t="n">
        <f aca="true">IF(G7="","",TODAY()-G7)</f>
        <v>46251</v>
      </c>
      <c r="I7" s="45" t="n">
        <f aca="false">IFERROR(INDEX('DAILY ENTRY'!$B$7:$B$1203,SUMPRODUCT(MATCH(SUMPRODUCT(MAX(('DAILY ENTRY'!$C$7:$C$1203=$A7)*'DAILY ENTRY'!$A$7:$A$1203)),('DAILY ENTRY'!$C$7:$C$1203=$A7)*'DAILY ENTRY'!$A$7:$A$1203,0))),"")</f>
        <v>0</v>
      </c>
      <c r="J7" s="65" t="n">
        <f aca="false">COUNTIFS('DAILY ENTRY'!$C$7:$C$1203,$A7,'DAILY ENTRY'!$I$7:$I$1203,"Blocked")</f>
        <v>0</v>
      </c>
      <c r="K7" s="67" t="str">
        <f aca="false">IF($C7="Complete",IF(D7=0,"Account is live but nothing has been done on it yet",IF(H7&gt;14,"Live but untouched for over two weeks","Active")),IF($C7="Not Started","Not set up yet","Setup in progress"))</f>
        <v>Not set up yet</v>
      </c>
    </row>
    <row r="8" customFormat="false" ht="21.75" hidden="false" customHeight="true" outlineLevel="0" collapsed="false">
      <c r="A8" s="77" t="str">
        <f aca="false">'Platform Setup'!$B$8</f>
        <v>LinkedIn Groups</v>
      </c>
      <c r="B8" s="78" t="str">
        <f aca="false">'Platform Setup'!$C$8</f>
        <v>Community</v>
      </c>
      <c r="C8" s="45" t="str">
        <f aca="false">'Platform Setup'!$J$8</f>
        <v>Not Started</v>
      </c>
      <c r="D8" s="45" t="n">
        <f aca="false">COUNTIF('DAILY ENTRY'!$C$7:$C$1203,$A8)</f>
        <v>0</v>
      </c>
      <c r="E8" s="45" t="n">
        <f aca="false">SUMIF('DAILY ENTRY'!$C$7:$C$1203,$A8,'DAILY ENTRY'!$F$7:$F$1203)</f>
        <v>0</v>
      </c>
      <c r="F8" s="45" t="n">
        <f aca="false">SUMIF('DAILY ENTRY'!$C$7:$C$1203,$A8,'DAILY ENTRY'!$G$7:$G$1203)</f>
        <v>0</v>
      </c>
      <c r="G8" s="79" t="n">
        <f aca="false">IFERROR(SUMPRODUCT(MAX(('DAILY ENTRY'!$C$7:$C$1203=$A8)*'DAILY ENTRY'!$A$7:$A$1203)),"")</f>
        <v>0</v>
      </c>
      <c r="H8" s="45" t="n">
        <f aca="true">IF(G8="","",TODAY()-G8)</f>
        <v>46251</v>
      </c>
      <c r="I8" s="45" t="n">
        <f aca="false">IFERROR(INDEX('DAILY ENTRY'!$B$7:$B$1203,SUMPRODUCT(MATCH(SUMPRODUCT(MAX(('DAILY ENTRY'!$C$7:$C$1203=$A8)*'DAILY ENTRY'!$A$7:$A$1203)),('DAILY ENTRY'!$C$7:$C$1203=$A8)*'DAILY ENTRY'!$A$7:$A$1203,0))),"")</f>
        <v>0</v>
      </c>
      <c r="J8" s="65" t="n">
        <f aca="false">COUNTIFS('DAILY ENTRY'!$C$7:$C$1203,$A8,'DAILY ENTRY'!$I$7:$I$1203,"Blocked")</f>
        <v>0</v>
      </c>
      <c r="K8" s="67" t="str">
        <f aca="false">IF($C8="Complete",IF(D8=0,"Account is live but nothing has been done on it yet",IF(H8&gt;14,"Live but untouched for over two weeks","Active")),IF($C8="Not Started","Not set up yet","Setup in progress"))</f>
        <v>Not set up yet</v>
      </c>
    </row>
    <row r="9" customFormat="false" ht="21.75" hidden="false" customHeight="true" outlineLevel="0" collapsed="false">
      <c r="A9" s="77" t="str">
        <f aca="false">'Platform Setup'!$B$9</f>
        <v>Facebook Page</v>
      </c>
      <c r="B9" s="78" t="str">
        <f aca="false">'Platform Setup'!$C$9</f>
        <v>Social Media</v>
      </c>
      <c r="C9" s="45" t="str">
        <f aca="false">'Platform Setup'!$J$9</f>
        <v>Not Started</v>
      </c>
      <c r="D9" s="45" t="n">
        <f aca="false">COUNTIF('DAILY ENTRY'!$C$7:$C$1203,$A9)</f>
        <v>0</v>
      </c>
      <c r="E9" s="45" t="n">
        <f aca="false">SUMIF('DAILY ENTRY'!$C$7:$C$1203,$A9,'DAILY ENTRY'!$F$7:$F$1203)</f>
        <v>0</v>
      </c>
      <c r="F9" s="45" t="n">
        <f aca="false">SUMIF('DAILY ENTRY'!$C$7:$C$1203,$A9,'DAILY ENTRY'!$G$7:$G$1203)</f>
        <v>0</v>
      </c>
      <c r="G9" s="79" t="n">
        <f aca="false">IFERROR(SUMPRODUCT(MAX(('DAILY ENTRY'!$C$7:$C$1203=$A9)*'DAILY ENTRY'!$A$7:$A$1203)),"")</f>
        <v>0</v>
      </c>
      <c r="H9" s="45" t="n">
        <f aca="true">IF(G9="","",TODAY()-G9)</f>
        <v>46251</v>
      </c>
      <c r="I9" s="45" t="n">
        <f aca="false">IFERROR(INDEX('DAILY ENTRY'!$B$7:$B$1203,SUMPRODUCT(MATCH(SUMPRODUCT(MAX(('DAILY ENTRY'!$C$7:$C$1203=$A9)*'DAILY ENTRY'!$A$7:$A$1203)),('DAILY ENTRY'!$C$7:$C$1203=$A9)*'DAILY ENTRY'!$A$7:$A$1203,0))),"")</f>
        <v>0</v>
      </c>
      <c r="J9" s="65" t="n">
        <f aca="false">COUNTIFS('DAILY ENTRY'!$C$7:$C$1203,$A9,'DAILY ENTRY'!$I$7:$I$1203,"Blocked")</f>
        <v>0</v>
      </c>
      <c r="K9" s="67" t="str">
        <f aca="false">IF($C9="Complete",IF(D9=0,"Account is live but nothing has been done on it yet",IF(H9&gt;14,"Live but untouched for over two weeks","Active")),IF($C9="Not Started","Not set up yet","Setup in progress"))</f>
        <v>Not set up yet</v>
      </c>
    </row>
    <row r="10" customFormat="false" ht="21.75" hidden="false" customHeight="true" outlineLevel="0" collapsed="false">
      <c r="A10" s="77" t="str">
        <f aca="false">'Platform Setup'!$B$10</f>
        <v>Facebook Groups</v>
      </c>
      <c r="B10" s="78" t="str">
        <f aca="false">'Platform Setup'!$C$10</f>
        <v>Community</v>
      </c>
      <c r="C10" s="45" t="str">
        <f aca="false">'Platform Setup'!$J$10</f>
        <v>Not Started</v>
      </c>
      <c r="D10" s="45" t="n">
        <f aca="false">COUNTIF('DAILY ENTRY'!$C$7:$C$1203,$A10)</f>
        <v>0</v>
      </c>
      <c r="E10" s="45" t="n">
        <f aca="false">SUMIF('DAILY ENTRY'!$C$7:$C$1203,$A10,'DAILY ENTRY'!$F$7:$F$1203)</f>
        <v>0</v>
      </c>
      <c r="F10" s="45" t="n">
        <f aca="false">SUMIF('DAILY ENTRY'!$C$7:$C$1203,$A10,'DAILY ENTRY'!$G$7:$G$1203)</f>
        <v>0</v>
      </c>
      <c r="G10" s="79" t="n">
        <f aca="false">IFERROR(SUMPRODUCT(MAX(('DAILY ENTRY'!$C$7:$C$1203=$A10)*'DAILY ENTRY'!$A$7:$A$1203)),"")</f>
        <v>0</v>
      </c>
      <c r="H10" s="45" t="n">
        <f aca="true">IF(G10="","",TODAY()-G10)</f>
        <v>46251</v>
      </c>
      <c r="I10" s="45" t="n">
        <f aca="false">IFERROR(INDEX('DAILY ENTRY'!$B$7:$B$1203,SUMPRODUCT(MATCH(SUMPRODUCT(MAX(('DAILY ENTRY'!$C$7:$C$1203=$A10)*'DAILY ENTRY'!$A$7:$A$1203)),('DAILY ENTRY'!$C$7:$C$1203=$A10)*'DAILY ENTRY'!$A$7:$A$1203,0))),"")</f>
        <v>0</v>
      </c>
      <c r="J10" s="65" t="n">
        <f aca="false">COUNTIFS('DAILY ENTRY'!$C$7:$C$1203,$A10,'DAILY ENTRY'!$I$7:$I$1203,"Blocked")</f>
        <v>0</v>
      </c>
      <c r="K10" s="67" t="str">
        <f aca="false">IF($C10="Complete",IF(D10=0,"Account is live but nothing has been done on it yet",IF(H10&gt;14,"Live but untouched for over two weeks","Active")),IF($C10="Not Started","Not set up yet","Setup in progress"))</f>
        <v>Not set up yet</v>
      </c>
    </row>
    <row r="11" customFormat="false" ht="21.75" hidden="false" customHeight="true" outlineLevel="0" collapsed="false">
      <c r="A11" s="77" t="str">
        <f aca="false">'Platform Setup'!$B$11</f>
        <v>Instagram</v>
      </c>
      <c r="B11" s="78" t="str">
        <f aca="false">'Platform Setup'!$C$11</f>
        <v>Social Media</v>
      </c>
      <c r="C11" s="45" t="str">
        <f aca="false">'Platform Setup'!$J$11</f>
        <v>Not Started</v>
      </c>
      <c r="D11" s="45" t="n">
        <f aca="false">COUNTIF('DAILY ENTRY'!$C$7:$C$1203,$A11)</f>
        <v>0</v>
      </c>
      <c r="E11" s="45" t="n">
        <f aca="false">SUMIF('DAILY ENTRY'!$C$7:$C$1203,$A11,'DAILY ENTRY'!$F$7:$F$1203)</f>
        <v>0</v>
      </c>
      <c r="F11" s="45" t="n">
        <f aca="false">SUMIF('DAILY ENTRY'!$C$7:$C$1203,$A11,'DAILY ENTRY'!$G$7:$G$1203)</f>
        <v>0</v>
      </c>
      <c r="G11" s="79" t="n">
        <f aca="false">IFERROR(SUMPRODUCT(MAX(('DAILY ENTRY'!$C$7:$C$1203=$A11)*'DAILY ENTRY'!$A$7:$A$1203)),"")</f>
        <v>0</v>
      </c>
      <c r="H11" s="45" t="n">
        <f aca="true">IF(G11="","",TODAY()-G11)</f>
        <v>46251</v>
      </c>
      <c r="I11" s="45" t="n">
        <f aca="false">IFERROR(INDEX('DAILY ENTRY'!$B$7:$B$1203,SUMPRODUCT(MATCH(SUMPRODUCT(MAX(('DAILY ENTRY'!$C$7:$C$1203=$A11)*'DAILY ENTRY'!$A$7:$A$1203)),('DAILY ENTRY'!$C$7:$C$1203=$A11)*'DAILY ENTRY'!$A$7:$A$1203,0))),"")</f>
        <v>0</v>
      </c>
      <c r="J11" s="65" t="n">
        <f aca="false">COUNTIFS('DAILY ENTRY'!$C$7:$C$1203,$A11,'DAILY ENTRY'!$I$7:$I$1203,"Blocked")</f>
        <v>0</v>
      </c>
      <c r="K11" s="67" t="str">
        <f aca="false">IF($C11="Complete",IF(D11=0,"Account is live but nothing has been done on it yet",IF(H11&gt;14,"Live but untouched for over two weeks","Active")),IF($C11="Not Started","Not set up yet","Setup in progress"))</f>
        <v>Not set up yet</v>
      </c>
    </row>
    <row r="12" customFormat="false" ht="21.75" hidden="false" customHeight="true" outlineLevel="0" collapsed="false">
      <c r="A12" s="77" t="str">
        <f aca="false">'Platform Setup'!$B$12</f>
        <v>X (Twitter)</v>
      </c>
      <c r="B12" s="78" t="str">
        <f aca="false">'Platform Setup'!$C$12</f>
        <v>Social Media</v>
      </c>
      <c r="C12" s="45" t="str">
        <f aca="false">'Platform Setup'!$J$12</f>
        <v>Not Started</v>
      </c>
      <c r="D12" s="45" t="n">
        <f aca="false">COUNTIF('DAILY ENTRY'!$C$7:$C$1203,$A12)</f>
        <v>0</v>
      </c>
      <c r="E12" s="45" t="n">
        <f aca="false">SUMIF('DAILY ENTRY'!$C$7:$C$1203,$A12,'DAILY ENTRY'!$F$7:$F$1203)</f>
        <v>0</v>
      </c>
      <c r="F12" s="45" t="n">
        <f aca="false">SUMIF('DAILY ENTRY'!$C$7:$C$1203,$A12,'DAILY ENTRY'!$G$7:$G$1203)</f>
        <v>0</v>
      </c>
      <c r="G12" s="79" t="n">
        <f aca="false">IFERROR(SUMPRODUCT(MAX(('DAILY ENTRY'!$C$7:$C$1203=$A12)*'DAILY ENTRY'!$A$7:$A$1203)),"")</f>
        <v>0</v>
      </c>
      <c r="H12" s="45" t="n">
        <f aca="true">IF(G12="","",TODAY()-G12)</f>
        <v>46251</v>
      </c>
      <c r="I12" s="45" t="n">
        <f aca="false">IFERROR(INDEX('DAILY ENTRY'!$B$7:$B$1203,SUMPRODUCT(MATCH(SUMPRODUCT(MAX(('DAILY ENTRY'!$C$7:$C$1203=$A12)*'DAILY ENTRY'!$A$7:$A$1203)),('DAILY ENTRY'!$C$7:$C$1203=$A12)*'DAILY ENTRY'!$A$7:$A$1203,0))),"")</f>
        <v>0</v>
      </c>
      <c r="J12" s="65" t="n">
        <f aca="false">COUNTIFS('DAILY ENTRY'!$C$7:$C$1203,$A12,'DAILY ENTRY'!$I$7:$I$1203,"Blocked")</f>
        <v>0</v>
      </c>
      <c r="K12" s="67" t="str">
        <f aca="false">IF($C12="Complete",IF(D12=0,"Account is live but nothing has been done on it yet",IF(H12&gt;14,"Live but untouched for over two weeks","Active")),IF($C12="Not Started","Not set up yet","Setup in progress"))</f>
        <v>Not set up yet</v>
      </c>
    </row>
    <row r="13" customFormat="false" ht="21.75" hidden="false" customHeight="true" outlineLevel="0" collapsed="false">
      <c r="A13" s="77" t="str">
        <f aca="false">'Platform Setup'!$B$13</f>
        <v>Threads</v>
      </c>
      <c r="B13" s="78" t="str">
        <f aca="false">'Platform Setup'!$C$13</f>
        <v>Social Media</v>
      </c>
      <c r="C13" s="45" t="str">
        <f aca="false">'Platform Setup'!$J$13</f>
        <v>Not Started</v>
      </c>
      <c r="D13" s="45" t="n">
        <f aca="false">COUNTIF('DAILY ENTRY'!$C$7:$C$1203,$A13)</f>
        <v>0</v>
      </c>
      <c r="E13" s="45" t="n">
        <f aca="false">SUMIF('DAILY ENTRY'!$C$7:$C$1203,$A13,'DAILY ENTRY'!$F$7:$F$1203)</f>
        <v>0</v>
      </c>
      <c r="F13" s="45" t="n">
        <f aca="false">SUMIF('DAILY ENTRY'!$C$7:$C$1203,$A13,'DAILY ENTRY'!$G$7:$G$1203)</f>
        <v>0</v>
      </c>
      <c r="G13" s="79" t="n">
        <f aca="false">IFERROR(SUMPRODUCT(MAX(('DAILY ENTRY'!$C$7:$C$1203=$A13)*'DAILY ENTRY'!$A$7:$A$1203)),"")</f>
        <v>0</v>
      </c>
      <c r="H13" s="45" t="n">
        <f aca="true">IF(G13="","",TODAY()-G13)</f>
        <v>46251</v>
      </c>
      <c r="I13" s="45" t="n">
        <f aca="false">IFERROR(INDEX('DAILY ENTRY'!$B$7:$B$1203,SUMPRODUCT(MATCH(SUMPRODUCT(MAX(('DAILY ENTRY'!$C$7:$C$1203=$A13)*'DAILY ENTRY'!$A$7:$A$1203)),('DAILY ENTRY'!$C$7:$C$1203=$A13)*'DAILY ENTRY'!$A$7:$A$1203,0))),"")</f>
        <v>0</v>
      </c>
      <c r="J13" s="65" t="n">
        <f aca="false">COUNTIFS('DAILY ENTRY'!$C$7:$C$1203,$A13,'DAILY ENTRY'!$I$7:$I$1203,"Blocked")</f>
        <v>0</v>
      </c>
      <c r="K13" s="67" t="str">
        <f aca="false">IF($C13="Complete",IF(D13=0,"Account is live but nothing has been done on it yet",IF(H13&gt;14,"Live but untouched for over two weeks","Active")),IF($C13="Not Started","Not set up yet","Setup in progress"))</f>
        <v>Not set up yet</v>
      </c>
    </row>
    <row r="14" customFormat="false" ht="21.75" hidden="false" customHeight="true" outlineLevel="0" collapsed="false">
      <c r="A14" s="77" t="str">
        <f aca="false">'Platform Setup'!$B$14</f>
        <v>TikTok</v>
      </c>
      <c r="B14" s="78" t="str">
        <f aca="false">'Platform Setup'!$C$14</f>
        <v>Social Media</v>
      </c>
      <c r="C14" s="45" t="str">
        <f aca="false">'Platform Setup'!$J$14</f>
        <v>Not Started</v>
      </c>
      <c r="D14" s="45" t="n">
        <f aca="false">COUNTIF('DAILY ENTRY'!$C$7:$C$1203,$A14)</f>
        <v>0</v>
      </c>
      <c r="E14" s="45" t="n">
        <f aca="false">SUMIF('DAILY ENTRY'!$C$7:$C$1203,$A14,'DAILY ENTRY'!$F$7:$F$1203)</f>
        <v>0</v>
      </c>
      <c r="F14" s="45" t="n">
        <f aca="false">SUMIF('DAILY ENTRY'!$C$7:$C$1203,$A14,'DAILY ENTRY'!$G$7:$G$1203)</f>
        <v>0</v>
      </c>
      <c r="G14" s="79" t="n">
        <f aca="false">IFERROR(SUMPRODUCT(MAX(('DAILY ENTRY'!$C$7:$C$1203=$A14)*'DAILY ENTRY'!$A$7:$A$1203)),"")</f>
        <v>0</v>
      </c>
      <c r="H14" s="45" t="n">
        <f aca="true">IF(G14="","",TODAY()-G14)</f>
        <v>46251</v>
      </c>
      <c r="I14" s="45" t="n">
        <f aca="false">IFERROR(INDEX('DAILY ENTRY'!$B$7:$B$1203,SUMPRODUCT(MATCH(SUMPRODUCT(MAX(('DAILY ENTRY'!$C$7:$C$1203=$A14)*'DAILY ENTRY'!$A$7:$A$1203)),('DAILY ENTRY'!$C$7:$C$1203=$A14)*'DAILY ENTRY'!$A$7:$A$1203,0))),"")</f>
        <v>0</v>
      </c>
      <c r="J14" s="65" t="n">
        <f aca="false">COUNTIFS('DAILY ENTRY'!$C$7:$C$1203,$A14,'DAILY ENTRY'!$I$7:$I$1203,"Blocked")</f>
        <v>0</v>
      </c>
      <c r="K14" s="67" t="str">
        <f aca="false">IF($C14="Complete",IF(D14=0,"Account is live but nothing has been done on it yet",IF(H14&gt;14,"Live but untouched for over two weeks","Active")),IF($C14="Not Started","Not set up yet","Setup in progress"))</f>
        <v>Not set up yet</v>
      </c>
    </row>
    <row r="15" customFormat="false" ht="21.75" hidden="false" customHeight="true" outlineLevel="0" collapsed="false">
      <c r="A15" s="77" t="str">
        <f aca="false">'Platform Setup'!$B$15</f>
        <v>YouTube</v>
      </c>
      <c r="B15" s="78" t="str">
        <f aca="false">'Platform Setup'!$C$15</f>
        <v>Social Media</v>
      </c>
      <c r="C15" s="45" t="str">
        <f aca="false">'Platform Setup'!$J$15</f>
        <v>Not Started</v>
      </c>
      <c r="D15" s="45" t="n">
        <f aca="false">COUNTIF('DAILY ENTRY'!$C$7:$C$1203,$A15)</f>
        <v>0</v>
      </c>
      <c r="E15" s="45" t="n">
        <f aca="false">SUMIF('DAILY ENTRY'!$C$7:$C$1203,$A15,'DAILY ENTRY'!$F$7:$F$1203)</f>
        <v>0</v>
      </c>
      <c r="F15" s="45" t="n">
        <f aca="false">SUMIF('DAILY ENTRY'!$C$7:$C$1203,$A15,'DAILY ENTRY'!$G$7:$G$1203)</f>
        <v>0</v>
      </c>
      <c r="G15" s="79" t="n">
        <f aca="false">IFERROR(SUMPRODUCT(MAX(('DAILY ENTRY'!$C$7:$C$1203=$A15)*'DAILY ENTRY'!$A$7:$A$1203)),"")</f>
        <v>0</v>
      </c>
      <c r="H15" s="45" t="n">
        <f aca="true">IF(G15="","",TODAY()-G15)</f>
        <v>46251</v>
      </c>
      <c r="I15" s="45" t="n">
        <f aca="false">IFERROR(INDEX('DAILY ENTRY'!$B$7:$B$1203,SUMPRODUCT(MATCH(SUMPRODUCT(MAX(('DAILY ENTRY'!$C$7:$C$1203=$A15)*'DAILY ENTRY'!$A$7:$A$1203)),('DAILY ENTRY'!$C$7:$C$1203=$A15)*'DAILY ENTRY'!$A$7:$A$1203,0))),"")</f>
        <v>0</v>
      </c>
      <c r="J15" s="65" t="n">
        <f aca="false">COUNTIFS('DAILY ENTRY'!$C$7:$C$1203,$A15,'DAILY ENTRY'!$I$7:$I$1203,"Blocked")</f>
        <v>0</v>
      </c>
      <c r="K15" s="67" t="str">
        <f aca="false">IF($C15="Complete",IF(D15=0,"Account is live but nothing has been done on it yet",IF(H15&gt;14,"Live but untouched for over two weeks","Active")),IF($C15="Not Started","Not set up yet","Setup in progress"))</f>
        <v>Not set up yet</v>
      </c>
    </row>
    <row r="16" customFormat="false" ht="21.75" hidden="false" customHeight="true" outlineLevel="0" collapsed="false">
      <c r="A16" s="77" t="str">
        <f aca="false">'Platform Setup'!$B$16</f>
        <v>YouTube Shorts</v>
      </c>
      <c r="B16" s="78" t="str">
        <f aca="false">'Platform Setup'!$C$16</f>
        <v>Social Media</v>
      </c>
      <c r="C16" s="45" t="str">
        <f aca="false">'Platform Setup'!$J$16</f>
        <v>Not Started</v>
      </c>
      <c r="D16" s="45" t="n">
        <f aca="false">COUNTIF('DAILY ENTRY'!$C$7:$C$1203,$A16)</f>
        <v>0</v>
      </c>
      <c r="E16" s="45" t="n">
        <f aca="false">SUMIF('DAILY ENTRY'!$C$7:$C$1203,$A16,'DAILY ENTRY'!$F$7:$F$1203)</f>
        <v>0</v>
      </c>
      <c r="F16" s="45" t="n">
        <f aca="false">SUMIF('DAILY ENTRY'!$C$7:$C$1203,$A16,'DAILY ENTRY'!$G$7:$G$1203)</f>
        <v>0</v>
      </c>
      <c r="G16" s="79" t="n">
        <f aca="false">IFERROR(SUMPRODUCT(MAX(('DAILY ENTRY'!$C$7:$C$1203=$A16)*'DAILY ENTRY'!$A$7:$A$1203)),"")</f>
        <v>0</v>
      </c>
      <c r="H16" s="45" t="n">
        <f aca="true">IF(G16="","",TODAY()-G16)</f>
        <v>46251</v>
      </c>
      <c r="I16" s="45" t="n">
        <f aca="false">IFERROR(INDEX('DAILY ENTRY'!$B$7:$B$1203,SUMPRODUCT(MATCH(SUMPRODUCT(MAX(('DAILY ENTRY'!$C$7:$C$1203=$A16)*'DAILY ENTRY'!$A$7:$A$1203)),('DAILY ENTRY'!$C$7:$C$1203=$A16)*'DAILY ENTRY'!$A$7:$A$1203,0))),"")</f>
        <v>0</v>
      </c>
      <c r="J16" s="65" t="n">
        <f aca="false">COUNTIFS('DAILY ENTRY'!$C$7:$C$1203,$A16,'DAILY ENTRY'!$I$7:$I$1203,"Blocked")</f>
        <v>0</v>
      </c>
      <c r="K16" s="67" t="str">
        <f aca="false">IF($C16="Complete",IF(D16=0,"Account is live but nothing has been done on it yet",IF(H16&gt;14,"Live but untouched for over two weeks","Active")),IF($C16="Not Started","Not set up yet","Setup in progress"))</f>
        <v>Not set up yet</v>
      </c>
    </row>
    <row r="17" customFormat="false" ht="21.75" hidden="false" customHeight="true" outlineLevel="0" collapsed="false">
      <c r="A17" s="77" t="str">
        <f aca="false">'Platform Setup'!$B$17</f>
        <v>Pinterest</v>
      </c>
      <c r="B17" s="78" t="str">
        <f aca="false">'Platform Setup'!$C$17</f>
        <v>Social Media</v>
      </c>
      <c r="C17" s="45" t="str">
        <f aca="false">'Platform Setup'!$J$17</f>
        <v>Not Started</v>
      </c>
      <c r="D17" s="45" t="n">
        <f aca="false">COUNTIF('DAILY ENTRY'!$C$7:$C$1203,$A17)</f>
        <v>0</v>
      </c>
      <c r="E17" s="45" t="n">
        <f aca="false">SUMIF('DAILY ENTRY'!$C$7:$C$1203,$A17,'DAILY ENTRY'!$F$7:$F$1203)</f>
        <v>0</v>
      </c>
      <c r="F17" s="45" t="n">
        <f aca="false">SUMIF('DAILY ENTRY'!$C$7:$C$1203,$A17,'DAILY ENTRY'!$G$7:$G$1203)</f>
        <v>0</v>
      </c>
      <c r="G17" s="79" t="n">
        <f aca="false">IFERROR(SUMPRODUCT(MAX(('DAILY ENTRY'!$C$7:$C$1203=$A17)*'DAILY ENTRY'!$A$7:$A$1203)),"")</f>
        <v>0</v>
      </c>
      <c r="H17" s="45" t="n">
        <f aca="true">IF(G17="","",TODAY()-G17)</f>
        <v>46251</v>
      </c>
      <c r="I17" s="45" t="n">
        <f aca="false">IFERROR(INDEX('DAILY ENTRY'!$B$7:$B$1203,SUMPRODUCT(MATCH(SUMPRODUCT(MAX(('DAILY ENTRY'!$C$7:$C$1203=$A17)*'DAILY ENTRY'!$A$7:$A$1203)),('DAILY ENTRY'!$C$7:$C$1203=$A17)*'DAILY ENTRY'!$A$7:$A$1203,0))),"")</f>
        <v>0</v>
      </c>
      <c r="J17" s="65" t="n">
        <f aca="false">COUNTIFS('DAILY ENTRY'!$C$7:$C$1203,$A17,'DAILY ENTRY'!$I$7:$I$1203,"Blocked")</f>
        <v>0</v>
      </c>
      <c r="K17" s="67" t="str">
        <f aca="false">IF($C17="Complete",IF(D17=0,"Account is live but nothing has been done on it yet",IF(H17&gt;14,"Live but untouched for over two weeks","Active")),IF($C17="Not Started","Not set up yet","Setup in progress"))</f>
        <v>Not set up yet</v>
      </c>
    </row>
    <row r="18" customFormat="false" ht="21.75" hidden="false" customHeight="true" outlineLevel="0" collapsed="false">
      <c r="A18" s="77" t="str">
        <f aca="false">'Platform Setup'!$B$18</f>
        <v>Medium</v>
      </c>
      <c r="B18" s="78" t="str">
        <f aca="false">'Platform Setup'!$C$18</f>
        <v>Publishing</v>
      </c>
      <c r="C18" s="45" t="str">
        <f aca="false">'Platform Setup'!$J$18</f>
        <v>Not Started</v>
      </c>
      <c r="D18" s="45" t="n">
        <f aca="false">COUNTIF('DAILY ENTRY'!$C$7:$C$1203,$A18)</f>
        <v>0</v>
      </c>
      <c r="E18" s="45" t="n">
        <f aca="false">SUMIF('DAILY ENTRY'!$C$7:$C$1203,$A18,'DAILY ENTRY'!$F$7:$F$1203)</f>
        <v>0</v>
      </c>
      <c r="F18" s="45" t="n">
        <f aca="false">SUMIF('DAILY ENTRY'!$C$7:$C$1203,$A18,'DAILY ENTRY'!$G$7:$G$1203)</f>
        <v>0</v>
      </c>
      <c r="G18" s="79" t="n">
        <f aca="false">IFERROR(SUMPRODUCT(MAX(('DAILY ENTRY'!$C$7:$C$1203=$A18)*'DAILY ENTRY'!$A$7:$A$1203)),"")</f>
        <v>0</v>
      </c>
      <c r="H18" s="45" t="n">
        <f aca="true">IF(G18="","",TODAY()-G18)</f>
        <v>46251</v>
      </c>
      <c r="I18" s="45" t="n">
        <f aca="false">IFERROR(INDEX('DAILY ENTRY'!$B$7:$B$1203,SUMPRODUCT(MATCH(SUMPRODUCT(MAX(('DAILY ENTRY'!$C$7:$C$1203=$A18)*'DAILY ENTRY'!$A$7:$A$1203)),('DAILY ENTRY'!$C$7:$C$1203=$A18)*'DAILY ENTRY'!$A$7:$A$1203,0))),"")</f>
        <v>0</v>
      </c>
      <c r="J18" s="65" t="n">
        <f aca="false">COUNTIFS('DAILY ENTRY'!$C$7:$C$1203,$A18,'DAILY ENTRY'!$I$7:$I$1203,"Blocked")</f>
        <v>0</v>
      </c>
      <c r="K18" s="67" t="str">
        <f aca="false">IF($C18="Complete",IF(D18=0,"Account is live but nothing has been done on it yet",IF(H18&gt;14,"Live but untouched for over two weeks","Active")),IF($C18="Not Started","Not set up yet","Setup in progress"))</f>
        <v>Not set up yet</v>
      </c>
    </row>
    <row r="19" customFormat="false" ht="21.75" hidden="false" customHeight="true" outlineLevel="0" collapsed="false">
      <c r="A19" s="77" t="str">
        <f aca="false">'Platform Setup'!$B$19</f>
        <v>Substack</v>
      </c>
      <c r="B19" s="78" t="str">
        <f aca="false">'Platform Setup'!$C$19</f>
        <v>Publishing</v>
      </c>
      <c r="C19" s="45" t="str">
        <f aca="false">'Platform Setup'!$J$19</f>
        <v>Not Started</v>
      </c>
      <c r="D19" s="45" t="n">
        <f aca="false">COUNTIF('DAILY ENTRY'!$C$7:$C$1203,$A19)</f>
        <v>0</v>
      </c>
      <c r="E19" s="45" t="n">
        <f aca="false">SUMIF('DAILY ENTRY'!$C$7:$C$1203,$A19,'DAILY ENTRY'!$F$7:$F$1203)</f>
        <v>0</v>
      </c>
      <c r="F19" s="45" t="n">
        <f aca="false">SUMIF('DAILY ENTRY'!$C$7:$C$1203,$A19,'DAILY ENTRY'!$G$7:$G$1203)</f>
        <v>0</v>
      </c>
      <c r="G19" s="79" t="n">
        <f aca="false">IFERROR(SUMPRODUCT(MAX(('DAILY ENTRY'!$C$7:$C$1203=$A19)*'DAILY ENTRY'!$A$7:$A$1203)),"")</f>
        <v>0</v>
      </c>
      <c r="H19" s="45" t="n">
        <f aca="true">IF(G19="","",TODAY()-G19)</f>
        <v>46251</v>
      </c>
      <c r="I19" s="45" t="n">
        <f aca="false">IFERROR(INDEX('DAILY ENTRY'!$B$7:$B$1203,SUMPRODUCT(MATCH(SUMPRODUCT(MAX(('DAILY ENTRY'!$C$7:$C$1203=$A19)*'DAILY ENTRY'!$A$7:$A$1203)),('DAILY ENTRY'!$C$7:$C$1203=$A19)*'DAILY ENTRY'!$A$7:$A$1203,0))),"")</f>
        <v>0</v>
      </c>
      <c r="J19" s="65" t="n">
        <f aca="false">COUNTIFS('DAILY ENTRY'!$C$7:$C$1203,$A19,'DAILY ENTRY'!$I$7:$I$1203,"Blocked")</f>
        <v>0</v>
      </c>
      <c r="K19" s="67" t="str">
        <f aca="false">IF($C19="Complete",IF(D19=0,"Account is live but nothing has been done on it yet",IF(H19&gt;14,"Live but untouched for over two weeks","Active")),IF($C19="Not Started","Not set up yet","Setup in progress"))</f>
        <v>Not set up yet</v>
      </c>
    </row>
    <row r="20" customFormat="false" ht="21.75" hidden="false" customHeight="true" outlineLevel="0" collapsed="false">
      <c r="A20" s="77" t="str">
        <f aca="false">'Platform Setup'!$B$20</f>
        <v>SlideShare</v>
      </c>
      <c r="B20" s="78" t="str">
        <f aca="false">'Platform Setup'!$C$20</f>
        <v>Publishing</v>
      </c>
      <c r="C20" s="45" t="str">
        <f aca="false">'Platform Setup'!$J$20</f>
        <v>Not Started</v>
      </c>
      <c r="D20" s="45" t="n">
        <f aca="false">COUNTIF('DAILY ENTRY'!$C$7:$C$1203,$A20)</f>
        <v>0</v>
      </c>
      <c r="E20" s="45" t="n">
        <f aca="false">SUMIF('DAILY ENTRY'!$C$7:$C$1203,$A20,'DAILY ENTRY'!$F$7:$F$1203)</f>
        <v>0</v>
      </c>
      <c r="F20" s="45" t="n">
        <f aca="false">SUMIF('DAILY ENTRY'!$C$7:$C$1203,$A20,'DAILY ENTRY'!$G$7:$G$1203)</f>
        <v>0</v>
      </c>
      <c r="G20" s="79" t="n">
        <f aca="false">IFERROR(SUMPRODUCT(MAX(('DAILY ENTRY'!$C$7:$C$1203=$A20)*'DAILY ENTRY'!$A$7:$A$1203)),"")</f>
        <v>0</v>
      </c>
      <c r="H20" s="45" t="n">
        <f aca="true">IF(G20="","",TODAY()-G20)</f>
        <v>46251</v>
      </c>
      <c r="I20" s="45" t="n">
        <f aca="false">IFERROR(INDEX('DAILY ENTRY'!$B$7:$B$1203,SUMPRODUCT(MATCH(SUMPRODUCT(MAX(('DAILY ENTRY'!$C$7:$C$1203=$A20)*'DAILY ENTRY'!$A$7:$A$1203)),('DAILY ENTRY'!$C$7:$C$1203=$A20)*'DAILY ENTRY'!$A$7:$A$1203,0))),"")</f>
        <v>0</v>
      </c>
      <c r="J20" s="65" t="n">
        <f aca="false">COUNTIFS('DAILY ENTRY'!$C$7:$C$1203,$A20,'DAILY ENTRY'!$I$7:$I$1203,"Blocked")</f>
        <v>0</v>
      </c>
      <c r="K20" s="67" t="str">
        <f aca="false">IF($C20="Complete",IF(D20=0,"Account is live but nothing has been done on it yet",IF(H20&gt;14,"Live but untouched for over two weeks","Active")),IF($C20="Not Started","Not set up yet","Setup in progress"))</f>
        <v>Not set up yet</v>
      </c>
    </row>
    <row r="21" customFormat="false" ht="21.75" hidden="false" customHeight="true" outlineLevel="0" collapsed="false">
      <c r="A21" s="77" t="str">
        <f aca="false">'Platform Setup'!$B$21</f>
        <v>Tumblr</v>
      </c>
      <c r="B21" s="78" t="str">
        <f aca="false">'Platform Setup'!$C$21</f>
        <v>Publishing</v>
      </c>
      <c r="C21" s="45" t="str">
        <f aca="false">'Platform Setup'!$J$21</f>
        <v>Not Started</v>
      </c>
      <c r="D21" s="45" t="n">
        <f aca="false">COUNTIF('DAILY ENTRY'!$C$7:$C$1203,$A21)</f>
        <v>0</v>
      </c>
      <c r="E21" s="45" t="n">
        <f aca="false">SUMIF('DAILY ENTRY'!$C$7:$C$1203,$A21,'DAILY ENTRY'!$F$7:$F$1203)</f>
        <v>0</v>
      </c>
      <c r="F21" s="45" t="n">
        <f aca="false">SUMIF('DAILY ENTRY'!$C$7:$C$1203,$A21,'DAILY ENTRY'!$G$7:$G$1203)</f>
        <v>0</v>
      </c>
      <c r="G21" s="79" t="n">
        <f aca="false">IFERROR(SUMPRODUCT(MAX(('DAILY ENTRY'!$C$7:$C$1203=$A21)*'DAILY ENTRY'!$A$7:$A$1203)),"")</f>
        <v>0</v>
      </c>
      <c r="H21" s="45" t="n">
        <f aca="true">IF(G21="","",TODAY()-G21)</f>
        <v>46251</v>
      </c>
      <c r="I21" s="45" t="n">
        <f aca="false">IFERROR(INDEX('DAILY ENTRY'!$B$7:$B$1203,SUMPRODUCT(MATCH(SUMPRODUCT(MAX(('DAILY ENTRY'!$C$7:$C$1203=$A21)*'DAILY ENTRY'!$A$7:$A$1203)),('DAILY ENTRY'!$C$7:$C$1203=$A21)*'DAILY ENTRY'!$A$7:$A$1203,0))),"")</f>
        <v>0</v>
      </c>
      <c r="J21" s="65" t="n">
        <f aca="false">COUNTIFS('DAILY ENTRY'!$C$7:$C$1203,$A21,'DAILY ENTRY'!$I$7:$I$1203,"Blocked")</f>
        <v>0</v>
      </c>
      <c r="K21" s="67" t="str">
        <f aca="false">IF($C21="Complete",IF(D21=0,"Account is live but nothing has been done on it yet",IF(H21&gt;14,"Live but untouched for over two weeks","Active")),IF($C21="Not Started","Not set up yet","Setup in progress"))</f>
        <v>Not set up yet</v>
      </c>
    </row>
    <row r="22" customFormat="false" ht="21.75" hidden="false" customHeight="true" outlineLevel="0" collapsed="false">
      <c r="A22" s="77" t="str">
        <f aca="false">'Platform Setup'!$B$22</f>
        <v>Quora</v>
      </c>
      <c r="B22" s="78" t="str">
        <f aca="false">'Platform Setup'!$C$22</f>
        <v>Community</v>
      </c>
      <c r="C22" s="45" t="str">
        <f aca="false">'Platform Setup'!$J$22</f>
        <v>Not Started</v>
      </c>
      <c r="D22" s="45" t="n">
        <f aca="false">COUNTIF('DAILY ENTRY'!$C$7:$C$1203,$A22)</f>
        <v>0</v>
      </c>
      <c r="E22" s="45" t="n">
        <f aca="false">SUMIF('DAILY ENTRY'!$C$7:$C$1203,$A22,'DAILY ENTRY'!$F$7:$F$1203)</f>
        <v>0</v>
      </c>
      <c r="F22" s="45" t="n">
        <f aca="false">SUMIF('DAILY ENTRY'!$C$7:$C$1203,$A22,'DAILY ENTRY'!$G$7:$G$1203)</f>
        <v>0</v>
      </c>
      <c r="G22" s="79" t="n">
        <f aca="false">IFERROR(SUMPRODUCT(MAX(('DAILY ENTRY'!$C$7:$C$1203=$A22)*'DAILY ENTRY'!$A$7:$A$1203)),"")</f>
        <v>0</v>
      </c>
      <c r="H22" s="45" t="n">
        <f aca="true">IF(G22="","",TODAY()-G22)</f>
        <v>46251</v>
      </c>
      <c r="I22" s="45" t="n">
        <f aca="false">IFERROR(INDEX('DAILY ENTRY'!$B$7:$B$1203,SUMPRODUCT(MATCH(SUMPRODUCT(MAX(('DAILY ENTRY'!$C$7:$C$1203=$A22)*'DAILY ENTRY'!$A$7:$A$1203)),('DAILY ENTRY'!$C$7:$C$1203=$A22)*'DAILY ENTRY'!$A$7:$A$1203,0))),"")</f>
        <v>0</v>
      </c>
      <c r="J22" s="65" t="n">
        <f aca="false">COUNTIFS('DAILY ENTRY'!$C$7:$C$1203,$A22,'DAILY ENTRY'!$I$7:$I$1203,"Blocked")</f>
        <v>0</v>
      </c>
      <c r="K22" s="67" t="str">
        <f aca="false">IF($C22="Complete",IF(D22=0,"Account is live but nothing has been done on it yet",IF(H22&gt;14,"Live but untouched for over two weeks","Active")),IF($C22="Not Started","Not set up yet","Setup in progress"))</f>
        <v>Not set up yet</v>
      </c>
    </row>
    <row r="23" customFormat="false" ht="21.75" hidden="false" customHeight="true" outlineLevel="0" collapsed="false">
      <c r="A23" s="77" t="str">
        <f aca="false">'Platform Setup'!$B$23</f>
        <v>Reddit</v>
      </c>
      <c r="B23" s="78" t="str">
        <f aca="false">'Platform Setup'!$C$23</f>
        <v>Community</v>
      </c>
      <c r="C23" s="45" t="str">
        <f aca="false">'Platform Setup'!$J$23</f>
        <v>Not Started</v>
      </c>
      <c r="D23" s="45" t="n">
        <f aca="false">COUNTIF('DAILY ENTRY'!$C$7:$C$1203,$A23)</f>
        <v>0</v>
      </c>
      <c r="E23" s="45" t="n">
        <f aca="false">SUMIF('DAILY ENTRY'!$C$7:$C$1203,$A23,'DAILY ENTRY'!$F$7:$F$1203)</f>
        <v>0</v>
      </c>
      <c r="F23" s="45" t="n">
        <f aca="false">SUMIF('DAILY ENTRY'!$C$7:$C$1203,$A23,'DAILY ENTRY'!$G$7:$G$1203)</f>
        <v>0</v>
      </c>
      <c r="G23" s="79" t="n">
        <f aca="false">IFERROR(SUMPRODUCT(MAX(('DAILY ENTRY'!$C$7:$C$1203=$A23)*'DAILY ENTRY'!$A$7:$A$1203)),"")</f>
        <v>0</v>
      </c>
      <c r="H23" s="45" t="n">
        <f aca="true">IF(G23="","",TODAY()-G23)</f>
        <v>46251</v>
      </c>
      <c r="I23" s="45" t="n">
        <f aca="false">IFERROR(INDEX('DAILY ENTRY'!$B$7:$B$1203,SUMPRODUCT(MATCH(SUMPRODUCT(MAX(('DAILY ENTRY'!$C$7:$C$1203=$A23)*'DAILY ENTRY'!$A$7:$A$1203)),('DAILY ENTRY'!$C$7:$C$1203=$A23)*'DAILY ENTRY'!$A$7:$A$1203,0))),"")</f>
        <v>0</v>
      </c>
      <c r="J23" s="65" t="n">
        <f aca="false">COUNTIFS('DAILY ENTRY'!$C$7:$C$1203,$A23,'DAILY ENTRY'!$I$7:$I$1203,"Blocked")</f>
        <v>0</v>
      </c>
      <c r="K23" s="67" t="str">
        <f aca="false">IF($C23="Complete",IF(D23=0,"Account is live but nothing has been done on it yet",IF(H23&gt;14,"Live but untouched for over two weeks","Active")),IF($C23="Not Started","Not set up yet","Setup in progress"))</f>
        <v>Not set up yet</v>
      </c>
    </row>
    <row r="24" customFormat="false" ht="21.75" hidden="false" customHeight="true" outlineLevel="0" collapsed="false">
      <c r="A24" s="77" t="str">
        <f aca="false">'Platform Setup'!$B$24</f>
        <v>Discord</v>
      </c>
      <c r="B24" s="78" t="str">
        <f aca="false">'Platform Setup'!$C$24</f>
        <v>Community</v>
      </c>
      <c r="C24" s="45" t="str">
        <f aca="false">'Platform Setup'!$J$24</f>
        <v>Not Started</v>
      </c>
      <c r="D24" s="45" t="n">
        <f aca="false">COUNTIF('DAILY ENTRY'!$C$7:$C$1203,$A24)</f>
        <v>0</v>
      </c>
      <c r="E24" s="45" t="n">
        <f aca="false">SUMIF('DAILY ENTRY'!$C$7:$C$1203,$A24,'DAILY ENTRY'!$F$7:$F$1203)</f>
        <v>0</v>
      </c>
      <c r="F24" s="45" t="n">
        <f aca="false">SUMIF('DAILY ENTRY'!$C$7:$C$1203,$A24,'DAILY ENTRY'!$G$7:$G$1203)</f>
        <v>0</v>
      </c>
      <c r="G24" s="79" t="n">
        <f aca="false">IFERROR(SUMPRODUCT(MAX(('DAILY ENTRY'!$C$7:$C$1203=$A24)*'DAILY ENTRY'!$A$7:$A$1203)),"")</f>
        <v>0</v>
      </c>
      <c r="H24" s="45" t="n">
        <f aca="true">IF(G24="","",TODAY()-G24)</f>
        <v>46251</v>
      </c>
      <c r="I24" s="45" t="n">
        <f aca="false">IFERROR(INDEX('DAILY ENTRY'!$B$7:$B$1203,SUMPRODUCT(MATCH(SUMPRODUCT(MAX(('DAILY ENTRY'!$C$7:$C$1203=$A24)*'DAILY ENTRY'!$A$7:$A$1203)),('DAILY ENTRY'!$C$7:$C$1203=$A24)*'DAILY ENTRY'!$A$7:$A$1203,0))),"")</f>
        <v>0</v>
      </c>
      <c r="J24" s="65" t="n">
        <f aca="false">COUNTIFS('DAILY ENTRY'!$C$7:$C$1203,$A24,'DAILY ENTRY'!$I$7:$I$1203,"Blocked")</f>
        <v>0</v>
      </c>
      <c r="K24" s="67" t="str">
        <f aca="false">IF($C24="Complete",IF(D24=0,"Account is live but nothing has been done on it yet",IF(H24&gt;14,"Live but untouched for over two weeks","Active")),IF($C24="Not Started","Not set up yet","Setup in progress"))</f>
        <v>Not set up yet</v>
      </c>
    </row>
    <row r="25" customFormat="false" ht="21.75" hidden="false" customHeight="true" outlineLevel="0" collapsed="false">
      <c r="A25" s="77" t="str">
        <f aca="false">'Platform Setup'!$B$25</f>
        <v>Slack Communities</v>
      </c>
      <c r="B25" s="78" t="str">
        <f aca="false">'Platform Setup'!$C$25</f>
        <v>Community</v>
      </c>
      <c r="C25" s="45" t="str">
        <f aca="false">'Platform Setup'!$J$25</f>
        <v>Not Started</v>
      </c>
      <c r="D25" s="45" t="n">
        <f aca="false">COUNTIF('DAILY ENTRY'!$C$7:$C$1203,$A25)</f>
        <v>0</v>
      </c>
      <c r="E25" s="45" t="n">
        <f aca="false">SUMIF('DAILY ENTRY'!$C$7:$C$1203,$A25,'DAILY ENTRY'!$F$7:$F$1203)</f>
        <v>0</v>
      </c>
      <c r="F25" s="45" t="n">
        <f aca="false">SUMIF('DAILY ENTRY'!$C$7:$C$1203,$A25,'DAILY ENTRY'!$G$7:$G$1203)</f>
        <v>0</v>
      </c>
      <c r="G25" s="79" t="n">
        <f aca="false">IFERROR(SUMPRODUCT(MAX(('DAILY ENTRY'!$C$7:$C$1203=$A25)*'DAILY ENTRY'!$A$7:$A$1203)),"")</f>
        <v>0</v>
      </c>
      <c r="H25" s="45" t="n">
        <f aca="true">IF(G25="","",TODAY()-G25)</f>
        <v>46251</v>
      </c>
      <c r="I25" s="45" t="n">
        <f aca="false">IFERROR(INDEX('DAILY ENTRY'!$B$7:$B$1203,SUMPRODUCT(MATCH(SUMPRODUCT(MAX(('DAILY ENTRY'!$C$7:$C$1203=$A25)*'DAILY ENTRY'!$A$7:$A$1203)),('DAILY ENTRY'!$C$7:$C$1203=$A25)*'DAILY ENTRY'!$A$7:$A$1203,0))),"")</f>
        <v>0</v>
      </c>
      <c r="J25" s="65" t="n">
        <f aca="false">COUNTIFS('DAILY ENTRY'!$C$7:$C$1203,$A25,'DAILY ENTRY'!$I$7:$I$1203,"Blocked")</f>
        <v>0</v>
      </c>
      <c r="K25" s="67" t="str">
        <f aca="false">IF($C25="Complete",IF(D25=0,"Account is live but nothing has been done on it yet",IF(H25&gt;14,"Live but untouched for over two weeks","Active")),IF($C25="Not Started","Not set up yet","Setup in progress"))</f>
        <v>Not set up yet</v>
      </c>
    </row>
    <row r="26" customFormat="false" ht="21.75" hidden="false" customHeight="true" outlineLevel="0" collapsed="false">
      <c r="A26" s="77" t="str">
        <f aca="false">'Platform Setup'!$B$26</f>
        <v>WhatsApp Channel</v>
      </c>
      <c r="B26" s="78" t="str">
        <f aca="false">'Platform Setup'!$C$26</f>
        <v>Social Media</v>
      </c>
      <c r="C26" s="45" t="str">
        <f aca="false">'Platform Setup'!$J$26</f>
        <v>Not Started</v>
      </c>
      <c r="D26" s="45" t="n">
        <f aca="false">COUNTIF('DAILY ENTRY'!$C$7:$C$1203,$A26)</f>
        <v>0</v>
      </c>
      <c r="E26" s="45" t="n">
        <f aca="false">SUMIF('DAILY ENTRY'!$C$7:$C$1203,$A26,'DAILY ENTRY'!$F$7:$F$1203)</f>
        <v>0</v>
      </c>
      <c r="F26" s="45" t="n">
        <f aca="false">SUMIF('DAILY ENTRY'!$C$7:$C$1203,$A26,'DAILY ENTRY'!$G$7:$G$1203)</f>
        <v>0</v>
      </c>
      <c r="G26" s="79" t="n">
        <f aca="false">IFERROR(SUMPRODUCT(MAX(('DAILY ENTRY'!$C$7:$C$1203=$A26)*'DAILY ENTRY'!$A$7:$A$1203)),"")</f>
        <v>0</v>
      </c>
      <c r="H26" s="45" t="n">
        <f aca="true">IF(G26="","",TODAY()-G26)</f>
        <v>46251</v>
      </c>
      <c r="I26" s="45" t="n">
        <f aca="false">IFERROR(INDEX('DAILY ENTRY'!$B$7:$B$1203,SUMPRODUCT(MATCH(SUMPRODUCT(MAX(('DAILY ENTRY'!$C$7:$C$1203=$A26)*'DAILY ENTRY'!$A$7:$A$1203)),('DAILY ENTRY'!$C$7:$C$1203=$A26)*'DAILY ENTRY'!$A$7:$A$1203,0))),"")</f>
        <v>0</v>
      </c>
      <c r="J26" s="65" t="n">
        <f aca="false">COUNTIFS('DAILY ENTRY'!$C$7:$C$1203,$A26,'DAILY ENTRY'!$I$7:$I$1203,"Blocked")</f>
        <v>0</v>
      </c>
      <c r="K26" s="67" t="str">
        <f aca="false">IF($C26="Complete",IF(D26=0,"Account is live but nothing has been done on it yet",IF(H26&gt;14,"Live but untouched for over two weeks","Active")),IF($C26="Not Started","Not set up yet","Setup in progress"))</f>
        <v>Not set up yet</v>
      </c>
    </row>
    <row r="27" customFormat="false" ht="21.75" hidden="false" customHeight="true" outlineLevel="0" collapsed="false">
      <c r="A27" s="77" t="str">
        <f aca="false">'Platform Setup'!$B$27</f>
        <v>Telegram Channel</v>
      </c>
      <c r="B27" s="78" t="str">
        <f aca="false">'Platform Setup'!$C$27</f>
        <v>Social Media</v>
      </c>
      <c r="C27" s="45" t="str">
        <f aca="false">'Platform Setup'!$J$27</f>
        <v>Not Started</v>
      </c>
      <c r="D27" s="45" t="n">
        <f aca="false">COUNTIF('DAILY ENTRY'!$C$7:$C$1203,$A27)</f>
        <v>0</v>
      </c>
      <c r="E27" s="45" t="n">
        <f aca="false">SUMIF('DAILY ENTRY'!$C$7:$C$1203,$A27,'DAILY ENTRY'!$F$7:$F$1203)</f>
        <v>0</v>
      </c>
      <c r="F27" s="45" t="n">
        <f aca="false">SUMIF('DAILY ENTRY'!$C$7:$C$1203,$A27,'DAILY ENTRY'!$G$7:$G$1203)</f>
        <v>0</v>
      </c>
      <c r="G27" s="79" t="n">
        <f aca="false">IFERROR(SUMPRODUCT(MAX(('DAILY ENTRY'!$C$7:$C$1203=$A27)*'DAILY ENTRY'!$A$7:$A$1203)),"")</f>
        <v>0</v>
      </c>
      <c r="H27" s="45" t="n">
        <f aca="true">IF(G27="","",TODAY()-G27)</f>
        <v>46251</v>
      </c>
      <c r="I27" s="45" t="n">
        <f aca="false">IFERROR(INDEX('DAILY ENTRY'!$B$7:$B$1203,SUMPRODUCT(MATCH(SUMPRODUCT(MAX(('DAILY ENTRY'!$C$7:$C$1203=$A27)*'DAILY ENTRY'!$A$7:$A$1203)),('DAILY ENTRY'!$C$7:$C$1203=$A27)*'DAILY ENTRY'!$A$7:$A$1203,0))),"")</f>
        <v>0</v>
      </c>
      <c r="J27" s="65" t="n">
        <f aca="false">COUNTIFS('DAILY ENTRY'!$C$7:$C$1203,$A27,'DAILY ENTRY'!$I$7:$I$1203,"Blocked")</f>
        <v>0</v>
      </c>
      <c r="K27" s="67" t="str">
        <f aca="false">IF($C27="Complete",IF(D27=0,"Account is live but nothing has been done on it yet",IF(H27&gt;14,"Live but untouched for over two weeks","Active")),IF($C27="Not Started","Not set up yet","Setup in progress"))</f>
        <v>Not set up yet</v>
      </c>
    </row>
    <row r="28" customFormat="false" ht="21.75" hidden="false" customHeight="true" outlineLevel="0" collapsed="false">
      <c r="A28" s="77" t="str">
        <f aca="false">'Platform Setup'!$B$28</f>
        <v>Google Business Profile</v>
      </c>
      <c r="B28" s="78" t="str">
        <f aca="false">'Platform Setup'!$C$28</f>
        <v>Directory/Review</v>
      </c>
      <c r="C28" s="45" t="str">
        <f aca="false">'Platform Setup'!$J$28</f>
        <v>Not Started</v>
      </c>
      <c r="D28" s="45" t="n">
        <f aca="false">COUNTIF('DAILY ENTRY'!$C$7:$C$1203,$A28)</f>
        <v>0</v>
      </c>
      <c r="E28" s="45" t="n">
        <f aca="false">SUMIF('DAILY ENTRY'!$C$7:$C$1203,$A28,'DAILY ENTRY'!$F$7:$F$1203)</f>
        <v>0</v>
      </c>
      <c r="F28" s="45" t="n">
        <f aca="false">SUMIF('DAILY ENTRY'!$C$7:$C$1203,$A28,'DAILY ENTRY'!$G$7:$G$1203)</f>
        <v>0</v>
      </c>
      <c r="G28" s="79" t="n">
        <f aca="false">IFERROR(SUMPRODUCT(MAX(('DAILY ENTRY'!$C$7:$C$1203=$A28)*'DAILY ENTRY'!$A$7:$A$1203)),"")</f>
        <v>0</v>
      </c>
      <c r="H28" s="45" t="n">
        <f aca="true">IF(G28="","",TODAY()-G28)</f>
        <v>46251</v>
      </c>
      <c r="I28" s="45" t="n">
        <f aca="false">IFERROR(INDEX('DAILY ENTRY'!$B$7:$B$1203,SUMPRODUCT(MATCH(SUMPRODUCT(MAX(('DAILY ENTRY'!$C$7:$C$1203=$A28)*'DAILY ENTRY'!$A$7:$A$1203)),('DAILY ENTRY'!$C$7:$C$1203=$A28)*'DAILY ENTRY'!$A$7:$A$1203,0))),"")</f>
        <v>0</v>
      </c>
      <c r="J28" s="65" t="n">
        <f aca="false">COUNTIFS('DAILY ENTRY'!$C$7:$C$1203,$A28,'DAILY ENTRY'!$I$7:$I$1203,"Blocked")</f>
        <v>0</v>
      </c>
      <c r="K28" s="67" t="str">
        <f aca="false">IF($C28="Complete",IF(D28=0,"Account is live but nothing has been done on it yet",IF(H28&gt;14,"Live but untouched for over two weeks","Active")),IF($C28="Not Started","Not set up yet","Setup in progress"))</f>
        <v>Not set up yet</v>
      </c>
    </row>
    <row r="29" customFormat="false" ht="21.75" hidden="false" customHeight="true" outlineLevel="0" collapsed="false">
      <c r="A29" s="77" t="str">
        <f aca="false">'Platform Setup'!$B$29</f>
        <v>Bing Places</v>
      </c>
      <c r="B29" s="78" t="str">
        <f aca="false">'Platform Setup'!$C$29</f>
        <v>Directory/Review</v>
      </c>
      <c r="C29" s="45" t="str">
        <f aca="false">'Platform Setup'!$J$29</f>
        <v>Not Started</v>
      </c>
      <c r="D29" s="45" t="n">
        <f aca="false">COUNTIF('DAILY ENTRY'!$C$7:$C$1203,$A29)</f>
        <v>0</v>
      </c>
      <c r="E29" s="45" t="n">
        <f aca="false">SUMIF('DAILY ENTRY'!$C$7:$C$1203,$A29,'DAILY ENTRY'!$F$7:$F$1203)</f>
        <v>0</v>
      </c>
      <c r="F29" s="45" t="n">
        <f aca="false">SUMIF('DAILY ENTRY'!$C$7:$C$1203,$A29,'DAILY ENTRY'!$G$7:$G$1203)</f>
        <v>0</v>
      </c>
      <c r="G29" s="79" t="n">
        <f aca="false">IFERROR(SUMPRODUCT(MAX(('DAILY ENTRY'!$C$7:$C$1203=$A29)*'DAILY ENTRY'!$A$7:$A$1203)),"")</f>
        <v>0</v>
      </c>
      <c r="H29" s="45" t="n">
        <f aca="true">IF(G29="","",TODAY()-G29)</f>
        <v>46251</v>
      </c>
      <c r="I29" s="45" t="n">
        <f aca="false">IFERROR(INDEX('DAILY ENTRY'!$B$7:$B$1203,SUMPRODUCT(MATCH(SUMPRODUCT(MAX(('DAILY ENTRY'!$C$7:$C$1203=$A29)*'DAILY ENTRY'!$A$7:$A$1203)),('DAILY ENTRY'!$C$7:$C$1203=$A29)*'DAILY ENTRY'!$A$7:$A$1203,0))),"")</f>
        <v>0</v>
      </c>
      <c r="J29" s="65" t="n">
        <f aca="false">COUNTIFS('DAILY ENTRY'!$C$7:$C$1203,$A29,'DAILY ENTRY'!$I$7:$I$1203,"Blocked")</f>
        <v>0</v>
      </c>
      <c r="K29" s="67" t="str">
        <f aca="false">IF($C29="Complete",IF(D29=0,"Account is live but nothing has been done on it yet",IF(H29&gt;14,"Live but untouched for over two weeks","Active")),IF($C29="Not Started","Not set up yet","Setup in progress"))</f>
        <v>Not set up yet</v>
      </c>
    </row>
    <row r="30" customFormat="false" ht="21.75" hidden="false" customHeight="true" outlineLevel="0" collapsed="false">
      <c r="A30" s="77" t="str">
        <f aca="false">'Platform Setup'!$B$30</f>
        <v>Trustpilot</v>
      </c>
      <c r="B30" s="78" t="str">
        <f aca="false">'Platform Setup'!$C$30</f>
        <v>Directory/Review</v>
      </c>
      <c r="C30" s="45" t="str">
        <f aca="false">'Platform Setup'!$J$30</f>
        <v>Not Started</v>
      </c>
      <c r="D30" s="45" t="n">
        <f aca="false">COUNTIF('DAILY ENTRY'!$C$7:$C$1203,$A30)</f>
        <v>0</v>
      </c>
      <c r="E30" s="45" t="n">
        <f aca="false">SUMIF('DAILY ENTRY'!$C$7:$C$1203,$A30,'DAILY ENTRY'!$F$7:$F$1203)</f>
        <v>0</v>
      </c>
      <c r="F30" s="45" t="n">
        <f aca="false">SUMIF('DAILY ENTRY'!$C$7:$C$1203,$A30,'DAILY ENTRY'!$G$7:$G$1203)</f>
        <v>0</v>
      </c>
      <c r="G30" s="79" t="n">
        <f aca="false">IFERROR(SUMPRODUCT(MAX(('DAILY ENTRY'!$C$7:$C$1203=$A30)*'DAILY ENTRY'!$A$7:$A$1203)),"")</f>
        <v>0</v>
      </c>
      <c r="H30" s="45" t="n">
        <f aca="true">IF(G30="","",TODAY()-G30)</f>
        <v>46251</v>
      </c>
      <c r="I30" s="45" t="n">
        <f aca="false">IFERROR(INDEX('DAILY ENTRY'!$B$7:$B$1203,SUMPRODUCT(MATCH(SUMPRODUCT(MAX(('DAILY ENTRY'!$C$7:$C$1203=$A30)*'DAILY ENTRY'!$A$7:$A$1203)),('DAILY ENTRY'!$C$7:$C$1203=$A30)*'DAILY ENTRY'!$A$7:$A$1203,0))),"")</f>
        <v>0</v>
      </c>
      <c r="J30" s="65" t="n">
        <f aca="false">COUNTIFS('DAILY ENTRY'!$C$7:$C$1203,$A30,'DAILY ENTRY'!$I$7:$I$1203,"Blocked")</f>
        <v>0</v>
      </c>
      <c r="K30" s="67" t="str">
        <f aca="false">IF($C30="Complete",IF(D30=0,"Account is live but nothing has been done on it yet",IF(H30&gt;14,"Live but untouched for over two weeks","Active")),IF($C30="Not Started","Not set up yet","Setup in progress"))</f>
        <v>Not set up yet</v>
      </c>
    </row>
    <row r="31" customFormat="false" ht="21.75" hidden="false" customHeight="true" outlineLevel="0" collapsed="false">
      <c r="A31" s="77" t="str">
        <f aca="false">'Platform Setup'!$B$31</f>
        <v>Crunchbase</v>
      </c>
      <c r="B31" s="78" t="str">
        <f aca="false">'Platform Setup'!$C$31</f>
        <v>Directory/Review</v>
      </c>
      <c r="C31" s="45" t="str">
        <f aca="false">'Platform Setup'!$J$31</f>
        <v>Not Started</v>
      </c>
      <c r="D31" s="45" t="n">
        <f aca="false">COUNTIF('DAILY ENTRY'!$C$7:$C$1203,$A31)</f>
        <v>0</v>
      </c>
      <c r="E31" s="45" t="n">
        <f aca="false">SUMIF('DAILY ENTRY'!$C$7:$C$1203,$A31,'DAILY ENTRY'!$F$7:$F$1203)</f>
        <v>0</v>
      </c>
      <c r="F31" s="45" t="n">
        <f aca="false">SUMIF('DAILY ENTRY'!$C$7:$C$1203,$A31,'DAILY ENTRY'!$G$7:$G$1203)</f>
        <v>0</v>
      </c>
      <c r="G31" s="79" t="n">
        <f aca="false">IFERROR(SUMPRODUCT(MAX(('DAILY ENTRY'!$C$7:$C$1203=$A31)*'DAILY ENTRY'!$A$7:$A$1203)),"")</f>
        <v>0</v>
      </c>
      <c r="H31" s="45" t="n">
        <f aca="true">IF(G31="","",TODAY()-G31)</f>
        <v>46251</v>
      </c>
      <c r="I31" s="45" t="n">
        <f aca="false">IFERROR(INDEX('DAILY ENTRY'!$B$7:$B$1203,SUMPRODUCT(MATCH(SUMPRODUCT(MAX(('DAILY ENTRY'!$C$7:$C$1203=$A31)*'DAILY ENTRY'!$A$7:$A$1203)),('DAILY ENTRY'!$C$7:$C$1203=$A31)*'DAILY ENTRY'!$A$7:$A$1203,0))),"")</f>
        <v>0</v>
      </c>
      <c r="J31" s="65" t="n">
        <f aca="false">COUNTIFS('DAILY ENTRY'!$C$7:$C$1203,$A31,'DAILY ENTRY'!$I$7:$I$1203,"Blocked")</f>
        <v>0</v>
      </c>
      <c r="K31" s="67" t="str">
        <f aca="false">IF($C31="Complete",IF(D31=0,"Account is live but nothing has been done on it yet",IF(H31&gt;14,"Live but untouched for over two weeks","Active")),IF($C31="Not Started","Not set up yet","Setup in progress"))</f>
        <v>Not set up yet</v>
      </c>
    </row>
    <row r="32" customFormat="false" ht="21.75" hidden="false" customHeight="true" outlineLevel="0" collapsed="false">
      <c r="A32" s="77" t="str">
        <f aca="false">'Platform Setup'!$B$32</f>
        <v>G2</v>
      </c>
      <c r="B32" s="78" t="str">
        <f aca="false">'Platform Setup'!$C$32</f>
        <v>Directory/Review</v>
      </c>
      <c r="C32" s="45" t="str">
        <f aca="false">'Platform Setup'!$J$32</f>
        <v>Not Started</v>
      </c>
      <c r="D32" s="45" t="n">
        <f aca="false">COUNTIF('DAILY ENTRY'!$C$7:$C$1203,$A32)</f>
        <v>0</v>
      </c>
      <c r="E32" s="45" t="n">
        <f aca="false">SUMIF('DAILY ENTRY'!$C$7:$C$1203,$A32,'DAILY ENTRY'!$F$7:$F$1203)</f>
        <v>0</v>
      </c>
      <c r="F32" s="45" t="n">
        <f aca="false">SUMIF('DAILY ENTRY'!$C$7:$C$1203,$A32,'DAILY ENTRY'!$G$7:$G$1203)</f>
        <v>0</v>
      </c>
      <c r="G32" s="79" t="n">
        <f aca="false">IFERROR(SUMPRODUCT(MAX(('DAILY ENTRY'!$C$7:$C$1203=$A32)*'DAILY ENTRY'!$A$7:$A$1203)),"")</f>
        <v>0</v>
      </c>
      <c r="H32" s="45" t="n">
        <f aca="true">IF(G32="","",TODAY()-G32)</f>
        <v>46251</v>
      </c>
      <c r="I32" s="45" t="n">
        <f aca="false">IFERROR(INDEX('DAILY ENTRY'!$B$7:$B$1203,SUMPRODUCT(MATCH(SUMPRODUCT(MAX(('DAILY ENTRY'!$C$7:$C$1203=$A32)*'DAILY ENTRY'!$A$7:$A$1203)),('DAILY ENTRY'!$C$7:$C$1203=$A32)*'DAILY ENTRY'!$A$7:$A$1203,0))),"")</f>
        <v>0</v>
      </c>
      <c r="J32" s="65" t="n">
        <f aca="false">COUNTIFS('DAILY ENTRY'!$C$7:$C$1203,$A32,'DAILY ENTRY'!$I$7:$I$1203,"Blocked")</f>
        <v>0</v>
      </c>
      <c r="K32" s="67" t="str">
        <f aca="false">IF($C32="Complete",IF(D32=0,"Account is live but nothing has been done on it yet",IF(H32&gt;14,"Live but untouched for over two weeks","Active")),IF($C32="Not Started","Not set up yet","Setup in progress"))</f>
        <v>Not set up yet</v>
      </c>
    </row>
    <row r="33" customFormat="false" ht="21.75" hidden="false" customHeight="true" outlineLevel="0" collapsed="false">
      <c r="A33" s="77" t="str">
        <f aca="false">'Platform Setup'!$B$33</f>
        <v>Capterra</v>
      </c>
      <c r="B33" s="78" t="str">
        <f aca="false">'Platform Setup'!$C$33</f>
        <v>Directory/Review</v>
      </c>
      <c r="C33" s="45" t="str">
        <f aca="false">'Platform Setup'!$J$33</f>
        <v>Not Started</v>
      </c>
      <c r="D33" s="45" t="n">
        <f aca="false">COUNTIF('DAILY ENTRY'!$C$7:$C$1203,$A33)</f>
        <v>0</v>
      </c>
      <c r="E33" s="45" t="n">
        <f aca="false">SUMIF('DAILY ENTRY'!$C$7:$C$1203,$A33,'DAILY ENTRY'!$F$7:$F$1203)</f>
        <v>0</v>
      </c>
      <c r="F33" s="45" t="n">
        <f aca="false">SUMIF('DAILY ENTRY'!$C$7:$C$1203,$A33,'DAILY ENTRY'!$G$7:$G$1203)</f>
        <v>0</v>
      </c>
      <c r="G33" s="79" t="n">
        <f aca="false">IFERROR(SUMPRODUCT(MAX(('DAILY ENTRY'!$C$7:$C$1203=$A33)*'DAILY ENTRY'!$A$7:$A$1203)),"")</f>
        <v>0</v>
      </c>
      <c r="H33" s="45" t="n">
        <f aca="true">IF(G33="","",TODAY()-G33)</f>
        <v>46251</v>
      </c>
      <c r="I33" s="45" t="n">
        <f aca="false">IFERROR(INDEX('DAILY ENTRY'!$B$7:$B$1203,SUMPRODUCT(MATCH(SUMPRODUCT(MAX(('DAILY ENTRY'!$C$7:$C$1203=$A33)*'DAILY ENTRY'!$A$7:$A$1203)),('DAILY ENTRY'!$C$7:$C$1203=$A33)*'DAILY ENTRY'!$A$7:$A$1203,0))),"")</f>
        <v>0</v>
      </c>
      <c r="J33" s="65" t="n">
        <f aca="false">COUNTIFS('DAILY ENTRY'!$C$7:$C$1203,$A33,'DAILY ENTRY'!$I$7:$I$1203,"Blocked")</f>
        <v>0</v>
      </c>
      <c r="K33" s="67" t="str">
        <f aca="false">IF($C33="Complete",IF(D33=0,"Account is live but nothing has been done on it yet",IF(H33&gt;14,"Live but untouched for over two weeks","Active")),IF($C33="Not Started","Not set up yet","Setup in progress"))</f>
        <v>Not set up yet</v>
      </c>
    </row>
    <row r="34" customFormat="false" ht="21.75" hidden="false" customHeight="true" outlineLevel="0" collapsed="false">
      <c r="A34" s="77" t="str">
        <f aca="false">'Platform Setup'!$B$34</f>
        <v>Clutch</v>
      </c>
      <c r="B34" s="78" t="str">
        <f aca="false">'Platform Setup'!$C$34</f>
        <v>Directory/Review</v>
      </c>
      <c r="C34" s="45" t="str">
        <f aca="false">'Platform Setup'!$J$34</f>
        <v>Not Started</v>
      </c>
      <c r="D34" s="45" t="n">
        <f aca="false">COUNTIF('DAILY ENTRY'!$C$7:$C$1203,$A34)</f>
        <v>0</v>
      </c>
      <c r="E34" s="45" t="n">
        <f aca="false">SUMIF('DAILY ENTRY'!$C$7:$C$1203,$A34,'DAILY ENTRY'!$F$7:$F$1203)</f>
        <v>0</v>
      </c>
      <c r="F34" s="45" t="n">
        <f aca="false">SUMIF('DAILY ENTRY'!$C$7:$C$1203,$A34,'DAILY ENTRY'!$G$7:$G$1203)</f>
        <v>0</v>
      </c>
      <c r="G34" s="79" t="n">
        <f aca="false">IFERROR(SUMPRODUCT(MAX(('DAILY ENTRY'!$C$7:$C$1203=$A34)*'DAILY ENTRY'!$A$7:$A$1203)),"")</f>
        <v>0</v>
      </c>
      <c r="H34" s="45" t="n">
        <f aca="true">IF(G34="","",TODAY()-G34)</f>
        <v>46251</v>
      </c>
      <c r="I34" s="45" t="n">
        <f aca="false">IFERROR(INDEX('DAILY ENTRY'!$B$7:$B$1203,SUMPRODUCT(MATCH(SUMPRODUCT(MAX(('DAILY ENTRY'!$C$7:$C$1203=$A34)*'DAILY ENTRY'!$A$7:$A$1203)),('DAILY ENTRY'!$C$7:$C$1203=$A34)*'DAILY ENTRY'!$A$7:$A$1203,0))),"")</f>
        <v>0</v>
      </c>
      <c r="J34" s="65" t="n">
        <f aca="false">COUNTIFS('DAILY ENTRY'!$C$7:$C$1203,$A34,'DAILY ENTRY'!$I$7:$I$1203,"Blocked")</f>
        <v>0</v>
      </c>
      <c r="K34" s="67" t="str">
        <f aca="false">IF($C34="Complete",IF(D34=0,"Account is live but nothing has been done on it yet",IF(H34&gt;14,"Live but untouched for over two weeks","Active")),IF($C34="Not Started","Not set up yet","Setup in progress"))</f>
        <v>Not set up yet</v>
      </c>
    </row>
    <row r="35" customFormat="false" ht="21.75" hidden="false" customHeight="true" outlineLevel="0" collapsed="false">
      <c r="A35" s="77" t="str">
        <f aca="false">'Platform Setup'!$B$35</f>
        <v>Eventbrite</v>
      </c>
      <c r="B35" s="78" t="str">
        <f aca="false">'Platform Setup'!$C$35</f>
        <v>Events</v>
      </c>
      <c r="C35" s="45" t="str">
        <f aca="false">'Platform Setup'!$J$35</f>
        <v>Not Started</v>
      </c>
      <c r="D35" s="45" t="n">
        <f aca="false">COUNTIF('DAILY ENTRY'!$C$7:$C$1203,$A35)</f>
        <v>0</v>
      </c>
      <c r="E35" s="45" t="n">
        <f aca="false">SUMIF('DAILY ENTRY'!$C$7:$C$1203,$A35,'DAILY ENTRY'!$F$7:$F$1203)</f>
        <v>0</v>
      </c>
      <c r="F35" s="45" t="n">
        <f aca="false">SUMIF('DAILY ENTRY'!$C$7:$C$1203,$A35,'DAILY ENTRY'!$G$7:$G$1203)</f>
        <v>0</v>
      </c>
      <c r="G35" s="79" t="n">
        <f aca="false">IFERROR(SUMPRODUCT(MAX(('DAILY ENTRY'!$C$7:$C$1203=$A35)*'DAILY ENTRY'!$A$7:$A$1203)),"")</f>
        <v>0</v>
      </c>
      <c r="H35" s="45" t="n">
        <f aca="true">IF(G35="","",TODAY()-G35)</f>
        <v>46251</v>
      </c>
      <c r="I35" s="45" t="n">
        <f aca="false">IFERROR(INDEX('DAILY ENTRY'!$B$7:$B$1203,SUMPRODUCT(MATCH(SUMPRODUCT(MAX(('DAILY ENTRY'!$C$7:$C$1203=$A35)*'DAILY ENTRY'!$A$7:$A$1203)),('DAILY ENTRY'!$C$7:$C$1203=$A35)*'DAILY ENTRY'!$A$7:$A$1203,0))),"")</f>
        <v>0</v>
      </c>
      <c r="J35" s="65" t="n">
        <f aca="false">COUNTIFS('DAILY ENTRY'!$C$7:$C$1203,$A35,'DAILY ENTRY'!$I$7:$I$1203,"Blocked")</f>
        <v>0</v>
      </c>
      <c r="K35" s="67" t="str">
        <f aca="false">IF($C35="Complete",IF(D35=0,"Account is live but nothing has been done on it yet",IF(H35&gt;14,"Live but untouched for over two weeks","Active")),IF($C35="Not Started","Not set up yet","Setup in progress"))</f>
        <v>Not set up yet</v>
      </c>
    </row>
    <row r="36" customFormat="false" ht="21.75" hidden="false" customHeight="true" outlineLevel="0" collapsed="false">
      <c r="A36" s="77" t="str">
        <f aca="false">'Platform Setup'!$B$36</f>
        <v>Meetup</v>
      </c>
      <c r="B36" s="78" t="str">
        <f aca="false">'Platform Setup'!$C$36</f>
        <v>Events</v>
      </c>
      <c r="C36" s="45" t="str">
        <f aca="false">'Platform Setup'!$J$36</f>
        <v>Not Started</v>
      </c>
      <c r="D36" s="45" t="n">
        <f aca="false">COUNTIF('DAILY ENTRY'!$C$7:$C$1203,$A36)</f>
        <v>0</v>
      </c>
      <c r="E36" s="45" t="n">
        <f aca="false">SUMIF('DAILY ENTRY'!$C$7:$C$1203,$A36,'DAILY ENTRY'!$F$7:$F$1203)</f>
        <v>0</v>
      </c>
      <c r="F36" s="45" t="n">
        <f aca="false">SUMIF('DAILY ENTRY'!$C$7:$C$1203,$A36,'DAILY ENTRY'!$G$7:$G$1203)</f>
        <v>0</v>
      </c>
      <c r="G36" s="79" t="n">
        <f aca="false">IFERROR(SUMPRODUCT(MAX(('DAILY ENTRY'!$C$7:$C$1203=$A36)*'DAILY ENTRY'!$A$7:$A$1203)),"")</f>
        <v>0</v>
      </c>
      <c r="H36" s="45" t="n">
        <f aca="true">IF(G36="","",TODAY()-G36)</f>
        <v>46251</v>
      </c>
      <c r="I36" s="45" t="n">
        <f aca="false">IFERROR(INDEX('DAILY ENTRY'!$B$7:$B$1203,SUMPRODUCT(MATCH(SUMPRODUCT(MAX(('DAILY ENTRY'!$C$7:$C$1203=$A36)*'DAILY ENTRY'!$A$7:$A$1203)),('DAILY ENTRY'!$C$7:$C$1203=$A36)*'DAILY ENTRY'!$A$7:$A$1203,0))),"")</f>
        <v>0</v>
      </c>
      <c r="J36" s="65" t="n">
        <f aca="false">COUNTIFS('DAILY ENTRY'!$C$7:$C$1203,$A36,'DAILY ENTRY'!$I$7:$I$1203,"Blocked")</f>
        <v>0</v>
      </c>
      <c r="K36" s="67" t="str">
        <f aca="false">IF($C36="Complete",IF(D36=0,"Account is live but nothing has been done on it yet",IF(H36&gt;14,"Live but untouched for over two weeks","Active")),IF($C36="Not Started","Not set up yet","Setup in progress"))</f>
        <v>Not set up yet</v>
      </c>
    </row>
    <row r="37" customFormat="false" ht="21.75" hidden="false" customHeight="true" outlineLevel="0" collapsed="false">
      <c r="A37" s="77" t="str">
        <f aca="false">'Platform Setup'!$B$37</f>
        <v>Luma</v>
      </c>
      <c r="B37" s="78" t="str">
        <f aca="false">'Platform Setup'!$C$37</f>
        <v>Events</v>
      </c>
      <c r="C37" s="45" t="str">
        <f aca="false">'Platform Setup'!$J$37</f>
        <v>Not Started</v>
      </c>
      <c r="D37" s="45" t="n">
        <f aca="false">COUNTIF('DAILY ENTRY'!$C$7:$C$1203,$A37)</f>
        <v>0</v>
      </c>
      <c r="E37" s="45" t="n">
        <f aca="false">SUMIF('DAILY ENTRY'!$C$7:$C$1203,$A37,'DAILY ENTRY'!$F$7:$F$1203)</f>
        <v>0</v>
      </c>
      <c r="F37" s="45" t="n">
        <f aca="false">SUMIF('DAILY ENTRY'!$C$7:$C$1203,$A37,'DAILY ENTRY'!$G$7:$G$1203)</f>
        <v>0</v>
      </c>
      <c r="G37" s="79" t="n">
        <f aca="false">IFERROR(SUMPRODUCT(MAX(('DAILY ENTRY'!$C$7:$C$1203=$A37)*'DAILY ENTRY'!$A$7:$A$1203)),"")</f>
        <v>0</v>
      </c>
      <c r="H37" s="45" t="n">
        <f aca="true">IF(G37="","",TODAY()-G37)</f>
        <v>46251</v>
      </c>
      <c r="I37" s="45" t="n">
        <f aca="false">IFERROR(INDEX('DAILY ENTRY'!$B$7:$B$1203,SUMPRODUCT(MATCH(SUMPRODUCT(MAX(('DAILY ENTRY'!$C$7:$C$1203=$A37)*'DAILY ENTRY'!$A$7:$A$1203)),('DAILY ENTRY'!$C$7:$C$1203=$A37)*'DAILY ENTRY'!$A$7:$A$1203,0))),"")</f>
        <v>0</v>
      </c>
      <c r="J37" s="65" t="n">
        <f aca="false">COUNTIFS('DAILY ENTRY'!$C$7:$C$1203,$A37,'DAILY ENTRY'!$I$7:$I$1203,"Blocked")</f>
        <v>0</v>
      </c>
      <c r="K37" s="67" t="str">
        <f aca="false">IF($C37="Complete",IF(D37=0,"Account is live but nothing has been done on it yet",IF(H37&gt;14,"Live but untouched for over two weeks","Active")),IF($C37="Not Started","Not set up yet","Setup in progress"))</f>
        <v>Not set up yet</v>
      </c>
    </row>
    <row r="38" customFormat="false" ht="21.75" hidden="false" customHeight="true" outlineLevel="0" collapsed="false">
      <c r="A38" s="77" t="str">
        <f aca="false">'Platform Setup'!$B$38</f>
        <v>Spotify for Creators</v>
      </c>
      <c r="B38" s="78" t="str">
        <f aca="false">'Platform Setup'!$C$38</f>
        <v>Events</v>
      </c>
      <c r="C38" s="45" t="str">
        <f aca="false">'Platform Setup'!$J$38</f>
        <v>Not Started</v>
      </c>
      <c r="D38" s="45" t="n">
        <f aca="false">COUNTIF('DAILY ENTRY'!$C$7:$C$1203,$A38)</f>
        <v>0</v>
      </c>
      <c r="E38" s="45" t="n">
        <f aca="false">SUMIF('DAILY ENTRY'!$C$7:$C$1203,$A38,'DAILY ENTRY'!$F$7:$F$1203)</f>
        <v>0</v>
      </c>
      <c r="F38" s="45" t="n">
        <f aca="false">SUMIF('DAILY ENTRY'!$C$7:$C$1203,$A38,'DAILY ENTRY'!$G$7:$G$1203)</f>
        <v>0</v>
      </c>
      <c r="G38" s="79" t="n">
        <f aca="false">IFERROR(SUMPRODUCT(MAX(('DAILY ENTRY'!$C$7:$C$1203=$A38)*'DAILY ENTRY'!$A$7:$A$1203)),"")</f>
        <v>0</v>
      </c>
      <c r="H38" s="45" t="n">
        <f aca="true">IF(G38="","",TODAY()-G38)</f>
        <v>46251</v>
      </c>
      <c r="I38" s="45" t="n">
        <f aca="false">IFERROR(INDEX('DAILY ENTRY'!$B$7:$B$1203,SUMPRODUCT(MATCH(SUMPRODUCT(MAX(('DAILY ENTRY'!$C$7:$C$1203=$A38)*'DAILY ENTRY'!$A$7:$A$1203)),('DAILY ENTRY'!$C$7:$C$1203=$A38)*'DAILY ENTRY'!$A$7:$A$1203,0))),"")</f>
        <v>0</v>
      </c>
      <c r="J38" s="65" t="n">
        <f aca="false">COUNTIFS('DAILY ENTRY'!$C$7:$C$1203,$A38,'DAILY ENTRY'!$I$7:$I$1203,"Blocked")</f>
        <v>0</v>
      </c>
      <c r="K38" s="67" t="str">
        <f aca="false">IF($C38="Complete",IF(D38=0,"Account is live but nothing has been done on it yet",IF(H38&gt;14,"Live but untouched for over two weeks","Active")),IF($C38="Not Started","Not set up yet","Setup in progress"))</f>
        <v>Not set up yet</v>
      </c>
    </row>
    <row r="39" customFormat="false" ht="21.75" hidden="false" customHeight="true" outlineLevel="0" collapsed="false">
      <c r="A39" s="77" t="str">
        <f aca="false">'Platform Setup'!$B$39</f>
        <v>Apple Podcasts</v>
      </c>
      <c r="B39" s="78" t="str">
        <f aca="false">'Platform Setup'!$C$39</f>
        <v>Events</v>
      </c>
      <c r="C39" s="45" t="str">
        <f aca="false">'Platform Setup'!$J$39</f>
        <v>Not Started</v>
      </c>
      <c r="D39" s="45" t="n">
        <f aca="false">COUNTIF('DAILY ENTRY'!$C$7:$C$1203,$A39)</f>
        <v>0</v>
      </c>
      <c r="E39" s="45" t="n">
        <f aca="false">SUMIF('DAILY ENTRY'!$C$7:$C$1203,$A39,'DAILY ENTRY'!$F$7:$F$1203)</f>
        <v>0</v>
      </c>
      <c r="F39" s="45" t="n">
        <f aca="false">SUMIF('DAILY ENTRY'!$C$7:$C$1203,$A39,'DAILY ENTRY'!$G$7:$G$1203)</f>
        <v>0</v>
      </c>
      <c r="G39" s="79" t="n">
        <f aca="false">IFERROR(SUMPRODUCT(MAX(('DAILY ENTRY'!$C$7:$C$1203=$A39)*'DAILY ENTRY'!$A$7:$A$1203)),"")</f>
        <v>0</v>
      </c>
      <c r="H39" s="45" t="n">
        <f aca="true">IF(G39="","",TODAY()-G39)</f>
        <v>46251</v>
      </c>
      <c r="I39" s="45" t="n">
        <f aca="false">IFERROR(INDEX('DAILY ENTRY'!$B$7:$B$1203,SUMPRODUCT(MATCH(SUMPRODUCT(MAX(('DAILY ENTRY'!$C$7:$C$1203=$A39)*'DAILY ENTRY'!$A$7:$A$1203)),('DAILY ENTRY'!$C$7:$C$1203=$A39)*'DAILY ENTRY'!$A$7:$A$1203,0))),"")</f>
        <v>0</v>
      </c>
      <c r="J39" s="65" t="n">
        <f aca="false">COUNTIFS('DAILY ENTRY'!$C$7:$C$1203,$A39,'DAILY ENTRY'!$I$7:$I$1203,"Blocked")</f>
        <v>0</v>
      </c>
      <c r="K39" s="67" t="str">
        <f aca="false">IF($C39="Complete",IF(D39=0,"Account is live but nothing has been done on it yet",IF(H39&gt;14,"Live but untouched for over two weeks","Active")),IF($C39="Not Started","Not set up yet","Setup in progress"))</f>
        <v>Not set up yet</v>
      </c>
    </row>
    <row r="40" customFormat="false" ht="21.75" hidden="false" customHeight="true" outlineLevel="0" collapsed="false">
      <c r="A40" s="77" t="str">
        <f aca="false">'Platform Setup'!$B$40</f>
        <v>LinkedIn Articles</v>
      </c>
      <c r="B40" s="78" t="str">
        <f aca="false">'Platform Setup'!$C$40</f>
        <v>Publishing</v>
      </c>
      <c r="C40" s="45" t="str">
        <f aca="false">'Platform Setup'!$J$40</f>
        <v>Not Started</v>
      </c>
      <c r="D40" s="45" t="n">
        <f aca="false">COUNTIF('DAILY ENTRY'!$C$7:$C$1203,$A40)</f>
        <v>0</v>
      </c>
      <c r="E40" s="45" t="n">
        <f aca="false">SUMIF('DAILY ENTRY'!$C$7:$C$1203,$A40,'DAILY ENTRY'!$F$7:$F$1203)</f>
        <v>0</v>
      </c>
      <c r="F40" s="45" t="n">
        <f aca="false">SUMIF('DAILY ENTRY'!$C$7:$C$1203,$A40,'DAILY ENTRY'!$G$7:$G$1203)</f>
        <v>0</v>
      </c>
      <c r="G40" s="79" t="n">
        <f aca="false">IFERROR(SUMPRODUCT(MAX(('DAILY ENTRY'!$C$7:$C$1203=$A40)*'DAILY ENTRY'!$A$7:$A$1203)),"")</f>
        <v>0</v>
      </c>
      <c r="H40" s="45" t="n">
        <f aca="true">IF(G40="","",TODAY()-G40)</f>
        <v>46251</v>
      </c>
      <c r="I40" s="45" t="n">
        <f aca="false">IFERROR(INDEX('DAILY ENTRY'!$B$7:$B$1203,SUMPRODUCT(MATCH(SUMPRODUCT(MAX(('DAILY ENTRY'!$C$7:$C$1203=$A40)*'DAILY ENTRY'!$A$7:$A$1203)),('DAILY ENTRY'!$C$7:$C$1203=$A40)*'DAILY ENTRY'!$A$7:$A$1203,0))),"")</f>
        <v>0</v>
      </c>
      <c r="J40" s="65" t="n">
        <f aca="false">COUNTIFS('DAILY ENTRY'!$C$7:$C$1203,$A40,'DAILY ENTRY'!$I$7:$I$1203,"Blocked")</f>
        <v>0</v>
      </c>
      <c r="K40" s="67" t="str">
        <f aca="false">IF($C40="Complete",IF(D40=0,"Account is live but nothing has been done on it yet",IF(H40&gt;14,"Live but untouched for over two weeks","Active")),IF($C40="Not Started","Not set up yet","Setup in progress"))</f>
        <v>Not set up yet</v>
      </c>
    </row>
    <row r="41" customFormat="false" ht="21.75" hidden="false" customHeight="true" outlineLevel="0" collapsed="false">
      <c r="A41" s="77" t="str">
        <f aca="false">'Platform Setup'!$B$41</f>
        <v>WordPress.com</v>
      </c>
      <c r="B41" s="78" t="str">
        <f aca="false">'Platform Setup'!$C$41</f>
        <v>Publishing</v>
      </c>
      <c r="C41" s="45" t="str">
        <f aca="false">'Platform Setup'!$J$41</f>
        <v>Not Started</v>
      </c>
      <c r="D41" s="45" t="n">
        <f aca="false">COUNTIF('DAILY ENTRY'!$C$7:$C$1203,$A41)</f>
        <v>0</v>
      </c>
      <c r="E41" s="45" t="n">
        <f aca="false">SUMIF('DAILY ENTRY'!$C$7:$C$1203,$A41,'DAILY ENTRY'!$F$7:$F$1203)</f>
        <v>0</v>
      </c>
      <c r="F41" s="45" t="n">
        <f aca="false">SUMIF('DAILY ENTRY'!$C$7:$C$1203,$A41,'DAILY ENTRY'!$G$7:$G$1203)</f>
        <v>0</v>
      </c>
      <c r="G41" s="79" t="n">
        <f aca="false">IFERROR(SUMPRODUCT(MAX(('DAILY ENTRY'!$C$7:$C$1203=$A41)*'DAILY ENTRY'!$A$7:$A$1203)),"")</f>
        <v>0</v>
      </c>
      <c r="H41" s="45" t="n">
        <f aca="true">IF(G41="","",TODAY()-G41)</f>
        <v>46251</v>
      </c>
      <c r="I41" s="45" t="n">
        <f aca="false">IFERROR(INDEX('DAILY ENTRY'!$B$7:$B$1203,SUMPRODUCT(MATCH(SUMPRODUCT(MAX(('DAILY ENTRY'!$C$7:$C$1203=$A41)*'DAILY ENTRY'!$A$7:$A$1203)),('DAILY ENTRY'!$C$7:$C$1203=$A41)*'DAILY ENTRY'!$A$7:$A$1203,0))),"")</f>
        <v>0</v>
      </c>
      <c r="J41" s="65" t="n">
        <f aca="false">COUNTIFS('DAILY ENTRY'!$C$7:$C$1203,$A41,'DAILY ENTRY'!$I$7:$I$1203,"Blocked")</f>
        <v>0</v>
      </c>
      <c r="K41" s="67" t="str">
        <f aca="false">IF($C41="Complete",IF(D41=0,"Account is live but nothing has been done on it yet",IF(H41&gt;14,"Live but untouched for over two weeks","Active")),IF($C41="Not Started","Not set up yet","Setup in progress"))</f>
        <v>Not set up yet</v>
      </c>
    </row>
    <row r="42" customFormat="false" ht="21.75" hidden="false" customHeight="true" outlineLevel="0" collapsed="false">
      <c r="A42" s="77" t="str">
        <f aca="false">'Platform Setup'!$B$42</f>
        <v>Blogger</v>
      </c>
      <c r="B42" s="78" t="str">
        <f aca="false">'Platform Setup'!$C$42</f>
        <v>Publishing</v>
      </c>
      <c r="C42" s="45" t="str">
        <f aca="false">'Platform Setup'!$J$42</f>
        <v>Not Started</v>
      </c>
      <c r="D42" s="45" t="n">
        <f aca="false">COUNTIF('DAILY ENTRY'!$C$7:$C$1203,$A42)</f>
        <v>0</v>
      </c>
      <c r="E42" s="45" t="n">
        <f aca="false">SUMIF('DAILY ENTRY'!$C$7:$C$1203,$A42,'DAILY ENTRY'!$F$7:$F$1203)</f>
        <v>0</v>
      </c>
      <c r="F42" s="45" t="n">
        <f aca="false">SUMIF('DAILY ENTRY'!$C$7:$C$1203,$A42,'DAILY ENTRY'!$G$7:$G$1203)</f>
        <v>0</v>
      </c>
      <c r="G42" s="79" t="n">
        <f aca="false">IFERROR(SUMPRODUCT(MAX(('DAILY ENTRY'!$C$7:$C$1203=$A42)*'DAILY ENTRY'!$A$7:$A$1203)),"")</f>
        <v>0</v>
      </c>
      <c r="H42" s="45" t="n">
        <f aca="true">IF(G42="","",TODAY()-G42)</f>
        <v>46251</v>
      </c>
      <c r="I42" s="45" t="n">
        <f aca="false">IFERROR(INDEX('DAILY ENTRY'!$B$7:$B$1203,SUMPRODUCT(MATCH(SUMPRODUCT(MAX(('DAILY ENTRY'!$C$7:$C$1203=$A42)*'DAILY ENTRY'!$A$7:$A$1203)),('DAILY ENTRY'!$C$7:$C$1203=$A42)*'DAILY ENTRY'!$A$7:$A$1203,0))),"")</f>
        <v>0</v>
      </c>
      <c r="J42" s="65" t="n">
        <f aca="false">COUNTIFS('DAILY ENTRY'!$C$7:$C$1203,$A42,'DAILY ENTRY'!$I$7:$I$1203,"Blocked")</f>
        <v>0</v>
      </c>
      <c r="K42" s="67" t="str">
        <f aca="false">IF($C42="Complete",IF(D42=0,"Account is live but nothing has been done on it yet",IF(H42&gt;14,"Live but untouched for over two weeks","Active")),IF($C42="Not Started","Not set up yet","Setup in progress"))</f>
        <v>Not set up yet</v>
      </c>
    </row>
    <row r="43" customFormat="false" ht="21.75" hidden="false" customHeight="true" outlineLevel="0" collapsed="false">
      <c r="A43" s="77" t="str">
        <f aca="false">'Platform Setup'!$B$43</f>
        <v>Quora Spaces</v>
      </c>
      <c r="B43" s="78" t="str">
        <f aca="false">'Platform Setup'!$C$43</f>
        <v>Community</v>
      </c>
      <c r="C43" s="45" t="str">
        <f aca="false">'Platform Setup'!$J$43</f>
        <v>Not Started</v>
      </c>
      <c r="D43" s="45" t="n">
        <f aca="false">COUNTIF('DAILY ENTRY'!$C$7:$C$1203,$A43)</f>
        <v>0</v>
      </c>
      <c r="E43" s="45" t="n">
        <f aca="false">SUMIF('DAILY ENTRY'!$C$7:$C$1203,$A43,'DAILY ENTRY'!$F$7:$F$1203)</f>
        <v>0</v>
      </c>
      <c r="F43" s="45" t="n">
        <f aca="false">SUMIF('DAILY ENTRY'!$C$7:$C$1203,$A43,'DAILY ENTRY'!$G$7:$G$1203)</f>
        <v>0</v>
      </c>
      <c r="G43" s="79" t="n">
        <f aca="false">IFERROR(SUMPRODUCT(MAX(('DAILY ENTRY'!$C$7:$C$1203=$A43)*'DAILY ENTRY'!$A$7:$A$1203)),"")</f>
        <v>0</v>
      </c>
      <c r="H43" s="45" t="n">
        <f aca="true">IF(G43="","",TODAY()-G43)</f>
        <v>46251</v>
      </c>
      <c r="I43" s="45" t="n">
        <f aca="false">IFERROR(INDEX('DAILY ENTRY'!$B$7:$B$1203,SUMPRODUCT(MATCH(SUMPRODUCT(MAX(('DAILY ENTRY'!$C$7:$C$1203=$A43)*'DAILY ENTRY'!$A$7:$A$1203)),('DAILY ENTRY'!$C$7:$C$1203=$A43)*'DAILY ENTRY'!$A$7:$A$1203,0))),"")</f>
        <v>0</v>
      </c>
      <c r="J43" s="65" t="n">
        <f aca="false">COUNTIFS('DAILY ENTRY'!$C$7:$C$1203,$A43,'DAILY ENTRY'!$I$7:$I$1203,"Blocked")</f>
        <v>0</v>
      </c>
      <c r="K43" s="67" t="str">
        <f aca="false">IF($C43="Complete",IF(D43=0,"Account is live but nothing has been done on it yet",IF(H43&gt;14,"Live but untouched for over two weeks","Active")),IF($C43="Not Started","Not set up yet","Setup in progress"))</f>
        <v>Not set up yet</v>
      </c>
    </row>
    <row r="44" customFormat="false" ht="21.75" hidden="false" customHeight="true" outlineLevel="0" collapsed="false">
      <c r="A44" s="77" t="str">
        <f aca="false">'Platform Setup'!$B$44</f>
        <v>Vocal Media</v>
      </c>
      <c r="B44" s="78" t="str">
        <f aca="false">'Platform Setup'!$C$44</f>
        <v>Publishing</v>
      </c>
      <c r="C44" s="45" t="str">
        <f aca="false">'Platform Setup'!$J$44</f>
        <v>Not Started</v>
      </c>
      <c r="D44" s="45" t="n">
        <f aca="false">COUNTIF('DAILY ENTRY'!$C$7:$C$1203,$A44)</f>
        <v>0</v>
      </c>
      <c r="E44" s="45" t="n">
        <f aca="false">SUMIF('DAILY ENTRY'!$C$7:$C$1203,$A44,'DAILY ENTRY'!$F$7:$F$1203)</f>
        <v>0</v>
      </c>
      <c r="F44" s="45" t="n">
        <f aca="false">SUMIF('DAILY ENTRY'!$C$7:$C$1203,$A44,'DAILY ENTRY'!$G$7:$G$1203)</f>
        <v>0</v>
      </c>
      <c r="G44" s="79" t="n">
        <f aca="false">IFERROR(SUMPRODUCT(MAX(('DAILY ENTRY'!$C$7:$C$1203=$A44)*'DAILY ENTRY'!$A$7:$A$1203)),"")</f>
        <v>0</v>
      </c>
      <c r="H44" s="45" t="n">
        <f aca="true">IF(G44="","",TODAY()-G44)</f>
        <v>46251</v>
      </c>
      <c r="I44" s="45" t="n">
        <f aca="false">IFERROR(INDEX('DAILY ENTRY'!$B$7:$B$1203,SUMPRODUCT(MATCH(SUMPRODUCT(MAX(('DAILY ENTRY'!$C$7:$C$1203=$A44)*'DAILY ENTRY'!$A$7:$A$1203)),('DAILY ENTRY'!$C$7:$C$1203=$A44)*'DAILY ENTRY'!$A$7:$A$1203,0))),"")</f>
        <v>0</v>
      </c>
      <c r="J44" s="65" t="n">
        <f aca="false">COUNTIFS('DAILY ENTRY'!$C$7:$C$1203,$A44,'DAILY ENTRY'!$I$7:$I$1203,"Blocked")</f>
        <v>0</v>
      </c>
      <c r="K44" s="67" t="str">
        <f aca="false">IF($C44="Complete",IF(D44=0,"Account is live but nothing has been done on it yet",IF(H44&gt;14,"Live but untouched for over two weeks","Active")),IF($C44="Not Started","Not set up yet","Setup in progress"))</f>
        <v>Not set up yet</v>
      </c>
    </row>
    <row r="45" customFormat="false" ht="21.75" hidden="false" customHeight="true" outlineLevel="0" collapsed="false">
      <c r="A45" s="77" t="str">
        <f aca="false">'Platform Setup'!$B$45</f>
        <v>DEV Community</v>
      </c>
      <c r="B45" s="78" t="str">
        <f aca="false">'Platform Setup'!$C$45</f>
        <v>Publishing</v>
      </c>
      <c r="C45" s="45" t="str">
        <f aca="false">'Platform Setup'!$J$45</f>
        <v>Not Started</v>
      </c>
      <c r="D45" s="45" t="n">
        <f aca="false">COUNTIF('DAILY ENTRY'!$C$7:$C$1203,$A45)</f>
        <v>0</v>
      </c>
      <c r="E45" s="45" t="n">
        <f aca="false">SUMIF('DAILY ENTRY'!$C$7:$C$1203,$A45,'DAILY ENTRY'!$F$7:$F$1203)</f>
        <v>0</v>
      </c>
      <c r="F45" s="45" t="n">
        <f aca="false">SUMIF('DAILY ENTRY'!$C$7:$C$1203,$A45,'DAILY ENTRY'!$G$7:$G$1203)</f>
        <v>0</v>
      </c>
      <c r="G45" s="79" t="n">
        <f aca="false">IFERROR(SUMPRODUCT(MAX(('DAILY ENTRY'!$C$7:$C$1203=$A45)*'DAILY ENTRY'!$A$7:$A$1203)),"")</f>
        <v>0</v>
      </c>
      <c r="H45" s="45" t="n">
        <f aca="true">IF(G45="","",TODAY()-G45)</f>
        <v>46251</v>
      </c>
      <c r="I45" s="45" t="n">
        <f aca="false">IFERROR(INDEX('DAILY ENTRY'!$B$7:$B$1203,SUMPRODUCT(MATCH(SUMPRODUCT(MAX(('DAILY ENTRY'!$C$7:$C$1203=$A45)*'DAILY ENTRY'!$A$7:$A$1203)),('DAILY ENTRY'!$C$7:$C$1203=$A45)*'DAILY ENTRY'!$A$7:$A$1203,0))),"")</f>
        <v>0</v>
      </c>
      <c r="J45" s="65" t="n">
        <f aca="false">COUNTIFS('DAILY ENTRY'!$C$7:$C$1203,$A45,'DAILY ENTRY'!$I$7:$I$1203,"Blocked")</f>
        <v>0</v>
      </c>
      <c r="K45" s="67" t="str">
        <f aca="false">IF($C45="Complete",IF(D45=0,"Account is live but nothing has been done on it yet",IF(H45&gt;14,"Live but untouched for over two weeks","Active")),IF($C45="Not Started","Not set up yet","Setup in progress"))</f>
        <v>Not set up yet</v>
      </c>
    </row>
    <row r="46" customFormat="false" ht="21.75" hidden="false" customHeight="true" outlineLevel="0" collapsed="false">
      <c r="A46" s="77" t="str">
        <f aca="false">'Platform Setup'!$B$46</f>
        <v>Hashnode</v>
      </c>
      <c r="B46" s="78" t="str">
        <f aca="false">'Platform Setup'!$C$46</f>
        <v>Publishing</v>
      </c>
      <c r="C46" s="45" t="str">
        <f aca="false">'Platform Setup'!$J$46</f>
        <v>Not Started</v>
      </c>
      <c r="D46" s="45" t="n">
        <f aca="false">COUNTIF('DAILY ENTRY'!$C$7:$C$1203,$A46)</f>
        <v>0</v>
      </c>
      <c r="E46" s="45" t="n">
        <f aca="false">SUMIF('DAILY ENTRY'!$C$7:$C$1203,$A46,'DAILY ENTRY'!$F$7:$F$1203)</f>
        <v>0</v>
      </c>
      <c r="F46" s="45" t="n">
        <f aca="false">SUMIF('DAILY ENTRY'!$C$7:$C$1203,$A46,'DAILY ENTRY'!$G$7:$G$1203)</f>
        <v>0</v>
      </c>
      <c r="G46" s="79" t="n">
        <f aca="false">IFERROR(SUMPRODUCT(MAX(('DAILY ENTRY'!$C$7:$C$1203=$A46)*'DAILY ENTRY'!$A$7:$A$1203)),"")</f>
        <v>0</v>
      </c>
      <c r="H46" s="45" t="n">
        <f aca="true">IF(G46="","",TODAY()-G46)</f>
        <v>46251</v>
      </c>
      <c r="I46" s="45" t="n">
        <f aca="false">IFERROR(INDEX('DAILY ENTRY'!$B$7:$B$1203,SUMPRODUCT(MATCH(SUMPRODUCT(MAX(('DAILY ENTRY'!$C$7:$C$1203=$A46)*'DAILY ENTRY'!$A$7:$A$1203)),('DAILY ENTRY'!$C$7:$C$1203=$A46)*'DAILY ENTRY'!$A$7:$A$1203,0))),"")</f>
        <v>0</v>
      </c>
      <c r="J46" s="65" t="n">
        <f aca="false">COUNTIFS('DAILY ENTRY'!$C$7:$C$1203,$A46,'DAILY ENTRY'!$I$7:$I$1203,"Blocked")</f>
        <v>0</v>
      </c>
      <c r="K46" s="67" t="str">
        <f aca="false">IF($C46="Complete",IF(D46=0,"Account is live but nothing has been done on it yet",IF(H46&gt;14,"Live but untouched for over two weeks","Active")),IF($C46="Not Started","Not set up yet","Setup in progress"))</f>
        <v>Not set up yet</v>
      </c>
    </row>
    <row r="47" customFormat="false" ht="21.75" hidden="false" customHeight="true" outlineLevel="0" collapsed="false">
      <c r="A47" s="77" t="str">
        <f aca="false">'Platform Setup'!$B$47</f>
        <v>Google Search Console</v>
      </c>
      <c r="B47" s="78" t="str">
        <f aca="false">'Platform Setup'!$C$47</f>
        <v>Analytics</v>
      </c>
      <c r="C47" s="45" t="str">
        <f aca="false">'Platform Setup'!$J$47</f>
        <v>Not Started</v>
      </c>
      <c r="D47" s="45" t="n">
        <f aca="false">COUNTIF('DAILY ENTRY'!$C$7:$C$1203,$A47)</f>
        <v>0</v>
      </c>
      <c r="E47" s="45" t="n">
        <f aca="false">SUMIF('DAILY ENTRY'!$C$7:$C$1203,$A47,'DAILY ENTRY'!$F$7:$F$1203)</f>
        <v>0</v>
      </c>
      <c r="F47" s="45" t="n">
        <f aca="false">SUMIF('DAILY ENTRY'!$C$7:$C$1203,$A47,'DAILY ENTRY'!$G$7:$G$1203)</f>
        <v>0</v>
      </c>
      <c r="G47" s="79" t="n">
        <f aca="false">IFERROR(SUMPRODUCT(MAX(('DAILY ENTRY'!$C$7:$C$1203=$A47)*'DAILY ENTRY'!$A$7:$A$1203)),"")</f>
        <v>0</v>
      </c>
      <c r="H47" s="45" t="n">
        <f aca="true">IF(G47="","",TODAY()-G47)</f>
        <v>46251</v>
      </c>
      <c r="I47" s="45" t="n">
        <f aca="false">IFERROR(INDEX('DAILY ENTRY'!$B$7:$B$1203,SUMPRODUCT(MATCH(SUMPRODUCT(MAX(('DAILY ENTRY'!$C$7:$C$1203=$A47)*'DAILY ENTRY'!$A$7:$A$1203)),('DAILY ENTRY'!$C$7:$C$1203=$A47)*'DAILY ENTRY'!$A$7:$A$1203,0))),"")</f>
        <v>0</v>
      </c>
      <c r="J47" s="65" t="n">
        <f aca="false">COUNTIFS('DAILY ENTRY'!$C$7:$C$1203,$A47,'DAILY ENTRY'!$I$7:$I$1203,"Blocked")</f>
        <v>0</v>
      </c>
      <c r="K47" s="67" t="str">
        <f aca="false">IF($C47="Complete",IF(D47=0,"Account is live but nothing has been done on it yet",IF(H47&gt;14,"Live but untouched for over two weeks","Active")),IF($C47="Not Started","Not set up yet","Setup in progress"))</f>
        <v>Not set up yet</v>
      </c>
    </row>
    <row r="48" customFormat="false" ht="21.75" hidden="false" customHeight="true" outlineLevel="0" collapsed="false">
      <c r="A48" s="77" t="str">
        <f aca="false">'Platform Setup'!$B$48</f>
        <v>Google Analytics</v>
      </c>
      <c r="B48" s="78" t="str">
        <f aca="false">'Platform Setup'!$C$48</f>
        <v>Analytics</v>
      </c>
      <c r="C48" s="45" t="str">
        <f aca="false">'Platform Setup'!$J$48</f>
        <v>Not Started</v>
      </c>
      <c r="D48" s="45" t="n">
        <f aca="false">COUNTIF('DAILY ENTRY'!$C$7:$C$1203,$A48)</f>
        <v>0</v>
      </c>
      <c r="E48" s="45" t="n">
        <f aca="false">SUMIF('DAILY ENTRY'!$C$7:$C$1203,$A48,'DAILY ENTRY'!$F$7:$F$1203)</f>
        <v>0</v>
      </c>
      <c r="F48" s="45" t="n">
        <f aca="false">SUMIF('DAILY ENTRY'!$C$7:$C$1203,$A48,'DAILY ENTRY'!$G$7:$G$1203)</f>
        <v>0</v>
      </c>
      <c r="G48" s="79" t="n">
        <f aca="false">IFERROR(SUMPRODUCT(MAX(('DAILY ENTRY'!$C$7:$C$1203=$A48)*'DAILY ENTRY'!$A$7:$A$1203)),"")</f>
        <v>0</v>
      </c>
      <c r="H48" s="45" t="n">
        <f aca="true">IF(G48="","",TODAY()-G48)</f>
        <v>46251</v>
      </c>
      <c r="I48" s="45" t="n">
        <f aca="false">IFERROR(INDEX('DAILY ENTRY'!$B$7:$B$1203,SUMPRODUCT(MATCH(SUMPRODUCT(MAX(('DAILY ENTRY'!$C$7:$C$1203=$A48)*'DAILY ENTRY'!$A$7:$A$1203)),('DAILY ENTRY'!$C$7:$C$1203=$A48)*'DAILY ENTRY'!$A$7:$A$1203,0))),"")</f>
        <v>0</v>
      </c>
      <c r="J48" s="65" t="n">
        <f aca="false">COUNTIFS('DAILY ENTRY'!$C$7:$C$1203,$A48,'DAILY ENTRY'!$I$7:$I$1203,"Blocked")</f>
        <v>0</v>
      </c>
      <c r="K48" s="67" t="str">
        <f aca="false">IF($C48="Complete",IF(D48=0,"Account is live but nothing has been done on it yet",IF(H48&gt;14,"Live but untouched for over two weeks","Active")),IF($C48="Not Started","Not set up yet","Setup in progress"))</f>
        <v>Not set up yet</v>
      </c>
    </row>
    <row r="49" customFormat="false" ht="21.75" hidden="false" customHeight="true" outlineLevel="0" collapsed="false">
      <c r="A49" s="77" t="str">
        <f aca="false">'Platform Setup'!$B$49</f>
        <v>Microsoft Clarity</v>
      </c>
      <c r="B49" s="78" t="str">
        <f aca="false">'Platform Setup'!$C$49</f>
        <v>Analytics</v>
      </c>
      <c r="C49" s="45" t="str">
        <f aca="false">'Platform Setup'!$J$49</f>
        <v>Not Started</v>
      </c>
      <c r="D49" s="45" t="n">
        <f aca="false">COUNTIF('DAILY ENTRY'!$C$7:$C$1203,$A49)</f>
        <v>0</v>
      </c>
      <c r="E49" s="45" t="n">
        <f aca="false">SUMIF('DAILY ENTRY'!$C$7:$C$1203,$A49,'DAILY ENTRY'!$F$7:$F$1203)</f>
        <v>0</v>
      </c>
      <c r="F49" s="45" t="n">
        <f aca="false">SUMIF('DAILY ENTRY'!$C$7:$C$1203,$A49,'DAILY ENTRY'!$G$7:$G$1203)</f>
        <v>0</v>
      </c>
      <c r="G49" s="79" t="n">
        <f aca="false">IFERROR(SUMPRODUCT(MAX(('DAILY ENTRY'!$C$7:$C$1203=$A49)*'DAILY ENTRY'!$A$7:$A$1203)),"")</f>
        <v>0</v>
      </c>
      <c r="H49" s="45" t="n">
        <f aca="true">IF(G49="","",TODAY()-G49)</f>
        <v>46251</v>
      </c>
      <c r="I49" s="45" t="n">
        <f aca="false">IFERROR(INDEX('DAILY ENTRY'!$B$7:$B$1203,SUMPRODUCT(MATCH(SUMPRODUCT(MAX(('DAILY ENTRY'!$C$7:$C$1203=$A49)*'DAILY ENTRY'!$A$7:$A$1203)),('DAILY ENTRY'!$C$7:$C$1203=$A49)*'DAILY ENTRY'!$A$7:$A$1203,0))),"")</f>
        <v>0</v>
      </c>
      <c r="J49" s="65" t="n">
        <f aca="false">COUNTIFS('DAILY ENTRY'!$C$7:$C$1203,$A49,'DAILY ENTRY'!$I$7:$I$1203,"Blocked")</f>
        <v>0</v>
      </c>
      <c r="K49" s="67" t="str">
        <f aca="false">IF($C49="Complete",IF(D49=0,"Account is live but nothing has been done on it yet",IF(H49&gt;14,"Live but untouched for over two weeks","Active")),IF($C49="Not Started","Not set up yet","Setup in progress"))</f>
        <v>Not set up yet</v>
      </c>
    </row>
  </sheetData>
  <autoFilter ref="A3:K49"/>
  <mergeCells count="2">
    <mergeCell ref="A1:K1"/>
    <mergeCell ref="A2:K2"/>
  </mergeCells>
  <conditionalFormatting sqref="K4:K49">
    <cfRule type="expression" priority="2" aboveAverage="0" equalAverage="0" bottom="0" percent="0" rank="0" text="" dxfId="7">
      <formula>$K4="Active"</formula>
    </cfRule>
    <cfRule type="expression" priority="3" aboveAverage="0" equalAverage="0" bottom="0" percent="0" rank="0" text="" dxfId="6">
      <formula>OR($K4="Not set up yet",$K4="Live but untouched for over two weeks")</formula>
    </cfRule>
  </conditionalFormatting>
  <conditionalFormatting sqref="J4:J49">
    <cfRule type="cellIs" priority="4" operator="greaterThan" aboveAverage="0" equalAverage="0" bottom="0" percent="0" rank="0" text="" dxfId="6">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L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1" min="2" style="1" width="15"/>
    <col collapsed="false" customWidth="true" hidden="false" outlineLevel="0" max="12" min="12" style="1" width="11"/>
  </cols>
  <sheetData>
    <row r="1" customFormat="false" ht="25.5" hidden="false" customHeight="true" outlineLevel="0" collapsed="false">
      <c r="A1" s="2" t="s">
        <v>397</v>
      </c>
      <c r="B1" s="2"/>
      <c r="C1" s="2"/>
      <c r="D1" s="2"/>
      <c r="E1" s="2"/>
      <c r="F1" s="2"/>
      <c r="G1" s="2"/>
      <c r="H1" s="2"/>
      <c r="I1" s="2"/>
      <c r="J1" s="2"/>
      <c r="K1" s="2"/>
      <c r="L1" s="2"/>
    </row>
    <row r="2" customFormat="false" ht="18" hidden="false" customHeight="true" outlineLevel="0" collapsed="false">
      <c r="A2" s="3" t="s">
        <v>398</v>
      </c>
      <c r="B2" s="3"/>
      <c r="C2" s="3"/>
      <c r="D2" s="3"/>
      <c r="E2" s="3"/>
      <c r="F2" s="3"/>
      <c r="G2" s="3"/>
      <c r="H2" s="3"/>
      <c r="I2" s="3"/>
      <c r="J2" s="3"/>
      <c r="K2" s="3"/>
      <c r="L2" s="3"/>
    </row>
    <row r="3" customFormat="false" ht="33.75" hidden="false" customHeight="true" outlineLevel="0" collapsed="false">
      <c r="A3" s="80" t="s">
        <v>115</v>
      </c>
      <c r="B3" s="31" t="str">
        <f aca="false">IF('START HERE'!$B$55="","(empty slot)",'START HERE'!$B$55)</f>
        <v>Employee 1</v>
      </c>
      <c r="C3" s="31" t="str">
        <f aca="false">IF('START HERE'!$B$56="","(empty slot)",'START HERE'!$B$56)</f>
        <v>(empty slot)</v>
      </c>
      <c r="D3" s="31" t="str">
        <f aca="false">IF('START HERE'!$B$57="","(empty slot)",'START HERE'!$B$57)</f>
        <v>(empty slot)</v>
      </c>
      <c r="E3" s="31" t="str">
        <f aca="false">IF('START HERE'!$B$58="","(empty slot)",'START HERE'!$B$58)</f>
        <v>(empty slot)</v>
      </c>
      <c r="F3" s="31" t="str">
        <f aca="false">IF('START HERE'!$B$59="","(empty slot)",'START HERE'!$B$59)</f>
        <v>(empty slot)</v>
      </c>
      <c r="G3" s="31" t="str">
        <f aca="false">IF('START HERE'!$B$60="","(empty slot)",'START HERE'!$B$60)</f>
        <v>(empty slot)</v>
      </c>
      <c r="H3" s="31" t="str">
        <f aca="false">IF('START HERE'!$B$61="","(empty slot)",'START HERE'!$B$61)</f>
        <v>(empty slot)</v>
      </c>
      <c r="I3" s="31" t="str">
        <f aca="false">IF('START HERE'!$B$62="","(empty slot)",'START HERE'!$B$62)</f>
        <v>(empty slot)</v>
      </c>
      <c r="J3" s="31" t="str">
        <f aca="false">IF('START HERE'!$B$63="","(empty slot)",'START HERE'!$B$63)</f>
        <v>(empty slot)</v>
      </c>
      <c r="K3" s="31" t="str">
        <f aca="false">IF('START HERE'!$B$64="","(empty slot)",'START HERE'!$B$64)</f>
        <v>(empty slot)</v>
      </c>
      <c r="L3" s="81" t="s">
        <v>333</v>
      </c>
    </row>
    <row r="4" customFormat="false" ht="19.5" hidden="false" customHeight="true" outlineLevel="0" collapsed="false">
      <c r="A4" s="77" t="str">
        <f aca="false">'Platform Setup'!$B$4</f>
        <v>LinkedIn Company Page</v>
      </c>
      <c r="B4" s="82" t="n">
        <f aca="false">IF(B$3="(empty slot)","",COUNTIFS('DAILY ENTRY'!$C$7:$C$1203,$A4,'DAILY ENTRY'!$B$7:$B$1203,B$3))</f>
        <v>0</v>
      </c>
      <c r="C4" s="82" t="str">
        <f aca="false">IF(C$3="(empty slot)","",COUNTIFS('DAILY ENTRY'!$C$7:$C$1203,$A4,'DAILY ENTRY'!$B$7:$B$1203,C$3))</f>
        <v/>
      </c>
      <c r="D4" s="82" t="str">
        <f aca="false">IF(D$3="(empty slot)","",COUNTIFS('DAILY ENTRY'!$C$7:$C$1203,$A4,'DAILY ENTRY'!$B$7:$B$1203,D$3))</f>
        <v/>
      </c>
      <c r="E4" s="82" t="str">
        <f aca="false">IF(E$3="(empty slot)","",COUNTIFS('DAILY ENTRY'!$C$7:$C$1203,$A4,'DAILY ENTRY'!$B$7:$B$1203,E$3))</f>
        <v/>
      </c>
      <c r="F4" s="82" t="str">
        <f aca="false">IF(F$3="(empty slot)","",COUNTIFS('DAILY ENTRY'!$C$7:$C$1203,$A4,'DAILY ENTRY'!$B$7:$B$1203,F$3))</f>
        <v/>
      </c>
      <c r="G4" s="82" t="str">
        <f aca="false">IF(G$3="(empty slot)","",COUNTIFS('DAILY ENTRY'!$C$7:$C$1203,$A4,'DAILY ENTRY'!$B$7:$B$1203,G$3))</f>
        <v/>
      </c>
      <c r="H4" s="82" t="str">
        <f aca="false">IF(H$3="(empty slot)","",COUNTIFS('DAILY ENTRY'!$C$7:$C$1203,$A4,'DAILY ENTRY'!$B$7:$B$1203,H$3))</f>
        <v/>
      </c>
      <c r="I4" s="82" t="str">
        <f aca="false">IF(I$3="(empty slot)","",COUNTIFS('DAILY ENTRY'!$C$7:$C$1203,$A4,'DAILY ENTRY'!$B$7:$B$1203,I$3))</f>
        <v/>
      </c>
      <c r="J4" s="82" t="str">
        <f aca="false">IF(J$3="(empty slot)","",COUNTIFS('DAILY ENTRY'!$C$7:$C$1203,$A4,'DAILY ENTRY'!$B$7:$B$1203,J$3))</f>
        <v/>
      </c>
      <c r="K4" s="82" t="str">
        <f aca="false">IF(K$3="(empty slot)","",COUNTIFS('DAILY ENTRY'!$C$7:$C$1203,$A4,'DAILY ENTRY'!$B$7:$B$1203,K$3))</f>
        <v/>
      </c>
      <c r="L4" s="83" t="n">
        <f aca="false">COUNTIF('DAILY ENTRY'!$C$7:$C$1203,$A4)</f>
        <v>0</v>
      </c>
    </row>
    <row r="5" customFormat="false" ht="19.5" hidden="false" customHeight="true" outlineLevel="0" collapsed="false">
      <c r="A5" s="77" t="str">
        <f aca="false">'Platform Setup'!$B$5</f>
        <v>LinkedIn Personal Profile</v>
      </c>
      <c r="B5" s="82" t="n">
        <f aca="false">IF(B$3="(empty slot)","",COUNTIFS('DAILY ENTRY'!$C$7:$C$1203,$A5,'DAILY ENTRY'!$B$7:$B$1203,B$3))</f>
        <v>0</v>
      </c>
      <c r="C5" s="82" t="str">
        <f aca="false">IF(C$3="(empty slot)","",COUNTIFS('DAILY ENTRY'!$C$7:$C$1203,$A5,'DAILY ENTRY'!$B$7:$B$1203,C$3))</f>
        <v/>
      </c>
      <c r="D5" s="82" t="str">
        <f aca="false">IF(D$3="(empty slot)","",COUNTIFS('DAILY ENTRY'!$C$7:$C$1203,$A5,'DAILY ENTRY'!$B$7:$B$1203,D$3))</f>
        <v/>
      </c>
      <c r="E5" s="82" t="str">
        <f aca="false">IF(E$3="(empty slot)","",COUNTIFS('DAILY ENTRY'!$C$7:$C$1203,$A5,'DAILY ENTRY'!$B$7:$B$1203,E$3))</f>
        <v/>
      </c>
      <c r="F5" s="82" t="str">
        <f aca="false">IF(F$3="(empty slot)","",COUNTIFS('DAILY ENTRY'!$C$7:$C$1203,$A5,'DAILY ENTRY'!$B$7:$B$1203,F$3))</f>
        <v/>
      </c>
      <c r="G5" s="82" t="str">
        <f aca="false">IF(G$3="(empty slot)","",COUNTIFS('DAILY ENTRY'!$C$7:$C$1203,$A5,'DAILY ENTRY'!$B$7:$B$1203,G$3))</f>
        <v/>
      </c>
      <c r="H5" s="82" t="str">
        <f aca="false">IF(H$3="(empty slot)","",COUNTIFS('DAILY ENTRY'!$C$7:$C$1203,$A5,'DAILY ENTRY'!$B$7:$B$1203,H$3))</f>
        <v/>
      </c>
      <c r="I5" s="82" t="str">
        <f aca="false">IF(I$3="(empty slot)","",COUNTIFS('DAILY ENTRY'!$C$7:$C$1203,$A5,'DAILY ENTRY'!$B$7:$B$1203,I$3))</f>
        <v/>
      </c>
      <c r="J5" s="82" t="str">
        <f aca="false">IF(J$3="(empty slot)","",COUNTIFS('DAILY ENTRY'!$C$7:$C$1203,$A5,'DAILY ENTRY'!$B$7:$B$1203,J$3))</f>
        <v/>
      </c>
      <c r="K5" s="82" t="str">
        <f aca="false">IF(K$3="(empty slot)","",COUNTIFS('DAILY ENTRY'!$C$7:$C$1203,$A5,'DAILY ENTRY'!$B$7:$B$1203,K$3))</f>
        <v/>
      </c>
      <c r="L5" s="83" t="n">
        <f aca="false">COUNTIF('DAILY ENTRY'!$C$7:$C$1203,$A5)</f>
        <v>0</v>
      </c>
    </row>
    <row r="6" customFormat="false" ht="19.5" hidden="false" customHeight="true" outlineLevel="0" collapsed="false">
      <c r="A6" s="77" t="str">
        <f aca="false">'Platform Setup'!$B$6</f>
        <v>LinkedIn Sales Navigator</v>
      </c>
      <c r="B6" s="82" t="n">
        <f aca="false">IF(B$3="(empty slot)","",COUNTIFS('DAILY ENTRY'!$C$7:$C$1203,$A6,'DAILY ENTRY'!$B$7:$B$1203,B$3))</f>
        <v>0</v>
      </c>
      <c r="C6" s="82" t="str">
        <f aca="false">IF(C$3="(empty slot)","",COUNTIFS('DAILY ENTRY'!$C$7:$C$1203,$A6,'DAILY ENTRY'!$B$7:$B$1203,C$3))</f>
        <v/>
      </c>
      <c r="D6" s="82" t="str">
        <f aca="false">IF(D$3="(empty slot)","",COUNTIFS('DAILY ENTRY'!$C$7:$C$1203,$A6,'DAILY ENTRY'!$B$7:$B$1203,D$3))</f>
        <v/>
      </c>
      <c r="E6" s="82" t="str">
        <f aca="false">IF(E$3="(empty slot)","",COUNTIFS('DAILY ENTRY'!$C$7:$C$1203,$A6,'DAILY ENTRY'!$B$7:$B$1203,E$3))</f>
        <v/>
      </c>
      <c r="F6" s="82" t="str">
        <f aca="false">IF(F$3="(empty slot)","",COUNTIFS('DAILY ENTRY'!$C$7:$C$1203,$A6,'DAILY ENTRY'!$B$7:$B$1203,F$3))</f>
        <v/>
      </c>
      <c r="G6" s="82" t="str">
        <f aca="false">IF(G$3="(empty slot)","",COUNTIFS('DAILY ENTRY'!$C$7:$C$1203,$A6,'DAILY ENTRY'!$B$7:$B$1203,G$3))</f>
        <v/>
      </c>
      <c r="H6" s="82" t="str">
        <f aca="false">IF(H$3="(empty slot)","",COUNTIFS('DAILY ENTRY'!$C$7:$C$1203,$A6,'DAILY ENTRY'!$B$7:$B$1203,H$3))</f>
        <v/>
      </c>
      <c r="I6" s="82" t="str">
        <f aca="false">IF(I$3="(empty slot)","",COUNTIFS('DAILY ENTRY'!$C$7:$C$1203,$A6,'DAILY ENTRY'!$B$7:$B$1203,I$3))</f>
        <v/>
      </c>
      <c r="J6" s="82" t="str">
        <f aca="false">IF(J$3="(empty slot)","",COUNTIFS('DAILY ENTRY'!$C$7:$C$1203,$A6,'DAILY ENTRY'!$B$7:$B$1203,J$3))</f>
        <v/>
      </c>
      <c r="K6" s="82" t="str">
        <f aca="false">IF(K$3="(empty slot)","",COUNTIFS('DAILY ENTRY'!$C$7:$C$1203,$A6,'DAILY ENTRY'!$B$7:$B$1203,K$3))</f>
        <v/>
      </c>
      <c r="L6" s="83" t="n">
        <f aca="false">COUNTIF('DAILY ENTRY'!$C$7:$C$1203,$A6)</f>
        <v>0</v>
      </c>
    </row>
    <row r="7" customFormat="false" ht="19.5" hidden="false" customHeight="true" outlineLevel="0" collapsed="false">
      <c r="A7" s="77" t="str">
        <f aca="false">'Platform Setup'!$B$7</f>
        <v>LinkedIn Newsletter</v>
      </c>
      <c r="B7" s="82" t="n">
        <f aca="false">IF(B$3="(empty slot)","",COUNTIFS('DAILY ENTRY'!$C$7:$C$1203,$A7,'DAILY ENTRY'!$B$7:$B$1203,B$3))</f>
        <v>0</v>
      </c>
      <c r="C7" s="82" t="str">
        <f aca="false">IF(C$3="(empty slot)","",COUNTIFS('DAILY ENTRY'!$C$7:$C$1203,$A7,'DAILY ENTRY'!$B$7:$B$1203,C$3))</f>
        <v/>
      </c>
      <c r="D7" s="82" t="str">
        <f aca="false">IF(D$3="(empty slot)","",COUNTIFS('DAILY ENTRY'!$C$7:$C$1203,$A7,'DAILY ENTRY'!$B$7:$B$1203,D$3))</f>
        <v/>
      </c>
      <c r="E7" s="82" t="str">
        <f aca="false">IF(E$3="(empty slot)","",COUNTIFS('DAILY ENTRY'!$C$7:$C$1203,$A7,'DAILY ENTRY'!$B$7:$B$1203,E$3))</f>
        <v/>
      </c>
      <c r="F7" s="82" t="str">
        <f aca="false">IF(F$3="(empty slot)","",COUNTIFS('DAILY ENTRY'!$C$7:$C$1203,$A7,'DAILY ENTRY'!$B$7:$B$1203,F$3))</f>
        <v/>
      </c>
      <c r="G7" s="82" t="str">
        <f aca="false">IF(G$3="(empty slot)","",COUNTIFS('DAILY ENTRY'!$C$7:$C$1203,$A7,'DAILY ENTRY'!$B$7:$B$1203,G$3))</f>
        <v/>
      </c>
      <c r="H7" s="82" t="str">
        <f aca="false">IF(H$3="(empty slot)","",COUNTIFS('DAILY ENTRY'!$C$7:$C$1203,$A7,'DAILY ENTRY'!$B$7:$B$1203,H$3))</f>
        <v/>
      </c>
      <c r="I7" s="82" t="str">
        <f aca="false">IF(I$3="(empty slot)","",COUNTIFS('DAILY ENTRY'!$C$7:$C$1203,$A7,'DAILY ENTRY'!$B$7:$B$1203,I$3))</f>
        <v/>
      </c>
      <c r="J7" s="82" t="str">
        <f aca="false">IF(J$3="(empty slot)","",COUNTIFS('DAILY ENTRY'!$C$7:$C$1203,$A7,'DAILY ENTRY'!$B$7:$B$1203,J$3))</f>
        <v/>
      </c>
      <c r="K7" s="82" t="str">
        <f aca="false">IF(K$3="(empty slot)","",COUNTIFS('DAILY ENTRY'!$C$7:$C$1203,$A7,'DAILY ENTRY'!$B$7:$B$1203,K$3))</f>
        <v/>
      </c>
      <c r="L7" s="83" t="n">
        <f aca="false">COUNTIF('DAILY ENTRY'!$C$7:$C$1203,$A7)</f>
        <v>0</v>
      </c>
    </row>
    <row r="8" customFormat="false" ht="19.5" hidden="false" customHeight="true" outlineLevel="0" collapsed="false">
      <c r="A8" s="77" t="str">
        <f aca="false">'Platform Setup'!$B$8</f>
        <v>LinkedIn Groups</v>
      </c>
      <c r="B8" s="82" t="n">
        <f aca="false">IF(B$3="(empty slot)","",COUNTIFS('DAILY ENTRY'!$C$7:$C$1203,$A8,'DAILY ENTRY'!$B$7:$B$1203,B$3))</f>
        <v>0</v>
      </c>
      <c r="C8" s="82" t="str">
        <f aca="false">IF(C$3="(empty slot)","",COUNTIFS('DAILY ENTRY'!$C$7:$C$1203,$A8,'DAILY ENTRY'!$B$7:$B$1203,C$3))</f>
        <v/>
      </c>
      <c r="D8" s="82" t="str">
        <f aca="false">IF(D$3="(empty slot)","",COUNTIFS('DAILY ENTRY'!$C$7:$C$1203,$A8,'DAILY ENTRY'!$B$7:$B$1203,D$3))</f>
        <v/>
      </c>
      <c r="E8" s="82" t="str">
        <f aca="false">IF(E$3="(empty slot)","",COUNTIFS('DAILY ENTRY'!$C$7:$C$1203,$A8,'DAILY ENTRY'!$B$7:$B$1203,E$3))</f>
        <v/>
      </c>
      <c r="F8" s="82" t="str">
        <f aca="false">IF(F$3="(empty slot)","",COUNTIFS('DAILY ENTRY'!$C$7:$C$1203,$A8,'DAILY ENTRY'!$B$7:$B$1203,F$3))</f>
        <v/>
      </c>
      <c r="G8" s="82" t="str">
        <f aca="false">IF(G$3="(empty slot)","",COUNTIFS('DAILY ENTRY'!$C$7:$C$1203,$A8,'DAILY ENTRY'!$B$7:$B$1203,G$3))</f>
        <v/>
      </c>
      <c r="H8" s="82" t="str">
        <f aca="false">IF(H$3="(empty slot)","",COUNTIFS('DAILY ENTRY'!$C$7:$C$1203,$A8,'DAILY ENTRY'!$B$7:$B$1203,H$3))</f>
        <v/>
      </c>
      <c r="I8" s="82" t="str">
        <f aca="false">IF(I$3="(empty slot)","",COUNTIFS('DAILY ENTRY'!$C$7:$C$1203,$A8,'DAILY ENTRY'!$B$7:$B$1203,I$3))</f>
        <v/>
      </c>
      <c r="J8" s="82" t="str">
        <f aca="false">IF(J$3="(empty slot)","",COUNTIFS('DAILY ENTRY'!$C$7:$C$1203,$A8,'DAILY ENTRY'!$B$7:$B$1203,J$3))</f>
        <v/>
      </c>
      <c r="K8" s="82" t="str">
        <f aca="false">IF(K$3="(empty slot)","",COUNTIFS('DAILY ENTRY'!$C$7:$C$1203,$A8,'DAILY ENTRY'!$B$7:$B$1203,K$3))</f>
        <v/>
      </c>
      <c r="L8" s="83" t="n">
        <f aca="false">COUNTIF('DAILY ENTRY'!$C$7:$C$1203,$A8)</f>
        <v>0</v>
      </c>
    </row>
    <row r="9" customFormat="false" ht="19.5" hidden="false" customHeight="true" outlineLevel="0" collapsed="false">
      <c r="A9" s="77" t="str">
        <f aca="false">'Platform Setup'!$B$9</f>
        <v>Facebook Page</v>
      </c>
      <c r="B9" s="82" t="n">
        <f aca="false">IF(B$3="(empty slot)","",COUNTIFS('DAILY ENTRY'!$C$7:$C$1203,$A9,'DAILY ENTRY'!$B$7:$B$1203,B$3))</f>
        <v>0</v>
      </c>
      <c r="C9" s="82" t="str">
        <f aca="false">IF(C$3="(empty slot)","",COUNTIFS('DAILY ENTRY'!$C$7:$C$1203,$A9,'DAILY ENTRY'!$B$7:$B$1203,C$3))</f>
        <v/>
      </c>
      <c r="D9" s="82" t="str">
        <f aca="false">IF(D$3="(empty slot)","",COUNTIFS('DAILY ENTRY'!$C$7:$C$1203,$A9,'DAILY ENTRY'!$B$7:$B$1203,D$3))</f>
        <v/>
      </c>
      <c r="E9" s="82" t="str">
        <f aca="false">IF(E$3="(empty slot)","",COUNTIFS('DAILY ENTRY'!$C$7:$C$1203,$A9,'DAILY ENTRY'!$B$7:$B$1203,E$3))</f>
        <v/>
      </c>
      <c r="F9" s="82" t="str">
        <f aca="false">IF(F$3="(empty slot)","",COUNTIFS('DAILY ENTRY'!$C$7:$C$1203,$A9,'DAILY ENTRY'!$B$7:$B$1203,F$3))</f>
        <v/>
      </c>
      <c r="G9" s="82" t="str">
        <f aca="false">IF(G$3="(empty slot)","",COUNTIFS('DAILY ENTRY'!$C$7:$C$1203,$A9,'DAILY ENTRY'!$B$7:$B$1203,G$3))</f>
        <v/>
      </c>
      <c r="H9" s="82" t="str">
        <f aca="false">IF(H$3="(empty slot)","",COUNTIFS('DAILY ENTRY'!$C$7:$C$1203,$A9,'DAILY ENTRY'!$B$7:$B$1203,H$3))</f>
        <v/>
      </c>
      <c r="I9" s="82" t="str">
        <f aca="false">IF(I$3="(empty slot)","",COUNTIFS('DAILY ENTRY'!$C$7:$C$1203,$A9,'DAILY ENTRY'!$B$7:$B$1203,I$3))</f>
        <v/>
      </c>
      <c r="J9" s="82" t="str">
        <f aca="false">IF(J$3="(empty slot)","",COUNTIFS('DAILY ENTRY'!$C$7:$C$1203,$A9,'DAILY ENTRY'!$B$7:$B$1203,J$3))</f>
        <v/>
      </c>
      <c r="K9" s="82" t="str">
        <f aca="false">IF(K$3="(empty slot)","",COUNTIFS('DAILY ENTRY'!$C$7:$C$1203,$A9,'DAILY ENTRY'!$B$7:$B$1203,K$3))</f>
        <v/>
      </c>
      <c r="L9" s="83" t="n">
        <f aca="false">COUNTIF('DAILY ENTRY'!$C$7:$C$1203,$A9)</f>
        <v>0</v>
      </c>
    </row>
    <row r="10" customFormat="false" ht="19.5" hidden="false" customHeight="true" outlineLevel="0" collapsed="false">
      <c r="A10" s="77" t="str">
        <f aca="false">'Platform Setup'!$B$10</f>
        <v>Facebook Groups</v>
      </c>
      <c r="B10" s="82" t="n">
        <f aca="false">IF(B$3="(empty slot)","",COUNTIFS('DAILY ENTRY'!$C$7:$C$1203,$A10,'DAILY ENTRY'!$B$7:$B$1203,B$3))</f>
        <v>0</v>
      </c>
      <c r="C10" s="82" t="str">
        <f aca="false">IF(C$3="(empty slot)","",COUNTIFS('DAILY ENTRY'!$C$7:$C$1203,$A10,'DAILY ENTRY'!$B$7:$B$1203,C$3))</f>
        <v/>
      </c>
      <c r="D10" s="82" t="str">
        <f aca="false">IF(D$3="(empty slot)","",COUNTIFS('DAILY ENTRY'!$C$7:$C$1203,$A10,'DAILY ENTRY'!$B$7:$B$1203,D$3))</f>
        <v/>
      </c>
      <c r="E10" s="82" t="str">
        <f aca="false">IF(E$3="(empty slot)","",COUNTIFS('DAILY ENTRY'!$C$7:$C$1203,$A10,'DAILY ENTRY'!$B$7:$B$1203,E$3))</f>
        <v/>
      </c>
      <c r="F10" s="82" t="str">
        <f aca="false">IF(F$3="(empty slot)","",COUNTIFS('DAILY ENTRY'!$C$7:$C$1203,$A10,'DAILY ENTRY'!$B$7:$B$1203,F$3))</f>
        <v/>
      </c>
      <c r="G10" s="82" t="str">
        <f aca="false">IF(G$3="(empty slot)","",COUNTIFS('DAILY ENTRY'!$C$7:$C$1203,$A10,'DAILY ENTRY'!$B$7:$B$1203,G$3))</f>
        <v/>
      </c>
      <c r="H10" s="82" t="str">
        <f aca="false">IF(H$3="(empty slot)","",COUNTIFS('DAILY ENTRY'!$C$7:$C$1203,$A10,'DAILY ENTRY'!$B$7:$B$1203,H$3))</f>
        <v/>
      </c>
      <c r="I10" s="82" t="str">
        <f aca="false">IF(I$3="(empty slot)","",COUNTIFS('DAILY ENTRY'!$C$7:$C$1203,$A10,'DAILY ENTRY'!$B$7:$B$1203,I$3))</f>
        <v/>
      </c>
      <c r="J10" s="82" t="str">
        <f aca="false">IF(J$3="(empty slot)","",COUNTIFS('DAILY ENTRY'!$C$7:$C$1203,$A10,'DAILY ENTRY'!$B$7:$B$1203,J$3))</f>
        <v/>
      </c>
      <c r="K10" s="82" t="str">
        <f aca="false">IF(K$3="(empty slot)","",COUNTIFS('DAILY ENTRY'!$C$7:$C$1203,$A10,'DAILY ENTRY'!$B$7:$B$1203,K$3))</f>
        <v/>
      </c>
      <c r="L10" s="83" t="n">
        <f aca="false">COUNTIF('DAILY ENTRY'!$C$7:$C$1203,$A10)</f>
        <v>0</v>
      </c>
    </row>
    <row r="11" customFormat="false" ht="19.5" hidden="false" customHeight="true" outlineLevel="0" collapsed="false">
      <c r="A11" s="77" t="str">
        <f aca="false">'Platform Setup'!$B$11</f>
        <v>Instagram</v>
      </c>
      <c r="B11" s="82" t="n">
        <f aca="false">IF(B$3="(empty slot)","",COUNTIFS('DAILY ENTRY'!$C$7:$C$1203,$A11,'DAILY ENTRY'!$B$7:$B$1203,B$3))</f>
        <v>0</v>
      </c>
      <c r="C11" s="82" t="str">
        <f aca="false">IF(C$3="(empty slot)","",COUNTIFS('DAILY ENTRY'!$C$7:$C$1203,$A11,'DAILY ENTRY'!$B$7:$B$1203,C$3))</f>
        <v/>
      </c>
      <c r="D11" s="82" t="str">
        <f aca="false">IF(D$3="(empty slot)","",COUNTIFS('DAILY ENTRY'!$C$7:$C$1203,$A11,'DAILY ENTRY'!$B$7:$B$1203,D$3))</f>
        <v/>
      </c>
      <c r="E11" s="82" t="str">
        <f aca="false">IF(E$3="(empty slot)","",COUNTIFS('DAILY ENTRY'!$C$7:$C$1203,$A11,'DAILY ENTRY'!$B$7:$B$1203,E$3))</f>
        <v/>
      </c>
      <c r="F11" s="82" t="str">
        <f aca="false">IF(F$3="(empty slot)","",COUNTIFS('DAILY ENTRY'!$C$7:$C$1203,$A11,'DAILY ENTRY'!$B$7:$B$1203,F$3))</f>
        <v/>
      </c>
      <c r="G11" s="82" t="str">
        <f aca="false">IF(G$3="(empty slot)","",COUNTIFS('DAILY ENTRY'!$C$7:$C$1203,$A11,'DAILY ENTRY'!$B$7:$B$1203,G$3))</f>
        <v/>
      </c>
      <c r="H11" s="82" t="str">
        <f aca="false">IF(H$3="(empty slot)","",COUNTIFS('DAILY ENTRY'!$C$7:$C$1203,$A11,'DAILY ENTRY'!$B$7:$B$1203,H$3))</f>
        <v/>
      </c>
      <c r="I11" s="82" t="str">
        <f aca="false">IF(I$3="(empty slot)","",COUNTIFS('DAILY ENTRY'!$C$7:$C$1203,$A11,'DAILY ENTRY'!$B$7:$B$1203,I$3))</f>
        <v/>
      </c>
      <c r="J11" s="82" t="str">
        <f aca="false">IF(J$3="(empty slot)","",COUNTIFS('DAILY ENTRY'!$C$7:$C$1203,$A11,'DAILY ENTRY'!$B$7:$B$1203,J$3))</f>
        <v/>
      </c>
      <c r="K11" s="82" t="str">
        <f aca="false">IF(K$3="(empty slot)","",COUNTIFS('DAILY ENTRY'!$C$7:$C$1203,$A11,'DAILY ENTRY'!$B$7:$B$1203,K$3))</f>
        <v/>
      </c>
      <c r="L11" s="83" t="n">
        <f aca="false">COUNTIF('DAILY ENTRY'!$C$7:$C$1203,$A11)</f>
        <v>0</v>
      </c>
    </row>
    <row r="12" customFormat="false" ht="19.5" hidden="false" customHeight="true" outlineLevel="0" collapsed="false">
      <c r="A12" s="77" t="str">
        <f aca="false">'Platform Setup'!$B$12</f>
        <v>X (Twitter)</v>
      </c>
      <c r="B12" s="82" t="n">
        <f aca="false">IF(B$3="(empty slot)","",COUNTIFS('DAILY ENTRY'!$C$7:$C$1203,$A12,'DAILY ENTRY'!$B$7:$B$1203,B$3))</f>
        <v>0</v>
      </c>
      <c r="C12" s="82" t="str">
        <f aca="false">IF(C$3="(empty slot)","",COUNTIFS('DAILY ENTRY'!$C$7:$C$1203,$A12,'DAILY ENTRY'!$B$7:$B$1203,C$3))</f>
        <v/>
      </c>
      <c r="D12" s="82" t="str">
        <f aca="false">IF(D$3="(empty slot)","",COUNTIFS('DAILY ENTRY'!$C$7:$C$1203,$A12,'DAILY ENTRY'!$B$7:$B$1203,D$3))</f>
        <v/>
      </c>
      <c r="E12" s="82" t="str">
        <f aca="false">IF(E$3="(empty slot)","",COUNTIFS('DAILY ENTRY'!$C$7:$C$1203,$A12,'DAILY ENTRY'!$B$7:$B$1203,E$3))</f>
        <v/>
      </c>
      <c r="F12" s="82" t="str">
        <f aca="false">IF(F$3="(empty slot)","",COUNTIFS('DAILY ENTRY'!$C$7:$C$1203,$A12,'DAILY ENTRY'!$B$7:$B$1203,F$3))</f>
        <v/>
      </c>
      <c r="G12" s="82" t="str">
        <f aca="false">IF(G$3="(empty slot)","",COUNTIFS('DAILY ENTRY'!$C$7:$C$1203,$A12,'DAILY ENTRY'!$B$7:$B$1203,G$3))</f>
        <v/>
      </c>
      <c r="H12" s="82" t="str">
        <f aca="false">IF(H$3="(empty slot)","",COUNTIFS('DAILY ENTRY'!$C$7:$C$1203,$A12,'DAILY ENTRY'!$B$7:$B$1203,H$3))</f>
        <v/>
      </c>
      <c r="I12" s="82" t="str">
        <f aca="false">IF(I$3="(empty slot)","",COUNTIFS('DAILY ENTRY'!$C$7:$C$1203,$A12,'DAILY ENTRY'!$B$7:$B$1203,I$3))</f>
        <v/>
      </c>
      <c r="J12" s="82" t="str">
        <f aca="false">IF(J$3="(empty slot)","",COUNTIFS('DAILY ENTRY'!$C$7:$C$1203,$A12,'DAILY ENTRY'!$B$7:$B$1203,J$3))</f>
        <v/>
      </c>
      <c r="K12" s="82" t="str">
        <f aca="false">IF(K$3="(empty slot)","",COUNTIFS('DAILY ENTRY'!$C$7:$C$1203,$A12,'DAILY ENTRY'!$B$7:$B$1203,K$3))</f>
        <v/>
      </c>
      <c r="L12" s="83" t="n">
        <f aca="false">COUNTIF('DAILY ENTRY'!$C$7:$C$1203,$A12)</f>
        <v>0</v>
      </c>
    </row>
    <row r="13" customFormat="false" ht="19.5" hidden="false" customHeight="true" outlineLevel="0" collapsed="false">
      <c r="A13" s="77" t="str">
        <f aca="false">'Platform Setup'!$B$13</f>
        <v>Threads</v>
      </c>
      <c r="B13" s="82" t="n">
        <f aca="false">IF(B$3="(empty slot)","",COUNTIFS('DAILY ENTRY'!$C$7:$C$1203,$A13,'DAILY ENTRY'!$B$7:$B$1203,B$3))</f>
        <v>0</v>
      </c>
      <c r="C13" s="82" t="str">
        <f aca="false">IF(C$3="(empty slot)","",COUNTIFS('DAILY ENTRY'!$C$7:$C$1203,$A13,'DAILY ENTRY'!$B$7:$B$1203,C$3))</f>
        <v/>
      </c>
      <c r="D13" s="82" t="str">
        <f aca="false">IF(D$3="(empty slot)","",COUNTIFS('DAILY ENTRY'!$C$7:$C$1203,$A13,'DAILY ENTRY'!$B$7:$B$1203,D$3))</f>
        <v/>
      </c>
      <c r="E13" s="82" t="str">
        <f aca="false">IF(E$3="(empty slot)","",COUNTIFS('DAILY ENTRY'!$C$7:$C$1203,$A13,'DAILY ENTRY'!$B$7:$B$1203,E$3))</f>
        <v/>
      </c>
      <c r="F13" s="82" t="str">
        <f aca="false">IF(F$3="(empty slot)","",COUNTIFS('DAILY ENTRY'!$C$7:$C$1203,$A13,'DAILY ENTRY'!$B$7:$B$1203,F$3))</f>
        <v/>
      </c>
      <c r="G13" s="82" t="str">
        <f aca="false">IF(G$3="(empty slot)","",COUNTIFS('DAILY ENTRY'!$C$7:$C$1203,$A13,'DAILY ENTRY'!$B$7:$B$1203,G$3))</f>
        <v/>
      </c>
      <c r="H13" s="82" t="str">
        <f aca="false">IF(H$3="(empty slot)","",COUNTIFS('DAILY ENTRY'!$C$7:$C$1203,$A13,'DAILY ENTRY'!$B$7:$B$1203,H$3))</f>
        <v/>
      </c>
      <c r="I13" s="82" t="str">
        <f aca="false">IF(I$3="(empty slot)","",COUNTIFS('DAILY ENTRY'!$C$7:$C$1203,$A13,'DAILY ENTRY'!$B$7:$B$1203,I$3))</f>
        <v/>
      </c>
      <c r="J13" s="82" t="str">
        <f aca="false">IF(J$3="(empty slot)","",COUNTIFS('DAILY ENTRY'!$C$7:$C$1203,$A13,'DAILY ENTRY'!$B$7:$B$1203,J$3))</f>
        <v/>
      </c>
      <c r="K13" s="82" t="str">
        <f aca="false">IF(K$3="(empty slot)","",COUNTIFS('DAILY ENTRY'!$C$7:$C$1203,$A13,'DAILY ENTRY'!$B$7:$B$1203,K$3))</f>
        <v/>
      </c>
      <c r="L13" s="83" t="n">
        <f aca="false">COUNTIF('DAILY ENTRY'!$C$7:$C$1203,$A13)</f>
        <v>0</v>
      </c>
    </row>
    <row r="14" customFormat="false" ht="19.5" hidden="false" customHeight="true" outlineLevel="0" collapsed="false">
      <c r="A14" s="77" t="str">
        <f aca="false">'Platform Setup'!$B$14</f>
        <v>TikTok</v>
      </c>
      <c r="B14" s="82" t="n">
        <f aca="false">IF(B$3="(empty slot)","",COUNTIFS('DAILY ENTRY'!$C$7:$C$1203,$A14,'DAILY ENTRY'!$B$7:$B$1203,B$3))</f>
        <v>0</v>
      </c>
      <c r="C14" s="82" t="str">
        <f aca="false">IF(C$3="(empty slot)","",COUNTIFS('DAILY ENTRY'!$C$7:$C$1203,$A14,'DAILY ENTRY'!$B$7:$B$1203,C$3))</f>
        <v/>
      </c>
      <c r="D14" s="82" t="str">
        <f aca="false">IF(D$3="(empty slot)","",COUNTIFS('DAILY ENTRY'!$C$7:$C$1203,$A14,'DAILY ENTRY'!$B$7:$B$1203,D$3))</f>
        <v/>
      </c>
      <c r="E14" s="82" t="str">
        <f aca="false">IF(E$3="(empty slot)","",COUNTIFS('DAILY ENTRY'!$C$7:$C$1203,$A14,'DAILY ENTRY'!$B$7:$B$1203,E$3))</f>
        <v/>
      </c>
      <c r="F14" s="82" t="str">
        <f aca="false">IF(F$3="(empty slot)","",COUNTIFS('DAILY ENTRY'!$C$7:$C$1203,$A14,'DAILY ENTRY'!$B$7:$B$1203,F$3))</f>
        <v/>
      </c>
      <c r="G14" s="82" t="str">
        <f aca="false">IF(G$3="(empty slot)","",COUNTIFS('DAILY ENTRY'!$C$7:$C$1203,$A14,'DAILY ENTRY'!$B$7:$B$1203,G$3))</f>
        <v/>
      </c>
      <c r="H14" s="82" t="str">
        <f aca="false">IF(H$3="(empty slot)","",COUNTIFS('DAILY ENTRY'!$C$7:$C$1203,$A14,'DAILY ENTRY'!$B$7:$B$1203,H$3))</f>
        <v/>
      </c>
      <c r="I14" s="82" t="str">
        <f aca="false">IF(I$3="(empty slot)","",COUNTIFS('DAILY ENTRY'!$C$7:$C$1203,$A14,'DAILY ENTRY'!$B$7:$B$1203,I$3))</f>
        <v/>
      </c>
      <c r="J14" s="82" t="str">
        <f aca="false">IF(J$3="(empty slot)","",COUNTIFS('DAILY ENTRY'!$C$7:$C$1203,$A14,'DAILY ENTRY'!$B$7:$B$1203,J$3))</f>
        <v/>
      </c>
      <c r="K14" s="82" t="str">
        <f aca="false">IF(K$3="(empty slot)","",COUNTIFS('DAILY ENTRY'!$C$7:$C$1203,$A14,'DAILY ENTRY'!$B$7:$B$1203,K$3))</f>
        <v/>
      </c>
      <c r="L14" s="83" t="n">
        <f aca="false">COUNTIF('DAILY ENTRY'!$C$7:$C$1203,$A14)</f>
        <v>0</v>
      </c>
    </row>
    <row r="15" customFormat="false" ht="19.5" hidden="false" customHeight="true" outlineLevel="0" collapsed="false">
      <c r="A15" s="77" t="str">
        <f aca="false">'Platform Setup'!$B$15</f>
        <v>YouTube</v>
      </c>
      <c r="B15" s="82" t="n">
        <f aca="false">IF(B$3="(empty slot)","",COUNTIFS('DAILY ENTRY'!$C$7:$C$1203,$A15,'DAILY ENTRY'!$B$7:$B$1203,B$3))</f>
        <v>0</v>
      </c>
      <c r="C15" s="82" t="str">
        <f aca="false">IF(C$3="(empty slot)","",COUNTIFS('DAILY ENTRY'!$C$7:$C$1203,$A15,'DAILY ENTRY'!$B$7:$B$1203,C$3))</f>
        <v/>
      </c>
      <c r="D15" s="82" t="str">
        <f aca="false">IF(D$3="(empty slot)","",COUNTIFS('DAILY ENTRY'!$C$7:$C$1203,$A15,'DAILY ENTRY'!$B$7:$B$1203,D$3))</f>
        <v/>
      </c>
      <c r="E15" s="82" t="str">
        <f aca="false">IF(E$3="(empty slot)","",COUNTIFS('DAILY ENTRY'!$C$7:$C$1203,$A15,'DAILY ENTRY'!$B$7:$B$1203,E$3))</f>
        <v/>
      </c>
      <c r="F15" s="82" t="str">
        <f aca="false">IF(F$3="(empty slot)","",COUNTIFS('DAILY ENTRY'!$C$7:$C$1203,$A15,'DAILY ENTRY'!$B$7:$B$1203,F$3))</f>
        <v/>
      </c>
      <c r="G15" s="82" t="str">
        <f aca="false">IF(G$3="(empty slot)","",COUNTIFS('DAILY ENTRY'!$C$7:$C$1203,$A15,'DAILY ENTRY'!$B$7:$B$1203,G$3))</f>
        <v/>
      </c>
      <c r="H15" s="82" t="str">
        <f aca="false">IF(H$3="(empty slot)","",COUNTIFS('DAILY ENTRY'!$C$7:$C$1203,$A15,'DAILY ENTRY'!$B$7:$B$1203,H$3))</f>
        <v/>
      </c>
      <c r="I15" s="82" t="str">
        <f aca="false">IF(I$3="(empty slot)","",COUNTIFS('DAILY ENTRY'!$C$7:$C$1203,$A15,'DAILY ENTRY'!$B$7:$B$1203,I$3))</f>
        <v/>
      </c>
      <c r="J15" s="82" t="str">
        <f aca="false">IF(J$3="(empty slot)","",COUNTIFS('DAILY ENTRY'!$C$7:$C$1203,$A15,'DAILY ENTRY'!$B$7:$B$1203,J$3))</f>
        <v/>
      </c>
      <c r="K15" s="82" t="str">
        <f aca="false">IF(K$3="(empty slot)","",COUNTIFS('DAILY ENTRY'!$C$7:$C$1203,$A15,'DAILY ENTRY'!$B$7:$B$1203,K$3))</f>
        <v/>
      </c>
      <c r="L15" s="83" t="n">
        <f aca="false">COUNTIF('DAILY ENTRY'!$C$7:$C$1203,$A15)</f>
        <v>0</v>
      </c>
    </row>
    <row r="16" customFormat="false" ht="19.5" hidden="false" customHeight="true" outlineLevel="0" collapsed="false">
      <c r="A16" s="77" t="str">
        <f aca="false">'Platform Setup'!$B$16</f>
        <v>YouTube Shorts</v>
      </c>
      <c r="B16" s="82" t="n">
        <f aca="false">IF(B$3="(empty slot)","",COUNTIFS('DAILY ENTRY'!$C$7:$C$1203,$A16,'DAILY ENTRY'!$B$7:$B$1203,B$3))</f>
        <v>0</v>
      </c>
      <c r="C16" s="82" t="str">
        <f aca="false">IF(C$3="(empty slot)","",COUNTIFS('DAILY ENTRY'!$C$7:$C$1203,$A16,'DAILY ENTRY'!$B$7:$B$1203,C$3))</f>
        <v/>
      </c>
      <c r="D16" s="82" t="str">
        <f aca="false">IF(D$3="(empty slot)","",COUNTIFS('DAILY ENTRY'!$C$7:$C$1203,$A16,'DAILY ENTRY'!$B$7:$B$1203,D$3))</f>
        <v/>
      </c>
      <c r="E16" s="82" t="str">
        <f aca="false">IF(E$3="(empty slot)","",COUNTIFS('DAILY ENTRY'!$C$7:$C$1203,$A16,'DAILY ENTRY'!$B$7:$B$1203,E$3))</f>
        <v/>
      </c>
      <c r="F16" s="82" t="str">
        <f aca="false">IF(F$3="(empty slot)","",COUNTIFS('DAILY ENTRY'!$C$7:$C$1203,$A16,'DAILY ENTRY'!$B$7:$B$1203,F$3))</f>
        <v/>
      </c>
      <c r="G16" s="82" t="str">
        <f aca="false">IF(G$3="(empty slot)","",COUNTIFS('DAILY ENTRY'!$C$7:$C$1203,$A16,'DAILY ENTRY'!$B$7:$B$1203,G$3))</f>
        <v/>
      </c>
      <c r="H16" s="82" t="str">
        <f aca="false">IF(H$3="(empty slot)","",COUNTIFS('DAILY ENTRY'!$C$7:$C$1203,$A16,'DAILY ENTRY'!$B$7:$B$1203,H$3))</f>
        <v/>
      </c>
      <c r="I16" s="82" t="str">
        <f aca="false">IF(I$3="(empty slot)","",COUNTIFS('DAILY ENTRY'!$C$7:$C$1203,$A16,'DAILY ENTRY'!$B$7:$B$1203,I$3))</f>
        <v/>
      </c>
      <c r="J16" s="82" t="str">
        <f aca="false">IF(J$3="(empty slot)","",COUNTIFS('DAILY ENTRY'!$C$7:$C$1203,$A16,'DAILY ENTRY'!$B$7:$B$1203,J$3))</f>
        <v/>
      </c>
      <c r="K16" s="82" t="str">
        <f aca="false">IF(K$3="(empty slot)","",COUNTIFS('DAILY ENTRY'!$C$7:$C$1203,$A16,'DAILY ENTRY'!$B$7:$B$1203,K$3))</f>
        <v/>
      </c>
      <c r="L16" s="83" t="n">
        <f aca="false">COUNTIF('DAILY ENTRY'!$C$7:$C$1203,$A16)</f>
        <v>0</v>
      </c>
    </row>
    <row r="17" customFormat="false" ht="19.5" hidden="false" customHeight="true" outlineLevel="0" collapsed="false">
      <c r="A17" s="77" t="str">
        <f aca="false">'Platform Setup'!$B$17</f>
        <v>Pinterest</v>
      </c>
      <c r="B17" s="82" t="n">
        <f aca="false">IF(B$3="(empty slot)","",COUNTIFS('DAILY ENTRY'!$C$7:$C$1203,$A17,'DAILY ENTRY'!$B$7:$B$1203,B$3))</f>
        <v>0</v>
      </c>
      <c r="C17" s="82" t="str">
        <f aca="false">IF(C$3="(empty slot)","",COUNTIFS('DAILY ENTRY'!$C$7:$C$1203,$A17,'DAILY ENTRY'!$B$7:$B$1203,C$3))</f>
        <v/>
      </c>
      <c r="D17" s="82" t="str">
        <f aca="false">IF(D$3="(empty slot)","",COUNTIFS('DAILY ENTRY'!$C$7:$C$1203,$A17,'DAILY ENTRY'!$B$7:$B$1203,D$3))</f>
        <v/>
      </c>
      <c r="E17" s="82" t="str">
        <f aca="false">IF(E$3="(empty slot)","",COUNTIFS('DAILY ENTRY'!$C$7:$C$1203,$A17,'DAILY ENTRY'!$B$7:$B$1203,E$3))</f>
        <v/>
      </c>
      <c r="F17" s="82" t="str">
        <f aca="false">IF(F$3="(empty slot)","",COUNTIFS('DAILY ENTRY'!$C$7:$C$1203,$A17,'DAILY ENTRY'!$B$7:$B$1203,F$3))</f>
        <v/>
      </c>
      <c r="G17" s="82" t="str">
        <f aca="false">IF(G$3="(empty slot)","",COUNTIFS('DAILY ENTRY'!$C$7:$C$1203,$A17,'DAILY ENTRY'!$B$7:$B$1203,G$3))</f>
        <v/>
      </c>
      <c r="H17" s="82" t="str">
        <f aca="false">IF(H$3="(empty slot)","",COUNTIFS('DAILY ENTRY'!$C$7:$C$1203,$A17,'DAILY ENTRY'!$B$7:$B$1203,H$3))</f>
        <v/>
      </c>
      <c r="I17" s="82" t="str">
        <f aca="false">IF(I$3="(empty slot)","",COUNTIFS('DAILY ENTRY'!$C$7:$C$1203,$A17,'DAILY ENTRY'!$B$7:$B$1203,I$3))</f>
        <v/>
      </c>
      <c r="J17" s="82" t="str">
        <f aca="false">IF(J$3="(empty slot)","",COUNTIFS('DAILY ENTRY'!$C$7:$C$1203,$A17,'DAILY ENTRY'!$B$7:$B$1203,J$3))</f>
        <v/>
      </c>
      <c r="K17" s="82" t="str">
        <f aca="false">IF(K$3="(empty slot)","",COUNTIFS('DAILY ENTRY'!$C$7:$C$1203,$A17,'DAILY ENTRY'!$B$7:$B$1203,K$3))</f>
        <v/>
      </c>
      <c r="L17" s="83" t="n">
        <f aca="false">COUNTIF('DAILY ENTRY'!$C$7:$C$1203,$A17)</f>
        <v>0</v>
      </c>
    </row>
    <row r="18" customFormat="false" ht="19.5" hidden="false" customHeight="true" outlineLevel="0" collapsed="false">
      <c r="A18" s="77" t="str">
        <f aca="false">'Platform Setup'!$B$18</f>
        <v>Medium</v>
      </c>
      <c r="B18" s="82" t="n">
        <f aca="false">IF(B$3="(empty slot)","",COUNTIFS('DAILY ENTRY'!$C$7:$C$1203,$A18,'DAILY ENTRY'!$B$7:$B$1203,B$3))</f>
        <v>0</v>
      </c>
      <c r="C18" s="82" t="str">
        <f aca="false">IF(C$3="(empty slot)","",COUNTIFS('DAILY ENTRY'!$C$7:$C$1203,$A18,'DAILY ENTRY'!$B$7:$B$1203,C$3))</f>
        <v/>
      </c>
      <c r="D18" s="82" t="str">
        <f aca="false">IF(D$3="(empty slot)","",COUNTIFS('DAILY ENTRY'!$C$7:$C$1203,$A18,'DAILY ENTRY'!$B$7:$B$1203,D$3))</f>
        <v/>
      </c>
      <c r="E18" s="82" t="str">
        <f aca="false">IF(E$3="(empty slot)","",COUNTIFS('DAILY ENTRY'!$C$7:$C$1203,$A18,'DAILY ENTRY'!$B$7:$B$1203,E$3))</f>
        <v/>
      </c>
      <c r="F18" s="82" t="str">
        <f aca="false">IF(F$3="(empty slot)","",COUNTIFS('DAILY ENTRY'!$C$7:$C$1203,$A18,'DAILY ENTRY'!$B$7:$B$1203,F$3))</f>
        <v/>
      </c>
      <c r="G18" s="82" t="str">
        <f aca="false">IF(G$3="(empty slot)","",COUNTIFS('DAILY ENTRY'!$C$7:$C$1203,$A18,'DAILY ENTRY'!$B$7:$B$1203,G$3))</f>
        <v/>
      </c>
      <c r="H18" s="82" t="str">
        <f aca="false">IF(H$3="(empty slot)","",COUNTIFS('DAILY ENTRY'!$C$7:$C$1203,$A18,'DAILY ENTRY'!$B$7:$B$1203,H$3))</f>
        <v/>
      </c>
      <c r="I18" s="82" t="str">
        <f aca="false">IF(I$3="(empty slot)","",COUNTIFS('DAILY ENTRY'!$C$7:$C$1203,$A18,'DAILY ENTRY'!$B$7:$B$1203,I$3))</f>
        <v/>
      </c>
      <c r="J18" s="82" t="str">
        <f aca="false">IF(J$3="(empty slot)","",COUNTIFS('DAILY ENTRY'!$C$7:$C$1203,$A18,'DAILY ENTRY'!$B$7:$B$1203,J$3))</f>
        <v/>
      </c>
      <c r="K18" s="82" t="str">
        <f aca="false">IF(K$3="(empty slot)","",COUNTIFS('DAILY ENTRY'!$C$7:$C$1203,$A18,'DAILY ENTRY'!$B$7:$B$1203,K$3))</f>
        <v/>
      </c>
      <c r="L18" s="83" t="n">
        <f aca="false">COUNTIF('DAILY ENTRY'!$C$7:$C$1203,$A18)</f>
        <v>0</v>
      </c>
    </row>
    <row r="19" customFormat="false" ht="19.5" hidden="false" customHeight="true" outlineLevel="0" collapsed="false">
      <c r="A19" s="77" t="str">
        <f aca="false">'Platform Setup'!$B$19</f>
        <v>Substack</v>
      </c>
      <c r="B19" s="82" t="n">
        <f aca="false">IF(B$3="(empty slot)","",COUNTIFS('DAILY ENTRY'!$C$7:$C$1203,$A19,'DAILY ENTRY'!$B$7:$B$1203,B$3))</f>
        <v>0</v>
      </c>
      <c r="C19" s="82" t="str">
        <f aca="false">IF(C$3="(empty slot)","",COUNTIFS('DAILY ENTRY'!$C$7:$C$1203,$A19,'DAILY ENTRY'!$B$7:$B$1203,C$3))</f>
        <v/>
      </c>
      <c r="D19" s="82" t="str">
        <f aca="false">IF(D$3="(empty slot)","",COUNTIFS('DAILY ENTRY'!$C$7:$C$1203,$A19,'DAILY ENTRY'!$B$7:$B$1203,D$3))</f>
        <v/>
      </c>
      <c r="E19" s="82" t="str">
        <f aca="false">IF(E$3="(empty slot)","",COUNTIFS('DAILY ENTRY'!$C$7:$C$1203,$A19,'DAILY ENTRY'!$B$7:$B$1203,E$3))</f>
        <v/>
      </c>
      <c r="F19" s="82" t="str">
        <f aca="false">IF(F$3="(empty slot)","",COUNTIFS('DAILY ENTRY'!$C$7:$C$1203,$A19,'DAILY ENTRY'!$B$7:$B$1203,F$3))</f>
        <v/>
      </c>
      <c r="G19" s="82" t="str">
        <f aca="false">IF(G$3="(empty slot)","",COUNTIFS('DAILY ENTRY'!$C$7:$C$1203,$A19,'DAILY ENTRY'!$B$7:$B$1203,G$3))</f>
        <v/>
      </c>
      <c r="H19" s="82" t="str">
        <f aca="false">IF(H$3="(empty slot)","",COUNTIFS('DAILY ENTRY'!$C$7:$C$1203,$A19,'DAILY ENTRY'!$B$7:$B$1203,H$3))</f>
        <v/>
      </c>
      <c r="I19" s="82" t="str">
        <f aca="false">IF(I$3="(empty slot)","",COUNTIFS('DAILY ENTRY'!$C$7:$C$1203,$A19,'DAILY ENTRY'!$B$7:$B$1203,I$3))</f>
        <v/>
      </c>
      <c r="J19" s="82" t="str">
        <f aca="false">IF(J$3="(empty slot)","",COUNTIFS('DAILY ENTRY'!$C$7:$C$1203,$A19,'DAILY ENTRY'!$B$7:$B$1203,J$3))</f>
        <v/>
      </c>
      <c r="K19" s="82" t="str">
        <f aca="false">IF(K$3="(empty slot)","",COUNTIFS('DAILY ENTRY'!$C$7:$C$1203,$A19,'DAILY ENTRY'!$B$7:$B$1203,K$3))</f>
        <v/>
      </c>
      <c r="L19" s="83" t="n">
        <f aca="false">COUNTIF('DAILY ENTRY'!$C$7:$C$1203,$A19)</f>
        <v>0</v>
      </c>
    </row>
    <row r="20" customFormat="false" ht="19.5" hidden="false" customHeight="true" outlineLevel="0" collapsed="false">
      <c r="A20" s="77" t="str">
        <f aca="false">'Platform Setup'!$B$20</f>
        <v>SlideShare</v>
      </c>
      <c r="B20" s="82" t="n">
        <f aca="false">IF(B$3="(empty slot)","",COUNTIFS('DAILY ENTRY'!$C$7:$C$1203,$A20,'DAILY ENTRY'!$B$7:$B$1203,B$3))</f>
        <v>0</v>
      </c>
      <c r="C20" s="82" t="str">
        <f aca="false">IF(C$3="(empty slot)","",COUNTIFS('DAILY ENTRY'!$C$7:$C$1203,$A20,'DAILY ENTRY'!$B$7:$B$1203,C$3))</f>
        <v/>
      </c>
      <c r="D20" s="82" t="str">
        <f aca="false">IF(D$3="(empty slot)","",COUNTIFS('DAILY ENTRY'!$C$7:$C$1203,$A20,'DAILY ENTRY'!$B$7:$B$1203,D$3))</f>
        <v/>
      </c>
      <c r="E20" s="82" t="str">
        <f aca="false">IF(E$3="(empty slot)","",COUNTIFS('DAILY ENTRY'!$C$7:$C$1203,$A20,'DAILY ENTRY'!$B$7:$B$1203,E$3))</f>
        <v/>
      </c>
      <c r="F20" s="82" t="str">
        <f aca="false">IF(F$3="(empty slot)","",COUNTIFS('DAILY ENTRY'!$C$7:$C$1203,$A20,'DAILY ENTRY'!$B$7:$B$1203,F$3))</f>
        <v/>
      </c>
      <c r="G20" s="82" t="str">
        <f aca="false">IF(G$3="(empty slot)","",COUNTIFS('DAILY ENTRY'!$C$7:$C$1203,$A20,'DAILY ENTRY'!$B$7:$B$1203,G$3))</f>
        <v/>
      </c>
      <c r="H20" s="82" t="str">
        <f aca="false">IF(H$3="(empty slot)","",COUNTIFS('DAILY ENTRY'!$C$7:$C$1203,$A20,'DAILY ENTRY'!$B$7:$B$1203,H$3))</f>
        <v/>
      </c>
      <c r="I20" s="82" t="str">
        <f aca="false">IF(I$3="(empty slot)","",COUNTIFS('DAILY ENTRY'!$C$7:$C$1203,$A20,'DAILY ENTRY'!$B$7:$B$1203,I$3))</f>
        <v/>
      </c>
      <c r="J20" s="82" t="str">
        <f aca="false">IF(J$3="(empty slot)","",COUNTIFS('DAILY ENTRY'!$C$7:$C$1203,$A20,'DAILY ENTRY'!$B$7:$B$1203,J$3))</f>
        <v/>
      </c>
      <c r="K20" s="82" t="str">
        <f aca="false">IF(K$3="(empty slot)","",COUNTIFS('DAILY ENTRY'!$C$7:$C$1203,$A20,'DAILY ENTRY'!$B$7:$B$1203,K$3))</f>
        <v/>
      </c>
      <c r="L20" s="83" t="n">
        <f aca="false">COUNTIF('DAILY ENTRY'!$C$7:$C$1203,$A20)</f>
        <v>0</v>
      </c>
    </row>
    <row r="21" customFormat="false" ht="19.5" hidden="false" customHeight="true" outlineLevel="0" collapsed="false">
      <c r="A21" s="77" t="str">
        <f aca="false">'Platform Setup'!$B$21</f>
        <v>Tumblr</v>
      </c>
      <c r="B21" s="82" t="n">
        <f aca="false">IF(B$3="(empty slot)","",COUNTIFS('DAILY ENTRY'!$C$7:$C$1203,$A21,'DAILY ENTRY'!$B$7:$B$1203,B$3))</f>
        <v>0</v>
      </c>
      <c r="C21" s="82" t="str">
        <f aca="false">IF(C$3="(empty slot)","",COUNTIFS('DAILY ENTRY'!$C$7:$C$1203,$A21,'DAILY ENTRY'!$B$7:$B$1203,C$3))</f>
        <v/>
      </c>
      <c r="D21" s="82" t="str">
        <f aca="false">IF(D$3="(empty slot)","",COUNTIFS('DAILY ENTRY'!$C$7:$C$1203,$A21,'DAILY ENTRY'!$B$7:$B$1203,D$3))</f>
        <v/>
      </c>
      <c r="E21" s="82" t="str">
        <f aca="false">IF(E$3="(empty slot)","",COUNTIFS('DAILY ENTRY'!$C$7:$C$1203,$A21,'DAILY ENTRY'!$B$7:$B$1203,E$3))</f>
        <v/>
      </c>
      <c r="F21" s="82" t="str">
        <f aca="false">IF(F$3="(empty slot)","",COUNTIFS('DAILY ENTRY'!$C$7:$C$1203,$A21,'DAILY ENTRY'!$B$7:$B$1203,F$3))</f>
        <v/>
      </c>
      <c r="G21" s="82" t="str">
        <f aca="false">IF(G$3="(empty slot)","",COUNTIFS('DAILY ENTRY'!$C$7:$C$1203,$A21,'DAILY ENTRY'!$B$7:$B$1203,G$3))</f>
        <v/>
      </c>
      <c r="H21" s="82" t="str">
        <f aca="false">IF(H$3="(empty slot)","",COUNTIFS('DAILY ENTRY'!$C$7:$C$1203,$A21,'DAILY ENTRY'!$B$7:$B$1203,H$3))</f>
        <v/>
      </c>
      <c r="I21" s="82" t="str">
        <f aca="false">IF(I$3="(empty slot)","",COUNTIFS('DAILY ENTRY'!$C$7:$C$1203,$A21,'DAILY ENTRY'!$B$7:$B$1203,I$3))</f>
        <v/>
      </c>
      <c r="J21" s="82" t="str">
        <f aca="false">IF(J$3="(empty slot)","",COUNTIFS('DAILY ENTRY'!$C$7:$C$1203,$A21,'DAILY ENTRY'!$B$7:$B$1203,J$3))</f>
        <v/>
      </c>
      <c r="K21" s="82" t="str">
        <f aca="false">IF(K$3="(empty slot)","",COUNTIFS('DAILY ENTRY'!$C$7:$C$1203,$A21,'DAILY ENTRY'!$B$7:$B$1203,K$3))</f>
        <v/>
      </c>
      <c r="L21" s="83" t="n">
        <f aca="false">COUNTIF('DAILY ENTRY'!$C$7:$C$1203,$A21)</f>
        <v>0</v>
      </c>
    </row>
    <row r="22" customFormat="false" ht="19.5" hidden="false" customHeight="true" outlineLevel="0" collapsed="false">
      <c r="A22" s="77" t="str">
        <f aca="false">'Platform Setup'!$B$22</f>
        <v>Quora</v>
      </c>
      <c r="B22" s="82" t="n">
        <f aca="false">IF(B$3="(empty slot)","",COUNTIFS('DAILY ENTRY'!$C$7:$C$1203,$A22,'DAILY ENTRY'!$B$7:$B$1203,B$3))</f>
        <v>0</v>
      </c>
      <c r="C22" s="82" t="str">
        <f aca="false">IF(C$3="(empty slot)","",COUNTIFS('DAILY ENTRY'!$C$7:$C$1203,$A22,'DAILY ENTRY'!$B$7:$B$1203,C$3))</f>
        <v/>
      </c>
      <c r="D22" s="82" t="str">
        <f aca="false">IF(D$3="(empty slot)","",COUNTIFS('DAILY ENTRY'!$C$7:$C$1203,$A22,'DAILY ENTRY'!$B$7:$B$1203,D$3))</f>
        <v/>
      </c>
      <c r="E22" s="82" t="str">
        <f aca="false">IF(E$3="(empty slot)","",COUNTIFS('DAILY ENTRY'!$C$7:$C$1203,$A22,'DAILY ENTRY'!$B$7:$B$1203,E$3))</f>
        <v/>
      </c>
      <c r="F22" s="82" t="str">
        <f aca="false">IF(F$3="(empty slot)","",COUNTIFS('DAILY ENTRY'!$C$7:$C$1203,$A22,'DAILY ENTRY'!$B$7:$B$1203,F$3))</f>
        <v/>
      </c>
      <c r="G22" s="82" t="str">
        <f aca="false">IF(G$3="(empty slot)","",COUNTIFS('DAILY ENTRY'!$C$7:$C$1203,$A22,'DAILY ENTRY'!$B$7:$B$1203,G$3))</f>
        <v/>
      </c>
      <c r="H22" s="82" t="str">
        <f aca="false">IF(H$3="(empty slot)","",COUNTIFS('DAILY ENTRY'!$C$7:$C$1203,$A22,'DAILY ENTRY'!$B$7:$B$1203,H$3))</f>
        <v/>
      </c>
      <c r="I22" s="82" t="str">
        <f aca="false">IF(I$3="(empty slot)","",COUNTIFS('DAILY ENTRY'!$C$7:$C$1203,$A22,'DAILY ENTRY'!$B$7:$B$1203,I$3))</f>
        <v/>
      </c>
      <c r="J22" s="82" t="str">
        <f aca="false">IF(J$3="(empty slot)","",COUNTIFS('DAILY ENTRY'!$C$7:$C$1203,$A22,'DAILY ENTRY'!$B$7:$B$1203,J$3))</f>
        <v/>
      </c>
      <c r="K22" s="82" t="str">
        <f aca="false">IF(K$3="(empty slot)","",COUNTIFS('DAILY ENTRY'!$C$7:$C$1203,$A22,'DAILY ENTRY'!$B$7:$B$1203,K$3))</f>
        <v/>
      </c>
      <c r="L22" s="83" t="n">
        <f aca="false">COUNTIF('DAILY ENTRY'!$C$7:$C$1203,$A22)</f>
        <v>0</v>
      </c>
    </row>
    <row r="23" customFormat="false" ht="19.5" hidden="false" customHeight="true" outlineLevel="0" collapsed="false">
      <c r="A23" s="77" t="str">
        <f aca="false">'Platform Setup'!$B$23</f>
        <v>Reddit</v>
      </c>
      <c r="B23" s="82" t="n">
        <f aca="false">IF(B$3="(empty slot)","",COUNTIFS('DAILY ENTRY'!$C$7:$C$1203,$A23,'DAILY ENTRY'!$B$7:$B$1203,B$3))</f>
        <v>0</v>
      </c>
      <c r="C23" s="82" t="str">
        <f aca="false">IF(C$3="(empty slot)","",COUNTIFS('DAILY ENTRY'!$C$7:$C$1203,$A23,'DAILY ENTRY'!$B$7:$B$1203,C$3))</f>
        <v/>
      </c>
      <c r="D23" s="82" t="str">
        <f aca="false">IF(D$3="(empty slot)","",COUNTIFS('DAILY ENTRY'!$C$7:$C$1203,$A23,'DAILY ENTRY'!$B$7:$B$1203,D$3))</f>
        <v/>
      </c>
      <c r="E23" s="82" t="str">
        <f aca="false">IF(E$3="(empty slot)","",COUNTIFS('DAILY ENTRY'!$C$7:$C$1203,$A23,'DAILY ENTRY'!$B$7:$B$1203,E$3))</f>
        <v/>
      </c>
      <c r="F23" s="82" t="str">
        <f aca="false">IF(F$3="(empty slot)","",COUNTIFS('DAILY ENTRY'!$C$7:$C$1203,$A23,'DAILY ENTRY'!$B$7:$B$1203,F$3))</f>
        <v/>
      </c>
      <c r="G23" s="82" t="str">
        <f aca="false">IF(G$3="(empty slot)","",COUNTIFS('DAILY ENTRY'!$C$7:$C$1203,$A23,'DAILY ENTRY'!$B$7:$B$1203,G$3))</f>
        <v/>
      </c>
      <c r="H23" s="82" t="str">
        <f aca="false">IF(H$3="(empty slot)","",COUNTIFS('DAILY ENTRY'!$C$7:$C$1203,$A23,'DAILY ENTRY'!$B$7:$B$1203,H$3))</f>
        <v/>
      </c>
      <c r="I23" s="82" t="str">
        <f aca="false">IF(I$3="(empty slot)","",COUNTIFS('DAILY ENTRY'!$C$7:$C$1203,$A23,'DAILY ENTRY'!$B$7:$B$1203,I$3))</f>
        <v/>
      </c>
      <c r="J23" s="82" t="str">
        <f aca="false">IF(J$3="(empty slot)","",COUNTIFS('DAILY ENTRY'!$C$7:$C$1203,$A23,'DAILY ENTRY'!$B$7:$B$1203,J$3))</f>
        <v/>
      </c>
      <c r="K23" s="82" t="str">
        <f aca="false">IF(K$3="(empty slot)","",COUNTIFS('DAILY ENTRY'!$C$7:$C$1203,$A23,'DAILY ENTRY'!$B$7:$B$1203,K$3))</f>
        <v/>
      </c>
      <c r="L23" s="83" t="n">
        <f aca="false">COUNTIF('DAILY ENTRY'!$C$7:$C$1203,$A23)</f>
        <v>0</v>
      </c>
    </row>
    <row r="24" customFormat="false" ht="19.5" hidden="false" customHeight="true" outlineLevel="0" collapsed="false">
      <c r="A24" s="77" t="str">
        <f aca="false">'Platform Setup'!$B$24</f>
        <v>Discord</v>
      </c>
      <c r="B24" s="82" t="n">
        <f aca="false">IF(B$3="(empty slot)","",COUNTIFS('DAILY ENTRY'!$C$7:$C$1203,$A24,'DAILY ENTRY'!$B$7:$B$1203,B$3))</f>
        <v>0</v>
      </c>
      <c r="C24" s="82" t="str">
        <f aca="false">IF(C$3="(empty slot)","",COUNTIFS('DAILY ENTRY'!$C$7:$C$1203,$A24,'DAILY ENTRY'!$B$7:$B$1203,C$3))</f>
        <v/>
      </c>
      <c r="D24" s="82" t="str">
        <f aca="false">IF(D$3="(empty slot)","",COUNTIFS('DAILY ENTRY'!$C$7:$C$1203,$A24,'DAILY ENTRY'!$B$7:$B$1203,D$3))</f>
        <v/>
      </c>
      <c r="E24" s="82" t="str">
        <f aca="false">IF(E$3="(empty slot)","",COUNTIFS('DAILY ENTRY'!$C$7:$C$1203,$A24,'DAILY ENTRY'!$B$7:$B$1203,E$3))</f>
        <v/>
      </c>
      <c r="F24" s="82" t="str">
        <f aca="false">IF(F$3="(empty slot)","",COUNTIFS('DAILY ENTRY'!$C$7:$C$1203,$A24,'DAILY ENTRY'!$B$7:$B$1203,F$3))</f>
        <v/>
      </c>
      <c r="G24" s="82" t="str">
        <f aca="false">IF(G$3="(empty slot)","",COUNTIFS('DAILY ENTRY'!$C$7:$C$1203,$A24,'DAILY ENTRY'!$B$7:$B$1203,G$3))</f>
        <v/>
      </c>
      <c r="H24" s="82" t="str">
        <f aca="false">IF(H$3="(empty slot)","",COUNTIFS('DAILY ENTRY'!$C$7:$C$1203,$A24,'DAILY ENTRY'!$B$7:$B$1203,H$3))</f>
        <v/>
      </c>
      <c r="I24" s="82" t="str">
        <f aca="false">IF(I$3="(empty slot)","",COUNTIFS('DAILY ENTRY'!$C$7:$C$1203,$A24,'DAILY ENTRY'!$B$7:$B$1203,I$3))</f>
        <v/>
      </c>
      <c r="J24" s="82" t="str">
        <f aca="false">IF(J$3="(empty slot)","",COUNTIFS('DAILY ENTRY'!$C$7:$C$1203,$A24,'DAILY ENTRY'!$B$7:$B$1203,J$3))</f>
        <v/>
      </c>
      <c r="K24" s="82" t="str">
        <f aca="false">IF(K$3="(empty slot)","",COUNTIFS('DAILY ENTRY'!$C$7:$C$1203,$A24,'DAILY ENTRY'!$B$7:$B$1203,K$3))</f>
        <v/>
      </c>
      <c r="L24" s="83" t="n">
        <f aca="false">COUNTIF('DAILY ENTRY'!$C$7:$C$1203,$A24)</f>
        <v>0</v>
      </c>
    </row>
    <row r="25" customFormat="false" ht="19.5" hidden="false" customHeight="true" outlineLevel="0" collapsed="false">
      <c r="A25" s="77" t="str">
        <f aca="false">'Platform Setup'!$B$25</f>
        <v>Slack Communities</v>
      </c>
      <c r="B25" s="82" t="n">
        <f aca="false">IF(B$3="(empty slot)","",COUNTIFS('DAILY ENTRY'!$C$7:$C$1203,$A25,'DAILY ENTRY'!$B$7:$B$1203,B$3))</f>
        <v>0</v>
      </c>
      <c r="C25" s="82" t="str">
        <f aca="false">IF(C$3="(empty slot)","",COUNTIFS('DAILY ENTRY'!$C$7:$C$1203,$A25,'DAILY ENTRY'!$B$7:$B$1203,C$3))</f>
        <v/>
      </c>
      <c r="D25" s="82" t="str">
        <f aca="false">IF(D$3="(empty slot)","",COUNTIFS('DAILY ENTRY'!$C$7:$C$1203,$A25,'DAILY ENTRY'!$B$7:$B$1203,D$3))</f>
        <v/>
      </c>
      <c r="E25" s="82" t="str">
        <f aca="false">IF(E$3="(empty slot)","",COUNTIFS('DAILY ENTRY'!$C$7:$C$1203,$A25,'DAILY ENTRY'!$B$7:$B$1203,E$3))</f>
        <v/>
      </c>
      <c r="F25" s="82" t="str">
        <f aca="false">IF(F$3="(empty slot)","",COUNTIFS('DAILY ENTRY'!$C$7:$C$1203,$A25,'DAILY ENTRY'!$B$7:$B$1203,F$3))</f>
        <v/>
      </c>
      <c r="G25" s="82" t="str">
        <f aca="false">IF(G$3="(empty slot)","",COUNTIFS('DAILY ENTRY'!$C$7:$C$1203,$A25,'DAILY ENTRY'!$B$7:$B$1203,G$3))</f>
        <v/>
      </c>
      <c r="H25" s="82" t="str">
        <f aca="false">IF(H$3="(empty slot)","",COUNTIFS('DAILY ENTRY'!$C$7:$C$1203,$A25,'DAILY ENTRY'!$B$7:$B$1203,H$3))</f>
        <v/>
      </c>
      <c r="I25" s="82" t="str">
        <f aca="false">IF(I$3="(empty slot)","",COUNTIFS('DAILY ENTRY'!$C$7:$C$1203,$A25,'DAILY ENTRY'!$B$7:$B$1203,I$3))</f>
        <v/>
      </c>
      <c r="J25" s="82" t="str">
        <f aca="false">IF(J$3="(empty slot)","",COUNTIFS('DAILY ENTRY'!$C$7:$C$1203,$A25,'DAILY ENTRY'!$B$7:$B$1203,J$3))</f>
        <v/>
      </c>
      <c r="K25" s="82" t="str">
        <f aca="false">IF(K$3="(empty slot)","",COUNTIFS('DAILY ENTRY'!$C$7:$C$1203,$A25,'DAILY ENTRY'!$B$7:$B$1203,K$3))</f>
        <v/>
      </c>
      <c r="L25" s="83" t="n">
        <f aca="false">COUNTIF('DAILY ENTRY'!$C$7:$C$1203,$A25)</f>
        <v>0</v>
      </c>
    </row>
    <row r="26" customFormat="false" ht="19.5" hidden="false" customHeight="true" outlineLevel="0" collapsed="false">
      <c r="A26" s="77" t="str">
        <f aca="false">'Platform Setup'!$B$26</f>
        <v>WhatsApp Channel</v>
      </c>
      <c r="B26" s="82" t="n">
        <f aca="false">IF(B$3="(empty slot)","",COUNTIFS('DAILY ENTRY'!$C$7:$C$1203,$A26,'DAILY ENTRY'!$B$7:$B$1203,B$3))</f>
        <v>0</v>
      </c>
      <c r="C26" s="82" t="str">
        <f aca="false">IF(C$3="(empty slot)","",COUNTIFS('DAILY ENTRY'!$C$7:$C$1203,$A26,'DAILY ENTRY'!$B$7:$B$1203,C$3))</f>
        <v/>
      </c>
      <c r="D26" s="82" t="str">
        <f aca="false">IF(D$3="(empty slot)","",COUNTIFS('DAILY ENTRY'!$C$7:$C$1203,$A26,'DAILY ENTRY'!$B$7:$B$1203,D$3))</f>
        <v/>
      </c>
      <c r="E26" s="82" t="str">
        <f aca="false">IF(E$3="(empty slot)","",COUNTIFS('DAILY ENTRY'!$C$7:$C$1203,$A26,'DAILY ENTRY'!$B$7:$B$1203,E$3))</f>
        <v/>
      </c>
      <c r="F26" s="82" t="str">
        <f aca="false">IF(F$3="(empty slot)","",COUNTIFS('DAILY ENTRY'!$C$7:$C$1203,$A26,'DAILY ENTRY'!$B$7:$B$1203,F$3))</f>
        <v/>
      </c>
      <c r="G26" s="82" t="str">
        <f aca="false">IF(G$3="(empty slot)","",COUNTIFS('DAILY ENTRY'!$C$7:$C$1203,$A26,'DAILY ENTRY'!$B$7:$B$1203,G$3))</f>
        <v/>
      </c>
      <c r="H26" s="82" t="str">
        <f aca="false">IF(H$3="(empty slot)","",COUNTIFS('DAILY ENTRY'!$C$7:$C$1203,$A26,'DAILY ENTRY'!$B$7:$B$1203,H$3))</f>
        <v/>
      </c>
      <c r="I26" s="82" t="str">
        <f aca="false">IF(I$3="(empty slot)","",COUNTIFS('DAILY ENTRY'!$C$7:$C$1203,$A26,'DAILY ENTRY'!$B$7:$B$1203,I$3))</f>
        <v/>
      </c>
      <c r="J26" s="82" t="str">
        <f aca="false">IF(J$3="(empty slot)","",COUNTIFS('DAILY ENTRY'!$C$7:$C$1203,$A26,'DAILY ENTRY'!$B$7:$B$1203,J$3))</f>
        <v/>
      </c>
      <c r="K26" s="82" t="str">
        <f aca="false">IF(K$3="(empty slot)","",COUNTIFS('DAILY ENTRY'!$C$7:$C$1203,$A26,'DAILY ENTRY'!$B$7:$B$1203,K$3))</f>
        <v/>
      </c>
      <c r="L26" s="83" t="n">
        <f aca="false">COUNTIF('DAILY ENTRY'!$C$7:$C$1203,$A26)</f>
        <v>0</v>
      </c>
    </row>
    <row r="27" customFormat="false" ht="19.5" hidden="false" customHeight="true" outlineLevel="0" collapsed="false">
      <c r="A27" s="77" t="str">
        <f aca="false">'Platform Setup'!$B$27</f>
        <v>Telegram Channel</v>
      </c>
      <c r="B27" s="82" t="n">
        <f aca="false">IF(B$3="(empty slot)","",COUNTIFS('DAILY ENTRY'!$C$7:$C$1203,$A27,'DAILY ENTRY'!$B$7:$B$1203,B$3))</f>
        <v>0</v>
      </c>
      <c r="C27" s="82" t="str">
        <f aca="false">IF(C$3="(empty slot)","",COUNTIFS('DAILY ENTRY'!$C$7:$C$1203,$A27,'DAILY ENTRY'!$B$7:$B$1203,C$3))</f>
        <v/>
      </c>
      <c r="D27" s="82" t="str">
        <f aca="false">IF(D$3="(empty slot)","",COUNTIFS('DAILY ENTRY'!$C$7:$C$1203,$A27,'DAILY ENTRY'!$B$7:$B$1203,D$3))</f>
        <v/>
      </c>
      <c r="E27" s="82" t="str">
        <f aca="false">IF(E$3="(empty slot)","",COUNTIFS('DAILY ENTRY'!$C$7:$C$1203,$A27,'DAILY ENTRY'!$B$7:$B$1203,E$3))</f>
        <v/>
      </c>
      <c r="F27" s="82" t="str">
        <f aca="false">IF(F$3="(empty slot)","",COUNTIFS('DAILY ENTRY'!$C$7:$C$1203,$A27,'DAILY ENTRY'!$B$7:$B$1203,F$3))</f>
        <v/>
      </c>
      <c r="G27" s="82" t="str">
        <f aca="false">IF(G$3="(empty slot)","",COUNTIFS('DAILY ENTRY'!$C$7:$C$1203,$A27,'DAILY ENTRY'!$B$7:$B$1203,G$3))</f>
        <v/>
      </c>
      <c r="H27" s="82" t="str">
        <f aca="false">IF(H$3="(empty slot)","",COUNTIFS('DAILY ENTRY'!$C$7:$C$1203,$A27,'DAILY ENTRY'!$B$7:$B$1203,H$3))</f>
        <v/>
      </c>
      <c r="I27" s="82" t="str">
        <f aca="false">IF(I$3="(empty slot)","",COUNTIFS('DAILY ENTRY'!$C$7:$C$1203,$A27,'DAILY ENTRY'!$B$7:$B$1203,I$3))</f>
        <v/>
      </c>
      <c r="J27" s="82" t="str">
        <f aca="false">IF(J$3="(empty slot)","",COUNTIFS('DAILY ENTRY'!$C$7:$C$1203,$A27,'DAILY ENTRY'!$B$7:$B$1203,J$3))</f>
        <v/>
      </c>
      <c r="K27" s="82" t="str">
        <f aca="false">IF(K$3="(empty slot)","",COUNTIFS('DAILY ENTRY'!$C$7:$C$1203,$A27,'DAILY ENTRY'!$B$7:$B$1203,K$3))</f>
        <v/>
      </c>
      <c r="L27" s="83" t="n">
        <f aca="false">COUNTIF('DAILY ENTRY'!$C$7:$C$1203,$A27)</f>
        <v>0</v>
      </c>
    </row>
    <row r="28" customFormat="false" ht="19.5" hidden="false" customHeight="true" outlineLevel="0" collapsed="false">
      <c r="A28" s="77" t="str">
        <f aca="false">'Platform Setup'!$B$28</f>
        <v>Google Business Profile</v>
      </c>
      <c r="B28" s="82" t="n">
        <f aca="false">IF(B$3="(empty slot)","",COUNTIFS('DAILY ENTRY'!$C$7:$C$1203,$A28,'DAILY ENTRY'!$B$7:$B$1203,B$3))</f>
        <v>0</v>
      </c>
      <c r="C28" s="82" t="str">
        <f aca="false">IF(C$3="(empty slot)","",COUNTIFS('DAILY ENTRY'!$C$7:$C$1203,$A28,'DAILY ENTRY'!$B$7:$B$1203,C$3))</f>
        <v/>
      </c>
      <c r="D28" s="82" t="str">
        <f aca="false">IF(D$3="(empty slot)","",COUNTIFS('DAILY ENTRY'!$C$7:$C$1203,$A28,'DAILY ENTRY'!$B$7:$B$1203,D$3))</f>
        <v/>
      </c>
      <c r="E28" s="82" t="str">
        <f aca="false">IF(E$3="(empty slot)","",COUNTIFS('DAILY ENTRY'!$C$7:$C$1203,$A28,'DAILY ENTRY'!$B$7:$B$1203,E$3))</f>
        <v/>
      </c>
      <c r="F28" s="82" t="str">
        <f aca="false">IF(F$3="(empty slot)","",COUNTIFS('DAILY ENTRY'!$C$7:$C$1203,$A28,'DAILY ENTRY'!$B$7:$B$1203,F$3))</f>
        <v/>
      </c>
      <c r="G28" s="82" t="str">
        <f aca="false">IF(G$3="(empty slot)","",COUNTIFS('DAILY ENTRY'!$C$7:$C$1203,$A28,'DAILY ENTRY'!$B$7:$B$1203,G$3))</f>
        <v/>
      </c>
      <c r="H28" s="82" t="str">
        <f aca="false">IF(H$3="(empty slot)","",COUNTIFS('DAILY ENTRY'!$C$7:$C$1203,$A28,'DAILY ENTRY'!$B$7:$B$1203,H$3))</f>
        <v/>
      </c>
      <c r="I28" s="82" t="str">
        <f aca="false">IF(I$3="(empty slot)","",COUNTIFS('DAILY ENTRY'!$C$7:$C$1203,$A28,'DAILY ENTRY'!$B$7:$B$1203,I$3))</f>
        <v/>
      </c>
      <c r="J28" s="82" t="str">
        <f aca="false">IF(J$3="(empty slot)","",COUNTIFS('DAILY ENTRY'!$C$7:$C$1203,$A28,'DAILY ENTRY'!$B$7:$B$1203,J$3))</f>
        <v/>
      </c>
      <c r="K28" s="82" t="str">
        <f aca="false">IF(K$3="(empty slot)","",COUNTIFS('DAILY ENTRY'!$C$7:$C$1203,$A28,'DAILY ENTRY'!$B$7:$B$1203,K$3))</f>
        <v/>
      </c>
      <c r="L28" s="83" t="n">
        <f aca="false">COUNTIF('DAILY ENTRY'!$C$7:$C$1203,$A28)</f>
        <v>0</v>
      </c>
    </row>
    <row r="29" customFormat="false" ht="19.5" hidden="false" customHeight="true" outlineLevel="0" collapsed="false">
      <c r="A29" s="77" t="str">
        <f aca="false">'Platform Setup'!$B$29</f>
        <v>Bing Places</v>
      </c>
      <c r="B29" s="82" t="n">
        <f aca="false">IF(B$3="(empty slot)","",COUNTIFS('DAILY ENTRY'!$C$7:$C$1203,$A29,'DAILY ENTRY'!$B$7:$B$1203,B$3))</f>
        <v>0</v>
      </c>
      <c r="C29" s="82" t="str">
        <f aca="false">IF(C$3="(empty slot)","",COUNTIFS('DAILY ENTRY'!$C$7:$C$1203,$A29,'DAILY ENTRY'!$B$7:$B$1203,C$3))</f>
        <v/>
      </c>
      <c r="D29" s="82" t="str">
        <f aca="false">IF(D$3="(empty slot)","",COUNTIFS('DAILY ENTRY'!$C$7:$C$1203,$A29,'DAILY ENTRY'!$B$7:$B$1203,D$3))</f>
        <v/>
      </c>
      <c r="E29" s="82" t="str">
        <f aca="false">IF(E$3="(empty slot)","",COUNTIFS('DAILY ENTRY'!$C$7:$C$1203,$A29,'DAILY ENTRY'!$B$7:$B$1203,E$3))</f>
        <v/>
      </c>
      <c r="F29" s="82" t="str">
        <f aca="false">IF(F$3="(empty slot)","",COUNTIFS('DAILY ENTRY'!$C$7:$C$1203,$A29,'DAILY ENTRY'!$B$7:$B$1203,F$3))</f>
        <v/>
      </c>
      <c r="G29" s="82" t="str">
        <f aca="false">IF(G$3="(empty slot)","",COUNTIFS('DAILY ENTRY'!$C$7:$C$1203,$A29,'DAILY ENTRY'!$B$7:$B$1203,G$3))</f>
        <v/>
      </c>
      <c r="H29" s="82" t="str">
        <f aca="false">IF(H$3="(empty slot)","",COUNTIFS('DAILY ENTRY'!$C$7:$C$1203,$A29,'DAILY ENTRY'!$B$7:$B$1203,H$3))</f>
        <v/>
      </c>
      <c r="I29" s="82" t="str">
        <f aca="false">IF(I$3="(empty slot)","",COUNTIFS('DAILY ENTRY'!$C$7:$C$1203,$A29,'DAILY ENTRY'!$B$7:$B$1203,I$3))</f>
        <v/>
      </c>
      <c r="J29" s="82" t="str">
        <f aca="false">IF(J$3="(empty slot)","",COUNTIFS('DAILY ENTRY'!$C$7:$C$1203,$A29,'DAILY ENTRY'!$B$7:$B$1203,J$3))</f>
        <v/>
      </c>
      <c r="K29" s="82" t="str">
        <f aca="false">IF(K$3="(empty slot)","",COUNTIFS('DAILY ENTRY'!$C$7:$C$1203,$A29,'DAILY ENTRY'!$B$7:$B$1203,K$3))</f>
        <v/>
      </c>
      <c r="L29" s="83" t="n">
        <f aca="false">COUNTIF('DAILY ENTRY'!$C$7:$C$1203,$A29)</f>
        <v>0</v>
      </c>
    </row>
    <row r="30" customFormat="false" ht="19.5" hidden="false" customHeight="true" outlineLevel="0" collapsed="false">
      <c r="A30" s="77" t="str">
        <f aca="false">'Platform Setup'!$B$30</f>
        <v>Trustpilot</v>
      </c>
      <c r="B30" s="82" t="n">
        <f aca="false">IF(B$3="(empty slot)","",COUNTIFS('DAILY ENTRY'!$C$7:$C$1203,$A30,'DAILY ENTRY'!$B$7:$B$1203,B$3))</f>
        <v>0</v>
      </c>
      <c r="C30" s="82" t="str">
        <f aca="false">IF(C$3="(empty slot)","",COUNTIFS('DAILY ENTRY'!$C$7:$C$1203,$A30,'DAILY ENTRY'!$B$7:$B$1203,C$3))</f>
        <v/>
      </c>
      <c r="D30" s="82" t="str">
        <f aca="false">IF(D$3="(empty slot)","",COUNTIFS('DAILY ENTRY'!$C$7:$C$1203,$A30,'DAILY ENTRY'!$B$7:$B$1203,D$3))</f>
        <v/>
      </c>
      <c r="E30" s="82" t="str">
        <f aca="false">IF(E$3="(empty slot)","",COUNTIFS('DAILY ENTRY'!$C$7:$C$1203,$A30,'DAILY ENTRY'!$B$7:$B$1203,E$3))</f>
        <v/>
      </c>
      <c r="F30" s="82" t="str">
        <f aca="false">IF(F$3="(empty slot)","",COUNTIFS('DAILY ENTRY'!$C$7:$C$1203,$A30,'DAILY ENTRY'!$B$7:$B$1203,F$3))</f>
        <v/>
      </c>
      <c r="G30" s="82" t="str">
        <f aca="false">IF(G$3="(empty slot)","",COUNTIFS('DAILY ENTRY'!$C$7:$C$1203,$A30,'DAILY ENTRY'!$B$7:$B$1203,G$3))</f>
        <v/>
      </c>
      <c r="H30" s="82" t="str">
        <f aca="false">IF(H$3="(empty slot)","",COUNTIFS('DAILY ENTRY'!$C$7:$C$1203,$A30,'DAILY ENTRY'!$B$7:$B$1203,H$3))</f>
        <v/>
      </c>
      <c r="I30" s="82" t="str">
        <f aca="false">IF(I$3="(empty slot)","",COUNTIFS('DAILY ENTRY'!$C$7:$C$1203,$A30,'DAILY ENTRY'!$B$7:$B$1203,I$3))</f>
        <v/>
      </c>
      <c r="J30" s="82" t="str">
        <f aca="false">IF(J$3="(empty slot)","",COUNTIFS('DAILY ENTRY'!$C$7:$C$1203,$A30,'DAILY ENTRY'!$B$7:$B$1203,J$3))</f>
        <v/>
      </c>
      <c r="K30" s="82" t="str">
        <f aca="false">IF(K$3="(empty slot)","",COUNTIFS('DAILY ENTRY'!$C$7:$C$1203,$A30,'DAILY ENTRY'!$B$7:$B$1203,K$3))</f>
        <v/>
      </c>
      <c r="L30" s="83" t="n">
        <f aca="false">COUNTIF('DAILY ENTRY'!$C$7:$C$1203,$A30)</f>
        <v>0</v>
      </c>
    </row>
    <row r="31" customFormat="false" ht="19.5" hidden="false" customHeight="true" outlineLevel="0" collapsed="false">
      <c r="A31" s="77" t="str">
        <f aca="false">'Platform Setup'!$B$31</f>
        <v>Crunchbase</v>
      </c>
      <c r="B31" s="82" t="n">
        <f aca="false">IF(B$3="(empty slot)","",COUNTIFS('DAILY ENTRY'!$C$7:$C$1203,$A31,'DAILY ENTRY'!$B$7:$B$1203,B$3))</f>
        <v>0</v>
      </c>
      <c r="C31" s="82" t="str">
        <f aca="false">IF(C$3="(empty slot)","",COUNTIFS('DAILY ENTRY'!$C$7:$C$1203,$A31,'DAILY ENTRY'!$B$7:$B$1203,C$3))</f>
        <v/>
      </c>
      <c r="D31" s="82" t="str">
        <f aca="false">IF(D$3="(empty slot)","",COUNTIFS('DAILY ENTRY'!$C$7:$C$1203,$A31,'DAILY ENTRY'!$B$7:$B$1203,D$3))</f>
        <v/>
      </c>
      <c r="E31" s="82" t="str">
        <f aca="false">IF(E$3="(empty slot)","",COUNTIFS('DAILY ENTRY'!$C$7:$C$1203,$A31,'DAILY ENTRY'!$B$7:$B$1203,E$3))</f>
        <v/>
      </c>
      <c r="F31" s="82" t="str">
        <f aca="false">IF(F$3="(empty slot)","",COUNTIFS('DAILY ENTRY'!$C$7:$C$1203,$A31,'DAILY ENTRY'!$B$7:$B$1203,F$3))</f>
        <v/>
      </c>
      <c r="G31" s="82" t="str">
        <f aca="false">IF(G$3="(empty slot)","",COUNTIFS('DAILY ENTRY'!$C$7:$C$1203,$A31,'DAILY ENTRY'!$B$7:$B$1203,G$3))</f>
        <v/>
      </c>
      <c r="H31" s="82" t="str">
        <f aca="false">IF(H$3="(empty slot)","",COUNTIFS('DAILY ENTRY'!$C$7:$C$1203,$A31,'DAILY ENTRY'!$B$7:$B$1203,H$3))</f>
        <v/>
      </c>
      <c r="I31" s="82" t="str">
        <f aca="false">IF(I$3="(empty slot)","",COUNTIFS('DAILY ENTRY'!$C$7:$C$1203,$A31,'DAILY ENTRY'!$B$7:$B$1203,I$3))</f>
        <v/>
      </c>
      <c r="J31" s="82" t="str">
        <f aca="false">IF(J$3="(empty slot)","",COUNTIFS('DAILY ENTRY'!$C$7:$C$1203,$A31,'DAILY ENTRY'!$B$7:$B$1203,J$3))</f>
        <v/>
      </c>
      <c r="K31" s="82" t="str">
        <f aca="false">IF(K$3="(empty slot)","",COUNTIFS('DAILY ENTRY'!$C$7:$C$1203,$A31,'DAILY ENTRY'!$B$7:$B$1203,K$3))</f>
        <v/>
      </c>
      <c r="L31" s="83" t="n">
        <f aca="false">COUNTIF('DAILY ENTRY'!$C$7:$C$1203,$A31)</f>
        <v>0</v>
      </c>
    </row>
    <row r="32" customFormat="false" ht="19.5" hidden="false" customHeight="true" outlineLevel="0" collapsed="false">
      <c r="A32" s="77" t="str">
        <f aca="false">'Platform Setup'!$B$32</f>
        <v>G2</v>
      </c>
      <c r="B32" s="82" t="n">
        <f aca="false">IF(B$3="(empty slot)","",COUNTIFS('DAILY ENTRY'!$C$7:$C$1203,$A32,'DAILY ENTRY'!$B$7:$B$1203,B$3))</f>
        <v>0</v>
      </c>
      <c r="C32" s="82" t="str">
        <f aca="false">IF(C$3="(empty slot)","",COUNTIFS('DAILY ENTRY'!$C$7:$C$1203,$A32,'DAILY ENTRY'!$B$7:$B$1203,C$3))</f>
        <v/>
      </c>
      <c r="D32" s="82" t="str">
        <f aca="false">IF(D$3="(empty slot)","",COUNTIFS('DAILY ENTRY'!$C$7:$C$1203,$A32,'DAILY ENTRY'!$B$7:$B$1203,D$3))</f>
        <v/>
      </c>
      <c r="E32" s="82" t="str">
        <f aca="false">IF(E$3="(empty slot)","",COUNTIFS('DAILY ENTRY'!$C$7:$C$1203,$A32,'DAILY ENTRY'!$B$7:$B$1203,E$3))</f>
        <v/>
      </c>
      <c r="F32" s="82" t="str">
        <f aca="false">IF(F$3="(empty slot)","",COUNTIFS('DAILY ENTRY'!$C$7:$C$1203,$A32,'DAILY ENTRY'!$B$7:$B$1203,F$3))</f>
        <v/>
      </c>
      <c r="G32" s="82" t="str">
        <f aca="false">IF(G$3="(empty slot)","",COUNTIFS('DAILY ENTRY'!$C$7:$C$1203,$A32,'DAILY ENTRY'!$B$7:$B$1203,G$3))</f>
        <v/>
      </c>
      <c r="H32" s="82" t="str">
        <f aca="false">IF(H$3="(empty slot)","",COUNTIFS('DAILY ENTRY'!$C$7:$C$1203,$A32,'DAILY ENTRY'!$B$7:$B$1203,H$3))</f>
        <v/>
      </c>
      <c r="I32" s="82" t="str">
        <f aca="false">IF(I$3="(empty slot)","",COUNTIFS('DAILY ENTRY'!$C$7:$C$1203,$A32,'DAILY ENTRY'!$B$7:$B$1203,I$3))</f>
        <v/>
      </c>
      <c r="J32" s="82" t="str">
        <f aca="false">IF(J$3="(empty slot)","",COUNTIFS('DAILY ENTRY'!$C$7:$C$1203,$A32,'DAILY ENTRY'!$B$7:$B$1203,J$3))</f>
        <v/>
      </c>
      <c r="K32" s="82" t="str">
        <f aca="false">IF(K$3="(empty slot)","",COUNTIFS('DAILY ENTRY'!$C$7:$C$1203,$A32,'DAILY ENTRY'!$B$7:$B$1203,K$3))</f>
        <v/>
      </c>
      <c r="L32" s="83" t="n">
        <f aca="false">COUNTIF('DAILY ENTRY'!$C$7:$C$1203,$A32)</f>
        <v>0</v>
      </c>
    </row>
    <row r="33" customFormat="false" ht="19.5" hidden="false" customHeight="true" outlineLevel="0" collapsed="false">
      <c r="A33" s="77" t="str">
        <f aca="false">'Platform Setup'!$B$33</f>
        <v>Capterra</v>
      </c>
      <c r="B33" s="82" t="n">
        <f aca="false">IF(B$3="(empty slot)","",COUNTIFS('DAILY ENTRY'!$C$7:$C$1203,$A33,'DAILY ENTRY'!$B$7:$B$1203,B$3))</f>
        <v>0</v>
      </c>
      <c r="C33" s="82" t="str">
        <f aca="false">IF(C$3="(empty slot)","",COUNTIFS('DAILY ENTRY'!$C$7:$C$1203,$A33,'DAILY ENTRY'!$B$7:$B$1203,C$3))</f>
        <v/>
      </c>
      <c r="D33" s="82" t="str">
        <f aca="false">IF(D$3="(empty slot)","",COUNTIFS('DAILY ENTRY'!$C$7:$C$1203,$A33,'DAILY ENTRY'!$B$7:$B$1203,D$3))</f>
        <v/>
      </c>
      <c r="E33" s="82" t="str">
        <f aca="false">IF(E$3="(empty slot)","",COUNTIFS('DAILY ENTRY'!$C$7:$C$1203,$A33,'DAILY ENTRY'!$B$7:$B$1203,E$3))</f>
        <v/>
      </c>
      <c r="F33" s="82" t="str">
        <f aca="false">IF(F$3="(empty slot)","",COUNTIFS('DAILY ENTRY'!$C$7:$C$1203,$A33,'DAILY ENTRY'!$B$7:$B$1203,F$3))</f>
        <v/>
      </c>
      <c r="G33" s="82" t="str">
        <f aca="false">IF(G$3="(empty slot)","",COUNTIFS('DAILY ENTRY'!$C$7:$C$1203,$A33,'DAILY ENTRY'!$B$7:$B$1203,G$3))</f>
        <v/>
      </c>
      <c r="H33" s="82" t="str">
        <f aca="false">IF(H$3="(empty slot)","",COUNTIFS('DAILY ENTRY'!$C$7:$C$1203,$A33,'DAILY ENTRY'!$B$7:$B$1203,H$3))</f>
        <v/>
      </c>
      <c r="I33" s="82" t="str">
        <f aca="false">IF(I$3="(empty slot)","",COUNTIFS('DAILY ENTRY'!$C$7:$C$1203,$A33,'DAILY ENTRY'!$B$7:$B$1203,I$3))</f>
        <v/>
      </c>
      <c r="J33" s="82" t="str">
        <f aca="false">IF(J$3="(empty slot)","",COUNTIFS('DAILY ENTRY'!$C$7:$C$1203,$A33,'DAILY ENTRY'!$B$7:$B$1203,J$3))</f>
        <v/>
      </c>
      <c r="K33" s="82" t="str">
        <f aca="false">IF(K$3="(empty slot)","",COUNTIFS('DAILY ENTRY'!$C$7:$C$1203,$A33,'DAILY ENTRY'!$B$7:$B$1203,K$3))</f>
        <v/>
      </c>
      <c r="L33" s="83" t="n">
        <f aca="false">COUNTIF('DAILY ENTRY'!$C$7:$C$1203,$A33)</f>
        <v>0</v>
      </c>
    </row>
    <row r="34" customFormat="false" ht="19.5" hidden="false" customHeight="true" outlineLevel="0" collapsed="false">
      <c r="A34" s="77" t="str">
        <f aca="false">'Platform Setup'!$B$34</f>
        <v>Clutch</v>
      </c>
      <c r="B34" s="82" t="n">
        <f aca="false">IF(B$3="(empty slot)","",COUNTIFS('DAILY ENTRY'!$C$7:$C$1203,$A34,'DAILY ENTRY'!$B$7:$B$1203,B$3))</f>
        <v>0</v>
      </c>
      <c r="C34" s="82" t="str">
        <f aca="false">IF(C$3="(empty slot)","",COUNTIFS('DAILY ENTRY'!$C$7:$C$1203,$A34,'DAILY ENTRY'!$B$7:$B$1203,C$3))</f>
        <v/>
      </c>
      <c r="D34" s="82" t="str">
        <f aca="false">IF(D$3="(empty slot)","",COUNTIFS('DAILY ENTRY'!$C$7:$C$1203,$A34,'DAILY ENTRY'!$B$7:$B$1203,D$3))</f>
        <v/>
      </c>
      <c r="E34" s="82" t="str">
        <f aca="false">IF(E$3="(empty slot)","",COUNTIFS('DAILY ENTRY'!$C$7:$C$1203,$A34,'DAILY ENTRY'!$B$7:$B$1203,E$3))</f>
        <v/>
      </c>
      <c r="F34" s="82" t="str">
        <f aca="false">IF(F$3="(empty slot)","",COUNTIFS('DAILY ENTRY'!$C$7:$C$1203,$A34,'DAILY ENTRY'!$B$7:$B$1203,F$3))</f>
        <v/>
      </c>
      <c r="G34" s="82" t="str">
        <f aca="false">IF(G$3="(empty slot)","",COUNTIFS('DAILY ENTRY'!$C$7:$C$1203,$A34,'DAILY ENTRY'!$B$7:$B$1203,G$3))</f>
        <v/>
      </c>
      <c r="H34" s="82" t="str">
        <f aca="false">IF(H$3="(empty slot)","",COUNTIFS('DAILY ENTRY'!$C$7:$C$1203,$A34,'DAILY ENTRY'!$B$7:$B$1203,H$3))</f>
        <v/>
      </c>
      <c r="I34" s="82" t="str">
        <f aca="false">IF(I$3="(empty slot)","",COUNTIFS('DAILY ENTRY'!$C$7:$C$1203,$A34,'DAILY ENTRY'!$B$7:$B$1203,I$3))</f>
        <v/>
      </c>
      <c r="J34" s="82" t="str">
        <f aca="false">IF(J$3="(empty slot)","",COUNTIFS('DAILY ENTRY'!$C$7:$C$1203,$A34,'DAILY ENTRY'!$B$7:$B$1203,J$3))</f>
        <v/>
      </c>
      <c r="K34" s="82" t="str">
        <f aca="false">IF(K$3="(empty slot)","",COUNTIFS('DAILY ENTRY'!$C$7:$C$1203,$A34,'DAILY ENTRY'!$B$7:$B$1203,K$3))</f>
        <v/>
      </c>
      <c r="L34" s="83" t="n">
        <f aca="false">COUNTIF('DAILY ENTRY'!$C$7:$C$1203,$A34)</f>
        <v>0</v>
      </c>
    </row>
    <row r="35" customFormat="false" ht="19.5" hidden="false" customHeight="true" outlineLevel="0" collapsed="false">
      <c r="A35" s="77" t="str">
        <f aca="false">'Platform Setup'!$B$35</f>
        <v>Eventbrite</v>
      </c>
      <c r="B35" s="82" t="n">
        <f aca="false">IF(B$3="(empty slot)","",COUNTIFS('DAILY ENTRY'!$C$7:$C$1203,$A35,'DAILY ENTRY'!$B$7:$B$1203,B$3))</f>
        <v>0</v>
      </c>
      <c r="C35" s="82" t="str">
        <f aca="false">IF(C$3="(empty slot)","",COUNTIFS('DAILY ENTRY'!$C$7:$C$1203,$A35,'DAILY ENTRY'!$B$7:$B$1203,C$3))</f>
        <v/>
      </c>
      <c r="D35" s="82" t="str">
        <f aca="false">IF(D$3="(empty slot)","",COUNTIFS('DAILY ENTRY'!$C$7:$C$1203,$A35,'DAILY ENTRY'!$B$7:$B$1203,D$3))</f>
        <v/>
      </c>
      <c r="E35" s="82" t="str">
        <f aca="false">IF(E$3="(empty slot)","",COUNTIFS('DAILY ENTRY'!$C$7:$C$1203,$A35,'DAILY ENTRY'!$B$7:$B$1203,E$3))</f>
        <v/>
      </c>
      <c r="F35" s="82" t="str">
        <f aca="false">IF(F$3="(empty slot)","",COUNTIFS('DAILY ENTRY'!$C$7:$C$1203,$A35,'DAILY ENTRY'!$B$7:$B$1203,F$3))</f>
        <v/>
      </c>
      <c r="G35" s="82" t="str">
        <f aca="false">IF(G$3="(empty slot)","",COUNTIFS('DAILY ENTRY'!$C$7:$C$1203,$A35,'DAILY ENTRY'!$B$7:$B$1203,G$3))</f>
        <v/>
      </c>
      <c r="H35" s="82" t="str">
        <f aca="false">IF(H$3="(empty slot)","",COUNTIFS('DAILY ENTRY'!$C$7:$C$1203,$A35,'DAILY ENTRY'!$B$7:$B$1203,H$3))</f>
        <v/>
      </c>
      <c r="I35" s="82" t="str">
        <f aca="false">IF(I$3="(empty slot)","",COUNTIFS('DAILY ENTRY'!$C$7:$C$1203,$A35,'DAILY ENTRY'!$B$7:$B$1203,I$3))</f>
        <v/>
      </c>
      <c r="J35" s="82" t="str">
        <f aca="false">IF(J$3="(empty slot)","",COUNTIFS('DAILY ENTRY'!$C$7:$C$1203,$A35,'DAILY ENTRY'!$B$7:$B$1203,J$3))</f>
        <v/>
      </c>
      <c r="K35" s="82" t="str">
        <f aca="false">IF(K$3="(empty slot)","",COUNTIFS('DAILY ENTRY'!$C$7:$C$1203,$A35,'DAILY ENTRY'!$B$7:$B$1203,K$3))</f>
        <v/>
      </c>
      <c r="L35" s="83" t="n">
        <f aca="false">COUNTIF('DAILY ENTRY'!$C$7:$C$1203,$A35)</f>
        <v>0</v>
      </c>
    </row>
    <row r="36" customFormat="false" ht="19.5" hidden="false" customHeight="true" outlineLevel="0" collapsed="false">
      <c r="A36" s="77" t="str">
        <f aca="false">'Platform Setup'!$B$36</f>
        <v>Meetup</v>
      </c>
      <c r="B36" s="82" t="n">
        <f aca="false">IF(B$3="(empty slot)","",COUNTIFS('DAILY ENTRY'!$C$7:$C$1203,$A36,'DAILY ENTRY'!$B$7:$B$1203,B$3))</f>
        <v>0</v>
      </c>
      <c r="C36" s="82" t="str">
        <f aca="false">IF(C$3="(empty slot)","",COUNTIFS('DAILY ENTRY'!$C$7:$C$1203,$A36,'DAILY ENTRY'!$B$7:$B$1203,C$3))</f>
        <v/>
      </c>
      <c r="D36" s="82" t="str">
        <f aca="false">IF(D$3="(empty slot)","",COUNTIFS('DAILY ENTRY'!$C$7:$C$1203,$A36,'DAILY ENTRY'!$B$7:$B$1203,D$3))</f>
        <v/>
      </c>
      <c r="E36" s="82" t="str">
        <f aca="false">IF(E$3="(empty slot)","",COUNTIFS('DAILY ENTRY'!$C$7:$C$1203,$A36,'DAILY ENTRY'!$B$7:$B$1203,E$3))</f>
        <v/>
      </c>
      <c r="F36" s="82" t="str">
        <f aca="false">IF(F$3="(empty slot)","",COUNTIFS('DAILY ENTRY'!$C$7:$C$1203,$A36,'DAILY ENTRY'!$B$7:$B$1203,F$3))</f>
        <v/>
      </c>
      <c r="G36" s="82" t="str">
        <f aca="false">IF(G$3="(empty slot)","",COUNTIFS('DAILY ENTRY'!$C$7:$C$1203,$A36,'DAILY ENTRY'!$B$7:$B$1203,G$3))</f>
        <v/>
      </c>
      <c r="H36" s="82" t="str">
        <f aca="false">IF(H$3="(empty slot)","",COUNTIFS('DAILY ENTRY'!$C$7:$C$1203,$A36,'DAILY ENTRY'!$B$7:$B$1203,H$3))</f>
        <v/>
      </c>
      <c r="I36" s="82" t="str">
        <f aca="false">IF(I$3="(empty slot)","",COUNTIFS('DAILY ENTRY'!$C$7:$C$1203,$A36,'DAILY ENTRY'!$B$7:$B$1203,I$3))</f>
        <v/>
      </c>
      <c r="J36" s="82" t="str">
        <f aca="false">IF(J$3="(empty slot)","",COUNTIFS('DAILY ENTRY'!$C$7:$C$1203,$A36,'DAILY ENTRY'!$B$7:$B$1203,J$3))</f>
        <v/>
      </c>
      <c r="K36" s="82" t="str">
        <f aca="false">IF(K$3="(empty slot)","",COUNTIFS('DAILY ENTRY'!$C$7:$C$1203,$A36,'DAILY ENTRY'!$B$7:$B$1203,K$3))</f>
        <v/>
      </c>
      <c r="L36" s="83" t="n">
        <f aca="false">COUNTIF('DAILY ENTRY'!$C$7:$C$1203,$A36)</f>
        <v>0</v>
      </c>
    </row>
    <row r="37" customFormat="false" ht="19.5" hidden="false" customHeight="true" outlineLevel="0" collapsed="false">
      <c r="A37" s="77" t="str">
        <f aca="false">'Platform Setup'!$B$37</f>
        <v>Luma</v>
      </c>
      <c r="B37" s="82" t="n">
        <f aca="false">IF(B$3="(empty slot)","",COUNTIFS('DAILY ENTRY'!$C$7:$C$1203,$A37,'DAILY ENTRY'!$B$7:$B$1203,B$3))</f>
        <v>0</v>
      </c>
      <c r="C37" s="82" t="str">
        <f aca="false">IF(C$3="(empty slot)","",COUNTIFS('DAILY ENTRY'!$C$7:$C$1203,$A37,'DAILY ENTRY'!$B$7:$B$1203,C$3))</f>
        <v/>
      </c>
      <c r="D37" s="82" t="str">
        <f aca="false">IF(D$3="(empty slot)","",COUNTIFS('DAILY ENTRY'!$C$7:$C$1203,$A37,'DAILY ENTRY'!$B$7:$B$1203,D$3))</f>
        <v/>
      </c>
      <c r="E37" s="82" t="str">
        <f aca="false">IF(E$3="(empty slot)","",COUNTIFS('DAILY ENTRY'!$C$7:$C$1203,$A37,'DAILY ENTRY'!$B$7:$B$1203,E$3))</f>
        <v/>
      </c>
      <c r="F37" s="82" t="str">
        <f aca="false">IF(F$3="(empty slot)","",COUNTIFS('DAILY ENTRY'!$C$7:$C$1203,$A37,'DAILY ENTRY'!$B$7:$B$1203,F$3))</f>
        <v/>
      </c>
      <c r="G37" s="82" t="str">
        <f aca="false">IF(G$3="(empty slot)","",COUNTIFS('DAILY ENTRY'!$C$7:$C$1203,$A37,'DAILY ENTRY'!$B$7:$B$1203,G$3))</f>
        <v/>
      </c>
      <c r="H37" s="82" t="str">
        <f aca="false">IF(H$3="(empty slot)","",COUNTIFS('DAILY ENTRY'!$C$7:$C$1203,$A37,'DAILY ENTRY'!$B$7:$B$1203,H$3))</f>
        <v/>
      </c>
      <c r="I37" s="82" t="str">
        <f aca="false">IF(I$3="(empty slot)","",COUNTIFS('DAILY ENTRY'!$C$7:$C$1203,$A37,'DAILY ENTRY'!$B$7:$B$1203,I$3))</f>
        <v/>
      </c>
      <c r="J37" s="82" t="str">
        <f aca="false">IF(J$3="(empty slot)","",COUNTIFS('DAILY ENTRY'!$C$7:$C$1203,$A37,'DAILY ENTRY'!$B$7:$B$1203,J$3))</f>
        <v/>
      </c>
      <c r="K37" s="82" t="str">
        <f aca="false">IF(K$3="(empty slot)","",COUNTIFS('DAILY ENTRY'!$C$7:$C$1203,$A37,'DAILY ENTRY'!$B$7:$B$1203,K$3))</f>
        <v/>
      </c>
      <c r="L37" s="83" t="n">
        <f aca="false">COUNTIF('DAILY ENTRY'!$C$7:$C$1203,$A37)</f>
        <v>0</v>
      </c>
    </row>
    <row r="38" customFormat="false" ht="19.5" hidden="false" customHeight="true" outlineLevel="0" collapsed="false">
      <c r="A38" s="77" t="str">
        <f aca="false">'Platform Setup'!$B$38</f>
        <v>Spotify for Creators</v>
      </c>
      <c r="B38" s="82" t="n">
        <f aca="false">IF(B$3="(empty slot)","",COUNTIFS('DAILY ENTRY'!$C$7:$C$1203,$A38,'DAILY ENTRY'!$B$7:$B$1203,B$3))</f>
        <v>0</v>
      </c>
      <c r="C38" s="82" t="str">
        <f aca="false">IF(C$3="(empty slot)","",COUNTIFS('DAILY ENTRY'!$C$7:$C$1203,$A38,'DAILY ENTRY'!$B$7:$B$1203,C$3))</f>
        <v/>
      </c>
      <c r="D38" s="82" t="str">
        <f aca="false">IF(D$3="(empty slot)","",COUNTIFS('DAILY ENTRY'!$C$7:$C$1203,$A38,'DAILY ENTRY'!$B$7:$B$1203,D$3))</f>
        <v/>
      </c>
      <c r="E38" s="82" t="str">
        <f aca="false">IF(E$3="(empty slot)","",COUNTIFS('DAILY ENTRY'!$C$7:$C$1203,$A38,'DAILY ENTRY'!$B$7:$B$1203,E$3))</f>
        <v/>
      </c>
      <c r="F38" s="82" t="str">
        <f aca="false">IF(F$3="(empty slot)","",COUNTIFS('DAILY ENTRY'!$C$7:$C$1203,$A38,'DAILY ENTRY'!$B$7:$B$1203,F$3))</f>
        <v/>
      </c>
      <c r="G38" s="82" t="str">
        <f aca="false">IF(G$3="(empty slot)","",COUNTIFS('DAILY ENTRY'!$C$7:$C$1203,$A38,'DAILY ENTRY'!$B$7:$B$1203,G$3))</f>
        <v/>
      </c>
      <c r="H38" s="82" t="str">
        <f aca="false">IF(H$3="(empty slot)","",COUNTIFS('DAILY ENTRY'!$C$7:$C$1203,$A38,'DAILY ENTRY'!$B$7:$B$1203,H$3))</f>
        <v/>
      </c>
      <c r="I38" s="82" t="str">
        <f aca="false">IF(I$3="(empty slot)","",COUNTIFS('DAILY ENTRY'!$C$7:$C$1203,$A38,'DAILY ENTRY'!$B$7:$B$1203,I$3))</f>
        <v/>
      </c>
      <c r="J38" s="82" t="str">
        <f aca="false">IF(J$3="(empty slot)","",COUNTIFS('DAILY ENTRY'!$C$7:$C$1203,$A38,'DAILY ENTRY'!$B$7:$B$1203,J$3))</f>
        <v/>
      </c>
      <c r="K38" s="82" t="str">
        <f aca="false">IF(K$3="(empty slot)","",COUNTIFS('DAILY ENTRY'!$C$7:$C$1203,$A38,'DAILY ENTRY'!$B$7:$B$1203,K$3))</f>
        <v/>
      </c>
      <c r="L38" s="83" t="n">
        <f aca="false">COUNTIF('DAILY ENTRY'!$C$7:$C$1203,$A38)</f>
        <v>0</v>
      </c>
    </row>
    <row r="39" customFormat="false" ht="19.5" hidden="false" customHeight="true" outlineLevel="0" collapsed="false">
      <c r="A39" s="77" t="str">
        <f aca="false">'Platform Setup'!$B$39</f>
        <v>Apple Podcasts</v>
      </c>
      <c r="B39" s="82" t="n">
        <f aca="false">IF(B$3="(empty slot)","",COUNTIFS('DAILY ENTRY'!$C$7:$C$1203,$A39,'DAILY ENTRY'!$B$7:$B$1203,B$3))</f>
        <v>0</v>
      </c>
      <c r="C39" s="82" t="str">
        <f aca="false">IF(C$3="(empty slot)","",COUNTIFS('DAILY ENTRY'!$C$7:$C$1203,$A39,'DAILY ENTRY'!$B$7:$B$1203,C$3))</f>
        <v/>
      </c>
      <c r="D39" s="82" t="str">
        <f aca="false">IF(D$3="(empty slot)","",COUNTIFS('DAILY ENTRY'!$C$7:$C$1203,$A39,'DAILY ENTRY'!$B$7:$B$1203,D$3))</f>
        <v/>
      </c>
      <c r="E39" s="82" t="str">
        <f aca="false">IF(E$3="(empty slot)","",COUNTIFS('DAILY ENTRY'!$C$7:$C$1203,$A39,'DAILY ENTRY'!$B$7:$B$1203,E$3))</f>
        <v/>
      </c>
      <c r="F39" s="82" t="str">
        <f aca="false">IF(F$3="(empty slot)","",COUNTIFS('DAILY ENTRY'!$C$7:$C$1203,$A39,'DAILY ENTRY'!$B$7:$B$1203,F$3))</f>
        <v/>
      </c>
      <c r="G39" s="82" t="str">
        <f aca="false">IF(G$3="(empty slot)","",COUNTIFS('DAILY ENTRY'!$C$7:$C$1203,$A39,'DAILY ENTRY'!$B$7:$B$1203,G$3))</f>
        <v/>
      </c>
      <c r="H39" s="82" t="str">
        <f aca="false">IF(H$3="(empty slot)","",COUNTIFS('DAILY ENTRY'!$C$7:$C$1203,$A39,'DAILY ENTRY'!$B$7:$B$1203,H$3))</f>
        <v/>
      </c>
      <c r="I39" s="82" t="str">
        <f aca="false">IF(I$3="(empty slot)","",COUNTIFS('DAILY ENTRY'!$C$7:$C$1203,$A39,'DAILY ENTRY'!$B$7:$B$1203,I$3))</f>
        <v/>
      </c>
      <c r="J39" s="82" t="str">
        <f aca="false">IF(J$3="(empty slot)","",COUNTIFS('DAILY ENTRY'!$C$7:$C$1203,$A39,'DAILY ENTRY'!$B$7:$B$1203,J$3))</f>
        <v/>
      </c>
      <c r="K39" s="82" t="str">
        <f aca="false">IF(K$3="(empty slot)","",COUNTIFS('DAILY ENTRY'!$C$7:$C$1203,$A39,'DAILY ENTRY'!$B$7:$B$1203,K$3))</f>
        <v/>
      </c>
      <c r="L39" s="83" t="n">
        <f aca="false">COUNTIF('DAILY ENTRY'!$C$7:$C$1203,$A39)</f>
        <v>0</v>
      </c>
    </row>
    <row r="40" customFormat="false" ht="19.5" hidden="false" customHeight="true" outlineLevel="0" collapsed="false">
      <c r="A40" s="77" t="str">
        <f aca="false">'Platform Setup'!$B$40</f>
        <v>LinkedIn Articles</v>
      </c>
      <c r="B40" s="82" t="n">
        <f aca="false">IF(B$3="(empty slot)","",COUNTIFS('DAILY ENTRY'!$C$7:$C$1203,$A40,'DAILY ENTRY'!$B$7:$B$1203,B$3))</f>
        <v>0</v>
      </c>
      <c r="C40" s="82" t="str">
        <f aca="false">IF(C$3="(empty slot)","",COUNTIFS('DAILY ENTRY'!$C$7:$C$1203,$A40,'DAILY ENTRY'!$B$7:$B$1203,C$3))</f>
        <v/>
      </c>
      <c r="D40" s="82" t="str">
        <f aca="false">IF(D$3="(empty slot)","",COUNTIFS('DAILY ENTRY'!$C$7:$C$1203,$A40,'DAILY ENTRY'!$B$7:$B$1203,D$3))</f>
        <v/>
      </c>
      <c r="E40" s="82" t="str">
        <f aca="false">IF(E$3="(empty slot)","",COUNTIFS('DAILY ENTRY'!$C$7:$C$1203,$A40,'DAILY ENTRY'!$B$7:$B$1203,E$3))</f>
        <v/>
      </c>
      <c r="F40" s="82" t="str">
        <f aca="false">IF(F$3="(empty slot)","",COUNTIFS('DAILY ENTRY'!$C$7:$C$1203,$A40,'DAILY ENTRY'!$B$7:$B$1203,F$3))</f>
        <v/>
      </c>
      <c r="G40" s="82" t="str">
        <f aca="false">IF(G$3="(empty slot)","",COUNTIFS('DAILY ENTRY'!$C$7:$C$1203,$A40,'DAILY ENTRY'!$B$7:$B$1203,G$3))</f>
        <v/>
      </c>
      <c r="H40" s="82" t="str">
        <f aca="false">IF(H$3="(empty slot)","",COUNTIFS('DAILY ENTRY'!$C$7:$C$1203,$A40,'DAILY ENTRY'!$B$7:$B$1203,H$3))</f>
        <v/>
      </c>
      <c r="I40" s="82" t="str">
        <f aca="false">IF(I$3="(empty slot)","",COUNTIFS('DAILY ENTRY'!$C$7:$C$1203,$A40,'DAILY ENTRY'!$B$7:$B$1203,I$3))</f>
        <v/>
      </c>
      <c r="J40" s="82" t="str">
        <f aca="false">IF(J$3="(empty slot)","",COUNTIFS('DAILY ENTRY'!$C$7:$C$1203,$A40,'DAILY ENTRY'!$B$7:$B$1203,J$3))</f>
        <v/>
      </c>
      <c r="K40" s="82" t="str">
        <f aca="false">IF(K$3="(empty slot)","",COUNTIFS('DAILY ENTRY'!$C$7:$C$1203,$A40,'DAILY ENTRY'!$B$7:$B$1203,K$3))</f>
        <v/>
      </c>
      <c r="L40" s="83" t="n">
        <f aca="false">COUNTIF('DAILY ENTRY'!$C$7:$C$1203,$A40)</f>
        <v>0</v>
      </c>
    </row>
    <row r="41" customFormat="false" ht="19.5" hidden="false" customHeight="true" outlineLevel="0" collapsed="false">
      <c r="A41" s="77" t="str">
        <f aca="false">'Platform Setup'!$B$41</f>
        <v>WordPress.com</v>
      </c>
      <c r="B41" s="82" t="n">
        <f aca="false">IF(B$3="(empty slot)","",COUNTIFS('DAILY ENTRY'!$C$7:$C$1203,$A41,'DAILY ENTRY'!$B$7:$B$1203,B$3))</f>
        <v>0</v>
      </c>
      <c r="C41" s="82" t="str">
        <f aca="false">IF(C$3="(empty slot)","",COUNTIFS('DAILY ENTRY'!$C$7:$C$1203,$A41,'DAILY ENTRY'!$B$7:$B$1203,C$3))</f>
        <v/>
      </c>
      <c r="D41" s="82" t="str">
        <f aca="false">IF(D$3="(empty slot)","",COUNTIFS('DAILY ENTRY'!$C$7:$C$1203,$A41,'DAILY ENTRY'!$B$7:$B$1203,D$3))</f>
        <v/>
      </c>
      <c r="E41" s="82" t="str">
        <f aca="false">IF(E$3="(empty slot)","",COUNTIFS('DAILY ENTRY'!$C$7:$C$1203,$A41,'DAILY ENTRY'!$B$7:$B$1203,E$3))</f>
        <v/>
      </c>
      <c r="F41" s="82" t="str">
        <f aca="false">IF(F$3="(empty slot)","",COUNTIFS('DAILY ENTRY'!$C$7:$C$1203,$A41,'DAILY ENTRY'!$B$7:$B$1203,F$3))</f>
        <v/>
      </c>
      <c r="G41" s="82" t="str">
        <f aca="false">IF(G$3="(empty slot)","",COUNTIFS('DAILY ENTRY'!$C$7:$C$1203,$A41,'DAILY ENTRY'!$B$7:$B$1203,G$3))</f>
        <v/>
      </c>
      <c r="H41" s="82" t="str">
        <f aca="false">IF(H$3="(empty slot)","",COUNTIFS('DAILY ENTRY'!$C$7:$C$1203,$A41,'DAILY ENTRY'!$B$7:$B$1203,H$3))</f>
        <v/>
      </c>
      <c r="I41" s="82" t="str">
        <f aca="false">IF(I$3="(empty slot)","",COUNTIFS('DAILY ENTRY'!$C$7:$C$1203,$A41,'DAILY ENTRY'!$B$7:$B$1203,I$3))</f>
        <v/>
      </c>
      <c r="J41" s="82" t="str">
        <f aca="false">IF(J$3="(empty slot)","",COUNTIFS('DAILY ENTRY'!$C$7:$C$1203,$A41,'DAILY ENTRY'!$B$7:$B$1203,J$3))</f>
        <v/>
      </c>
      <c r="K41" s="82" t="str">
        <f aca="false">IF(K$3="(empty slot)","",COUNTIFS('DAILY ENTRY'!$C$7:$C$1203,$A41,'DAILY ENTRY'!$B$7:$B$1203,K$3))</f>
        <v/>
      </c>
      <c r="L41" s="83" t="n">
        <f aca="false">COUNTIF('DAILY ENTRY'!$C$7:$C$1203,$A41)</f>
        <v>0</v>
      </c>
    </row>
    <row r="42" customFormat="false" ht="19.5" hidden="false" customHeight="true" outlineLevel="0" collapsed="false">
      <c r="A42" s="77" t="str">
        <f aca="false">'Platform Setup'!$B$42</f>
        <v>Blogger</v>
      </c>
      <c r="B42" s="82" t="n">
        <f aca="false">IF(B$3="(empty slot)","",COUNTIFS('DAILY ENTRY'!$C$7:$C$1203,$A42,'DAILY ENTRY'!$B$7:$B$1203,B$3))</f>
        <v>0</v>
      </c>
      <c r="C42" s="82" t="str">
        <f aca="false">IF(C$3="(empty slot)","",COUNTIFS('DAILY ENTRY'!$C$7:$C$1203,$A42,'DAILY ENTRY'!$B$7:$B$1203,C$3))</f>
        <v/>
      </c>
      <c r="D42" s="82" t="str">
        <f aca="false">IF(D$3="(empty slot)","",COUNTIFS('DAILY ENTRY'!$C$7:$C$1203,$A42,'DAILY ENTRY'!$B$7:$B$1203,D$3))</f>
        <v/>
      </c>
      <c r="E42" s="82" t="str">
        <f aca="false">IF(E$3="(empty slot)","",COUNTIFS('DAILY ENTRY'!$C$7:$C$1203,$A42,'DAILY ENTRY'!$B$7:$B$1203,E$3))</f>
        <v/>
      </c>
      <c r="F42" s="82" t="str">
        <f aca="false">IF(F$3="(empty slot)","",COUNTIFS('DAILY ENTRY'!$C$7:$C$1203,$A42,'DAILY ENTRY'!$B$7:$B$1203,F$3))</f>
        <v/>
      </c>
      <c r="G42" s="82" t="str">
        <f aca="false">IF(G$3="(empty slot)","",COUNTIFS('DAILY ENTRY'!$C$7:$C$1203,$A42,'DAILY ENTRY'!$B$7:$B$1203,G$3))</f>
        <v/>
      </c>
      <c r="H42" s="82" t="str">
        <f aca="false">IF(H$3="(empty slot)","",COUNTIFS('DAILY ENTRY'!$C$7:$C$1203,$A42,'DAILY ENTRY'!$B$7:$B$1203,H$3))</f>
        <v/>
      </c>
      <c r="I42" s="82" t="str">
        <f aca="false">IF(I$3="(empty slot)","",COUNTIFS('DAILY ENTRY'!$C$7:$C$1203,$A42,'DAILY ENTRY'!$B$7:$B$1203,I$3))</f>
        <v/>
      </c>
      <c r="J42" s="82" t="str">
        <f aca="false">IF(J$3="(empty slot)","",COUNTIFS('DAILY ENTRY'!$C$7:$C$1203,$A42,'DAILY ENTRY'!$B$7:$B$1203,J$3))</f>
        <v/>
      </c>
      <c r="K42" s="82" t="str">
        <f aca="false">IF(K$3="(empty slot)","",COUNTIFS('DAILY ENTRY'!$C$7:$C$1203,$A42,'DAILY ENTRY'!$B$7:$B$1203,K$3))</f>
        <v/>
      </c>
      <c r="L42" s="83" t="n">
        <f aca="false">COUNTIF('DAILY ENTRY'!$C$7:$C$1203,$A42)</f>
        <v>0</v>
      </c>
    </row>
    <row r="43" customFormat="false" ht="19.5" hidden="false" customHeight="true" outlineLevel="0" collapsed="false">
      <c r="A43" s="77" t="str">
        <f aca="false">'Platform Setup'!$B$43</f>
        <v>Quora Spaces</v>
      </c>
      <c r="B43" s="82" t="n">
        <f aca="false">IF(B$3="(empty slot)","",COUNTIFS('DAILY ENTRY'!$C$7:$C$1203,$A43,'DAILY ENTRY'!$B$7:$B$1203,B$3))</f>
        <v>0</v>
      </c>
      <c r="C43" s="82" t="str">
        <f aca="false">IF(C$3="(empty slot)","",COUNTIFS('DAILY ENTRY'!$C$7:$C$1203,$A43,'DAILY ENTRY'!$B$7:$B$1203,C$3))</f>
        <v/>
      </c>
      <c r="D43" s="82" t="str">
        <f aca="false">IF(D$3="(empty slot)","",COUNTIFS('DAILY ENTRY'!$C$7:$C$1203,$A43,'DAILY ENTRY'!$B$7:$B$1203,D$3))</f>
        <v/>
      </c>
      <c r="E43" s="82" t="str">
        <f aca="false">IF(E$3="(empty slot)","",COUNTIFS('DAILY ENTRY'!$C$7:$C$1203,$A43,'DAILY ENTRY'!$B$7:$B$1203,E$3))</f>
        <v/>
      </c>
      <c r="F43" s="82" t="str">
        <f aca="false">IF(F$3="(empty slot)","",COUNTIFS('DAILY ENTRY'!$C$7:$C$1203,$A43,'DAILY ENTRY'!$B$7:$B$1203,F$3))</f>
        <v/>
      </c>
      <c r="G43" s="82" t="str">
        <f aca="false">IF(G$3="(empty slot)","",COUNTIFS('DAILY ENTRY'!$C$7:$C$1203,$A43,'DAILY ENTRY'!$B$7:$B$1203,G$3))</f>
        <v/>
      </c>
      <c r="H43" s="82" t="str">
        <f aca="false">IF(H$3="(empty slot)","",COUNTIFS('DAILY ENTRY'!$C$7:$C$1203,$A43,'DAILY ENTRY'!$B$7:$B$1203,H$3))</f>
        <v/>
      </c>
      <c r="I43" s="82" t="str">
        <f aca="false">IF(I$3="(empty slot)","",COUNTIFS('DAILY ENTRY'!$C$7:$C$1203,$A43,'DAILY ENTRY'!$B$7:$B$1203,I$3))</f>
        <v/>
      </c>
      <c r="J43" s="82" t="str">
        <f aca="false">IF(J$3="(empty slot)","",COUNTIFS('DAILY ENTRY'!$C$7:$C$1203,$A43,'DAILY ENTRY'!$B$7:$B$1203,J$3))</f>
        <v/>
      </c>
      <c r="K43" s="82" t="str">
        <f aca="false">IF(K$3="(empty slot)","",COUNTIFS('DAILY ENTRY'!$C$7:$C$1203,$A43,'DAILY ENTRY'!$B$7:$B$1203,K$3))</f>
        <v/>
      </c>
      <c r="L43" s="83" t="n">
        <f aca="false">COUNTIF('DAILY ENTRY'!$C$7:$C$1203,$A43)</f>
        <v>0</v>
      </c>
    </row>
    <row r="44" customFormat="false" ht="19.5" hidden="false" customHeight="true" outlineLevel="0" collapsed="false">
      <c r="A44" s="77" t="str">
        <f aca="false">'Platform Setup'!$B$44</f>
        <v>Vocal Media</v>
      </c>
      <c r="B44" s="82" t="n">
        <f aca="false">IF(B$3="(empty slot)","",COUNTIFS('DAILY ENTRY'!$C$7:$C$1203,$A44,'DAILY ENTRY'!$B$7:$B$1203,B$3))</f>
        <v>0</v>
      </c>
      <c r="C44" s="82" t="str">
        <f aca="false">IF(C$3="(empty slot)","",COUNTIFS('DAILY ENTRY'!$C$7:$C$1203,$A44,'DAILY ENTRY'!$B$7:$B$1203,C$3))</f>
        <v/>
      </c>
      <c r="D44" s="82" t="str">
        <f aca="false">IF(D$3="(empty slot)","",COUNTIFS('DAILY ENTRY'!$C$7:$C$1203,$A44,'DAILY ENTRY'!$B$7:$B$1203,D$3))</f>
        <v/>
      </c>
      <c r="E44" s="82" t="str">
        <f aca="false">IF(E$3="(empty slot)","",COUNTIFS('DAILY ENTRY'!$C$7:$C$1203,$A44,'DAILY ENTRY'!$B$7:$B$1203,E$3))</f>
        <v/>
      </c>
      <c r="F44" s="82" t="str">
        <f aca="false">IF(F$3="(empty slot)","",COUNTIFS('DAILY ENTRY'!$C$7:$C$1203,$A44,'DAILY ENTRY'!$B$7:$B$1203,F$3))</f>
        <v/>
      </c>
      <c r="G44" s="82" t="str">
        <f aca="false">IF(G$3="(empty slot)","",COUNTIFS('DAILY ENTRY'!$C$7:$C$1203,$A44,'DAILY ENTRY'!$B$7:$B$1203,G$3))</f>
        <v/>
      </c>
      <c r="H44" s="82" t="str">
        <f aca="false">IF(H$3="(empty slot)","",COUNTIFS('DAILY ENTRY'!$C$7:$C$1203,$A44,'DAILY ENTRY'!$B$7:$B$1203,H$3))</f>
        <v/>
      </c>
      <c r="I44" s="82" t="str">
        <f aca="false">IF(I$3="(empty slot)","",COUNTIFS('DAILY ENTRY'!$C$7:$C$1203,$A44,'DAILY ENTRY'!$B$7:$B$1203,I$3))</f>
        <v/>
      </c>
      <c r="J44" s="82" t="str">
        <f aca="false">IF(J$3="(empty slot)","",COUNTIFS('DAILY ENTRY'!$C$7:$C$1203,$A44,'DAILY ENTRY'!$B$7:$B$1203,J$3))</f>
        <v/>
      </c>
      <c r="K44" s="82" t="str">
        <f aca="false">IF(K$3="(empty slot)","",COUNTIFS('DAILY ENTRY'!$C$7:$C$1203,$A44,'DAILY ENTRY'!$B$7:$B$1203,K$3))</f>
        <v/>
      </c>
      <c r="L44" s="83" t="n">
        <f aca="false">COUNTIF('DAILY ENTRY'!$C$7:$C$1203,$A44)</f>
        <v>0</v>
      </c>
    </row>
    <row r="45" customFormat="false" ht="19.5" hidden="false" customHeight="true" outlineLevel="0" collapsed="false">
      <c r="A45" s="77" t="str">
        <f aca="false">'Platform Setup'!$B$45</f>
        <v>DEV Community</v>
      </c>
      <c r="B45" s="82" t="n">
        <f aca="false">IF(B$3="(empty slot)","",COUNTIFS('DAILY ENTRY'!$C$7:$C$1203,$A45,'DAILY ENTRY'!$B$7:$B$1203,B$3))</f>
        <v>0</v>
      </c>
      <c r="C45" s="82" t="str">
        <f aca="false">IF(C$3="(empty slot)","",COUNTIFS('DAILY ENTRY'!$C$7:$C$1203,$A45,'DAILY ENTRY'!$B$7:$B$1203,C$3))</f>
        <v/>
      </c>
      <c r="D45" s="82" t="str">
        <f aca="false">IF(D$3="(empty slot)","",COUNTIFS('DAILY ENTRY'!$C$7:$C$1203,$A45,'DAILY ENTRY'!$B$7:$B$1203,D$3))</f>
        <v/>
      </c>
      <c r="E45" s="82" t="str">
        <f aca="false">IF(E$3="(empty slot)","",COUNTIFS('DAILY ENTRY'!$C$7:$C$1203,$A45,'DAILY ENTRY'!$B$7:$B$1203,E$3))</f>
        <v/>
      </c>
      <c r="F45" s="82" t="str">
        <f aca="false">IF(F$3="(empty slot)","",COUNTIFS('DAILY ENTRY'!$C$7:$C$1203,$A45,'DAILY ENTRY'!$B$7:$B$1203,F$3))</f>
        <v/>
      </c>
      <c r="G45" s="82" t="str">
        <f aca="false">IF(G$3="(empty slot)","",COUNTIFS('DAILY ENTRY'!$C$7:$C$1203,$A45,'DAILY ENTRY'!$B$7:$B$1203,G$3))</f>
        <v/>
      </c>
      <c r="H45" s="82" t="str">
        <f aca="false">IF(H$3="(empty slot)","",COUNTIFS('DAILY ENTRY'!$C$7:$C$1203,$A45,'DAILY ENTRY'!$B$7:$B$1203,H$3))</f>
        <v/>
      </c>
      <c r="I45" s="82" t="str">
        <f aca="false">IF(I$3="(empty slot)","",COUNTIFS('DAILY ENTRY'!$C$7:$C$1203,$A45,'DAILY ENTRY'!$B$7:$B$1203,I$3))</f>
        <v/>
      </c>
      <c r="J45" s="82" t="str">
        <f aca="false">IF(J$3="(empty slot)","",COUNTIFS('DAILY ENTRY'!$C$7:$C$1203,$A45,'DAILY ENTRY'!$B$7:$B$1203,J$3))</f>
        <v/>
      </c>
      <c r="K45" s="82" t="str">
        <f aca="false">IF(K$3="(empty slot)","",COUNTIFS('DAILY ENTRY'!$C$7:$C$1203,$A45,'DAILY ENTRY'!$B$7:$B$1203,K$3))</f>
        <v/>
      </c>
      <c r="L45" s="83" t="n">
        <f aca="false">COUNTIF('DAILY ENTRY'!$C$7:$C$1203,$A45)</f>
        <v>0</v>
      </c>
    </row>
    <row r="46" customFormat="false" ht="19.5" hidden="false" customHeight="true" outlineLevel="0" collapsed="false">
      <c r="A46" s="77" t="str">
        <f aca="false">'Platform Setup'!$B$46</f>
        <v>Hashnode</v>
      </c>
      <c r="B46" s="82" t="n">
        <f aca="false">IF(B$3="(empty slot)","",COUNTIFS('DAILY ENTRY'!$C$7:$C$1203,$A46,'DAILY ENTRY'!$B$7:$B$1203,B$3))</f>
        <v>0</v>
      </c>
      <c r="C46" s="82" t="str">
        <f aca="false">IF(C$3="(empty slot)","",COUNTIFS('DAILY ENTRY'!$C$7:$C$1203,$A46,'DAILY ENTRY'!$B$7:$B$1203,C$3))</f>
        <v/>
      </c>
      <c r="D46" s="82" t="str">
        <f aca="false">IF(D$3="(empty slot)","",COUNTIFS('DAILY ENTRY'!$C$7:$C$1203,$A46,'DAILY ENTRY'!$B$7:$B$1203,D$3))</f>
        <v/>
      </c>
      <c r="E46" s="82" t="str">
        <f aca="false">IF(E$3="(empty slot)","",COUNTIFS('DAILY ENTRY'!$C$7:$C$1203,$A46,'DAILY ENTRY'!$B$7:$B$1203,E$3))</f>
        <v/>
      </c>
      <c r="F46" s="82" t="str">
        <f aca="false">IF(F$3="(empty slot)","",COUNTIFS('DAILY ENTRY'!$C$7:$C$1203,$A46,'DAILY ENTRY'!$B$7:$B$1203,F$3))</f>
        <v/>
      </c>
      <c r="G46" s="82" t="str">
        <f aca="false">IF(G$3="(empty slot)","",COUNTIFS('DAILY ENTRY'!$C$7:$C$1203,$A46,'DAILY ENTRY'!$B$7:$B$1203,G$3))</f>
        <v/>
      </c>
      <c r="H46" s="82" t="str">
        <f aca="false">IF(H$3="(empty slot)","",COUNTIFS('DAILY ENTRY'!$C$7:$C$1203,$A46,'DAILY ENTRY'!$B$7:$B$1203,H$3))</f>
        <v/>
      </c>
      <c r="I46" s="82" t="str">
        <f aca="false">IF(I$3="(empty slot)","",COUNTIFS('DAILY ENTRY'!$C$7:$C$1203,$A46,'DAILY ENTRY'!$B$7:$B$1203,I$3))</f>
        <v/>
      </c>
      <c r="J46" s="82" t="str">
        <f aca="false">IF(J$3="(empty slot)","",COUNTIFS('DAILY ENTRY'!$C$7:$C$1203,$A46,'DAILY ENTRY'!$B$7:$B$1203,J$3))</f>
        <v/>
      </c>
      <c r="K46" s="82" t="str">
        <f aca="false">IF(K$3="(empty slot)","",COUNTIFS('DAILY ENTRY'!$C$7:$C$1203,$A46,'DAILY ENTRY'!$B$7:$B$1203,K$3))</f>
        <v/>
      </c>
      <c r="L46" s="83" t="n">
        <f aca="false">COUNTIF('DAILY ENTRY'!$C$7:$C$1203,$A46)</f>
        <v>0</v>
      </c>
    </row>
    <row r="47" customFormat="false" ht="19.5" hidden="false" customHeight="true" outlineLevel="0" collapsed="false">
      <c r="A47" s="77" t="str">
        <f aca="false">'Platform Setup'!$B$47</f>
        <v>Google Search Console</v>
      </c>
      <c r="B47" s="82" t="n">
        <f aca="false">IF(B$3="(empty slot)","",COUNTIFS('DAILY ENTRY'!$C$7:$C$1203,$A47,'DAILY ENTRY'!$B$7:$B$1203,B$3))</f>
        <v>0</v>
      </c>
      <c r="C47" s="82" t="str">
        <f aca="false">IF(C$3="(empty slot)","",COUNTIFS('DAILY ENTRY'!$C$7:$C$1203,$A47,'DAILY ENTRY'!$B$7:$B$1203,C$3))</f>
        <v/>
      </c>
      <c r="D47" s="82" t="str">
        <f aca="false">IF(D$3="(empty slot)","",COUNTIFS('DAILY ENTRY'!$C$7:$C$1203,$A47,'DAILY ENTRY'!$B$7:$B$1203,D$3))</f>
        <v/>
      </c>
      <c r="E47" s="82" t="str">
        <f aca="false">IF(E$3="(empty slot)","",COUNTIFS('DAILY ENTRY'!$C$7:$C$1203,$A47,'DAILY ENTRY'!$B$7:$B$1203,E$3))</f>
        <v/>
      </c>
      <c r="F47" s="82" t="str">
        <f aca="false">IF(F$3="(empty slot)","",COUNTIFS('DAILY ENTRY'!$C$7:$C$1203,$A47,'DAILY ENTRY'!$B$7:$B$1203,F$3))</f>
        <v/>
      </c>
      <c r="G47" s="82" t="str">
        <f aca="false">IF(G$3="(empty slot)","",COUNTIFS('DAILY ENTRY'!$C$7:$C$1203,$A47,'DAILY ENTRY'!$B$7:$B$1203,G$3))</f>
        <v/>
      </c>
      <c r="H47" s="82" t="str">
        <f aca="false">IF(H$3="(empty slot)","",COUNTIFS('DAILY ENTRY'!$C$7:$C$1203,$A47,'DAILY ENTRY'!$B$7:$B$1203,H$3))</f>
        <v/>
      </c>
      <c r="I47" s="82" t="str">
        <f aca="false">IF(I$3="(empty slot)","",COUNTIFS('DAILY ENTRY'!$C$7:$C$1203,$A47,'DAILY ENTRY'!$B$7:$B$1203,I$3))</f>
        <v/>
      </c>
      <c r="J47" s="82" t="str">
        <f aca="false">IF(J$3="(empty slot)","",COUNTIFS('DAILY ENTRY'!$C$7:$C$1203,$A47,'DAILY ENTRY'!$B$7:$B$1203,J$3))</f>
        <v/>
      </c>
      <c r="K47" s="82" t="str">
        <f aca="false">IF(K$3="(empty slot)","",COUNTIFS('DAILY ENTRY'!$C$7:$C$1203,$A47,'DAILY ENTRY'!$B$7:$B$1203,K$3))</f>
        <v/>
      </c>
      <c r="L47" s="83" t="n">
        <f aca="false">COUNTIF('DAILY ENTRY'!$C$7:$C$1203,$A47)</f>
        <v>0</v>
      </c>
    </row>
    <row r="48" customFormat="false" ht="19.5" hidden="false" customHeight="true" outlineLevel="0" collapsed="false">
      <c r="A48" s="77" t="str">
        <f aca="false">'Platform Setup'!$B$48</f>
        <v>Google Analytics</v>
      </c>
      <c r="B48" s="82" t="n">
        <f aca="false">IF(B$3="(empty slot)","",COUNTIFS('DAILY ENTRY'!$C$7:$C$1203,$A48,'DAILY ENTRY'!$B$7:$B$1203,B$3))</f>
        <v>0</v>
      </c>
      <c r="C48" s="82" t="str">
        <f aca="false">IF(C$3="(empty slot)","",COUNTIFS('DAILY ENTRY'!$C$7:$C$1203,$A48,'DAILY ENTRY'!$B$7:$B$1203,C$3))</f>
        <v/>
      </c>
      <c r="D48" s="82" t="str">
        <f aca="false">IF(D$3="(empty slot)","",COUNTIFS('DAILY ENTRY'!$C$7:$C$1203,$A48,'DAILY ENTRY'!$B$7:$B$1203,D$3))</f>
        <v/>
      </c>
      <c r="E48" s="82" t="str">
        <f aca="false">IF(E$3="(empty slot)","",COUNTIFS('DAILY ENTRY'!$C$7:$C$1203,$A48,'DAILY ENTRY'!$B$7:$B$1203,E$3))</f>
        <v/>
      </c>
      <c r="F48" s="82" t="str">
        <f aca="false">IF(F$3="(empty slot)","",COUNTIFS('DAILY ENTRY'!$C$7:$C$1203,$A48,'DAILY ENTRY'!$B$7:$B$1203,F$3))</f>
        <v/>
      </c>
      <c r="G48" s="82" t="str">
        <f aca="false">IF(G$3="(empty slot)","",COUNTIFS('DAILY ENTRY'!$C$7:$C$1203,$A48,'DAILY ENTRY'!$B$7:$B$1203,G$3))</f>
        <v/>
      </c>
      <c r="H48" s="82" t="str">
        <f aca="false">IF(H$3="(empty slot)","",COUNTIFS('DAILY ENTRY'!$C$7:$C$1203,$A48,'DAILY ENTRY'!$B$7:$B$1203,H$3))</f>
        <v/>
      </c>
      <c r="I48" s="82" t="str">
        <f aca="false">IF(I$3="(empty slot)","",COUNTIFS('DAILY ENTRY'!$C$7:$C$1203,$A48,'DAILY ENTRY'!$B$7:$B$1203,I$3))</f>
        <v/>
      </c>
      <c r="J48" s="82" t="str">
        <f aca="false">IF(J$3="(empty slot)","",COUNTIFS('DAILY ENTRY'!$C$7:$C$1203,$A48,'DAILY ENTRY'!$B$7:$B$1203,J$3))</f>
        <v/>
      </c>
      <c r="K48" s="82" t="str">
        <f aca="false">IF(K$3="(empty slot)","",COUNTIFS('DAILY ENTRY'!$C$7:$C$1203,$A48,'DAILY ENTRY'!$B$7:$B$1203,K$3))</f>
        <v/>
      </c>
      <c r="L48" s="83" t="n">
        <f aca="false">COUNTIF('DAILY ENTRY'!$C$7:$C$1203,$A48)</f>
        <v>0</v>
      </c>
    </row>
    <row r="49" customFormat="false" ht="19.5" hidden="false" customHeight="true" outlineLevel="0" collapsed="false">
      <c r="A49" s="77" t="str">
        <f aca="false">'Platform Setup'!$B$49</f>
        <v>Microsoft Clarity</v>
      </c>
      <c r="B49" s="82" t="n">
        <f aca="false">IF(B$3="(empty slot)","",COUNTIFS('DAILY ENTRY'!$C$7:$C$1203,$A49,'DAILY ENTRY'!$B$7:$B$1203,B$3))</f>
        <v>0</v>
      </c>
      <c r="C49" s="82" t="str">
        <f aca="false">IF(C$3="(empty slot)","",COUNTIFS('DAILY ENTRY'!$C$7:$C$1203,$A49,'DAILY ENTRY'!$B$7:$B$1203,C$3))</f>
        <v/>
      </c>
      <c r="D49" s="82" t="str">
        <f aca="false">IF(D$3="(empty slot)","",COUNTIFS('DAILY ENTRY'!$C$7:$C$1203,$A49,'DAILY ENTRY'!$B$7:$B$1203,D$3))</f>
        <v/>
      </c>
      <c r="E49" s="82" t="str">
        <f aca="false">IF(E$3="(empty slot)","",COUNTIFS('DAILY ENTRY'!$C$7:$C$1203,$A49,'DAILY ENTRY'!$B$7:$B$1203,E$3))</f>
        <v/>
      </c>
      <c r="F49" s="82" t="str">
        <f aca="false">IF(F$3="(empty slot)","",COUNTIFS('DAILY ENTRY'!$C$7:$C$1203,$A49,'DAILY ENTRY'!$B$7:$B$1203,F$3))</f>
        <v/>
      </c>
      <c r="G49" s="82" t="str">
        <f aca="false">IF(G$3="(empty slot)","",COUNTIFS('DAILY ENTRY'!$C$7:$C$1203,$A49,'DAILY ENTRY'!$B$7:$B$1203,G$3))</f>
        <v/>
      </c>
      <c r="H49" s="82" t="str">
        <f aca="false">IF(H$3="(empty slot)","",COUNTIFS('DAILY ENTRY'!$C$7:$C$1203,$A49,'DAILY ENTRY'!$B$7:$B$1203,H$3))</f>
        <v/>
      </c>
      <c r="I49" s="82" t="str">
        <f aca="false">IF(I$3="(empty slot)","",COUNTIFS('DAILY ENTRY'!$C$7:$C$1203,$A49,'DAILY ENTRY'!$B$7:$B$1203,I$3))</f>
        <v/>
      </c>
      <c r="J49" s="82" t="str">
        <f aca="false">IF(J$3="(empty slot)","",COUNTIFS('DAILY ENTRY'!$C$7:$C$1203,$A49,'DAILY ENTRY'!$B$7:$B$1203,J$3))</f>
        <v/>
      </c>
      <c r="K49" s="82" t="str">
        <f aca="false">IF(K$3="(empty slot)","",COUNTIFS('DAILY ENTRY'!$C$7:$C$1203,$A49,'DAILY ENTRY'!$B$7:$B$1203,K$3))</f>
        <v/>
      </c>
      <c r="L49" s="83" t="n">
        <f aca="false">COUNTIF('DAILY ENTRY'!$C$7:$C$1203,$A49)</f>
        <v>0</v>
      </c>
    </row>
    <row r="50" customFormat="false" ht="15" hidden="false" customHeight="false" outlineLevel="0" collapsed="false">
      <c r="A50" s="72" t="s">
        <v>399</v>
      </c>
      <c r="B50" s="12" t="n">
        <f aca="false">SUM(B4:B49)</f>
        <v>0</v>
      </c>
      <c r="C50" s="12" t="n">
        <f aca="false">SUM(C4:C49)</f>
        <v>0</v>
      </c>
      <c r="D50" s="12" t="n">
        <f aca="false">SUM(D4:D49)</f>
        <v>0</v>
      </c>
      <c r="E50" s="12" t="n">
        <f aca="false">SUM(E4:E49)</f>
        <v>0</v>
      </c>
      <c r="F50" s="12" t="n">
        <f aca="false">SUM(F4:F49)</f>
        <v>0</v>
      </c>
      <c r="G50" s="12" t="n">
        <f aca="false">SUM(G4:G49)</f>
        <v>0</v>
      </c>
      <c r="H50" s="12" t="n">
        <f aca="false">SUM(H4:H49)</f>
        <v>0</v>
      </c>
      <c r="I50" s="12" t="n">
        <f aca="false">SUM(I4:I49)</f>
        <v>0</v>
      </c>
      <c r="J50" s="12" t="n">
        <f aca="false">SUM(J4:J49)</f>
        <v>0</v>
      </c>
      <c r="K50" s="12" t="n">
        <f aca="false">SUM(K4:K49)</f>
        <v>0</v>
      </c>
      <c r="L50" s="12" t="n">
        <f aca="false">SUM(L4:L49)</f>
        <v>0</v>
      </c>
    </row>
  </sheetData>
  <mergeCells count="2">
    <mergeCell ref="A1:L1"/>
    <mergeCell ref="A2:L2"/>
  </mergeCells>
  <conditionalFormatting sqref="B4:K49">
    <cfRule type="colorScale" priority="2">
      <colorScale>
        <cfvo type="num" val="0"/>
        <cfvo type="num" val="5"/>
        <cfvo type="num" val="25"/>
        <color rgb="FFFFFFFF"/>
        <color rgb="FFFFE699"/>
        <color rgb="FFC6EFCE"/>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8"/>
    <col collapsed="false" customWidth="true" hidden="false" outlineLevel="0" max="3" min="3" style="1" width="20"/>
    <col collapsed="false" customWidth="true" hidden="false" outlineLevel="0" max="4" min="4" style="1" width="66"/>
  </cols>
  <sheetData>
    <row r="1" customFormat="false" ht="25.5" hidden="false" customHeight="true" outlineLevel="0" collapsed="false">
      <c r="A1" s="2" t="s">
        <v>400</v>
      </c>
      <c r="B1" s="2"/>
      <c r="C1" s="2"/>
      <c r="D1" s="2"/>
    </row>
    <row r="2" customFormat="false" ht="18" hidden="false" customHeight="true" outlineLevel="0" collapsed="false">
      <c r="A2" s="3" t="s">
        <v>401</v>
      </c>
      <c r="B2" s="3"/>
      <c r="C2" s="3"/>
      <c r="D2" s="3"/>
    </row>
    <row r="4" customFormat="false" ht="21.75" hidden="false" customHeight="true" outlineLevel="0" collapsed="false">
      <c r="A4" s="50" t="s">
        <v>402</v>
      </c>
      <c r="B4" s="50"/>
      <c r="C4" s="50"/>
      <c r="D4" s="50"/>
    </row>
    <row r="5" customFormat="false" ht="21.75" hidden="false" customHeight="true" outlineLevel="0" collapsed="false">
      <c r="A5" s="19" t="s">
        <v>403</v>
      </c>
      <c r="B5" s="84" t="n">
        <f aca="false">IFERROR(COUNTIF('Platform Setup'!$J$4:$J$49,"Complete")/COUNTA('Platform Setup'!$B$4:$B$49),0)</f>
        <v>0</v>
      </c>
      <c r="C5" s="55" t="s">
        <v>404</v>
      </c>
      <c r="D5" s="55"/>
    </row>
    <row r="6" customFormat="false" ht="21.75" hidden="false" customHeight="true" outlineLevel="0" collapsed="false">
      <c r="A6" s="19" t="s">
        <v>405</v>
      </c>
      <c r="B6" s="84" t="n">
        <f aca="false">IFERROR(COUNTIF('Master Tasks'!$J$4:$J$66,"Complete")/COUNTA('Master Tasks'!$A$4:$A$66),0)</f>
        <v>0</v>
      </c>
      <c r="C6" s="55" t="s">
        <v>406</v>
      </c>
      <c r="D6" s="55"/>
    </row>
    <row r="7" customFormat="false" ht="21.75" hidden="false" customHeight="true" outlineLevel="0" collapsed="false">
      <c r="A7" s="19" t="s">
        <v>407</v>
      </c>
      <c r="B7" s="84" t="n">
        <f aca="false">IFERROR(COUNTIF('LinkedIn Outreach'!$N$5:$N$1203,"Yes")/COUNTIF('LinkedIn Outreach'!$M$5:$M$1203,"Yes"),0)</f>
        <v>0</v>
      </c>
      <c r="C7" s="55" t="s">
        <v>408</v>
      </c>
      <c r="D7" s="55"/>
    </row>
    <row r="8" customFormat="false" ht="21.75" hidden="false" customHeight="true" outlineLevel="0" collapsed="false">
      <c r="A8" s="19" t="s">
        <v>409</v>
      </c>
      <c r="B8" s="84" t="n">
        <f aca="false">IFERROR((COUNTIF('LinkedIn Outreach'!$S$5:$S$1203,"Interested")+COUNTIF('LinkedIn Outreach'!$S$5:$S$1203,"Info Requested")+COUNTIF('LinkedIn Outreach'!$S$5:$S$1203,"Meeting Booked")+COUNTIF('LinkedIn Outreach'!$S$5:$S$1203,"Converted"))/COUNTIF('LinkedIn Outreach'!$R$5:$R$1203,"Yes"),0)</f>
        <v>0</v>
      </c>
      <c r="C8" s="55" t="s">
        <v>410</v>
      </c>
      <c r="D8" s="55"/>
    </row>
    <row r="9" customFormat="false" ht="21.75" hidden="false" customHeight="true" outlineLevel="0" collapsed="false">
      <c r="A9" s="19" t="s">
        <v>411</v>
      </c>
      <c r="B9" s="85" t="n">
        <f aca="false">COUNTIF('LinkedIn Outreach'!$S$5:$S$1203,"Meeting Booked")+COUNTIF('LinkedIn Outreach'!$S$5:$S$1203,"Converted")+COUNTIF('Community &amp; PR'!$N$5:$N$403,"Meeting Booked")</f>
        <v>0</v>
      </c>
      <c r="C9" s="55" t="s">
        <v>412</v>
      </c>
      <c r="D9" s="55"/>
    </row>
    <row r="11" customFormat="false" ht="21.75" hidden="false" customHeight="true" outlineLevel="0" collapsed="false">
      <c r="A11" s="50" t="s">
        <v>413</v>
      </c>
      <c r="B11" s="50"/>
      <c r="C11" s="50"/>
      <c r="D11" s="50"/>
    </row>
    <row r="12" customFormat="false" ht="21.75" hidden="false" customHeight="true" outlineLevel="0" collapsed="false">
      <c r="A12" s="13" t="s">
        <v>290</v>
      </c>
      <c r="B12" s="85" t="n">
        <f aca="false">SUMPRODUCT(('DAILY ENTRY'!$A$7:$A$1203&lt;&gt;"")/COUNTIFS('DAILY ENTRY'!$A$7:$A$1203,'DAILY ENTRY'!$A$7:$A$1203&amp;""))</f>
        <v>0</v>
      </c>
      <c r="C12" s="55" t="s">
        <v>414</v>
      </c>
      <c r="D12" s="55"/>
    </row>
    <row r="13" customFormat="false" ht="21.75" hidden="false" customHeight="true" outlineLevel="0" collapsed="false">
      <c r="A13" s="13" t="s">
        <v>367</v>
      </c>
      <c r="B13" s="85" t="n">
        <f aca="false">SUMIFS('DAILY ENTRY'!$F$7:$F$1203,'DAILY ENTRY'!$D$7:$D$1203,"Lead researched (Sales Navigator)")</f>
        <v>0</v>
      </c>
      <c r="C13" s="55" t="s">
        <v>415</v>
      </c>
      <c r="D13" s="55"/>
    </row>
    <row r="14" customFormat="false" ht="21.75" hidden="false" customHeight="true" outlineLevel="0" collapsed="false">
      <c r="A14" s="13" t="s">
        <v>36</v>
      </c>
      <c r="B14" s="85" t="n">
        <f aca="false">SUMIFS('DAILY ENTRY'!$F$7:$F$1203,'DAILY ENTRY'!$D$7:$D$1203,"Connection request sent")</f>
        <v>0</v>
      </c>
      <c r="C14" s="55" t="s">
        <v>416</v>
      </c>
      <c r="D14" s="55"/>
    </row>
    <row r="15" customFormat="false" ht="21.75" hidden="false" customHeight="true" outlineLevel="0" collapsed="false">
      <c r="A15" s="13" t="s">
        <v>292</v>
      </c>
      <c r="B15" s="85" t="n">
        <f aca="false">SUMIFS('DAILY ENTRY'!$F$7:$F$1203,'DAILY ENTRY'!$D$7:$D$1203,"First message sent")</f>
        <v>0</v>
      </c>
      <c r="C15" s="55" t="s">
        <v>417</v>
      </c>
      <c r="D15" s="55"/>
    </row>
    <row r="16" customFormat="false" ht="21.75" hidden="false" customHeight="true" outlineLevel="0" collapsed="false">
      <c r="A16" s="13" t="s">
        <v>160</v>
      </c>
      <c r="B16" s="85" t="n">
        <f aca="false">SUMIFS('DAILY ENTRY'!$F$7:$F$1203,'DAILY ENTRY'!$D$7:$D$1203,"Follow-up message sent")</f>
        <v>0</v>
      </c>
      <c r="C16" s="55" t="s">
        <v>418</v>
      </c>
      <c r="D16" s="55"/>
    </row>
    <row r="17" customFormat="false" ht="21.75" hidden="false" customHeight="true" outlineLevel="0" collapsed="false">
      <c r="A17" s="13" t="s">
        <v>293</v>
      </c>
      <c r="B17" s="85" t="n">
        <f aca="false">SUMIFS('DAILY ENTRY'!$F$7:$F$1203,'DAILY ENTRY'!$D$7:$D$1203,"Post / content published")</f>
        <v>0</v>
      </c>
      <c r="C17" s="55" t="s">
        <v>419</v>
      </c>
      <c r="D17" s="55"/>
    </row>
    <row r="18" customFormat="false" ht="21.75" hidden="false" customHeight="true" outlineLevel="0" collapsed="false">
      <c r="A18" s="13" t="s">
        <v>420</v>
      </c>
      <c r="B18" s="85" t="n">
        <f aca="false">SUMIFS('DAILY ENTRY'!$F$7:$F$1203,'DAILY ENTRY'!$D$7:$D$1203,"Community answer or comment")</f>
        <v>0</v>
      </c>
      <c r="C18" s="55" t="s">
        <v>421</v>
      </c>
      <c r="D18" s="55"/>
    </row>
    <row r="19" customFormat="false" ht="21.75" hidden="false" customHeight="true" outlineLevel="0" collapsed="false">
      <c r="A19" s="13" t="s">
        <v>41</v>
      </c>
      <c r="B19" s="85" t="n">
        <f aca="false">SUMIFS('DAILY ENTRY'!$F$7:$F$1203,'DAILY ENTRY'!$D$7:$D$1203,"Partnership / PR contact")</f>
        <v>0</v>
      </c>
      <c r="C19" s="55" t="s">
        <v>422</v>
      </c>
      <c r="D19" s="55"/>
    </row>
    <row r="20" customFormat="false" ht="21.75" hidden="false" customHeight="true" outlineLevel="0" collapsed="false">
      <c r="A20" s="13" t="s">
        <v>423</v>
      </c>
      <c r="B20" s="85" t="n">
        <f aca="false">SUMIFS('DAILY ENTRY'!$F$7:$F$1203,'DAILY ENTRY'!$D$7:$D$1203,"Account created / profile completed")</f>
        <v>0</v>
      </c>
      <c r="C20" s="55" t="s">
        <v>424</v>
      </c>
      <c r="D20" s="55"/>
    </row>
    <row r="22" customFormat="false" ht="21.75" hidden="false" customHeight="true" outlineLevel="0" collapsed="false">
      <c r="A22" s="50" t="s">
        <v>425</v>
      </c>
      <c r="B22" s="50"/>
      <c r="C22" s="50"/>
      <c r="D22" s="50"/>
    </row>
    <row r="23" customFormat="false" ht="21.75" hidden="false" customHeight="true" outlineLevel="0" collapsed="false">
      <c r="A23" s="13" t="s">
        <v>426</v>
      </c>
      <c r="B23" s="85" t="n">
        <f aca="false">COUNTIF('Master Tasks'!$J$4:$J$66,"Blocked")</f>
        <v>0</v>
      </c>
      <c r="C23" s="55" t="s">
        <v>427</v>
      </c>
      <c r="D23" s="55"/>
    </row>
    <row r="24" customFormat="false" ht="21.75" hidden="false" customHeight="true" outlineLevel="0" collapsed="false">
      <c r="A24" s="13" t="s">
        <v>428</v>
      </c>
      <c r="B24" s="85" t="n">
        <f aca="false">COUNTIF('Platform Setup'!$J$4:$J$49,"Not Started")</f>
        <v>46</v>
      </c>
      <c r="C24" s="55" t="s">
        <v>429</v>
      </c>
      <c r="D24" s="55"/>
    </row>
    <row r="25" customFormat="false" ht="21.75" hidden="false" customHeight="true" outlineLevel="0" collapsed="false">
      <c r="A25" s="13" t="s">
        <v>258</v>
      </c>
      <c r="B25" s="85" t="n">
        <f aca="false">COUNTIFS('Platform Setup'!$I$4:$I$49,"No",'Platform Setup'!$J$4:$J$49,"&lt;&gt;Not Started")</f>
        <v>0</v>
      </c>
      <c r="C25" s="55" t="s">
        <v>430</v>
      </c>
      <c r="D25" s="55"/>
    </row>
    <row r="26" customFormat="false" ht="21.75" hidden="false" customHeight="true" outlineLevel="0" collapsed="false">
      <c r="A26" s="13" t="s">
        <v>431</v>
      </c>
      <c r="B26" s="85" t="n">
        <f aca="false">COUNTIF('LinkedIn Outreach'!$Q$5:$Q$1203,"&gt;300")</f>
        <v>0</v>
      </c>
      <c r="C26" s="55" t="s">
        <v>432</v>
      </c>
      <c r="D26" s="55"/>
    </row>
    <row r="27" customFormat="false" ht="21.75" hidden="false" customHeight="true" outlineLevel="0" collapsed="false">
      <c r="A27" s="13" t="s">
        <v>433</v>
      </c>
      <c r="B27" s="85" t="n">
        <f aca="false">COUNTIF('DAILY ENTRY'!$I$7:$I$1203,"Blocked")</f>
        <v>0</v>
      </c>
      <c r="C27" s="55" t="s">
        <v>434</v>
      </c>
      <c r="D27" s="55"/>
    </row>
    <row r="29" customFormat="false" ht="21.75" hidden="false" customHeight="true" outlineLevel="0" collapsed="false">
      <c r="A29" s="50" t="s">
        <v>435</v>
      </c>
      <c r="B29" s="50"/>
      <c r="C29" s="50"/>
      <c r="D29" s="50"/>
    </row>
    <row r="30" customFormat="false" ht="19.5" hidden="false" customHeight="true" outlineLevel="0" collapsed="false">
      <c r="A30" s="86" t="s">
        <v>436</v>
      </c>
      <c r="B30" s="87" t="s">
        <v>437</v>
      </c>
      <c r="C30" s="87"/>
      <c r="D30" s="87"/>
    </row>
    <row r="31" customFormat="false" ht="19.5" hidden="false" customHeight="true" outlineLevel="0" collapsed="false">
      <c r="A31" s="86" t="s">
        <v>438</v>
      </c>
      <c r="B31" s="87" t="s">
        <v>439</v>
      </c>
      <c r="C31" s="87"/>
      <c r="D31" s="87"/>
    </row>
    <row r="32" customFormat="false" ht="19.5" hidden="false" customHeight="true" outlineLevel="0" collapsed="false">
      <c r="A32" s="86" t="s">
        <v>440</v>
      </c>
      <c r="B32" s="87" t="s">
        <v>441</v>
      </c>
      <c r="C32" s="87"/>
      <c r="D32" s="87"/>
    </row>
    <row r="33" customFormat="false" ht="19.5" hidden="false" customHeight="true" outlineLevel="0" collapsed="false">
      <c r="A33" s="86" t="s">
        <v>442</v>
      </c>
      <c r="B33" s="87" t="s">
        <v>443</v>
      </c>
      <c r="C33" s="87"/>
      <c r="D33" s="87"/>
    </row>
    <row r="34" customFormat="false" ht="19.5" hidden="false" customHeight="true" outlineLevel="0" collapsed="false">
      <c r="A34" s="86" t="s">
        <v>444</v>
      </c>
      <c r="B34" s="87" t="s">
        <v>445</v>
      </c>
      <c r="C34" s="87"/>
      <c r="D34" s="87"/>
    </row>
    <row r="35" customFormat="false" ht="19.5" hidden="false" customHeight="true" outlineLevel="0" collapsed="false">
      <c r="A35" s="86" t="s">
        <v>446</v>
      </c>
      <c r="B35" s="87" t="s">
        <v>447</v>
      </c>
      <c r="C35" s="87"/>
      <c r="D35" s="87"/>
    </row>
    <row r="36" customFormat="false" ht="19.5" hidden="false" customHeight="true" outlineLevel="0" collapsed="false">
      <c r="A36" s="86" t="s">
        <v>448</v>
      </c>
      <c r="B36" s="87" t="s">
        <v>449</v>
      </c>
      <c r="C36" s="87"/>
      <c r="D36" s="87"/>
    </row>
    <row r="37" customFormat="false" ht="19.5" hidden="false" customHeight="true" outlineLevel="0" collapsed="false">
      <c r="A37" s="86" t="s">
        <v>450</v>
      </c>
      <c r="B37" s="87" t="s">
        <v>451</v>
      </c>
      <c r="C37" s="87"/>
      <c r="D37" s="87"/>
    </row>
    <row r="38" customFormat="false" ht="19.5" hidden="false" customHeight="true" outlineLevel="0" collapsed="false">
      <c r="A38" s="86" t="s">
        <v>452</v>
      </c>
      <c r="B38" s="87" t="s">
        <v>453</v>
      </c>
      <c r="C38" s="87"/>
      <c r="D38" s="87"/>
    </row>
  </sheetData>
  <mergeCells count="34">
    <mergeCell ref="A1:D1"/>
    <mergeCell ref="A2:D2"/>
    <mergeCell ref="A4:D4"/>
    <mergeCell ref="C5:D5"/>
    <mergeCell ref="C6:D6"/>
    <mergeCell ref="C7:D7"/>
    <mergeCell ref="C8:D8"/>
    <mergeCell ref="C9:D9"/>
    <mergeCell ref="A11:D11"/>
    <mergeCell ref="C12:D12"/>
    <mergeCell ref="C13:D13"/>
    <mergeCell ref="C14:D14"/>
    <mergeCell ref="C15:D15"/>
    <mergeCell ref="C16:D16"/>
    <mergeCell ref="C17:D17"/>
    <mergeCell ref="C18:D18"/>
    <mergeCell ref="C19:D19"/>
    <mergeCell ref="C20:D20"/>
    <mergeCell ref="A22:D22"/>
    <mergeCell ref="C23:D23"/>
    <mergeCell ref="C24:D24"/>
    <mergeCell ref="C25:D25"/>
    <mergeCell ref="C26:D26"/>
    <mergeCell ref="C27:D27"/>
    <mergeCell ref="A29:D29"/>
    <mergeCell ref="B30:D30"/>
    <mergeCell ref="B31:D31"/>
    <mergeCell ref="B32:D32"/>
    <mergeCell ref="B33:D33"/>
    <mergeCell ref="B34:D34"/>
    <mergeCell ref="B35:D35"/>
    <mergeCell ref="B36:D36"/>
    <mergeCell ref="B37:D37"/>
    <mergeCell ref="B38:D38"/>
  </mergeCells>
  <conditionalFormatting sqref="B5:B9">
    <cfRule type="cellIs" priority="2" operator="greaterThanOrEqual" aboveAverage="0" equalAverage="0" bottom="0" percent="0" rank="0" text="" dxfId="7">
      <formula>0.25</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S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3" min="2" style="1" width="13"/>
    <col collapsed="false" customWidth="true" hidden="false" outlineLevel="0" max="5" min="4" style="1" width="11"/>
    <col collapsed="false" customWidth="true" hidden="false" outlineLevel="0" max="6" min="6" style="1" width="10"/>
    <col collapsed="false" customWidth="true" hidden="false" outlineLevel="0" max="9" min="7" style="1" width="11"/>
    <col collapsed="false" customWidth="true" hidden="false" outlineLevel="0" max="11" min="10" style="1" width="10"/>
    <col collapsed="false" customWidth="true" hidden="false" outlineLevel="0" max="12" min="12" style="1" width="11"/>
    <col collapsed="false" customWidth="true" hidden="false" outlineLevel="0" max="13" min="13" style="1" width="12"/>
    <col collapsed="false" customWidth="true" hidden="false" outlineLevel="0" max="16" min="14" style="1" width="34"/>
    <col collapsed="false" customWidth="true" hidden="false" outlineLevel="0" max="17" min="17" style="1" width="30"/>
  </cols>
  <sheetData>
    <row r="1" customFormat="false" ht="25.5" hidden="false" customHeight="true" outlineLevel="0" collapsed="false">
      <c r="A1" s="2" t="s">
        <v>454</v>
      </c>
      <c r="B1" s="2"/>
      <c r="C1" s="2"/>
      <c r="D1" s="2"/>
      <c r="E1" s="2"/>
      <c r="F1" s="2"/>
      <c r="G1" s="2"/>
      <c r="H1" s="2"/>
      <c r="I1" s="2"/>
      <c r="J1" s="2"/>
      <c r="K1" s="2"/>
      <c r="L1" s="2"/>
      <c r="M1" s="2"/>
      <c r="N1" s="2"/>
      <c r="O1" s="2"/>
      <c r="P1" s="2"/>
      <c r="Q1" s="2"/>
      <c r="S1" s="88" t="s">
        <v>455</v>
      </c>
    </row>
    <row r="2" customFormat="false" ht="18" hidden="false" customHeight="true" outlineLevel="0" collapsed="false">
      <c r="A2" s="89" t="s">
        <v>456</v>
      </c>
      <c r="B2" s="90" t="s">
        <v>457</v>
      </c>
      <c r="C2" s="91" t="s">
        <v>458</v>
      </c>
      <c r="D2" s="91"/>
      <c r="E2" s="91"/>
      <c r="F2" s="91"/>
      <c r="G2" s="91"/>
      <c r="H2" s="91"/>
      <c r="I2" s="91"/>
      <c r="J2" s="91"/>
      <c r="K2" s="91"/>
      <c r="L2" s="91"/>
      <c r="M2" s="91"/>
      <c r="N2" s="91"/>
      <c r="O2" s="91"/>
      <c r="P2" s="91"/>
      <c r="Q2" s="91"/>
      <c r="S2" s="88" t="str">
        <f aca="false">IF($B$2="All team","*",$B$2)</f>
        <v>*</v>
      </c>
    </row>
    <row r="3" customFormat="false" ht="43.5" hidden="false" customHeight="true" outlineLevel="0" collapsed="false">
      <c r="A3" s="31" t="s">
        <v>459</v>
      </c>
      <c r="B3" s="31" t="s">
        <v>460</v>
      </c>
      <c r="C3" s="31" t="s">
        <v>461</v>
      </c>
      <c r="D3" s="31" t="s">
        <v>462</v>
      </c>
      <c r="E3" s="31" t="s">
        <v>463</v>
      </c>
      <c r="F3" s="31" t="s">
        <v>464</v>
      </c>
      <c r="G3" s="31" t="s">
        <v>370</v>
      </c>
      <c r="H3" s="31" t="s">
        <v>465</v>
      </c>
      <c r="I3" s="31" t="s">
        <v>372</v>
      </c>
      <c r="J3" s="31" t="s">
        <v>373</v>
      </c>
      <c r="K3" s="31" t="s">
        <v>293</v>
      </c>
      <c r="L3" s="31" t="s">
        <v>420</v>
      </c>
      <c r="M3" s="31" t="s">
        <v>376</v>
      </c>
      <c r="N3" s="31" t="s">
        <v>466</v>
      </c>
      <c r="O3" s="31" t="s">
        <v>467</v>
      </c>
      <c r="P3" s="31" t="s">
        <v>468</v>
      </c>
      <c r="Q3" s="31" t="s">
        <v>469</v>
      </c>
    </row>
    <row r="4" customFormat="false" ht="33.75" hidden="false" customHeight="true" outlineLevel="0" collapsed="false">
      <c r="A4" s="45" t="n">
        <v>1</v>
      </c>
      <c r="B4" s="43" t="n">
        <f aca="false">'START HERE'!$B$20+0</f>
        <v>46251</v>
      </c>
      <c r="C4" s="43" t="n">
        <f aca="false">B4+6</f>
        <v>46257</v>
      </c>
      <c r="D4" s="45" t="n">
        <f aca="false">SUMIFS('DAILY ENTRY'!$F$7:$F$1203,'DAILY ENTRY'!$D$7:$D$1203,"Lead researched (Sales Navigator)",'DAILY ENTRY'!$A$7:$A$1203,"&gt;="&amp;$B4,'DAILY ENTRY'!$A$7:$A$1203,"&lt;="&amp;$C4,'DAILY ENTRY'!$B$7:$B$1203,$S$2)</f>
        <v>0</v>
      </c>
      <c r="E4" s="45" t="n">
        <f aca="false">COUNTIFS('LinkedIn Outreach'!$A$5:$A$1203,"&gt;="&amp;$B4,'LinkedIn Outreach'!$A$5:$A$1203,"&lt;="&amp;$C4,'LinkedIn Outreach'!$B$5:$B$1203,$S$2,'LinkedIn Outreach'!$M$5:$M$1203,"Yes")</f>
        <v>0</v>
      </c>
      <c r="F4" s="45" t="n">
        <f aca="false">COUNTIFS('LinkedIn Outreach'!$A$5:$A$1203,"&gt;="&amp;$B4,'LinkedIn Outreach'!$A$5:$A$1203,"&lt;="&amp;$C4,'LinkedIn Outreach'!$B$5:$B$1203,$S$2,'LinkedIn Outreach'!$N$5:$N$1203,"Yes")</f>
        <v>0</v>
      </c>
      <c r="G4" s="70" t="str">
        <f aca="false">IFERROR(F4/E4,"")</f>
        <v/>
      </c>
      <c r="H4" s="45" t="n">
        <f aca="false">COUNTIFS('LinkedIn Outreach'!$A$5:$A$1203,"&gt;="&amp;$B4,'LinkedIn Outreach'!$A$5:$A$1203,"&lt;="&amp;$C4,'LinkedIn Outreach'!$B$5:$B$1203,$S$2,'LinkedIn Outreach'!$R$5:$R$1203,"Yes")</f>
        <v>0</v>
      </c>
      <c r="I4" s="45" t="n">
        <f aca="false">COUNTIFS('LinkedIn Outreach'!$A$5:$A$1203,"&gt;="&amp;$B4,'LinkedIn Outreach'!$A$5:$A$1203,"&lt;="&amp;$C4,'LinkedIn Outreach'!$B$5:$B$1203,$S$2,'LinkedIn Outreach'!$S$5:$S$1203,"Interested")+COUNTIFS('LinkedIn Outreach'!$A$5:$A$1203,"&gt;="&amp;$B4,'LinkedIn Outreach'!$A$5:$A$1203,"&lt;="&amp;$C4,'LinkedIn Outreach'!$B$5:$B$1203,$S$2,'LinkedIn Outreach'!$S$5:$S$1203,"Info Requested")+COUNTIFS('LinkedIn Outreach'!$A$5:$A$1203,"&gt;="&amp;$B4,'LinkedIn Outreach'!$A$5:$A$1203,"&lt;="&amp;$C4,'LinkedIn Outreach'!$B$5:$B$1203,$S$2,'LinkedIn Outreach'!$S$5:$S$1203,"Meeting Booked")+COUNTIFS('LinkedIn Outreach'!$A$5:$A$1203,"&gt;="&amp;$B4,'LinkedIn Outreach'!$A$5:$A$1203,"&lt;="&amp;$C4,'LinkedIn Outreach'!$B$5:$B$1203,$S$2,'LinkedIn Outreach'!$S$5:$S$1203,"Converted")</f>
        <v>0</v>
      </c>
      <c r="J4" s="70" t="str">
        <f aca="false">IFERROR(I4/H4,"")</f>
        <v/>
      </c>
      <c r="K4" s="45" t="n">
        <f aca="false">SUMIFS('DAILY ENTRY'!$F$7:$F$1203,'DAILY ENTRY'!$D$7:$D$1203,"Post / content published",'DAILY ENTRY'!$A$7:$A$1203,"&gt;="&amp;$B4,'DAILY ENTRY'!$A$7:$A$1203,"&lt;="&amp;$C4,'DAILY ENTRY'!$B$7:$B$1203,$S$2)</f>
        <v>0</v>
      </c>
      <c r="L4" s="45" t="n">
        <f aca="false">SUMIFS('DAILY ENTRY'!$F$7:$F$1203,'DAILY ENTRY'!$D$7:$D$1203,"Community answer or comment",'DAILY ENTRY'!$A$7:$A$1203,"&gt;="&amp;$B4,'DAILY ENTRY'!$A$7:$A$1203,"&lt;="&amp;$C4,'DAILY ENTRY'!$B$7:$B$1203,$S$2)</f>
        <v>0</v>
      </c>
      <c r="M4" s="45" t="n">
        <f aca="false">SUMIFS('DAILY ENTRY'!$F$7:$F$1203,'DAILY ENTRY'!$D$7:$D$1203,"Partnership / PR contact",'DAILY ENTRY'!$A$7:$A$1203,"&gt;="&amp;$B4,'DAILY ENTRY'!$A$7:$A$1203,"&lt;="&amp;$C4,'DAILY ENTRY'!$B$7:$B$1203,$S$2)</f>
        <v>0</v>
      </c>
      <c r="N4" s="38"/>
      <c r="O4" s="38"/>
      <c r="P4" s="38"/>
      <c r="Q4" s="38"/>
    </row>
    <row r="5" customFormat="false" ht="33.75" hidden="false" customHeight="true" outlineLevel="0" collapsed="false">
      <c r="A5" s="45" t="n">
        <v>2</v>
      </c>
      <c r="B5" s="43" t="n">
        <f aca="false">'START HERE'!$B$20+7</f>
        <v>46258</v>
      </c>
      <c r="C5" s="43" t="n">
        <f aca="false">B5+6</f>
        <v>46264</v>
      </c>
      <c r="D5" s="45" t="n">
        <f aca="false">SUMIFS('DAILY ENTRY'!$F$7:$F$1203,'DAILY ENTRY'!$D$7:$D$1203,"Lead researched (Sales Navigator)",'DAILY ENTRY'!$A$7:$A$1203,"&gt;="&amp;$B5,'DAILY ENTRY'!$A$7:$A$1203,"&lt;="&amp;$C5,'DAILY ENTRY'!$B$7:$B$1203,$S$2)</f>
        <v>0</v>
      </c>
      <c r="E5" s="45" t="n">
        <f aca="false">COUNTIFS('LinkedIn Outreach'!$A$5:$A$1203,"&gt;="&amp;$B5,'LinkedIn Outreach'!$A$5:$A$1203,"&lt;="&amp;$C5,'LinkedIn Outreach'!$B$5:$B$1203,$S$2,'LinkedIn Outreach'!$M$5:$M$1203,"Yes")</f>
        <v>0</v>
      </c>
      <c r="F5" s="45" t="n">
        <f aca="false">COUNTIFS('LinkedIn Outreach'!$A$5:$A$1203,"&gt;="&amp;$B5,'LinkedIn Outreach'!$A$5:$A$1203,"&lt;="&amp;$C5,'LinkedIn Outreach'!$B$5:$B$1203,$S$2,'LinkedIn Outreach'!$N$5:$N$1203,"Yes")</f>
        <v>0</v>
      </c>
      <c r="G5" s="70" t="str">
        <f aca="false">IFERROR(F5/E5,"")</f>
        <v/>
      </c>
      <c r="H5" s="45" t="n">
        <f aca="false">COUNTIFS('LinkedIn Outreach'!$A$5:$A$1203,"&gt;="&amp;$B5,'LinkedIn Outreach'!$A$5:$A$1203,"&lt;="&amp;$C5,'LinkedIn Outreach'!$B$5:$B$1203,$S$2,'LinkedIn Outreach'!$R$5:$R$1203,"Yes")</f>
        <v>0</v>
      </c>
      <c r="I5" s="45" t="n">
        <f aca="false">COUNTIFS('LinkedIn Outreach'!$A$5:$A$1203,"&gt;="&amp;$B5,'LinkedIn Outreach'!$A$5:$A$1203,"&lt;="&amp;$C5,'LinkedIn Outreach'!$B$5:$B$1203,$S$2,'LinkedIn Outreach'!$S$5:$S$1203,"Interested")+COUNTIFS('LinkedIn Outreach'!$A$5:$A$1203,"&gt;="&amp;$B5,'LinkedIn Outreach'!$A$5:$A$1203,"&lt;="&amp;$C5,'LinkedIn Outreach'!$B$5:$B$1203,$S$2,'LinkedIn Outreach'!$S$5:$S$1203,"Info Requested")+COUNTIFS('LinkedIn Outreach'!$A$5:$A$1203,"&gt;="&amp;$B5,'LinkedIn Outreach'!$A$5:$A$1203,"&lt;="&amp;$C5,'LinkedIn Outreach'!$B$5:$B$1203,$S$2,'LinkedIn Outreach'!$S$5:$S$1203,"Meeting Booked")+COUNTIFS('LinkedIn Outreach'!$A$5:$A$1203,"&gt;="&amp;$B5,'LinkedIn Outreach'!$A$5:$A$1203,"&lt;="&amp;$C5,'LinkedIn Outreach'!$B$5:$B$1203,$S$2,'LinkedIn Outreach'!$S$5:$S$1203,"Converted")</f>
        <v>0</v>
      </c>
      <c r="J5" s="70" t="str">
        <f aca="false">IFERROR(I5/H5,"")</f>
        <v/>
      </c>
      <c r="K5" s="45" t="n">
        <f aca="false">SUMIFS('DAILY ENTRY'!$F$7:$F$1203,'DAILY ENTRY'!$D$7:$D$1203,"Post / content published",'DAILY ENTRY'!$A$7:$A$1203,"&gt;="&amp;$B5,'DAILY ENTRY'!$A$7:$A$1203,"&lt;="&amp;$C5,'DAILY ENTRY'!$B$7:$B$1203,$S$2)</f>
        <v>0</v>
      </c>
      <c r="L5" s="45" t="n">
        <f aca="false">SUMIFS('DAILY ENTRY'!$F$7:$F$1203,'DAILY ENTRY'!$D$7:$D$1203,"Community answer or comment",'DAILY ENTRY'!$A$7:$A$1203,"&gt;="&amp;$B5,'DAILY ENTRY'!$A$7:$A$1203,"&lt;="&amp;$C5,'DAILY ENTRY'!$B$7:$B$1203,$S$2)</f>
        <v>0</v>
      </c>
      <c r="M5" s="45" t="n">
        <f aca="false">SUMIFS('DAILY ENTRY'!$F$7:$F$1203,'DAILY ENTRY'!$D$7:$D$1203,"Partnership / PR contact",'DAILY ENTRY'!$A$7:$A$1203,"&gt;="&amp;$B5,'DAILY ENTRY'!$A$7:$A$1203,"&lt;="&amp;$C5,'DAILY ENTRY'!$B$7:$B$1203,$S$2)</f>
        <v>0</v>
      </c>
      <c r="N5" s="38"/>
      <c r="O5" s="38"/>
      <c r="P5" s="38"/>
      <c r="Q5" s="38"/>
    </row>
    <row r="6" customFormat="false" ht="33.75" hidden="false" customHeight="true" outlineLevel="0" collapsed="false">
      <c r="A6" s="45" t="n">
        <v>3</v>
      </c>
      <c r="B6" s="43" t="n">
        <f aca="false">'START HERE'!$B$20+14</f>
        <v>46265</v>
      </c>
      <c r="C6" s="43" t="n">
        <f aca="false">B6+6</f>
        <v>46271</v>
      </c>
      <c r="D6" s="45" t="n">
        <f aca="false">SUMIFS('DAILY ENTRY'!$F$7:$F$1203,'DAILY ENTRY'!$D$7:$D$1203,"Lead researched (Sales Navigator)",'DAILY ENTRY'!$A$7:$A$1203,"&gt;="&amp;$B6,'DAILY ENTRY'!$A$7:$A$1203,"&lt;="&amp;$C6,'DAILY ENTRY'!$B$7:$B$1203,$S$2)</f>
        <v>0</v>
      </c>
      <c r="E6" s="45" t="n">
        <f aca="false">COUNTIFS('LinkedIn Outreach'!$A$5:$A$1203,"&gt;="&amp;$B6,'LinkedIn Outreach'!$A$5:$A$1203,"&lt;="&amp;$C6,'LinkedIn Outreach'!$B$5:$B$1203,$S$2,'LinkedIn Outreach'!$M$5:$M$1203,"Yes")</f>
        <v>0</v>
      </c>
      <c r="F6" s="45" t="n">
        <f aca="false">COUNTIFS('LinkedIn Outreach'!$A$5:$A$1203,"&gt;="&amp;$B6,'LinkedIn Outreach'!$A$5:$A$1203,"&lt;="&amp;$C6,'LinkedIn Outreach'!$B$5:$B$1203,$S$2,'LinkedIn Outreach'!$N$5:$N$1203,"Yes")</f>
        <v>0</v>
      </c>
      <c r="G6" s="70" t="str">
        <f aca="false">IFERROR(F6/E6,"")</f>
        <v/>
      </c>
      <c r="H6" s="45" t="n">
        <f aca="false">COUNTIFS('LinkedIn Outreach'!$A$5:$A$1203,"&gt;="&amp;$B6,'LinkedIn Outreach'!$A$5:$A$1203,"&lt;="&amp;$C6,'LinkedIn Outreach'!$B$5:$B$1203,$S$2,'LinkedIn Outreach'!$R$5:$R$1203,"Yes")</f>
        <v>0</v>
      </c>
      <c r="I6" s="45" t="n">
        <f aca="false">COUNTIFS('LinkedIn Outreach'!$A$5:$A$1203,"&gt;="&amp;$B6,'LinkedIn Outreach'!$A$5:$A$1203,"&lt;="&amp;$C6,'LinkedIn Outreach'!$B$5:$B$1203,$S$2,'LinkedIn Outreach'!$S$5:$S$1203,"Interested")+COUNTIFS('LinkedIn Outreach'!$A$5:$A$1203,"&gt;="&amp;$B6,'LinkedIn Outreach'!$A$5:$A$1203,"&lt;="&amp;$C6,'LinkedIn Outreach'!$B$5:$B$1203,$S$2,'LinkedIn Outreach'!$S$5:$S$1203,"Info Requested")+COUNTIFS('LinkedIn Outreach'!$A$5:$A$1203,"&gt;="&amp;$B6,'LinkedIn Outreach'!$A$5:$A$1203,"&lt;="&amp;$C6,'LinkedIn Outreach'!$B$5:$B$1203,$S$2,'LinkedIn Outreach'!$S$5:$S$1203,"Meeting Booked")+COUNTIFS('LinkedIn Outreach'!$A$5:$A$1203,"&gt;="&amp;$B6,'LinkedIn Outreach'!$A$5:$A$1203,"&lt;="&amp;$C6,'LinkedIn Outreach'!$B$5:$B$1203,$S$2,'LinkedIn Outreach'!$S$5:$S$1203,"Converted")</f>
        <v>0</v>
      </c>
      <c r="J6" s="70" t="str">
        <f aca="false">IFERROR(I6/H6,"")</f>
        <v/>
      </c>
      <c r="K6" s="45" t="n">
        <f aca="false">SUMIFS('DAILY ENTRY'!$F$7:$F$1203,'DAILY ENTRY'!$D$7:$D$1203,"Post / content published",'DAILY ENTRY'!$A$7:$A$1203,"&gt;="&amp;$B6,'DAILY ENTRY'!$A$7:$A$1203,"&lt;="&amp;$C6,'DAILY ENTRY'!$B$7:$B$1203,$S$2)</f>
        <v>0</v>
      </c>
      <c r="L6" s="45" t="n">
        <f aca="false">SUMIFS('DAILY ENTRY'!$F$7:$F$1203,'DAILY ENTRY'!$D$7:$D$1203,"Community answer or comment",'DAILY ENTRY'!$A$7:$A$1203,"&gt;="&amp;$B6,'DAILY ENTRY'!$A$7:$A$1203,"&lt;="&amp;$C6,'DAILY ENTRY'!$B$7:$B$1203,$S$2)</f>
        <v>0</v>
      </c>
      <c r="M6" s="45" t="n">
        <f aca="false">SUMIFS('DAILY ENTRY'!$F$7:$F$1203,'DAILY ENTRY'!$D$7:$D$1203,"Partnership / PR contact",'DAILY ENTRY'!$A$7:$A$1203,"&gt;="&amp;$B6,'DAILY ENTRY'!$A$7:$A$1203,"&lt;="&amp;$C6,'DAILY ENTRY'!$B$7:$B$1203,$S$2)</f>
        <v>0</v>
      </c>
      <c r="N6" s="38"/>
      <c r="O6" s="38"/>
      <c r="P6" s="38"/>
      <c r="Q6" s="38"/>
    </row>
    <row r="7" customFormat="false" ht="33.75" hidden="false" customHeight="true" outlineLevel="0" collapsed="false">
      <c r="A7" s="45" t="n">
        <v>4</v>
      </c>
      <c r="B7" s="43" t="n">
        <f aca="false">'START HERE'!$B$20+21</f>
        <v>46272</v>
      </c>
      <c r="C7" s="43" t="n">
        <f aca="false">B7+6</f>
        <v>46278</v>
      </c>
      <c r="D7" s="45" t="n">
        <f aca="false">SUMIFS('DAILY ENTRY'!$F$7:$F$1203,'DAILY ENTRY'!$D$7:$D$1203,"Lead researched (Sales Navigator)",'DAILY ENTRY'!$A$7:$A$1203,"&gt;="&amp;$B7,'DAILY ENTRY'!$A$7:$A$1203,"&lt;="&amp;$C7,'DAILY ENTRY'!$B$7:$B$1203,$S$2)</f>
        <v>0</v>
      </c>
      <c r="E7" s="45" t="n">
        <f aca="false">COUNTIFS('LinkedIn Outreach'!$A$5:$A$1203,"&gt;="&amp;$B7,'LinkedIn Outreach'!$A$5:$A$1203,"&lt;="&amp;$C7,'LinkedIn Outreach'!$B$5:$B$1203,$S$2,'LinkedIn Outreach'!$M$5:$M$1203,"Yes")</f>
        <v>0</v>
      </c>
      <c r="F7" s="45" t="n">
        <f aca="false">COUNTIFS('LinkedIn Outreach'!$A$5:$A$1203,"&gt;="&amp;$B7,'LinkedIn Outreach'!$A$5:$A$1203,"&lt;="&amp;$C7,'LinkedIn Outreach'!$B$5:$B$1203,$S$2,'LinkedIn Outreach'!$N$5:$N$1203,"Yes")</f>
        <v>0</v>
      </c>
      <c r="G7" s="70" t="str">
        <f aca="false">IFERROR(F7/E7,"")</f>
        <v/>
      </c>
      <c r="H7" s="45" t="n">
        <f aca="false">COUNTIFS('LinkedIn Outreach'!$A$5:$A$1203,"&gt;="&amp;$B7,'LinkedIn Outreach'!$A$5:$A$1203,"&lt;="&amp;$C7,'LinkedIn Outreach'!$B$5:$B$1203,$S$2,'LinkedIn Outreach'!$R$5:$R$1203,"Yes")</f>
        <v>0</v>
      </c>
      <c r="I7" s="45" t="n">
        <f aca="false">COUNTIFS('LinkedIn Outreach'!$A$5:$A$1203,"&gt;="&amp;$B7,'LinkedIn Outreach'!$A$5:$A$1203,"&lt;="&amp;$C7,'LinkedIn Outreach'!$B$5:$B$1203,$S$2,'LinkedIn Outreach'!$S$5:$S$1203,"Interested")+COUNTIFS('LinkedIn Outreach'!$A$5:$A$1203,"&gt;="&amp;$B7,'LinkedIn Outreach'!$A$5:$A$1203,"&lt;="&amp;$C7,'LinkedIn Outreach'!$B$5:$B$1203,$S$2,'LinkedIn Outreach'!$S$5:$S$1203,"Info Requested")+COUNTIFS('LinkedIn Outreach'!$A$5:$A$1203,"&gt;="&amp;$B7,'LinkedIn Outreach'!$A$5:$A$1203,"&lt;="&amp;$C7,'LinkedIn Outreach'!$B$5:$B$1203,$S$2,'LinkedIn Outreach'!$S$5:$S$1203,"Meeting Booked")+COUNTIFS('LinkedIn Outreach'!$A$5:$A$1203,"&gt;="&amp;$B7,'LinkedIn Outreach'!$A$5:$A$1203,"&lt;="&amp;$C7,'LinkedIn Outreach'!$B$5:$B$1203,$S$2,'LinkedIn Outreach'!$S$5:$S$1203,"Converted")</f>
        <v>0</v>
      </c>
      <c r="J7" s="70" t="str">
        <f aca="false">IFERROR(I7/H7,"")</f>
        <v/>
      </c>
      <c r="K7" s="45" t="n">
        <f aca="false">SUMIFS('DAILY ENTRY'!$F$7:$F$1203,'DAILY ENTRY'!$D$7:$D$1203,"Post / content published",'DAILY ENTRY'!$A$7:$A$1203,"&gt;="&amp;$B7,'DAILY ENTRY'!$A$7:$A$1203,"&lt;="&amp;$C7,'DAILY ENTRY'!$B$7:$B$1203,$S$2)</f>
        <v>0</v>
      </c>
      <c r="L7" s="45" t="n">
        <f aca="false">SUMIFS('DAILY ENTRY'!$F$7:$F$1203,'DAILY ENTRY'!$D$7:$D$1203,"Community answer or comment",'DAILY ENTRY'!$A$7:$A$1203,"&gt;="&amp;$B7,'DAILY ENTRY'!$A$7:$A$1203,"&lt;="&amp;$C7,'DAILY ENTRY'!$B$7:$B$1203,$S$2)</f>
        <v>0</v>
      </c>
      <c r="M7" s="45" t="n">
        <f aca="false">SUMIFS('DAILY ENTRY'!$F$7:$F$1203,'DAILY ENTRY'!$D$7:$D$1203,"Partnership / PR contact",'DAILY ENTRY'!$A$7:$A$1203,"&gt;="&amp;$B7,'DAILY ENTRY'!$A$7:$A$1203,"&lt;="&amp;$C7,'DAILY ENTRY'!$B$7:$B$1203,$S$2)</f>
        <v>0</v>
      </c>
      <c r="N7" s="38"/>
      <c r="O7" s="38"/>
      <c r="P7" s="38"/>
      <c r="Q7" s="38"/>
    </row>
    <row r="8" customFormat="false" ht="33.75" hidden="false" customHeight="true" outlineLevel="0" collapsed="false">
      <c r="A8" s="45" t="n">
        <v>5</v>
      </c>
      <c r="B8" s="43" t="n">
        <f aca="false">'START HERE'!$B$20+28</f>
        <v>46279</v>
      </c>
      <c r="C8" s="43" t="n">
        <f aca="false">B8+6</f>
        <v>46285</v>
      </c>
      <c r="D8" s="45" t="n">
        <f aca="false">SUMIFS('DAILY ENTRY'!$F$7:$F$1203,'DAILY ENTRY'!$D$7:$D$1203,"Lead researched (Sales Navigator)",'DAILY ENTRY'!$A$7:$A$1203,"&gt;="&amp;$B8,'DAILY ENTRY'!$A$7:$A$1203,"&lt;="&amp;$C8,'DAILY ENTRY'!$B$7:$B$1203,$S$2)</f>
        <v>0</v>
      </c>
      <c r="E8" s="45" t="n">
        <f aca="false">COUNTIFS('LinkedIn Outreach'!$A$5:$A$1203,"&gt;="&amp;$B8,'LinkedIn Outreach'!$A$5:$A$1203,"&lt;="&amp;$C8,'LinkedIn Outreach'!$B$5:$B$1203,$S$2,'LinkedIn Outreach'!$M$5:$M$1203,"Yes")</f>
        <v>0</v>
      </c>
      <c r="F8" s="45" t="n">
        <f aca="false">COUNTIFS('LinkedIn Outreach'!$A$5:$A$1203,"&gt;="&amp;$B8,'LinkedIn Outreach'!$A$5:$A$1203,"&lt;="&amp;$C8,'LinkedIn Outreach'!$B$5:$B$1203,$S$2,'LinkedIn Outreach'!$N$5:$N$1203,"Yes")</f>
        <v>0</v>
      </c>
      <c r="G8" s="70" t="str">
        <f aca="false">IFERROR(F8/E8,"")</f>
        <v/>
      </c>
      <c r="H8" s="45" t="n">
        <f aca="false">COUNTIFS('LinkedIn Outreach'!$A$5:$A$1203,"&gt;="&amp;$B8,'LinkedIn Outreach'!$A$5:$A$1203,"&lt;="&amp;$C8,'LinkedIn Outreach'!$B$5:$B$1203,$S$2,'LinkedIn Outreach'!$R$5:$R$1203,"Yes")</f>
        <v>0</v>
      </c>
      <c r="I8" s="45" t="n">
        <f aca="false">COUNTIFS('LinkedIn Outreach'!$A$5:$A$1203,"&gt;="&amp;$B8,'LinkedIn Outreach'!$A$5:$A$1203,"&lt;="&amp;$C8,'LinkedIn Outreach'!$B$5:$B$1203,$S$2,'LinkedIn Outreach'!$S$5:$S$1203,"Interested")+COUNTIFS('LinkedIn Outreach'!$A$5:$A$1203,"&gt;="&amp;$B8,'LinkedIn Outreach'!$A$5:$A$1203,"&lt;="&amp;$C8,'LinkedIn Outreach'!$B$5:$B$1203,$S$2,'LinkedIn Outreach'!$S$5:$S$1203,"Info Requested")+COUNTIFS('LinkedIn Outreach'!$A$5:$A$1203,"&gt;="&amp;$B8,'LinkedIn Outreach'!$A$5:$A$1203,"&lt;="&amp;$C8,'LinkedIn Outreach'!$B$5:$B$1203,$S$2,'LinkedIn Outreach'!$S$5:$S$1203,"Meeting Booked")+COUNTIFS('LinkedIn Outreach'!$A$5:$A$1203,"&gt;="&amp;$B8,'LinkedIn Outreach'!$A$5:$A$1203,"&lt;="&amp;$C8,'LinkedIn Outreach'!$B$5:$B$1203,$S$2,'LinkedIn Outreach'!$S$5:$S$1203,"Converted")</f>
        <v>0</v>
      </c>
      <c r="J8" s="70" t="str">
        <f aca="false">IFERROR(I8/H8,"")</f>
        <v/>
      </c>
      <c r="K8" s="45" t="n">
        <f aca="false">SUMIFS('DAILY ENTRY'!$F$7:$F$1203,'DAILY ENTRY'!$D$7:$D$1203,"Post / content published",'DAILY ENTRY'!$A$7:$A$1203,"&gt;="&amp;$B8,'DAILY ENTRY'!$A$7:$A$1203,"&lt;="&amp;$C8,'DAILY ENTRY'!$B$7:$B$1203,$S$2)</f>
        <v>0</v>
      </c>
      <c r="L8" s="45" t="n">
        <f aca="false">SUMIFS('DAILY ENTRY'!$F$7:$F$1203,'DAILY ENTRY'!$D$7:$D$1203,"Community answer or comment",'DAILY ENTRY'!$A$7:$A$1203,"&gt;="&amp;$B8,'DAILY ENTRY'!$A$7:$A$1203,"&lt;="&amp;$C8,'DAILY ENTRY'!$B$7:$B$1203,$S$2)</f>
        <v>0</v>
      </c>
      <c r="M8" s="45" t="n">
        <f aca="false">SUMIFS('DAILY ENTRY'!$F$7:$F$1203,'DAILY ENTRY'!$D$7:$D$1203,"Partnership / PR contact",'DAILY ENTRY'!$A$7:$A$1203,"&gt;="&amp;$B8,'DAILY ENTRY'!$A$7:$A$1203,"&lt;="&amp;$C8,'DAILY ENTRY'!$B$7:$B$1203,$S$2)</f>
        <v>0</v>
      </c>
      <c r="N8" s="38"/>
      <c r="O8" s="38"/>
      <c r="P8" s="38"/>
      <c r="Q8" s="38"/>
    </row>
    <row r="9" customFormat="false" ht="33.75" hidden="false" customHeight="true" outlineLevel="0" collapsed="false">
      <c r="A9" s="45" t="n">
        <v>6</v>
      </c>
      <c r="B9" s="43" t="n">
        <f aca="false">'START HERE'!$B$20+35</f>
        <v>46286</v>
      </c>
      <c r="C9" s="43" t="n">
        <f aca="false">B9+6</f>
        <v>46292</v>
      </c>
      <c r="D9" s="45" t="n">
        <f aca="false">SUMIFS('DAILY ENTRY'!$F$7:$F$1203,'DAILY ENTRY'!$D$7:$D$1203,"Lead researched (Sales Navigator)",'DAILY ENTRY'!$A$7:$A$1203,"&gt;="&amp;$B9,'DAILY ENTRY'!$A$7:$A$1203,"&lt;="&amp;$C9,'DAILY ENTRY'!$B$7:$B$1203,$S$2)</f>
        <v>0</v>
      </c>
      <c r="E9" s="45" t="n">
        <f aca="false">COUNTIFS('LinkedIn Outreach'!$A$5:$A$1203,"&gt;="&amp;$B9,'LinkedIn Outreach'!$A$5:$A$1203,"&lt;="&amp;$C9,'LinkedIn Outreach'!$B$5:$B$1203,$S$2,'LinkedIn Outreach'!$M$5:$M$1203,"Yes")</f>
        <v>0</v>
      </c>
      <c r="F9" s="45" t="n">
        <f aca="false">COUNTIFS('LinkedIn Outreach'!$A$5:$A$1203,"&gt;="&amp;$B9,'LinkedIn Outreach'!$A$5:$A$1203,"&lt;="&amp;$C9,'LinkedIn Outreach'!$B$5:$B$1203,$S$2,'LinkedIn Outreach'!$N$5:$N$1203,"Yes")</f>
        <v>0</v>
      </c>
      <c r="G9" s="70" t="str">
        <f aca="false">IFERROR(F9/E9,"")</f>
        <v/>
      </c>
      <c r="H9" s="45" t="n">
        <f aca="false">COUNTIFS('LinkedIn Outreach'!$A$5:$A$1203,"&gt;="&amp;$B9,'LinkedIn Outreach'!$A$5:$A$1203,"&lt;="&amp;$C9,'LinkedIn Outreach'!$B$5:$B$1203,$S$2,'LinkedIn Outreach'!$R$5:$R$1203,"Yes")</f>
        <v>0</v>
      </c>
      <c r="I9" s="45" t="n">
        <f aca="false">COUNTIFS('LinkedIn Outreach'!$A$5:$A$1203,"&gt;="&amp;$B9,'LinkedIn Outreach'!$A$5:$A$1203,"&lt;="&amp;$C9,'LinkedIn Outreach'!$B$5:$B$1203,$S$2,'LinkedIn Outreach'!$S$5:$S$1203,"Interested")+COUNTIFS('LinkedIn Outreach'!$A$5:$A$1203,"&gt;="&amp;$B9,'LinkedIn Outreach'!$A$5:$A$1203,"&lt;="&amp;$C9,'LinkedIn Outreach'!$B$5:$B$1203,$S$2,'LinkedIn Outreach'!$S$5:$S$1203,"Info Requested")+COUNTIFS('LinkedIn Outreach'!$A$5:$A$1203,"&gt;="&amp;$B9,'LinkedIn Outreach'!$A$5:$A$1203,"&lt;="&amp;$C9,'LinkedIn Outreach'!$B$5:$B$1203,$S$2,'LinkedIn Outreach'!$S$5:$S$1203,"Meeting Booked")+COUNTIFS('LinkedIn Outreach'!$A$5:$A$1203,"&gt;="&amp;$B9,'LinkedIn Outreach'!$A$5:$A$1203,"&lt;="&amp;$C9,'LinkedIn Outreach'!$B$5:$B$1203,$S$2,'LinkedIn Outreach'!$S$5:$S$1203,"Converted")</f>
        <v>0</v>
      </c>
      <c r="J9" s="70" t="str">
        <f aca="false">IFERROR(I9/H9,"")</f>
        <v/>
      </c>
      <c r="K9" s="45" t="n">
        <f aca="false">SUMIFS('DAILY ENTRY'!$F$7:$F$1203,'DAILY ENTRY'!$D$7:$D$1203,"Post / content published",'DAILY ENTRY'!$A$7:$A$1203,"&gt;="&amp;$B9,'DAILY ENTRY'!$A$7:$A$1203,"&lt;="&amp;$C9,'DAILY ENTRY'!$B$7:$B$1203,$S$2)</f>
        <v>0</v>
      </c>
      <c r="L9" s="45" t="n">
        <f aca="false">SUMIFS('DAILY ENTRY'!$F$7:$F$1203,'DAILY ENTRY'!$D$7:$D$1203,"Community answer or comment",'DAILY ENTRY'!$A$7:$A$1203,"&gt;="&amp;$B9,'DAILY ENTRY'!$A$7:$A$1203,"&lt;="&amp;$C9,'DAILY ENTRY'!$B$7:$B$1203,$S$2)</f>
        <v>0</v>
      </c>
      <c r="M9" s="45" t="n">
        <f aca="false">SUMIFS('DAILY ENTRY'!$F$7:$F$1203,'DAILY ENTRY'!$D$7:$D$1203,"Partnership / PR contact",'DAILY ENTRY'!$A$7:$A$1203,"&gt;="&amp;$B9,'DAILY ENTRY'!$A$7:$A$1203,"&lt;="&amp;$C9,'DAILY ENTRY'!$B$7:$B$1203,$S$2)</f>
        <v>0</v>
      </c>
      <c r="N9" s="38"/>
      <c r="O9" s="38"/>
      <c r="P9" s="38"/>
      <c r="Q9" s="38"/>
    </row>
    <row r="10" customFormat="false" ht="33.75" hidden="false" customHeight="true" outlineLevel="0" collapsed="false">
      <c r="A10" s="45" t="n">
        <v>7</v>
      </c>
      <c r="B10" s="43" t="n">
        <f aca="false">'START HERE'!$B$20+42</f>
        <v>46293</v>
      </c>
      <c r="C10" s="43" t="n">
        <f aca="false">B10+6</f>
        <v>46299</v>
      </c>
      <c r="D10" s="45" t="n">
        <f aca="false">SUMIFS('DAILY ENTRY'!$F$7:$F$1203,'DAILY ENTRY'!$D$7:$D$1203,"Lead researched (Sales Navigator)",'DAILY ENTRY'!$A$7:$A$1203,"&gt;="&amp;$B10,'DAILY ENTRY'!$A$7:$A$1203,"&lt;="&amp;$C10,'DAILY ENTRY'!$B$7:$B$1203,$S$2)</f>
        <v>0</v>
      </c>
      <c r="E10" s="45" t="n">
        <f aca="false">COUNTIFS('LinkedIn Outreach'!$A$5:$A$1203,"&gt;="&amp;$B10,'LinkedIn Outreach'!$A$5:$A$1203,"&lt;="&amp;$C10,'LinkedIn Outreach'!$B$5:$B$1203,$S$2,'LinkedIn Outreach'!$M$5:$M$1203,"Yes")</f>
        <v>0</v>
      </c>
      <c r="F10" s="45" t="n">
        <f aca="false">COUNTIFS('LinkedIn Outreach'!$A$5:$A$1203,"&gt;="&amp;$B10,'LinkedIn Outreach'!$A$5:$A$1203,"&lt;="&amp;$C10,'LinkedIn Outreach'!$B$5:$B$1203,$S$2,'LinkedIn Outreach'!$N$5:$N$1203,"Yes")</f>
        <v>0</v>
      </c>
      <c r="G10" s="70" t="str">
        <f aca="false">IFERROR(F10/E10,"")</f>
        <v/>
      </c>
      <c r="H10" s="45" t="n">
        <f aca="false">COUNTIFS('LinkedIn Outreach'!$A$5:$A$1203,"&gt;="&amp;$B10,'LinkedIn Outreach'!$A$5:$A$1203,"&lt;="&amp;$C10,'LinkedIn Outreach'!$B$5:$B$1203,$S$2,'LinkedIn Outreach'!$R$5:$R$1203,"Yes")</f>
        <v>0</v>
      </c>
      <c r="I10" s="45" t="n">
        <f aca="false">COUNTIFS('LinkedIn Outreach'!$A$5:$A$1203,"&gt;="&amp;$B10,'LinkedIn Outreach'!$A$5:$A$1203,"&lt;="&amp;$C10,'LinkedIn Outreach'!$B$5:$B$1203,$S$2,'LinkedIn Outreach'!$S$5:$S$1203,"Interested")+COUNTIFS('LinkedIn Outreach'!$A$5:$A$1203,"&gt;="&amp;$B10,'LinkedIn Outreach'!$A$5:$A$1203,"&lt;="&amp;$C10,'LinkedIn Outreach'!$B$5:$B$1203,$S$2,'LinkedIn Outreach'!$S$5:$S$1203,"Info Requested")+COUNTIFS('LinkedIn Outreach'!$A$5:$A$1203,"&gt;="&amp;$B10,'LinkedIn Outreach'!$A$5:$A$1203,"&lt;="&amp;$C10,'LinkedIn Outreach'!$B$5:$B$1203,$S$2,'LinkedIn Outreach'!$S$5:$S$1203,"Meeting Booked")+COUNTIFS('LinkedIn Outreach'!$A$5:$A$1203,"&gt;="&amp;$B10,'LinkedIn Outreach'!$A$5:$A$1203,"&lt;="&amp;$C10,'LinkedIn Outreach'!$B$5:$B$1203,$S$2,'LinkedIn Outreach'!$S$5:$S$1203,"Converted")</f>
        <v>0</v>
      </c>
      <c r="J10" s="70" t="str">
        <f aca="false">IFERROR(I10/H10,"")</f>
        <v/>
      </c>
      <c r="K10" s="45" t="n">
        <f aca="false">SUMIFS('DAILY ENTRY'!$F$7:$F$1203,'DAILY ENTRY'!$D$7:$D$1203,"Post / content published",'DAILY ENTRY'!$A$7:$A$1203,"&gt;="&amp;$B10,'DAILY ENTRY'!$A$7:$A$1203,"&lt;="&amp;$C10,'DAILY ENTRY'!$B$7:$B$1203,$S$2)</f>
        <v>0</v>
      </c>
      <c r="L10" s="45" t="n">
        <f aca="false">SUMIFS('DAILY ENTRY'!$F$7:$F$1203,'DAILY ENTRY'!$D$7:$D$1203,"Community answer or comment",'DAILY ENTRY'!$A$7:$A$1203,"&gt;="&amp;$B10,'DAILY ENTRY'!$A$7:$A$1203,"&lt;="&amp;$C10,'DAILY ENTRY'!$B$7:$B$1203,$S$2)</f>
        <v>0</v>
      </c>
      <c r="M10" s="45" t="n">
        <f aca="false">SUMIFS('DAILY ENTRY'!$F$7:$F$1203,'DAILY ENTRY'!$D$7:$D$1203,"Partnership / PR contact",'DAILY ENTRY'!$A$7:$A$1203,"&gt;="&amp;$B10,'DAILY ENTRY'!$A$7:$A$1203,"&lt;="&amp;$C10,'DAILY ENTRY'!$B$7:$B$1203,$S$2)</f>
        <v>0</v>
      </c>
      <c r="N10" s="38"/>
      <c r="O10" s="38"/>
      <c r="P10" s="38"/>
      <c r="Q10" s="38"/>
    </row>
    <row r="11" customFormat="false" ht="33.75" hidden="false" customHeight="true" outlineLevel="0" collapsed="false">
      <c r="A11" s="45" t="n">
        <v>8</v>
      </c>
      <c r="B11" s="43" t="n">
        <f aca="false">'START HERE'!$B$20+49</f>
        <v>46300</v>
      </c>
      <c r="C11" s="43" t="n">
        <f aca="false">B11+6</f>
        <v>46306</v>
      </c>
      <c r="D11" s="45" t="n">
        <f aca="false">SUMIFS('DAILY ENTRY'!$F$7:$F$1203,'DAILY ENTRY'!$D$7:$D$1203,"Lead researched (Sales Navigator)",'DAILY ENTRY'!$A$7:$A$1203,"&gt;="&amp;$B11,'DAILY ENTRY'!$A$7:$A$1203,"&lt;="&amp;$C11,'DAILY ENTRY'!$B$7:$B$1203,$S$2)</f>
        <v>0</v>
      </c>
      <c r="E11" s="45" t="n">
        <f aca="false">COUNTIFS('LinkedIn Outreach'!$A$5:$A$1203,"&gt;="&amp;$B11,'LinkedIn Outreach'!$A$5:$A$1203,"&lt;="&amp;$C11,'LinkedIn Outreach'!$B$5:$B$1203,$S$2,'LinkedIn Outreach'!$M$5:$M$1203,"Yes")</f>
        <v>0</v>
      </c>
      <c r="F11" s="45" t="n">
        <f aca="false">COUNTIFS('LinkedIn Outreach'!$A$5:$A$1203,"&gt;="&amp;$B11,'LinkedIn Outreach'!$A$5:$A$1203,"&lt;="&amp;$C11,'LinkedIn Outreach'!$B$5:$B$1203,$S$2,'LinkedIn Outreach'!$N$5:$N$1203,"Yes")</f>
        <v>0</v>
      </c>
      <c r="G11" s="70" t="str">
        <f aca="false">IFERROR(F11/E11,"")</f>
        <v/>
      </c>
      <c r="H11" s="45" t="n">
        <f aca="false">COUNTIFS('LinkedIn Outreach'!$A$5:$A$1203,"&gt;="&amp;$B11,'LinkedIn Outreach'!$A$5:$A$1203,"&lt;="&amp;$C11,'LinkedIn Outreach'!$B$5:$B$1203,$S$2,'LinkedIn Outreach'!$R$5:$R$1203,"Yes")</f>
        <v>0</v>
      </c>
      <c r="I11" s="45" t="n">
        <f aca="false">COUNTIFS('LinkedIn Outreach'!$A$5:$A$1203,"&gt;="&amp;$B11,'LinkedIn Outreach'!$A$5:$A$1203,"&lt;="&amp;$C11,'LinkedIn Outreach'!$B$5:$B$1203,$S$2,'LinkedIn Outreach'!$S$5:$S$1203,"Interested")+COUNTIFS('LinkedIn Outreach'!$A$5:$A$1203,"&gt;="&amp;$B11,'LinkedIn Outreach'!$A$5:$A$1203,"&lt;="&amp;$C11,'LinkedIn Outreach'!$B$5:$B$1203,$S$2,'LinkedIn Outreach'!$S$5:$S$1203,"Info Requested")+COUNTIFS('LinkedIn Outreach'!$A$5:$A$1203,"&gt;="&amp;$B11,'LinkedIn Outreach'!$A$5:$A$1203,"&lt;="&amp;$C11,'LinkedIn Outreach'!$B$5:$B$1203,$S$2,'LinkedIn Outreach'!$S$5:$S$1203,"Meeting Booked")+COUNTIFS('LinkedIn Outreach'!$A$5:$A$1203,"&gt;="&amp;$B11,'LinkedIn Outreach'!$A$5:$A$1203,"&lt;="&amp;$C11,'LinkedIn Outreach'!$B$5:$B$1203,$S$2,'LinkedIn Outreach'!$S$5:$S$1203,"Converted")</f>
        <v>0</v>
      </c>
      <c r="J11" s="70" t="str">
        <f aca="false">IFERROR(I11/H11,"")</f>
        <v/>
      </c>
      <c r="K11" s="45" t="n">
        <f aca="false">SUMIFS('DAILY ENTRY'!$F$7:$F$1203,'DAILY ENTRY'!$D$7:$D$1203,"Post / content published",'DAILY ENTRY'!$A$7:$A$1203,"&gt;="&amp;$B11,'DAILY ENTRY'!$A$7:$A$1203,"&lt;="&amp;$C11,'DAILY ENTRY'!$B$7:$B$1203,$S$2)</f>
        <v>0</v>
      </c>
      <c r="L11" s="45" t="n">
        <f aca="false">SUMIFS('DAILY ENTRY'!$F$7:$F$1203,'DAILY ENTRY'!$D$7:$D$1203,"Community answer or comment",'DAILY ENTRY'!$A$7:$A$1203,"&gt;="&amp;$B11,'DAILY ENTRY'!$A$7:$A$1203,"&lt;="&amp;$C11,'DAILY ENTRY'!$B$7:$B$1203,$S$2)</f>
        <v>0</v>
      </c>
      <c r="M11" s="45" t="n">
        <f aca="false">SUMIFS('DAILY ENTRY'!$F$7:$F$1203,'DAILY ENTRY'!$D$7:$D$1203,"Partnership / PR contact",'DAILY ENTRY'!$A$7:$A$1203,"&gt;="&amp;$B11,'DAILY ENTRY'!$A$7:$A$1203,"&lt;="&amp;$C11,'DAILY ENTRY'!$B$7:$B$1203,$S$2)</f>
        <v>0</v>
      </c>
      <c r="N11" s="38"/>
      <c r="O11" s="38"/>
      <c r="P11" s="38"/>
      <c r="Q11" s="38"/>
    </row>
    <row r="12" customFormat="false" ht="33.75" hidden="false" customHeight="true" outlineLevel="0" collapsed="false">
      <c r="A12" s="45" t="n">
        <v>9</v>
      </c>
      <c r="B12" s="43" t="n">
        <f aca="false">'START HERE'!$B$20+56</f>
        <v>46307</v>
      </c>
      <c r="C12" s="43" t="n">
        <f aca="false">B12+6</f>
        <v>46313</v>
      </c>
      <c r="D12" s="45" t="n">
        <f aca="false">SUMIFS('DAILY ENTRY'!$F$7:$F$1203,'DAILY ENTRY'!$D$7:$D$1203,"Lead researched (Sales Navigator)",'DAILY ENTRY'!$A$7:$A$1203,"&gt;="&amp;$B12,'DAILY ENTRY'!$A$7:$A$1203,"&lt;="&amp;$C12,'DAILY ENTRY'!$B$7:$B$1203,$S$2)</f>
        <v>0</v>
      </c>
      <c r="E12" s="45" t="n">
        <f aca="false">COUNTIFS('LinkedIn Outreach'!$A$5:$A$1203,"&gt;="&amp;$B12,'LinkedIn Outreach'!$A$5:$A$1203,"&lt;="&amp;$C12,'LinkedIn Outreach'!$B$5:$B$1203,$S$2,'LinkedIn Outreach'!$M$5:$M$1203,"Yes")</f>
        <v>0</v>
      </c>
      <c r="F12" s="45" t="n">
        <f aca="false">COUNTIFS('LinkedIn Outreach'!$A$5:$A$1203,"&gt;="&amp;$B12,'LinkedIn Outreach'!$A$5:$A$1203,"&lt;="&amp;$C12,'LinkedIn Outreach'!$B$5:$B$1203,$S$2,'LinkedIn Outreach'!$N$5:$N$1203,"Yes")</f>
        <v>0</v>
      </c>
      <c r="G12" s="70" t="str">
        <f aca="false">IFERROR(F12/E12,"")</f>
        <v/>
      </c>
      <c r="H12" s="45" t="n">
        <f aca="false">COUNTIFS('LinkedIn Outreach'!$A$5:$A$1203,"&gt;="&amp;$B12,'LinkedIn Outreach'!$A$5:$A$1203,"&lt;="&amp;$C12,'LinkedIn Outreach'!$B$5:$B$1203,$S$2,'LinkedIn Outreach'!$R$5:$R$1203,"Yes")</f>
        <v>0</v>
      </c>
      <c r="I12" s="45" t="n">
        <f aca="false">COUNTIFS('LinkedIn Outreach'!$A$5:$A$1203,"&gt;="&amp;$B12,'LinkedIn Outreach'!$A$5:$A$1203,"&lt;="&amp;$C12,'LinkedIn Outreach'!$B$5:$B$1203,$S$2,'LinkedIn Outreach'!$S$5:$S$1203,"Interested")+COUNTIFS('LinkedIn Outreach'!$A$5:$A$1203,"&gt;="&amp;$B12,'LinkedIn Outreach'!$A$5:$A$1203,"&lt;="&amp;$C12,'LinkedIn Outreach'!$B$5:$B$1203,$S$2,'LinkedIn Outreach'!$S$5:$S$1203,"Info Requested")+COUNTIFS('LinkedIn Outreach'!$A$5:$A$1203,"&gt;="&amp;$B12,'LinkedIn Outreach'!$A$5:$A$1203,"&lt;="&amp;$C12,'LinkedIn Outreach'!$B$5:$B$1203,$S$2,'LinkedIn Outreach'!$S$5:$S$1203,"Meeting Booked")+COUNTIFS('LinkedIn Outreach'!$A$5:$A$1203,"&gt;="&amp;$B12,'LinkedIn Outreach'!$A$5:$A$1203,"&lt;="&amp;$C12,'LinkedIn Outreach'!$B$5:$B$1203,$S$2,'LinkedIn Outreach'!$S$5:$S$1203,"Converted")</f>
        <v>0</v>
      </c>
      <c r="J12" s="70" t="str">
        <f aca="false">IFERROR(I12/H12,"")</f>
        <v/>
      </c>
      <c r="K12" s="45" t="n">
        <f aca="false">SUMIFS('DAILY ENTRY'!$F$7:$F$1203,'DAILY ENTRY'!$D$7:$D$1203,"Post / content published",'DAILY ENTRY'!$A$7:$A$1203,"&gt;="&amp;$B12,'DAILY ENTRY'!$A$7:$A$1203,"&lt;="&amp;$C12,'DAILY ENTRY'!$B$7:$B$1203,$S$2)</f>
        <v>0</v>
      </c>
      <c r="L12" s="45" t="n">
        <f aca="false">SUMIFS('DAILY ENTRY'!$F$7:$F$1203,'DAILY ENTRY'!$D$7:$D$1203,"Community answer or comment",'DAILY ENTRY'!$A$7:$A$1203,"&gt;="&amp;$B12,'DAILY ENTRY'!$A$7:$A$1203,"&lt;="&amp;$C12,'DAILY ENTRY'!$B$7:$B$1203,$S$2)</f>
        <v>0</v>
      </c>
      <c r="M12" s="45" t="n">
        <f aca="false">SUMIFS('DAILY ENTRY'!$F$7:$F$1203,'DAILY ENTRY'!$D$7:$D$1203,"Partnership / PR contact",'DAILY ENTRY'!$A$7:$A$1203,"&gt;="&amp;$B12,'DAILY ENTRY'!$A$7:$A$1203,"&lt;="&amp;$C12,'DAILY ENTRY'!$B$7:$B$1203,$S$2)</f>
        <v>0</v>
      </c>
      <c r="N12" s="38"/>
      <c r="O12" s="38"/>
      <c r="P12" s="38"/>
      <c r="Q12" s="38"/>
    </row>
    <row r="13" customFormat="false" ht="33.75" hidden="false" customHeight="true" outlineLevel="0" collapsed="false">
      <c r="A13" s="45" t="n">
        <v>10</v>
      </c>
      <c r="B13" s="43" t="n">
        <f aca="false">'START HERE'!$B$20+63</f>
        <v>46314</v>
      </c>
      <c r="C13" s="43" t="n">
        <f aca="false">B13+6</f>
        <v>46320</v>
      </c>
      <c r="D13" s="45" t="n">
        <f aca="false">SUMIFS('DAILY ENTRY'!$F$7:$F$1203,'DAILY ENTRY'!$D$7:$D$1203,"Lead researched (Sales Navigator)",'DAILY ENTRY'!$A$7:$A$1203,"&gt;="&amp;$B13,'DAILY ENTRY'!$A$7:$A$1203,"&lt;="&amp;$C13,'DAILY ENTRY'!$B$7:$B$1203,$S$2)</f>
        <v>0</v>
      </c>
      <c r="E13" s="45" t="n">
        <f aca="false">COUNTIFS('LinkedIn Outreach'!$A$5:$A$1203,"&gt;="&amp;$B13,'LinkedIn Outreach'!$A$5:$A$1203,"&lt;="&amp;$C13,'LinkedIn Outreach'!$B$5:$B$1203,$S$2,'LinkedIn Outreach'!$M$5:$M$1203,"Yes")</f>
        <v>0</v>
      </c>
      <c r="F13" s="45" t="n">
        <f aca="false">COUNTIFS('LinkedIn Outreach'!$A$5:$A$1203,"&gt;="&amp;$B13,'LinkedIn Outreach'!$A$5:$A$1203,"&lt;="&amp;$C13,'LinkedIn Outreach'!$B$5:$B$1203,$S$2,'LinkedIn Outreach'!$N$5:$N$1203,"Yes")</f>
        <v>0</v>
      </c>
      <c r="G13" s="70" t="str">
        <f aca="false">IFERROR(F13/E13,"")</f>
        <v/>
      </c>
      <c r="H13" s="45" t="n">
        <f aca="false">COUNTIFS('LinkedIn Outreach'!$A$5:$A$1203,"&gt;="&amp;$B13,'LinkedIn Outreach'!$A$5:$A$1203,"&lt;="&amp;$C13,'LinkedIn Outreach'!$B$5:$B$1203,$S$2,'LinkedIn Outreach'!$R$5:$R$1203,"Yes")</f>
        <v>0</v>
      </c>
      <c r="I13" s="45" t="n">
        <f aca="false">COUNTIFS('LinkedIn Outreach'!$A$5:$A$1203,"&gt;="&amp;$B13,'LinkedIn Outreach'!$A$5:$A$1203,"&lt;="&amp;$C13,'LinkedIn Outreach'!$B$5:$B$1203,$S$2,'LinkedIn Outreach'!$S$5:$S$1203,"Interested")+COUNTIFS('LinkedIn Outreach'!$A$5:$A$1203,"&gt;="&amp;$B13,'LinkedIn Outreach'!$A$5:$A$1203,"&lt;="&amp;$C13,'LinkedIn Outreach'!$B$5:$B$1203,$S$2,'LinkedIn Outreach'!$S$5:$S$1203,"Info Requested")+COUNTIFS('LinkedIn Outreach'!$A$5:$A$1203,"&gt;="&amp;$B13,'LinkedIn Outreach'!$A$5:$A$1203,"&lt;="&amp;$C13,'LinkedIn Outreach'!$B$5:$B$1203,$S$2,'LinkedIn Outreach'!$S$5:$S$1203,"Meeting Booked")+COUNTIFS('LinkedIn Outreach'!$A$5:$A$1203,"&gt;="&amp;$B13,'LinkedIn Outreach'!$A$5:$A$1203,"&lt;="&amp;$C13,'LinkedIn Outreach'!$B$5:$B$1203,$S$2,'LinkedIn Outreach'!$S$5:$S$1203,"Converted")</f>
        <v>0</v>
      </c>
      <c r="J13" s="70" t="str">
        <f aca="false">IFERROR(I13/H13,"")</f>
        <v/>
      </c>
      <c r="K13" s="45" t="n">
        <f aca="false">SUMIFS('DAILY ENTRY'!$F$7:$F$1203,'DAILY ENTRY'!$D$7:$D$1203,"Post / content published",'DAILY ENTRY'!$A$7:$A$1203,"&gt;="&amp;$B13,'DAILY ENTRY'!$A$7:$A$1203,"&lt;="&amp;$C13,'DAILY ENTRY'!$B$7:$B$1203,$S$2)</f>
        <v>0</v>
      </c>
      <c r="L13" s="45" t="n">
        <f aca="false">SUMIFS('DAILY ENTRY'!$F$7:$F$1203,'DAILY ENTRY'!$D$7:$D$1203,"Community answer or comment",'DAILY ENTRY'!$A$7:$A$1203,"&gt;="&amp;$B13,'DAILY ENTRY'!$A$7:$A$1203,"&lt;="&amp;$C13,'DAILY ENTRY'!$B$7:$B$1203,$S$2)</f>
        <v>0</v>
      </c>
      <c r="M13" s="45" t="n">
        <f aca="false">SUMIFS('DAILY ENTRY'!$F$7:$F$1203,'DAILY ENTRY'!$D$7:$D$1203,"Partnership / PR contact",'DAILY ENTRY'!$A$7:$A$1203,"&gt;="&amp;$B13,'DAILY ENTRY'!$A$7:$A$1203,"&lt;="&amp;$C13,'DAILY ENTRY'!$B$7:$B$1203,$S$2)</f>
        <v>0</v>
      </c>
      <c r="N13" s="38"/>
      <c r="O13" s="38"/>
      <c r="P13" s="38"/>
      <c r="Q13" s="38"/>
    </row>
    <row r="14" customFormat="false" ht="33.75" hidden="false" customHeight="true" outlineLevel="0" collapsed="false">
      <c r="A14" s="45" t="n">
        <v>11</v>
      </c>
      <c r="B14" s="43" t="n">
        <f aca="false">'START HERE'!$B$20+70</f>
        <v>46321</v>
      </c>
      <c r="C14" s="43" t="n">
        <f aca="false">B14+6</f>
        <v>46327</v>
      </c>
      <c r="D14" s="45" t="n">
        <f aca="false">SUMIFS('DAILY ENTRY'!$F$7:$F$1203,'DAILY ENTRY'!$D$7:$D$1203,"Lead researched (Sales Navigator)",'DAILY ENTRY'!$A$7:$A$1203,"&gt;="&amp;$B14,'DAILY ENTRY'!$A$7:$A$1203,"&lt;="&amp;$C14,'DAILY ENTRY'!$B$7:$B$1203,$S$2)</f>
        <v>0</v>
      </c>
      <c r="E14" s="45" t="n">
        <f aca="false">COUNTIFS('LinkedIn Outreach'!$A$5:$A$1203,"&gt;="&amp;$B14,'LinkedIn Outreach'!$A$5:$A$1203,"&lt;="&amp;$C14,'LinkedIn Outreach'!$B$5:$B$1203,$S$2,'LinkedIn Outreach'!$M$5:$M$1203,"Yes")</f>
        <v>0</v>
      </c>
      <c r="F14" s="45" t="n">
        <f aca="false">COUNTIFS('LinkedIn Outreach'!$A$5:$A$1203,"&gt;="&amp;$B14,'LinkedIn Outreach'!$A$5:$A$1203,"&lt;="&amp;$C14,'LinkedIn Outreach'!$B$5:$B$1203,$S$2,'LinkedIn Outreach'!$N$5:$N$1203,"Yes")</f>
        <v>0</v>
      </c>
      <c r="G14" s="70" t="str">
        <f aca="false">IFERROR(F14/E14,"")</f>
        <v/>
      </c>
      <c r="H14" s="45" t="n">
        <f aca="false">COUNTIFS('LinkedIn Outreach'!$A$5:$A$1203,"&gt;="&amp;$B14,'LinkedIn Outreach'!$A$5:$A$1203,"&lt;="&amp;$C14,'LinkedIn Outreach'!$B$5:$B$1203,$S$2,'LinkedIn Outreach'!$R$5:$R$1203,"Yes")</f>
        <v>0</v>
      </c>
      <c r="I14" s="45" t="n">
        <f aca="false">COUNTIFS('LinkedIn Outreach'!$A$5:$A$1203,"&gt;="&amp;$B14,'LinkedIn Outreach'!$A$5:$A$1203,"&lt;="&amp;$C14,'LinkedIn Outreach'!$B$5:$B$1203,$S$2,'LinkedIn Outreach'!$S$5:$S$1203,"Interested")+COUNTIFS('LinkedIn Outreach'!$A$5:$A$1203,"&gt;="&amp;$B14,'LinkedIn Outreach'!$A$5:$A$1203,"&lt;="&amp;$C14,'LinkedIn Outreach'!$B$5:$B$1203,$S$2,'LinkedIn Outreach'!$S$5:$S$1203,"Info Requested")+COUNTIFS('LinkedIn Outreach'!$A$5:$A$1203,"&gt;="&amp;$B14,'LinkedIn Outreach'!$A$5:$A$1203,"&lt;="&amp;$C14,'LinkedIn Outreach'!$B$5:$B$1203,$S$2,'LinkedIn Outreach'!$S$5:$S$1203,"Meeting Booked")+COUNTIFS('LinkedIn Outreach'!$A$5:$A$1203,"&gt;="&amp;$B14,'LinkedIn Outreach'!$A$5:$A$1203,"&lt;="&amp;$C14,'LinkedIn Outreach'!$B$5:$B$1203,$S$2,'LinkedIn Outreach'!$S$5:$S$1203,"Converted")</f>
        <v>0</v>
      </c>
      <c r="J14" s="70" t="str">
        <f aca="false">IFERROR(I14/H14,"")</f>
        <v/>
      </c>
      <c r="K14" s="45" t="n">
        <f aca="false">SUMIFS('DAILY ENTRY'!$F$7:$F$1203,'DAILY ENTRY'!$D$7:$D$1203,"Post / content published",'DAILY ENTRY'!$A$7:$A$1203,"&gt;="&amp;$B14,'DAILY ENTRY'!$A$7:$A$1203,"&lt;="&amp;$C14,'DAILY ENTRY'!$B$7:$B$1203,$S$2)</f>
        <v>0</v>
      </c>
      <c r="L14" s="45" t="n">
        <f aca="false">SUMIFS('DAILY ENTRY'!$F$7:$F$1203,'DAILY ENTRY'!$D$7:$D$1203,"Community answer or comment",'DAILY ENTRY'!$A$7:$A$1203,"&gt;="&amp;$B14,'DAILY ENTRY'!$A$7:$A$1203,"&lt;="&amp;$C14,'DAILY ENTRY'!$B$7:$B$1203,$S$2)</f>
        <v>0</v>
      </c>
      <c r="M14" s="45" t="n">
        <f aca="false">SUMIFS('DAILY ENTRY'!$F$7:$F$1203,'DAILY ENTRY'!$D$7:$D$1203,"Partnership / PR contact",'DAILY ENTRY'!$A$7:$A$1203,"&gt;="&amp;$B14,'DAILY ENTRY'!$A$7:$A$1203,"&lt;="&amp;$C14,'DAILY ENTRY'!$B$7:$B$1203,$S$2)</f>
        <v>0</v>
      </c>
      <c r="N14" s="38"/>
      <c r="O14" s="38"/>
      <c r="P14" s="38"/>
      <c r="Q14" s="38"/>
    </row>
    <row r="15" customFormat="false" ht="33.75" hidden="false" customHeight="true" outlineLevel="0" collapsed="false">
      <c r="A15" s="45" t="n">
        <v>12</v>
      </c>
      <c r="B15" s="43" t="n">
        <f aca="false">'START HERE'!$B$20+77</f>
        <v>46328</v>
      </c>
      <c r="C15" s="43" t="n">
        <f aca="false">B15+6</f>
        <v>46334</v>
      </c>
      <c r="D15" s="45" t="n">
        <f aca="false">SUMIFS('DAILY ENTRY'!$F$7:$F$1203,'DAILY ENTRY'!$D$7:$D$1203,"Lead researched (Sales Navigator)",'DAILY ENTRY'!$A$7:$A$1203,"&gt;="&amp;$B15,'DAILY ENTRY'!$A$7:$A$1203,"&lt;="&amp;$C15,'DAILY ENTRY'!$B$7:$B$1203,$S$2)</f>
        <v>0</v>
      </c>
      <c r="E15" s="45" t="n">
        <f aca="false">COUNTIFS('LinkedIn Outreach'!$A$5:$A$1203,"&gt;="&amp;$B15,'LinkedIn Outreach'!$A$5:$A$1203,"&lt;="&amp;$C15,'LinkedIn Outreach'!$B$5:$B$1203,$S$2,'LinkedIn Outreach'!$M$5:$M$1203,"Yes")</f>
        <v>0</v>
      </c>
      <c r="F15" s="45" t="n">
        <f aca="false">COUNTIFS('LinkedIn Outreach'!$A$5:$A$1203,"&gt;="&amp;$B15,'LinkedIn Outreach'!$A$5:$A$1203,"&lt;="&amp;$C15,'LinkedIn Outreach'!$B$5:$B$1203,$S$2,'LinkedIn Outreach'!$N$5:$N$1203,"Yes")</f>
        <v>0</v>
      </c>
      <c r="G15" s="70" t="str">
        <f aca="false">IFERROR(F15/E15,"")</f>
        <v/>
      </c>
      <c r="H15" s="45" t="n">
        <f aca="false">COUNTIFS('LinkedIn Outreach'!$A$5:$A$1203,"&gt;="&amp;$B15,'LinkedIn Outreach'!$A$5:$A$1203,"&lt;="&amp;$C15,'LinkedIn Outreach'!$B$5:$B$1203,$S$2,'LinkedIn Outreach'!$R$5:$R$1203,"Yes")</f>
        <v>0</v>
      </c>
      <c r="I15" s="45" t="n">
        <f aca="false">COUNTIFS('LinkedIn Outreach'!$A$5:$A$1203,"&gt;="&amp;$B15,'LinkedIn Outreach'!$A$5:$A$1203,"&lt;="&amp;$C15,'LinkedIn Outreach'!$B$5:$B$1203,$S$2,'LinkedIn Outreach'!$S$5:$S$1203,"Interested")+COUNTIFS('LinkedIn Outreach'!$A$5:$A$1203,"&gt;="&amp;$B15,'LinkedIn Outreach'!$A$5:$A$1203,"&lt;="&amp;$C15,'LinkedIn Outreach'!$B$5:$B$1203,$S$2,'LinkedIn Outreach'!$S$5:$S$1203,"Info Requested")+COUNTIFS('LinkedIn Outreach'!$A$5:$A$1203,"&gt;="&amp;$B15,'LinkedIn Outreach'!$A$5:$A$1203,"&lt;="&amp;$C15,'LinkedIn Outreach'!$B$5:$B$1203,$S$2,'LinkedIn Outreach'!$S$5:$S$1203,"Meeting Booked")+COUNTIFS('LinkedIn Outreach'!$A$5:$A$1203,"&gt;="&amp;$B15,'LinkedIn Outreach'!$A$5:$A$1203,"&lt;="&amp;$C15,'LinkedIn Outreach'!$B$5:$B$1203,$S$2,'LinkedIn Outreach'!$S$5:$S$1203,"Converted")</f>
        <v>0</v>
      </c>
      <c r="J15" s="70" t="str">
        <f aca="false">IFERROR(I15/H15,"")</f>
        <v/>
      </c>
      <c r="K15" s="45" t="n">
        <f aca="false">SUMIFS('DAILY ENTRY'!$F$7:$F$1203,'DAILY ENTRY'!$D$7:$D$1203,"Post / content published",'DAILY ENTRY'!$A$7:$A$1203,"&gt;="&amp;$B15,'DAILY ENTRY'!$A$7:$A$1203,"&lt;="&amp;$C15,'DAILY ENTRY'!$B$7:$B$1203,$S$2)</f>
        <v>0</v>
      </c>
      <c r="L15" s="45" t="n">
        <f aca="false">SUMIFS('DAILY ENTRY'!$F$7:$F$1203,'DAILY ENTRY'!$D$7:$D$1203,"Community answer or comment",'DAILY ENTRY'!$A$7:$A$1203,"&gt;="&amp;$B15,'DAILY ENTRY'!$A$7:$A$1203,"&lt;="&amp;$C15,'DAILY ENTRY'!$B$7:$B$1203,$S$2)</f>
        <v>0</v>
      </c>
      <c r="M15" s="45" t="n">
        <f aca="false">SUMIFS('DAILY ENTRY'!$F$7:$F$1203,'DAILY ENTRY'!$D$7:$D$1203,"Partnership / PR contact",'DAILY ENTRY'!$A$7:$A$1203,"&gt;="&amp;$B15,'DAILY ENTRY'!$A$7:$A$1203,"&lt;="&amp;$C15,'DAILY ENTRY'!$B$7:$B$1203,$S$2)</f>
        <v>0</v>
      </c>
      <c r="N15" s="38"/>
      <c r="O15" s="38"/>
      <c r="P15" s="38"/>
      <c r="Q15" s="38"/>
    </row>
    <row r="16" customFormat="false" ht="33.75" hidden="false" customHeight="true" outlineLevel="0" collapsed="false">
      <c r="A16" s="45" t="n">
        <v>13</v>
      </c>
      <c r="B16" s="43" t="n">
        <f aca="false">'START HERE'!$B$20+84</f>
        <v>46335</v>
      </c>
      <c r="C16" s="43" t="n">
        <f aca="false">B16+6</f>
        <v>46341</v>
      </c>
      <c r="D16" s="45" t="n">
        <f aca="false">SUMIFS('DAILY ENTRY'!$F$7:$F$1203,'DAILY ENTRY'!$D$7:$D$1203,"Lead researched (Sales Navigator)",'DAILY ENTRY'!$A$7:$A$1203,"&gt;="&amp;$B16,'DAILY ENTRY'!$A$7:$A$1203,"&lt;="&amp;$C16,'DAILY ENTRY'!$B$7:$B$1203,$S$2)</f>
        <v>0</v>
      </c>
      <c r="E16" s="45" t="n">
        <f aca="false">COUNTIFS('LinkedIn Outreach'!$A$5:$A$1203,"&gt;="&amp;$B16,'LinkedIn Outreach'!$A$5:$A$1203,"&lt;="&amp;$C16,'LinkedIn Outreach'!$B$5:$B$1203,$S$2,'LinkedIn Outreach'!$M$5:$M$1203,"Yes")</f>
        <v>0</v>
      </c>
      <c r="F16" s="45" t="n">
        <f aca="false">COUNTIFS('LinkedIn Outreach'!$A$5:$A$1203,"&gt;="&amp;$B16,'LinkedIn Outreach'!$A$5:$A$1203,"&lt;="&amp;$C16,'LinkedIn Outreach'!$B$5:$B$1203,$S$2,'LinkedIn Outreach'!$N$5:$N$1203,"Yes")</f>
        <v>0</v>
      </c>
      <c r="G16" s="70" t="str">
        <f aca="false">IFERROR(F16/E16,"")</f>
        <v/>
      </c>
      <c r="H16" s="45" t="n">
        <f aca="false">COUNTIFS('LinkedIn Outreach'!$A$5:$A$1203,"&gt;="&amp;$B16,'LinkedIn Outreach'!$A$5:$A$1203,"&lt;="&amp;$C16,'LinkedIn Outreach'!$B$5:$B$1203,$S$2,'LinkedIn Outreach'!$R$5:$R$1203,"Yes")</f>
        <v>0</v>
      </c>
      <c r="I16" s="45" t="n">
        <f aca="false">COUNTIFS('LinkedIn Outreach'!$A$5:$A$1203,"&gt;="&amp;$B16,'LinkedIn Outreach'!$A$5:$A$1203,"&lt;="&amp;$C16,'LinkedIn Outreach'!$B$5:$B$1203,$S$2,'LinkedIn Outreach'!$S$5:$S$1203,"Interested")+COUNTIFS('LinkedIn Outreach'!$A$5:$A$1203,"&gt;="&amp;$B16,'LinkedIn Outreach'!$A$5:$A$1203,"&lt;="&amp;$C16,'LinkedIn Outreach'!$B$5:$B$1203,$S$2,'LinkedIn Outreach'!$S$5:$S$1203,"Info Requested")+COUNTIFS('LinkedIn Outreach'!$A$5:$A$1203,"&gt;="&amp;$B16,'LinkedIn Outreach'!$A$5:$A$1203,"&lt;="&amp;$C16,'LinkedIn Outreach'!$B$5:$B$1203,$S$2,'LinkedIn Outreach'!$S$5:$S$1203,"Meeting Booked")+COUNTIFS('LinkedIn Outreach'!$A$5:$A$1203,"&gt;="&amp;$B16,'LinkedIn Outreach'!$A$5:$A$1203,"&lt;="&amp;$C16,'LinkedIn Outreach'!$B$5:$B$1203,$S$2,'LinkedIn Outreach'!$S$5:$S$1203,"Converted")</f>
        <v>0</v>
      </c>
      <c r="J16" s="70" t="str">
        <f aca="false">IFERROR(I16/H16,"")</f>
        <v/>
      </c>
      <c r="K16" s="45" t="n">
        <f aca="false">SUMIFS('DAILY ENTRY'!$F$7:$F$1203,'DAILY ENTRY'!$D$7:$D$1203,"Post / content published",'DAILY ENTRY'!$A$7:$A$1203,"&gt;="&amp;$B16,'DAILY ENTRY'!$A$7:$A$1203,"&lt;="&amp;$C16,'DAILY ENTRY'!$B$7:$B$1203,$S$2)</f>
        <v>0</v>
      </c>
      <c r="L16" s="45" t="n">
        <f aca="false">SUMIFS('DAILY ENTRY'!$F$7:$F$1203,'DAILY ENTRY'!$D$7:$D$1203,"Community answer or comment",'DAILY ENTRY'!$A$7:$A$1203,"&gt;="&amp;$B16,'DAILY ENTRY'!$A$7:$A$1203,"&lt;="&amp;$C16,'DAILY ENTRY'!$B$7:$B$1203,$S$2)</f>
        <v>0</v>
      </c>
      <c r="M16" s="45" t="n">
        <f aca="false">SUMIFS('DAILY ENTRY'!$F$7:$F$1203,'DAILY ENTRY'!$D$7:$D$1203,"Partnership / PR contact",'DAILY ENTRY'!$A$7:$A$1203,"&gt;="&amp;$B16,'DAILY ENTRY'!$A$7:$A$1203,"&lt;="&amp;$C16,'DAILY ENTRY'!$B$7:$B$1203,$S$2)</f>
        <v>0</v>
      </c>
      <c r="N16" s="38"/>
      <c r="O16" s="38"/>
      <c r="P16" s="38"/>
      <c r="Q16" s="38"/>
    </row>
    <row r="17" customFormat="false" ht="33.75" hidden="false" customHeight="true" outlineLevel="0" collapsed="false">
      <c r="A17" s="45" t="n">
        <v>14</v>
      </c>
      <c r="B17" s="43" t="n">
        <f aca="false">'START HERE'!$B$20+91</f>
        <v>46342</v>
      </c>
      <c r="C17" s="43" t="n">
        <f aca="false">B17+6</f>
        <v>46348</v>
      </c>
      <c r="D17" s="45" t="n">
        <f aca="false">SUMIFS('DAILY ENTRY'!$F$7:$F$1203,'DAILY ENTRY'!$D$7:$D$1203,"Lead researched (Sales Navigator)",'DAILY ENTRY'!$A$7:$A$1203,"&gt;="&amp;$B17,'DAILY ENTRY'!$A$7:$A$1203,"&lt;="&amp;$C17,'DAILY ENTRY'!$B$7:$B$1203,$S$2)</f>
        <v>0</v>
      </c>
      <c r="E17" s="45" t="n">
        <f aca="false">COUNTIFS('LinkedIn Outreach'!$A$5:$A$1203,"&gt;="&amp;$B17,'LinkedIn Outreach'!$A$5:$A$1203,"&lt;="&amp;$C17,'LinkedIn Outreach'!$B$5:$B$1203,$S$2,'LinkedIn Outreach'!$M$5:$M$1203,"Yes")</f>
        <v>0</v>
      </c>
      <c r="F17" s="45" t="n">
        <f aca="false">COUNTIFS('LinkedIn Outreach'!$A$5:$A$1203,"&gt;="&amp;$B17,'LinkedIn Outreach'!$A$5:$A$1203,"&lt;="&amp;$C17,'LinkedIn Outreach'!$B$5:$B$1203,$S$2,'LinkedIn Outreach'!$N$5:$N$1203,"Yes")</f>
        <v>0</v>
      </c>
      <c r="G17" s="70" t="str">
        <f aca="false">IFERROR(F17/E17,"")</f>
        <v/>
      </c>
      <c r="H17" s="45" t="n">
        <f aca="false">COUNTIFS('LinkedIn Outreach'!$A$5:$A$1203,"&gt;="&amp;$B17,'LinkedIn Outreach'!$A$5:$A$1203,"&lt;="&amp;$C17,'LinkedIn Outreach'!$B$5:$B$1203,$S$2,'LinkedIn Outreach'!$R$5:$R$1203,"Yes")</f>
        <v>0</v>
      </c>
      <c r="I17" s="45" t="n">
        <f aca="false">COUNTIFS('LinkedIn Outreach'!$A$5:$A$1203,"&gt;="&amp;$B17,'LinkedIn Outreach'!$A$5:$A$1203,"&lt;="&amp;$C17,'LinkedIn Outreach'!$B$5:$B$1203,$S$2,'LinkedIn Outreach'!$S$5:$S$1203,"Interested")+COUNTIFS('LinkedIn Outreach'!$A$5:$A$1203,"&gt;="&amp;$B17,'LinkedIn Outreach'!$A$5:$A$1203,"&lt;="&amp;$C17,'LinkedIn Outreach'!$B$5:$B$1203,$S$2,'LinkedIn Outreach'!$S$5:$S$1203,"Info Requested")+COUNTIFS('LinkedIn Outreach'!$A$5:$A$1203,"&gt;="&amp;$B17,'LinkedIn Outreach'!$A$5:$A$1203,"&lt;="&amp;$C17,'LinkedIn Outreach'!$B$5:$B$1203,$S$2,'LinkedIn Outreach'!$S$5:$S$1203,"Meeting Booked")+COUNTIFS('LinkedIn Outreach'!$A$5:$A$1203,"&gt;="&amp;$B17,'LinkedIn Outreach'!$A$5:$A$1203,"&lt;="&amp;$C17,'LinkedIn Outreach'!$B$5:$B$1203,$S$2,'LinkedIn Outreach'!$S$5:$S$1203,"Converted")</f>
        <v>0</v>
      </c>
      <c r="J17" s="70" t="str">
        <f aca="false">IFERROR(I17/H17,"")</f>
        <v/>
      </c>
      <c r="K17" s="45" t="n">
        <f aca="false">SUMIFS('DAILY ENTRY'!$F$7:$F$1203,'DAILY ENTRY'!$D$7:$D$1203,"Post / content published",'DAILY ENTRY'!$A$7:$A$1203,"&gt;="&amp;$B17,'DAILY ENTRY'!$A$7:$A$1203,"&lt;="&amp;$C17,'DAILY ENTRY'!$B$7:$B$1203,$S$2)</f>
        <v>0</v>
      </c>
      <c r="L17" s="45" t="n">
        <f aca="false">SUMIFS('DAILY ENTRY'!$F$7:$F$1203,'DAILY ENTRY'!$D$7:$D$1203,"Community answer or comment",'DAILY ENTRY'!$A$7:$A$1203,"&gt;="&amp;$B17,'DAILY ENTRY'!$A$7:$A$1203,"&lt;="&amp;$C17,'DAILY ENTRY'!$B$7:$B$1203,$S$2)</f>
        <v>0</v>
      </c>
      <c r="M17" s="45" t="n">
        <f aca="false">SUMIFS('DAILY ENTRY'!$F$7:$F$1203,'DAILY ENTRY'!$D$7:$D$1203,"Partnership / PR contact",'DAILY ENTRY'!$A$7:$A$1203,"&gt;="&amp;$B17,'DAILY ENTRY'!$A$7:$A$1203,"&lt;="&amp;$C17,'DAILY ENTRY'!$B$7:$B$1203,$S$2)</f>
        <v>0</v>
      </c>
      <c r="N17" s="38"/>
      <c r="O17" s="38"/>
      <c r="P17" s="38"/>
      <c r="Q17" s="38"/>
    </row>
    <row r="18" customFormat="false" ht="33.75" hidden="false" customHeight="true" outlineLevel="0" collapsed="false">
      <c r="A18" s="45" t="n">
        <v>15</v>
      </c>
      <c r="B18" s="43" t="n">
        <f aca="false">'START HERE'!$B$20+98</f>
        <v>46349</v>
      </c>
      <c r="C18" s="43" t="n">
        <f aca="false">B18+6</f>
        <v>46355</v>
      </c>
      <c r="D18" s="45" t="n">
        <f aca="false">SUMIFS('DAILY ENTRY'!$F$7:$F$1203,'DAILY ENTRY'!$D$7:$D$1203,"Lead researched (Sales Navigator)",'DAILY ENTRY'!$A$7:$A$1203,"&gt;="&amp;$B18,'DAILY ENTRY'!$A$7:$A$1203,"&lt;="&amp;$C18,'DAILY ENTRY'!$B$7:$B$1203,$S$2)</f>
        <v>0</v>
      </c>
      <c r="E18" s="45" t="n">
        <f aca="false">COUNTIFS('LinkedIn Outreach'!$A$5:$A$1203,"&gt;="&amp;$B18,'LinkedIn Outreach'!$A$5:$A$1203,"&lt;="&amp;$C18,'LinkedIn Outreach'!$B$5:$B$1203,$S$2,'LinkedIn Outreach'!$M$5:$M$1203,"Yes")</f>
        <v>0</v>
      </c>
      <c r="F18" s="45" t="n">
        <f aca="false">COUNTIFS('LinkedIn Outreach'!$A$5:$A$1203,"&gt;="&amp;$B18,'LinkedIn Outreach'!$A$5:$A$1203,"&lt;="&amp;$C18,'LinkedIn Outreach'!$B$5:$B$1203,$S$2,'LinkedIn Outreach'!$N$5:$N$1203,"Yes")</f>
        <v>0</v>
      </c>
      <c r="G18" s="70" t="str">
        <f aca="false">IFERROR(F18/E18,"")</f>
        <v/>
      </c>
      <c r="H18" s="45" t="n">
        <f aca="false">COUNTIFS('LinkedIn Outreach'!$A$5:$A$1203,"&gt;="&amp;$B18,'LinkedIn Outreach'!$A$5:$A$1203,"&lt;="&amp;$C18,'LinkedIn Outreach'!$B$5:$B$1203,$S$2,'LinkedIn Outreach'!$R$5:$R$1203,"Yes")</f>
        <v>0</v>
      </c>
      <c r="I18" s="45" t="n">
        <f aca="false">COUNTIFS('LinkedIn Outreach'!$A$5:$A$1203,"&gt;="&amp;$B18,'LinkedIn Outreach'!$A$5:$A$1203,"&lt;="&amp;$C18,'LinkedIn Outreach'!$B$5:$B$1203,$S$2,'LinkedIn Outreach'!$S$5:$S$1203,"Interested")+COUNTIFS('LinkedIn Outreach'!$A$5:$A$1203,"&gt;="&amp;$B18,'LinkedIn Outreach'!$A$5:$A$1203,"&lt;="&amp;$C18,'LinkedIn Outreach'!$B$5:$B$1203,$S$2,'LinkedIn Outreach'!$S$5:$S$1203,"Info Requested")+COUNTIFS('LinkedIn Outreach'!$A$5:$A$1203,"&gt;="&amp;$B18,'LinkedIn Outreach'!$A$5:$A$1203,"&lt;="&amp;$C18,'LinkedIn Outreach'!$B$5:$B$1203,$S$2,'LinkedIn Outreach'!$S$5:$S$1203,"Meeting Booked")+COUNTIFS('LinkedIn Outreach'!$A$5:$A$1203,"&gt;="&amp;$B18,'LinkedIn Outreach'!$A$5:$A$1203,"&lt;="&amp;$C18,'LinkedIn Outreach'!$B$5:$B$1203,$S$2,'LinkedIn Outreach'!$S$5:$S$1203,"Converted")</f>
        <v>0</v>
      </c>
      <c r="J18" s="70" t="str">
        <f aca="false">IFERROR(I18/H18,"")</f>
        <v/>
      </c>
      <c r="K18" s="45" t="n">
        <f aca="false">SUMIFS('DAILY ENTRY'!$F$7:$F$1203,'DAILY ENTRY'!$D$7:$D$1203,"Post / content published",'DAILY ENTRY'!$A$7:$A$1203,"&gt;="&amp;$B18,'DAILY ENTRY'!$A$7:$A$1203,"&lt;="&amp;$C18,'DAILY ENTRY'!$B$7:$B$1203,$S$2)</f>
        <v>0</v>
      </c>
      <c r="L18" s="45" t="n">
        <f aca="false">SUMIFS('DAILY ENTRY'!$F$7:$F$1203,'DAILY ENTRY'!$D$7:$D$1203,"Community answer or comment",'DAILY ENTRY'!$A$7:$A$1203,"&gt;="&amp;$B18,'DAILY ENTRY'!$A$7:$A$1203,"&lt;="&amp;$C18,'DAILY ENTRY'!$B$7:$B$1203,$S$2)</f>
        <v>0</v>
      </c>
      <c r="M18" s="45" t="n">
        <f aca="false">SUMIFS('DAILY ENTRY'!$F$7:$F$1203,'DAILY ENTRY'!$D$7:$D$1203,"Partnership / PR contact",'DAILY ENTRY'!$A$7:$A$1203,"&gt;="&amp;$B18,'DAILY ENTRY'!$A$7:$A$1203,"&lt;="&amp;$C18,'DAILY ENTRY'!$B$7:$B$1203,$S$2)</f>
        <v>0</v>
      </c>
      <c r="N18" s="38"/>
      <c r="O18" s="38"/>
      <c r="P18" s="38"/>
      <c r="Q18" s="38"/>
    </row>
    <row r="19" customFormat="false" ht="33.75" hidden="false" customHeight="true" outlineLevel="0" collapsed="false">
      <c r="A19" s="45" t="n">
        <v>16</v>
      </c>
      <c r="B19" s="43" t="n">
        <f aca="false">'START HERE'!$B$20+105</f>
        <v>46356</v>
      </c>
      <c r="C19" s="43" t="n">
        <f aca="false">B19+6</f>
        <v>46362</v>
      </c>
      <c r="D19" s="45" t="n">
        <f aca="false">SUMIFS('DAILY ENTRY'!$F$7:$F$1203,'DAILY ENTRY'!$D$7:$D$1203,"Lead researched (Sales Navigator)",'DAILY ENTRY'!$A$7:$A$1203,"&gt;="&amp;$B19,'DAILY ENTRY'!$A$7:$A$1203,"&lt;="&amp;$C19,'DAILY ENTRY'!$B$7:$B$1203,$S$2)</f>
        <v>0</v>
      </c>
      <c r="E19" s="45" t="n">
        <f aca="false">COUNTIFS('LinkedIn Outreach'!$A$5:$A$1203,"&gt;="&amp;$B19,'LinkedIn Outreach'!$A$5:$A$1203,"&lt;="&amp;$C19,'LinkedIn Outreach'!$B$5:$B$1203,$S$2,'LinkedIn Outreach'!$M$5:$M$1203,"Yes")</f>
        <v>0</v>
      </c>
      <c r="F19" s="45" t="n">
        <f aca="false">COUNTIFS('LinkedIn Outreach'!$A$5:$A$1203,"&gt;="&amp;$B19,'LinkedIn Outreach'!$A$5:$A$1203,"&lt;="&amp;$C19,'LinkedIn Outreach'!$B$5:$B$1203,$S$2,'LinkedIn Outreach'!$N$5:$N$1203,"Yes")</f>
        <v>0</v>
      </c>
      <c r="G19" s="70" t="str">
        <f aca="false">IFERROR(F19/E19,"")</f>
        <v/>
      </c>
      <c r="H19" s="45" t="n">
        <f aca="false">COUNTIFS('LinkedIn Outreach'!$A$5:$A$1203,"&gt;="&amp;$B19,'LinkedIn Outreach'!$A$5:$A$1203,"&lt;="&amp;$C19,'LinkedIn Outreach'!$B$5:$B$1203,$S$2,'LinkedIn Outreach'!$R$5:$R$1203,"Yes")</f>
        <v>0</v>
      </c>
      <c r="I19" s="45" t="n">
        <f aca="false">COUNTIFS('LinkedIn Outreach'!$A$5:$A$1203,"&gt;="&amp;$B19,'LinkedIn Outreach'!$A$5:$A$1203,"&lt;="&amp;$C19,'LinkedIn Outreach'!$B$5:$B$1203,$S$2,'LinkedIn Outreach'!$S$5:$S$1203,"Interested")+COUNTIFS('LinkedIn Outreach'!$A$5:$A$1203,"&gt;="&amp;$B19,'LinkedIn Outreach'!$A$5:$A$1203,"&lt;="&amp;$C19,'LinkedIn Outreach'!$B$5:$B$1203,$S$2,'LinkedIn Outreach'!$S$5:$S$1203,"Info Requested")+COUNTIFS('LinkedIn Outreach'!$A$5:$A$1203,"&gt;="&amp;$B19,'LinkedIn Outreach'!$A$5:$A$1203,"&lt;="&amp;$C19,'LinkedIn Outreach'!$B$5:$B$1203,$S$2,'LinkedIn Outreach'!$S$5:$S$1203,"Meeting Booked")+COUNTIFS('LinkedIn Outreach'!$A$5:$A$1203,"&gt;="&amp;$B19,'LinkedIn Outreach'!$A$5:$A$1203,"&lt;="&amp;$C19,'LinkedIn Outreach'!$B$5:$B$1203,$S$2,'LinkedIn Outreach'!$S$5:$S$1203,"Converted")</f>
        <v>0</v>
      </c>
      <c r="J19" s="70" t="str">
        <f aca="false">IFERROR(I19/H19,"")</f>
        <v/>
      </c>
      <c r="K19" s="45" t="n">
        <f aca="false">SUMIFS('DAILY ENTRY'!$F$7:$F$1203,'DAILY ENTRY'!$D$7:$D$1203,"Post / content published",'DAILY ENTRY'!$A$7:$A$1203,"&gt;="&amp;$B19,'DAILY ENTRY'!$A$7:$A$1203,"&lt;="&amp;$C19,'DAILY ENTRY'!$B$7:$B$1203,$S$2)</f>
        <v>0</v>
      </c>
      <c r="L19" s="45" t="n">
        <f aca="false">SUMIFS('DAILY ENTRY'!$F$7:$F$1203,'DAILY ENTRY'!$D$7:$D$1203,"Community answer or comment",'DAILY ENTRY'!$A$7:$A$1203,"&gt;="&amp;$B19,'DAILY ENTRY'!$A$7:$A$1203,"&lt;="&amp;$C19,'DAILY ENTRY'!$B$7:$B$1203,$S$2)</f>
        <v>0</v>
      </c>
      <c r="M19" s="45" t="n">
        <f aca="false">SUMIFS('DAILY ENTRY'!$F$7:$F$1203,'DAILY ENTRY'!$D$7:$D$1203,"Partnership / PR contact",'DAILY ENTRY'!$A$7:$A$1203,"&gt;="&amp;$B19,'DAILY ENTRY'!$A$7:$A$1203,"&lt;="&amp;$C19,'DAILY ENTRY'!$B$7:$B$1203,$S$2)</f>
        <v>0</v>
      </c>
      <c r="N19" s="38"/>
      <c r="O19" s="38"/>
      <c r="P19" s="38"/>
      <c r="Q19" s="38"/>
    </row>
    <row r="20" customFormat="false" ht="33.75" hidden="false" customHeight="true" outlineLevel="0" collapsed="false">
      <c r="A20" s="45" t="n">
        <v>17</v>
      </c>
      <c r="B20" s="43" t="n">
        <f aca="false">'START HERE'!$B$20+112</f>
        <v>46363</v>
      </c>
      <c r="C20" s="43" t="n">
        <f aca="false">B20+6</f>
        <v>46369</v>
      </c>
      <c r="D20" s="45" t="n">
        <f aca="false">SUMIFS('DAILY ENTRY'!$F$7:$F$1203,'DAILY ENTRY'!$D$7:$D$1203,"Lead researched (Sales Navigator)",'DAILY ENTRY'!$A$7:$A$1203,"&gt;="&amp;$B20,'DAILY ENTRY'!$A$7:$A$1203,"&lt;="&amp;$C20,'DAILY ENTRY'!$B$7:$B$1203,$S$2)</f>
        <v>0</v>
      </c>
      <c r="E20" s="45" t="n">
        <f aca="false">COUNTIFS('LinkedIn Outreach'!$A$5:$A$1203,"&gt;="&amp;$B20,'LinkedIn Outreach'!$A$5:$A$1203,"&lt;="&amp;$C20,'LinkedIn Outreach'!$B$5:$B$1203,$S$2,'LinkedIn Outreach'!$M$5:$M$1203,"Yes")</f>
        <v>0</v>
      </c>
      <c r="F20" s="45" t="n">
        <f aca="false">COUNTIFS('LinkedIn Outreach'!$A$5:$A$1203,"&gt;="&amp;$B20,'LinkedIn Outreach'!$A$5:$A$1203,"&lt;="&amp;$C20,'LinkedIn Outreach'!$B$5:$B$1203,$S$2,'LinkedIn Outreach'!$N$5:$N$1203,"Yes")</f>
        <v>0</v>
      </c>
      <c r="G20" s="70" t="str">
        <f aca="false">IFERROR(F20/E20,"")</f>
        <v/>
      </c>
      <c r="H20" s="45" t="n">
        <f aca="false">COUNTIFS('LinkedIn Outreach'!$A$5:$A$1203,"&gt;="&amp;$B20,'LinkedIn Outreach'!$A$5:$A$1203,"&lt;="&amp;$C20,'LinkedIn Outreach'!$B$5:$B$1203,$S$2,'LinkedIn Outreach'!$R$5:$R$1203,"Yes")</f>
        <v>0</v>
      </c>
      <c r="I20" s="45" t="n">
        <f aca="false">COUNTIFS('LinkedIn Outreach'!$A$5:$A$1203,"&gt;="&amp;$B20,'LinkedIn Outreach'!$A$5:$A$1203,"&lt;="&amp;$C20,'LinkedIn Outreach'!$B$5:$B$1203,$S$2,'LinkedIn Outreach'!$S$5:$S$1203,"Interested")+COUNTIFS('LinkedIn Outreach'!$A$5:$A$1203,"&gt;="&amp;$B20,'LinkedIn Outreach'!$A$5:$A$1203,"&lt;="&amp;$C20,'LinkedIn Outreach'!$B$5:$B$1203,$S$2,'LinkedIn Outreach'!$S$5:$S$1203,"Info Requested")+COUNTIFS('LinkedIn Outreach'!$A$5:$A$1203,"&gt;="&amp;$B20,'LinkedIn Outreach'!$A$5:$A$1203,"&lt;="&amp;$C20,'LinkedIn Outreach'!$B$5:$B$1203,$S$2,'LinkedIn Outreach'!$S$5:$S$1203,"Meeting Booked")+COUNTIFS('LinkedIn Outreach'!$A$5:$A$1203,"&gt;="&amp;$B20,'LinkedIn Outreach'!$A$5:$A$1203,"&lt;="&amp;$C20,'LinkedIn Outreach'!$B$5:$B$1203,$S$2,'LinkedIn Outreach'!$S$5:$S$1203,"Converted")</f>
        <v>0</v>
      </c>
      <c r="J20" s="70" t="str">
        <f aca="false">IFERROR(I20/H20,"")</f>
        <v/>
      </c>
      <c r="K20" s="45" t="n">
        <f aca="false">SUMIFS('DAILY ENTRY'!$F$7:$F$1203,'DAILY ENTRY'!$D$7:$D$1203,"Post / content published",'DAILY ENTRY'!$A$7:$A$1203,"&gt;="&amp;$B20,'DAILY ENTRY'!$A$7:$A$1203,"&lt;="&amp;$C20,'DAILY ENTRY'!$B$7:$B$1203,$S$2)</f>
        <v>0</v>
      </c>
      <c r="L20" s="45" t="n">
        <f aca="false">SUMIFS('DAILY ENTRY'!$F$7:$F$1203,'DAILY ENTRY'!$D$7:$D$1203,"Community answer or comment",'DAILY ENTRY'!$A$7:$A$1203,"&gt;="&amp;$B20,'DAILY ENTRY'!$A$7:$A$1203,"&lt;="&amp;$C20,'DAILY ENTRY'!$B$7:$B$1203,$S$2)</f>
        <v>0</v>
      </c>
      <c r="M20" s="45" t="n">
        <f aca="false">SUMIFS('DAILY ENTRY'!$F$7:$F$1203,'DAILY ENTRY'!$D$7:$D$1203,"Partnership / PR contact",'DAILY ENTRY'!$A$7:$A$1203,"&gt;="&amp;$B20,'DAILY ENTRY'!$A$7:$A$1203,"&lt;="&amp;$C20,'DAILY ENTRY'!$B$7:$B$1203,$S$2)</f>
        <v>0</v>
      </c>
      <c r="N20" s="38"/>
      <c r="O20" s="38"/>
      <c r="P20" s="38"/>
      <c r="Q20" s="38"/>
    </row>
    <row r="21" customFormat="false" ht="33.75" hidden="false" customHeight="true" outlineLevel="0" collapsed="false">
      <c r="A21" s="45" t="n">
        <v>18</v>
      </c>
      <c r="B21" s="43" t="n">
        <f aca="false">'START HERE'!$B$20+119</f>
        <v>46370</v>
      </c>
      <c r="C21" s="43" t="n">
        <f aca="false">B21+6</f>
        <v>46376</v>
      </c>
      <c r="D21" s="45" t="n">
        <f aca="false">SUMIFS('DAILY ENTRY'!$F$7:$F$1203,'DAILY ENTRY'!$D$7:$D$1203,"Lead researched (Sales Navigator)",'DAILY ENTRY'!$A$7:$A$1203,"&gt;="&amp;$B21,'DAILY ENTRY'!$A$7:$A$1203,"&lt;="&amp;$C21,'DAILY ENTRY'!$B$7:$B$1203,$S$2)</f>
        <v>0</v>
      </c>
      <c r="E21" s="45" t="n">
        <f aca="false">COUNTIFS('LinkedIn Outreach'!$A$5:$A$1203,"&gt;="&amp;$B21,'LinkedIn Outreach'!$A$5:$A$1203,"&lt;="&amp;$C21,'LinkedIn Outreach'!$B$5:$B$1203,$S$2,'LinkedIn Outreach'!$M$5:$M$1203,"Yes")</f>
        <v>0</v>
      </c>
      <c r="F21" s="45" t="n">
        <f aca="false">COUNTIFS('LinkedIn Outreach'!$A$5:$A$1203,"&gt;="&amp;$B21,'LinkedIn Outreach'!$A$5:$A$1203,"&lt;="&amp;$C21,'LinkedIn Outreach'!$B$5:$B$1203,$S$2,'LinkedIn Outreach'!$N$5:$N$1203,"Yes")</f>
        <v>0</v>
      </c>
      <c r="G21" s="70" t="str">
        <f aca="false">IFERROR(F21/E21,"")</f>
        <v/>
      </c>
      <c r="H21" s="45" t="n">
        <f aca="false">COUNTIFS('LinkedIn Outreach'!$A$5:$A$1203,"&gt;="&amp;$B21,'LinkedIn Outreach'!$A$5:$A$1203,"&lt;="&amp;$C21,'LinkedIn Outreach'!$B$5:$B$1203,$S$2,'LinkedIn Outreach'!$R$5:$R$1203,"Yes")</f>
        <v>0</v>
      </c>
      <c r="I21" s="45" t="n">
        <f aca="false">COUNTIFS('LinkedIn Outreach'!$A$5:$A$1203,"&gt;="&amp;$B21,'LinkedIn Outreach'!$A$5:$A$1203,"&lt;="&amp;$C21,'LinkedIn Outreach'!$B$5:$B$1203,$S$2,'LinkedIn Outreach'!$S$5:$S$1203,"Interested")+COUNTIFS('LinkedIn Outreach'!$A$5:$A$1203,"&gt;="&amp;$B21,'LinkedIn Outreach'!$A$5:$A$1203,"&lt;="&amp;$C21,'LinkedIn Outreach'!$B$5:$B$1203,$S$2,'LinkedIn Outreach'!$S$5:$S$1203,"Info Requested")+COUNTIFS('LinkedIn Outreach'!$A$5:$A$1203,"&gt;="&amp;$B21,'LinkedIn Outreach'!$A$5:$A$1203,"&lt;="&amp;$C21,'LinkedIn Outreach'!$B$5:$B$1203,$S$2,'LinkedIn Outreach'!$S$5:$S$1203,"Meeting Booked")+COUNTIFS('LinkedIn Outreach'!$A$5:$A$1203,"&gt;="&amp;$B21,'LinkedIn Outreach'!$A$5:$A$1203,"&lt;="&amp;$C21,'LinkedIn Outreach'!$B$5:$B$1203,$S$2,'LinkedIn Outreach'!$S$5:$S$1203,"Converted")</f>
        <v>0</v>
      </c>
      <c r="J21" s="70" t="str">
        <f aca="false">IFERROR(I21/H21,"")</f>
        <v/>
      </c>
      <c r="K21" s="45" t="n">
        <f aca="false">SUMIFS('DAILY ENTRY'!$F$7:$F$1203,'DAILY ENTRY'!$D$7:$D$1203,"Post / content published",'DAILY ENTRY'!$A$7:$A$1203,"&gt;="&amp;$B21,'DAILY ENTRY'!$A$7:$A$1203,"&lt;="&amp;$C21,'DAILY ENTRY'!$B$7:$B$1203,$S$2)</f>
        <v>0</v>
      </c>
      <c r="L21" s="45" t="n">
        <f aca="false">SUMIFS('DAILY ENTRY'!$F$7:$F$1203,'DAILY ENTRY'!$D$7:$D$1203,"Community answer or comment",'DAILY ENTRY'!$A$7:$A$1203,"&gt;="&amp;$B21,'DAILY ENTRY'!$A$7:$A$1203,"&lt;="&amp;$C21,'DAILY ENTRY'!$B$7:$B$1203,$S$2)</f>
        <v>0</v>
      </c>
      <c r="M21" s="45" t="n">
        <f aca="false">SUMIFS('DAILY ENTRY'!$F$7:$F$1203,'DAILY ENTRY'!$D$7:$D$1203,"Partnership / PR contact",'DAILY ENTRY'!$A$7:$A$1203,"&gt;="&amp;$B21,'DAILY ENTRY'!$A$7:$A$1203,"&lt;="&amp;$C21,'DAILY ENTRY'!$B$7:$B$1203,$S$2)</f>
        <v>0</v>
      </c>
      <c r="N21" s="38"/>
      <c r="O21" s="38"/>
      <c r="P21" s="38"/>
      <c r="Q21" s="38"/>
    </row>
    <row r="22" customFormat="false" ht="33.75" hidden="false" customHeight="true" outlineLevel="0" collapsed="false">
      <c r="A22" s="45" t="n">
        <v>19</v>
      </c>
      <c r="B22" s="43" t="n">
        <f aca="false">'START HERE'!$B$20+126</f>
        <v>46377</v>
      </c>
      <c r="C22" s="43" t="n">
        <f aca="false">B22+6</f>
        <v>46383</v>
      </c>
      <c r="D22" s="45" t="n">
        <f aca="false">SUMIFS('DAILY ENTRY'!$F$7:$F$1203,'DAILY ENTRY'!$D$7:$D$1203,"Lead researched (Sales Navigator)",'DAILY ENTRY'!$A$7:$A$1203,"&gt;="&amp;$B22,'DAILY ENTRY'!$A$7:$A$1203,"&lt;="&amp;$C22,'DAILY ENTRY'!$B$7:$B$1203,$S$2)</f>
        <v>0</v>
      </c>
      <c r="E22" s="45" t="n">
        <f aca="false">COUNTIFS('LinkedIn Outreach'!$A$5:$A$1203,"&gt;="&amp;$B22,'LinkedIn Outreach'!$A$5:$A$1203,"&lt;="&amp;$C22,'LinkedIn Outreach'!$B$5:$B$1203,$S$2,'LinkedIn Outreach'!$M$5:$M$1203,"Yes")</f>
        <v>0</v>
      </c>
      <c r="F22" s="45" t="n">
        <f aca="false">COUNTIFS('LinkedIn Outreach'!$A$5:$A$1203,"&gt;="&amp;$B22,'LinkedIn Outreach'!$A$5:$A$1203,"&lt;="&amp;$C22,'LinkedIn Outreach'!$B$5:$B$1203,$S$2,'LinkedIn Outreach'!$N$5:$N$1203,"Yes")</f>
        <v>0</v>
      </c>
      <c r="G22" s="70" t="str">
        <f aca="false">IFERROR(F22/E22,"")</f>
        <v/>
      </c>
      <c r="H22" s="45" t="n">
        <f aca="false">COUNTIFS('LinkedIn Outreach'!$A$5:$A$1203,"&gt;="&amp;$B22,'LinkedIn Outreach'!$A$5:$A$1203,"&lt;="&amp;$C22,'LinkedIn Outreach'!$B$5:$B$1203,$S$2,'LinkedIn Outreach'!$R$5:$R$1203,"Yes")</f>
        <v>0</v>
      </c>
      <c r="I22" s="45" t="n">
        <f aca="false">COUNTIFS('LinkedIn Outreach'!$A$5:$A$1203,"&gt;="&amp;$B22,'LinkedIn Outreach'!$A$5:$A$1203,"&lt;="&amp;$C22,'LinkedIn Outreach'!$B$5:$B$1203,$S$2,'LinkedIn Outreach'!$S$5:$S$1203,"Interested")+COUNTIFS('LinkedIn Outreach'!$A$5:$A$1203,"&gt;="&amp;$B22,'LinkedIn Outreach'!$A$5:$A$1203,"&lt;="&amp;$C22,'LinkedIn Outreach'!$B$5:$B$1203,$S$2,'LinkedIn Outreach'!$S$5:$S$1203,"Info Requested")+COUNTIFS('LinkedIn Outreach'!$A$5:$A$1203,"&gt;="&amp;$B22,'LinkedIn Outreach'!$A$5:$A$1203,"&lt;="&amp;$C22,'LinkedIn Outreach'!$B$5:$B$1203,$S$2,'LinkedIn Outreach'!$S$5:$S$1203,"Meeting Booked")+COUNTIFS('LinkedIn Outreach'!$A$5:$A$1203,"&gt;="&amp;$B22,'LinkedIn Outreach'!$A$5:$A$1203,"&lt;="&amp;$C22,'LinkedIn Outreach'!$B$5:$B$1203,$S$2,'LinkedIn Outreach'!$S$5:$S$1203,"Converted")</f>
        <v>0</v>
      </c>
      <c r="J22" s="70" t="str">
        <f aca="false">IFERROR(I22/H22,"")</f>
        <v/>
      </c>
      <c r="K22" s="45" t="n">
        <f aca="false">SUMIFS('DAILY ENTRY'!$F$7:$F$1203,'DAILY ENTRY'!$D$7:$D$1203,"Post / content published",'DAILY ENTRY'!$A$7:$A$1203,"&gt;="&amp;$B22,'DAILY ENTRY'!$A$7:$A$1203,"&lt;="&amp;$C22,'DAILY ENTRY'!$B$7:$B$1203,$S$2)</f>
        <v>0</v>
      </c>
      <c r="L22" s="45" t="n">
        <f aca="false">SUMIFS('DAILY ENTRY'!$F$7:$F$1203,'DAILY ENTRY'!$D$7:$D$1203,"Community answer or comment",'DAILY ENTRY'!$A$7:$A$1203,"&gt;="&amp;$B22,'DAILY ENTRY'!$A$7:$A$1203,"&lt;="&amp;$C22,'DAILY ENTRY'!$B$7:$B$1203,$S$2)</f>
        <v>0</v>
      </c>
      <c r="M22" s="45" t="n">
        <f aca="false">SUMIFS('DAILY ENTRY'!$F$7:$F$1203,'DAILY ENTRY'!$D$7:$D$1203,"Partnership / PR contact",'DAILY ENTRY'!$A$7:$A$1203,"&gt;="&amp;$B22,'DAILY ENTRY'!$A$7:$A$1203,"&lt;="&amp;$C22,'DAILY ENTRY'!$B$7:$B$1203,$S$2)</f>
        <v>0</v>
      </c>
      <c r="N22" s="38"/>
      <c r="O22" s="38"/>
      <c r="P22" s="38"/>
      <c r="Q22" s="38"/>
    </row>
    <row r="23" customFormat="false" ht="33.75" hidden="false" customHeight="true" outlineLevel="0" collapsed="false">
      <c r="A23" s="45" t="n">
        <v>20</v>
      </c>
      <c r="B23" s="43" t="n">
        <f aca="false">'START HERE'!$B$20+133</f>
        <v>46384</v>
      </c>
      <c r="C23" s="43" t="n">
        <f aca="false">B23+6</f>
        <v>46390</v>
      </c>
      <c r="D23" s="45" t="n">
        <f aca="false">SUMIFS('DAILY ENTRY'!$F$7:$F$1203,'DAILY ENTRY'!$D$7:$D$1203,"Lead researched (Sales Navigator)",'DAILY ENTRY'!$A$7:$A$1203,"&gt;="&amp;$B23,'DAILY ENTRY'!$A$7:$A$1203,"&lt;="&amp;$C23,'DAILY ENTRY'!$B$7:$B$1203,$S$2)</f>
        <v>0</v>
      </c>
      <c r="E23" s="45" t="n">
        <f aca="false">COUNTIFS('LinkedIn Outreach'!$A$5:$A$1203,"&gt;="&amp;$B23,'LinkedIn Outreach'!$A$5:$A$1203,"&lt;="&amp;$C23,'LinkedIn Outreach'!$B$5:$B$1203,$S$2,'LinkedIn Outreach'!$M$5:$M$1203,"Yes")</f>
        <v>0</v>
      </c>
      <c r="F23" s="45" t="n">
        <f aca="false">COUNTIFS('LinkedIn Outreach'!$A$5:$A$1203,"&gt;="&amp;$B23,'LinkedIn Outreach'!$A$5:$A$1203,"&lt;="&amp;$C23,'LinkedIn Outreach'!$B$5:$B$1203,$S$2,'LinkedIn Outreach'!$N$5:$N$1203,"Yes")</f>
        <v>0</v>
      </c>
      <c r="G23" s="70" t="str">
        <f aca="false">IFERROR(F23/E23,"")</f>
        <v/>
      </c>
      <c r="H23" s="45" t="n">
        <f aca="false">COUNTIFS('LinkedIn Outreach'!$A$5:$A$1203,"&gt;="&amp;$B23,'LinkedIn Outreach'!$A$5:$A$1203,"&lt;="&amp;$C23,'LinkedIn Outreach'!$B$5:$B$1203,$S$2,'LinkedIn Outreach'!$R$5:$R$1203,"Yes")</f>
        <v>0</v>
      </c>
      <c r="I23" s="45" t="n">
        <f aca="false">COUNTIFS('LinkedIn Outreach'!$A$5:$A$1203,"&gt;="&amp;$B23,'LinkedIn Outreach'!$A$5:$A$1203,"&lt;="&amp;$C23,'LinkedIn Outreach'!$B$5:$B$1203,$S$2,'LinkedIn Outreach'!$S$5:$S$1203,"Interested")+COUNTIFS('LinkedIn Outreach'!$A$5:$A$1203,"&gt;="&amp;$B23,'LinkedIn Outreach'!$A$5:$A$1203,"&lt;="&amp;$C23,'LinkedIn Outreach'!$B$5:$B$1203,$S$2,'LinkedIn Outreach'!$S$5:$S$1203,"Info Requested")+COUNTIFS('LinkedIn Outreach'!$A$5:$A$1203,"&gt;="&amp;$B23,'LinkedIn Outreach'!$A$5:$A$1203,"&lt;="&amp;$C23,'LinkedIn Outreach'!$B$5:$B$1203,$S$2,'LinkedIn Outreach'!$S$5:$S$1203,"Meeting Booked")+COUNTIFS('LinkedIn Outreach'!$A$5:$A$1203,"&gt;="&amp;$B23,'LinkedIn Outreach'!$A$5:$A$1203,"&lt;="&amp;$C23,'LinkedIn Outreach'!$B$5:$B$1203,$S$2,'LinkedIn Outreach'!$S$5:$S$1203,"Converted")</f>
        <v>0</v>
      </c>
      <c r="J23" s="70" t="str">
        <f aca="false">IFERROR(I23/H23,"")</f>
        <v/>
      </c>
      <c r="K23" s="45" t="n">
        <f aca="false">SUMIFS('DAILY ENTRY'!$F$7:$F$1203,'DAILY ENTRY'!$D$7:$D$1203,"Post / content published",'DAILY ENTRY'!$A$7:$A$1203,"&gt;="&amp;$B23,'DAILY ENTRY'!$A$7:$A$1203,"&lt;="&amp;$C23,'DAILY ENTRY'!$B$7:$B$1203,$S$2)</f>
        <v>0</v>
      </c>
      <c r="L23" s="45" t="n">
        <f aca="false">SUMIFS('DAILY ENTRY'!$F$7:$F$1203,'DAILY ENTRY'!$D$7:$D$1203,"Community answer or comment",'DAILY ENTRY'!$A$7:$A$1203,"&gt;="&amp;$B23,'DAILY ENTRY'!$A$7:$A$1203,"&lt;="&amp;$C23,'DAILY ENTRY'!$B$7:$B$1203,$S$2)</f>
        <v>0</v>
      </c>
      <c r="M23" s="45" t="n">
        <f aca="false">SUMIFS('DAILY ENTRY'!$F$7:$F$1203,'DAILY ENTRY'!$D$7:$D$1203,"Partnership / PR contact",'DAILY ENTRY'!$A$7:$A$1203,"&gt;="&amp;$B23,'DAILY ENTRY'!$A$7:$A$1203,"&lt;="&amp;$C23,'DAILY ENTRY'!$B$7:$B$1203,$S$2)</f>
        <v>0</v>
      </c>
      <c r="N23" s="38"/>
      <c r="O23" s="38"/>
      <c r="P23" s="38"/>
      <c r="Q23" s="38"/>
    </row>
    <row r="24" customFormat="false" ht="33.75" hidden="false" customHeight="true" outlineLevel="0" collapsed="false">
      <c r="A24" s="45" t="n">
        <v>21</v>
      </c>
      <c r="B24" s="43" t="n">
        <f aca="false">'START HERE'!$B$20+140</f>
        <v>46391</v>
      </c>
      <c r="C24" s="43" t="n">
        <f aca="false">B24+6</f>
        <v>46397</v>
      </c>
      <c r="D24" s="45" t="n">
        <f aca="false">SUMIFS('DAILY ENTRY'!$F$7:$F$1203,'DAILY ENTRY'!$D$7:$D$1203,"Lead researched (Sales Navigator)",'DAILY ENTRY'!$A$7:$A$1203,"&gt;="&amp;$B24,'DAILY ENTRY'!$A$7:$A$1203,"&lt;="&amp;$C24,'DAILY ENTRY'!$B$7:$B$1203,$S$2)</f>
        <v>0</v>
      </c>
      <c r="E24" s="45" t="n">
        <f aca="false">COUNTIFS('LinkedIn Outreach'!$A$5:$A$1203,"&gt;="&amp;$B24,'LinkedIn Outreach'!$A$5:$A$1203,"&lt;="&amp;$C24,'LinkedIn Outreach'!$B$5:$B$1203,$S$2,'LinkedIn Outreach'!$M$5:$M$1203,"Yes")</f>
        <v>0</v>
      </c>
      <c r="F24" s="45" t="n">
        <f aca="false">COUNTIFS('LinkedIn Outreach'!$A$5:$A$1203,"&gt;="&amp;$B24,'LinkedIn Outreach'!$A$5:$A$1203,"&lt;="&amp;$C24,'LinkedIn Outreach'!$B$5:$B$1203,$S$2,'LinkedIn Outreach'!$N$5:$N$1203,"Yes")</f>
        <v>0</v>
      </c>
      <c r="G24" s="70" t="str">
        <f aca="false">IFERROR(F24/E24,"")</f>
        <v/>
      </c>
      <c r="H24" s="45" t="n">
        <f aca="false">COUNTIFS('LinkedIn Outreach'!$A$5:$A$1203,"&gt;="&amp;$B24,'LinkedIn Outreach'!$A$5:$A$1203,"&lt;="&amp;$C24,'LinkedIn Outreach'!$B$5:$B$1203,$S$2,'LinkedIn Outreach'!$R$5:$R$1203,"Yes")</f>
        <v>0</v>
      </c>
      <c r="I24" s="45" t="n">
        <f aca="false">COUNTIFS('LinkedIn Outreach'!$A$5:$A$1203,"&gt;="&amp;$B24,'LinkedIn Outreach'!$A$5:$A$1203,"&lt;="&amp;$C24,'LinkedIn Outreach'!$B$5:$B$1203,$S$2,'LinkedIn Outreach'!$S$5:$S$1203,"Interested")+COUNTIFS('LinkedIn Outreach'!$A$5:$A$1203,"&gt;="&amp;$B24,'LinkedIn Outreach'!$A$5:$A$1203,"&lt;="&amp;$C24,'LinkedIn Outreach'!$B$5:$B$1203,$S$2,'LinkedIn Outreach'!$S$5:$S$1203,"Info Requested")+COUNTIFS('LinkedIn Outreach'!$A$5:$A$1203,"&gt;="&amp;$B24,'LinkedIn Outreach'!$A$5:$A$1203,"&lt;="&amp;$C24,'LinkedIn Outreach'!$B$5:$B$1203,$S$2,'LinkedIn Outreach'!$S$5:$S$1203,"Meeting Booked")+COUNTIFS('LinkedIn Outreach'!$A$5:$A$1203,"&gt;="&amp;$B24,'LinkedIn Outreach'!$A$5:$A$1203,"&lt;="&amp;$C24,'LinkedIn Outreach'!$B$5:$B$1203,$S$2,'LinkedIn Outreach'!$S$5:$S$1203,"Converted")</f>
        <v>0</v>
      </c>
      <c r="J24" s="70" t="str">
        <f aca="false">IFERROR(I24/H24,"")</f>
        <v/>
      </c>
      <c r="K24" s="45" t="n">
        <f aca="false">SUMIFS('DAILY ENTRY'!$F$7:$F$1203,'DAILY ENTRY'!$D$7:$D$1203,"Post / content published",'DAILY ENTRY'!$A$7:$A$1203,"&gt;="&amp;$B24,'DAILY ENTRY'!$A$7:$A$1203,"&lt;="&amp;$C24,'DAILY ENTRY'!$B$7:$B$1203,$S$2)</f>
        <v>0</v>
      </c>
      <c r="L24" s="45" t="n">
        <f aca="false">SUMIFS('DAILY ENTRY'!$F$7:$F$1203,'DAILY ENTRY'!$D$7:$D$1203,"Community answer or comment",'DAILY ENTRY'!$A$7:$A$1203,"&gt;="&amp;$B24,'DAILY ENTRY'!$A$7:$A$1203,"&lt;="&amp;$C24,'DAILY ENTRY'!$B$7:$B$1203,$S$2)</f>
        <v>0</v>
      </c>
      <c r="M24" s="45" t="n">
        <f aca="false">SUMIFS('DAILY ENTRY'!$F$7:$F$1203,'DAILY ENTRY'!$D$7:$D$1203,"Partnership / PR contact",'DAILY ENTRY'!$A$7:$A$1203,"&gt;="&amp;$B24,'DAILY ENTRY'!$A$7:$A$1203,"&lt;="&amp;$C24,'DAILY ENTRY'!$B$7:$B$1203,$S$2)</f>
        <v>0</v>
      </c>
      <c r="N24" s="38"/>
      <c r="O24" s="38"/>
      <c r="P24" s="38"/>
      <c r="Q24" s="38"/>
    </row>
    <row r="25" customFormat="false" ht="33.75" hidden="false" customHeight="true" outlineLevel="0" collapsed="false">
      <c r="A25" s="45" t="n">
        <v>22</v>
      </c>
      <c r="B25" s="43" t="n">
        <f aca="false">'START HERE'!$B$20+147</f>
        <v>46398</v>
      </c>
      <c r="C25" s="43" t="n">
        <f aca="false">B25+6</f>
        <v>46404</v>
      </c>
      <c r="D25" s="45" t="n">
        <f aca="false">SUMIFS('DAILY ENTRY'!$F$7:$F$1203,'DAILY ENTRY'!$D$7:$D$1203,"Lead researched (Sales Navigator)",'DAILY ENTRY'!$A$7:$A$1203,"&gt;="&amp;$B25,'DAILY ENTRY'!$A$7:$A$1203,"&lt;="&amp;$C25,'DAILY ENTRY'!$B$7:$B$1203,$S$2)</f>
        <v>0</v>
      </c>
      <c r="E25" s="45" t="n">
        <f aca="false">COUNTIFS('LinkedIn Outreach'!$A$5:$A$1203,"&gt;="&amp;$B25,'LinkedIn Outreach'!$A$5:$A$1203,"&lt;="&amp;$C25,'LinkedIn Outreach'!$B$5:$B$1203,$S$2,'LinkedIn Outreach'!$M$5:$M$1203,"Yes")</f>
        <v>0</v>
      </c>
      <c r="F25" s="45" t="n">
        <f aca="false">COUNTIFS('LinkedIn Outreach'!$A$5:$A$1203,"&gt;="&amp;$B25,'LinkedIn Outreach'!$A$5:$A$1203,"&lt;="&amp;$C25,'LinkedIn Outreach'!$B$5:$B$1203,$S$2,'LinkedIn Outreach'!$N$5:$N$1203,"Yes")</f>
        <v>0</v>
      </c>
      <c r="G25" s="70" t="str">
        <f aca="false">IFERROR(F25/E25,"")</f>
        <v/>
      </c>
      <c r="H25" s="45" t="n">
        <f aca="false">COUNTIFS('LinkedIn Outreach'!$A$5:$A$1203,"&gt;="&amp;$B25,'LinkedIn Outreach'!$A$5:$A$1203,"&lt;="&amp;$C25,'LinkedIn Outreach'!$B$5:$B$1203,$S$2,'LinkedIn Outreach'!$R$5:$R$1203,"Yes")</f>
        <v>0</v>
      </c>
      <c r="I25" s="45" t="n">
        <f aca="false">COUNTIFS('LinkedIn Outreach'!$A$5:$A$1203,"&gt;="&amp;$B25,'LinkedIn Outreach'!$A$5:$A$1203,"&lt;="&amp;$C25,'LinkedIn Outreach'!$B$5:$B$1203,$S$2,'LinkedIn Outreach'!$S$5:$S$1203,"Interested")+COUNTIFS('LinkedIn Outreach'!$A$5:$A$1203,"&gt;="&amp;$B25,'LinkedIn Outreach'!$A$5:$A$1203,"&lt;="&amp;$C25,'LinkedIn Outreach'!$B$5:$B$1203,$S$2,'LinkedIn Outreach'!$S$5:$S$1203,"Info Requested")+COUNTIFS('LinkedIn Outreach'!$A$5:$A$1203,"&gt;="&amp;$B25,'LinkedIn Outreach'!$A$5:$A$1203,"&lt;="&amp;$C25,'LinkedIn Outreach'!$B$5:$B$1203,$S$2,'LinkedIn Outreach'!$S$5:$S$1203,"Meeting Booked")+COUNTIFS('LinkedIn Outreach'!$A$5:$A$1203,"&gt;="&amp;$B25,'LinkedIn Outreach'!$A$5:$A$1203,"&lt;="&amp;$C25,'LinkedIn Outreach'!$B$5:$B$1203,$S$2,'LinkedIn Outreach'!$S$5:$S$1203,"Converted")</f>
        <v>0</v>
      </c>
      <c r="J25" s="70" t="str">
        <f aca="false">IFERROR(I25/H25,"")</f>
        <v/>
      </c>
      <c r="K25" s="45" t="n">
        <f aca="false">SUMIFS('DAILY ENTRY'!$F$7:$F$1203,'DAILY ENTRY'!$D$7:$D$1203,"Post / content published",'DAILY ENTRY'!$A$7:$A$1203,"&gt;="&amp;$B25,'DAILY ENTRY'!$A$7:$A$1203,"&lt;="&amp;$C25,'DAILY ENTRY'!$B$7:$B$1203,$S$2)</f>
        <v>0</v>
      </c>
      <c r="L25" s="45" t="n">
        <f aca="false">SUMIFS('DAILY ENTRY'!$F$7:$F$1203,'DAILY ENTRY'!$D$7:$D$1203,"Community answer or comment",'DAILY ENTRY'!$A$7:$A$1203,"&gt;="&amp;$B25,'DAILY ENTRY'!$A$7:$A$1203,"&lt;="&amp;$C25,'DAILY ENTRY'!$B$7:$B$1203,$S$2)</f>
        <v>0</v>
      </c>
      <c r="M25" s="45" t="n">
        <f aca="false">SUMIFS('DAILY ENTRY'!$F$7:$F$1203,'DAILY ENTRY'!$D$7:$D$1203,"Partnership / PR contact",'DAILY ENTRY'!$A$7:$A$1203,"&gt;="&amp;$B25,'DAILY ENTRY'!$A$7:$A$1203,"&lt;="&amp;$C25,'DAILY ENTRY'!$B$7:$B$1203,$S$2)</f>
        <v>0</v>
      </c>
      <c r="N25" s="38"/>
      <c r="O25" s="38"/>
      <c r="P25" s="38"/>
      <c r="Q25" s="38"/>
    </row>
    <row r="26" customFormat="false" ht="33.75" hidden="false" customHeight="true" outlineLevel="0" collapsed="false">
      <c r="A26" s="45" t="n">
        <v>23</v>
      </c>
      <c r="B26" s="43" t="n">
        <f aca="false">'START HERE'!$B$20+154</f>
        <v>46405</v>
      </c>
      <c r="C26" s="43" t="n">
        <f aca="false">B26+6</f>
        <v>46411</v>
      </c>
      <c r="D26" s="45" t="n">
        <f aca="false">SUMIFS('DAILY ENTRY'!$F$7:$F$1203,'DAILY ENTRY'!$D$7:$D$1203,"Lead researched (Sales Navigator)",'DAILY ENTRY'!$A$7:$A$1203,"&gt;="&amp;$B26,'DAILY ENTRY'!$A$7:$A$1203,"&lt;="&amp;$C26,'DAILY ENTRY'!$B$7:$B$1203,$S$2)</f>
        <v>0</v>
      </c>
      <c r="E26" s="45" t="n">
        <f aca="false">COUNTIFS('LinkedIn Outreach'!$A$5:$A$1203,"&gt;="&amp;$B26,'LinkedIn Outreach'!$A$5:$A$1203,"&lt;="&amp;$C26,'LinkedIn Outreach'!$B$5:$B$1203,$S$2,'LinkedIn Outreach'!$M$5:$M$1203,"Yes")</f>
        <v>0</v>
      </c>
      <c r="F26" s="45" t="n">
        <f aca="false">COUNTIFS('LinkedIn Outreach'!$A$5:$A$1203,"&gt;="&amp;$B26,'LinkedIn Outreach'!$A$5:$A$1203,"&lt;="&amp;$C26,'LinkedIn Outreach'!$B$5:$B$1203,$S$2,'LinkedIn Outreach'!$N$5:$N$1203,"Yes")</f>
        <v>0</v>
      </c>
      <c r="G26" s="70" t="str">
        <f aca="false">IFERROR(F26/E26,"")</f>
        <v/>
      </c>
      <c r="H26" s="45" t="n">
        <f aca="false">COUNTIFS('LinkedIn Outreach'!$A$5:$A$1203,"&gt;="&amp;$B26,'LinkedIn Outreach'!$A$5:$A$1203,"&lt;="&amp;$C26,'LinkedIn Outreach'!$B$5:$B$1203,$S$2,'LinkedIn Outreach'!$R$5:$R$1203,"Yes")</f>
        <v>0</v>
      </c>
      <c r="I26" s="45" t="n">
        <f aca="false">COUNTIFS('LinkedIn Outreach'!$A$5:$A$1203,"&gt;="&amp;$B26,'LinkedIn Outreach'!$A$5:$A$1203,"&lt;="&amp;$C26,'LinkedIn Outreach'!$B$5:$B$1203,$S$2,'LinkedIn Outreach'!$S$5:$S$1203,"Interested")+COUNTIFS('LinkedIn Outreach'!$A$5:$A$1203,"&gt;="&amp;$B26,'LinkedIn Outreach'!$A$5:$A$1203,"&lt;="&amp;$C26,'LinkedIn Outreach'!$B$5:$B$1203,$S$2,'LinkedIn Outreach'!$S$5:$S$1203,"Info Requested")+COUNTIFS('LinkedIn Outreach'!$A$5:$A$1203,"&gt;="&amp;$B26,'LinkedIn Outreach'!$A$5:$A$1203,"&lt;="&amp;$C26,'LinkedIn Outreach'!$B$5:$B$1203,$S$2,'LinkedIn Outreach'!$S$5:$S$1203,"Meeting Booked")+COUNTIFS('LinkedIn Outreach'!$A$5:$A$1203,"&gt;="&amp;$B26,'LinkedIn Outreach'!$A$5:$A$1203,"&lt;="&amp;$C26,'LinkedIn Outreach'!$B$5:$B$1203,$S$2,'LinkedIn Outreach'!$S$5:$S$1203,"Converted")</f>
        <v>0</v>
      </c>
      <c r="J26" s="70" t="str">
        <f aca="false">IFERROR(I26/H26,"")</f>
        <v/>
      </c>
      <c r="K26" s="45" t="n">
        <f aca="false">SUMIFS('DAILY ENTRY'!$F$7:$F$1203,'DAILY ENTRY'!$D$7:$D$1203,"Post / content published",'DAILY ENTRY'!$A$7:$A$1203,"&gt;="&amp;$B26,'DAILY ENTRY'!$A$7:$A$1203,"&lt;="&amp;$C26,'DAILY ENTRY'!$B$7:$B$1203,$S$2)</f>
        <v>0</v>
      </c>
      <c r="L26" s="45" t="n">
        <f aca="false">SUMIFS('DAILY ENTRY'!$F$7:$F$1203,'DAILY ENTRY'!$D$7:$D$1203,"Community answer or comment",'DAILY ENTRY'!$A$7:$A$1203,"&gt;="&amp;$B26,'DAILY ENTRY'!$A$7:$A$1203,"&lt;="&amp;$C26,'DAILY ENTRY'!$B$7:$B$1203,$S$2)</f>
        <v>0</v>
      </c>
      <c r="M26" s="45" t="n">
        <f aca="false">SUMIFS('DAILY ENTRY'!$F$7:$F$1203,'DAILY ENTRY'!$D$7:$D$1203,"Partnership / PR contact",'DAILY ENTRY'!$A$7:$A$1203,"&gt;="&amp;$B26,'DAILY ENTRY'!$A$7:$A$1203,"&lt;="&amp;$C26,'DAILY ENTRY'!$B$7:$B$1203,$S$2)</f>
        <v>0</v>
      </c>
      <c r="N26" s="38"/>
      <c r="O26" s="38"/>
      <c r="P26" s="38"/>
      <c r="Q26" s="38"/>
    </row>
    <row r="27" customFormat="false" ht="33.75" hidden="false" customHeight="true" outlineLevel="0" collapsed="false">
      <c r="A27" s="45" t="n">
        <v>24</v>
      </c>
      <c r="B27" s="43" t="n">
        <f aca="false">'START HERE'!$B$20+161</f>
        <v>46412</v>
      </c>
      <c r="C27" s="43" t="n">
        <f aca="false">B27+6</f>
        <v>46418</v>
      </c>
      <c r="D27" s="45" t="n">
        <f aca="false">SUMIFS('DAILY ENTRY'!$F$7:$F$1203,'DAILY ENTRY'!$D$7:$D$1203,"Lead researched (Sales Navigator)",'DAILY ENTRY'!$A$7:$A$1203,"&gt;="&amp;$B27,'DAILY ENTRY'!$A$7:$A$1203,"&lt;="&amp;$C27,'DAILY ENTRY'!$B$7:$B$1203,$S$2)</f>
        <v>0</v>
      </c>
      <c r="E27" s="45" t="n">
        <f aca="false">COUNTIFS('LinkedIn Outreach'!$A$5:$A$1203,"&gt;="&amp;$B27,'LinkedIn Outreach'!$A$5:$A$1203,"&lt;="&amp;$C27,'LinkedIn Outreach'!$B$5:$B$1203,$S$2,'LinkedIn Outreach'!$M$5:$M$1203,"Yes")</f>
        <v>0</v>
      </c>
      <c r="F27" s="45" t="n">
        <f aca="false">COUNTIFS('LinkedIn Outreach'!$A$5:$A$1203,"&gt;="&amp;$B27,'LinkedIn Outreach'!$A$5:$A$1203,"&lt;="&amp;$C27,'LinkedIn Outreach'!$B$5:$B$1203,$S$2,'LinkedIn Outreach'!$N$5:$N$1203,"Yes")</f>
        <v>0</v>
      </c>
      <c r="G27" s="70" t="str">
        <f aca="false">IFERROR(F27/E27,"")</f>
        <v/>
      </c>
      <c r="H27" s="45" t="n">
        <f aca="false">COUNTIFS('LinkedIn Outreach'!$A$5:$A$1203,"&gt;="&amp;$B27,'LinkedIn Outreach'!$A$5:$A$1203,"&lt;="&amp;$C27,'LinkedIn Outreach'!$B$5:$B$1203,$S$2,'LinkedIn Outreach'!$R$5:$R$1203,"Yes")</f>
        <v>0</v>
      </c>
      <c r="I27" s="45" t="n">
        <f aca="false">COUNTIFS('LinkedIn Outreach'!$A$5:$A$1203,"&gt;="&amp;$B27,'LinkedIn Outreach'!$A$5:$A$1203,"&lt;="&amp;$C27,'LinkedIn Outreach'!$B$5:$B$1203,$S$2,'LinkedIn Outreach'!$S$5:$S$1203,"Interested")+COUNTIFS('LinkedIn Outreach'!$A$5:$A$1203,"&gt;="&amp;$B27,'LinkedIn Outreach'!$A$5:$A$1203,"&lt;="&amp;$C27,'LinkedIn Outreach'!$B$5:$B$1203,$S$2,'LinkedIn Outreach'!$S$5:$S$1203,"Info Requested")+COUNTIFS('LinkedIn Outreach'!$A$5:$A$1203,"&gt;="&amp;$B27,'LinkedIn Outreach'!$A$5:$A$1203,"&lt;="&amp;$C27,'LinkedIn Outreach'!$B$5:$B$1203,$S$2,'LinkedIn Outreach'!$S$5:$S$1203,"Meeting Booked")+COUNTIFS('LinkedIn Outreach'!$A$5:$A$1203,"&gt;="&amp;$B27,'LinkedIn Outreach'!$A$5:$A$1203,"&lt;="&amp;$C27,'LinkedIn Outreach'!$B$5:$B$1203,$S$2,'LinkedIn Outreach'!$S$5:$S$1203,"Converted")</f>
        <v>0</v>
      </c>
      <c r="J27" s="70" t="str">
        <f aca="false">IFERROR(I27/H27,"")</f>
        <v/>
      </c>
      <c r="K27" s="45" t="n">
        <f aca="false">SUMIFS('DAILY ENTRY'!$F$7:$F$1203,'DAILY ENTRY'!$D$7:$D$1203,"Post / content published",'DAILY ENTRY'!$A$7:$A$1203,"&gt;="&amp;$B27,'DAILY ENTRY'!$A$7:$A$1203,"&lt;="&amp;$C27,'DAILY ENTRY'!$B$7:$B$1203,$S$2)</f>
        <v>0</v>
      </c>
      <c r="L27" s="45" t="n">
        <f aca="false">SUMIFS('DAILY ENTRY'!$F$7:$F$1203,'DAILY ENTRY'!$D$7:$D$1203,"Community answer or comment",'DAILY ENTRY'!$A$7:$A$1203,"&gt;="&amp;$B27,'DAILY ENTRY'!$A$7:$A$1203,"&lt;="&amp;$C27,'DAILY ENTRY'!$B$7:$B$1203,$S$2)</f>
        <v>0</v>
      </c>
      <c r="M27" s="45" t="n">
        <f aca="false">SUMIFS('DAILY ENTRY'!$F$7:$F$1203,'DAILY ENTRY'!$D$7:$D$1203,"Partnership / PR contact",'DAILY ENTRY'!$A$7:$A$1203,"&gt;="&amp;$B27,'DAILY ENTRY'!$A$7:$A$1203,"&lt;="&amp;$C27,'DAILY ENTRY'!$B$7:$B$1203,$S$2)</f>
        <v>0</v>
      </c>
      <c r="N27" s="38"/>
      <c r="O27" s="38"/>
      <c r="P27" s="38"/>
      <c r="Q27" s="38"/>
    </row>
    <row r="28" customFormat="false" ht="33.75" hidden="false" customHeight="true" outlineLevel="0" collapsed="false">
      <c r="A28" s="45" t="n">
        <v>25</v>
      </c>
      <c r="B28" s="43" t="n">
        <f aca="false">'START HERE'!$B$20+168</f>
        <v>46419</v>
      </c>
      <c r="C28" s="43" t="n">
        <f aca="false">B28+6</f>
        <v>46425</v>
      </c>
      <c r="D28" s="45" t="n">
        <f aca="false">SUMIFS('DAILY ENTRY'!$F$7:$F$1203,'DAILY ENTRY'!$D$7:$D$1203,"Lead researched (Sales Navigator)",'DAILY ENTRY'!$A$7:$A$1203,"&gt;="&amp;$B28,'DAILY ENTRY'!$A$7:$A$1203,"&lt;="&amp;$C28,'DAILY ENTRY'!$B$7:$B$1203,$S$2)</f>
        <v>0</v>
      </c>
      <c r="E28" s="45" t="n">
        <f aca="false">COUNTIFS('LinkedIn Outreach'!$A$5:$A$1203,"&gt;="&amp;$B28,'LinkedIn Outreach'!$A$5:$A$1203,"&lt;="&amp;$C28,'LinkedIn Outreach'!$B$5:$B$1203,$S$2,'LinkedIn Outreach'!$M$5:$M$1203,"Yes")</f>
        <v>0</v>
      </c>
      <c r="F28" s="45" t="n">
        <f aca="false">COUNTIFS('LinkedIn Outreach'!$A$5:$A$1203,"&gt;="&amp;$B28,'LinkedIn Outreach'!$A$5:$A$1203,"&lt;="&amp;$C28,'LinkedIn Outreach'!$B$5:$B$1203,$S$2,'LinkedIn Outreach'!$N$5:$N$1203,"Yes")</f>
        <v>0</v>
      </c>
      <c r="G28" s="70" t="str">
        <f aca="false">IFERROR(F28/E28,"")</f>
        <v/>
      </c>
      <c r="H28" s="45" t="n">
        <f aca="false">COUNTIFS('LinkedIn Outreach'!$A$5:$A$1203,"&gt;="&amp;$B28,'LinkedIn Outreach'!$A$5:$A$1203,"&lt;="&amp;$C28,'LinkedIn Outreach'!$B$5:$B$1203,$S$2,'LinkedIn Outreach'!$R$5:$R$1203,"Yes")</f>
        <v>0</v>
      </c>
      <c r="I28" s="45" t="n">
        <f aca="false">COUNTIFS('LinkedIn Outreach'!$A$5:$A$1203,"&gt;="&amp;$B28,'LinkedIn Outreach'!$A$5:$A$1203,"&lt;="&amp;$C28,'LinkedIn Outreach'!$B$5:$B$1203,$S$2,'LinkedIn Outreach'!$S$5:$S$1203,"Interested")+COUNTIFS('LinkedIn Outreach'!$A$5:$A$1203,"&gt;="&amp;$B28,'LinkedIn Outreach'!$A$5:$A$1203,"&lt;="&amp;$C28,'LinkedIn Outreach'!$B$5:$B$1203,$S$2,'LinkedIn Outreach'!$S$5:$S$1203,"Info Requested")+COUNTIFS('LinkedIn Outreach'!$A$5:$A$1203,"&gt;="&amp;$B28,'LinkedIn Outreach'!$A$5:$A$1203,"&lt;="&amp;$C28,'LinkedIn Outreach'!$B$5:$B$1203,$S$2,'LinkedIn Outreach'!$S$5:$S$1203,"Meeting Booked")+COUNTIFS('LinkedIn Outreach'!$A$5:$A$1203,"&gt;="&amp;$B28,'LinkedIn Outreach'!$A$5:$A$1203,"&lt;="&amp;$C28,'LinkedIn Outreach'!$B$5:$B$1203,$S$2,'LinkedIn Outreach'!$S$5:$S$1203,"Converted")</f>
        <v>0</v>
      </c>
      <c r="J28" s="70" t="str">
        <f aca="false">IFERROR(I28/H28,"")</f>
        <v/>
      </c>
      <c r="K28" s="45" t="n">
        <f aca="false">SUMIFS('DAILY ENTRY'!$F$7:$F$1203,'DAILY ENTRY'!$D$7:$D$1203,"Post / content published",'DAILY ENTRY'!$A$7:$A$1203,"&gt;="&amp;$B28,'DAILY ENTRY'!$A$7:$A$1203,"&lt;="&amp;$C28,'DAILY ENTRY'!$B$7:$B$1203,$S$2)</f>
        <v>0</v>
      </c>
      <c r="L28" s="45" t="n">
        <f aca="false">SUMIFS('DAILY ENTRY'!$F$7:$F$1203,'DAILY ENTRY'!$D$7:$D$1203,"Community answer or comment",'DAILY ENTRY'!$A$7:$A$1203,"&gt;="&amp;$B28,'DAILY ENTRY'!$A$7:$A$1203,"&lt;="&amp;$C28,'DAILY ENTRY'!$B$7:$B$1203,$S$2)</f>
        <v>0</v>
      </c>
      <c r="M28" s="45" t="n">
        <f aca="false">SUMIFS('DAILY ENTRY'!$F$7:$F$1203,'DAILY ENTRY'!$D$7:$D$1203,"Partnership / PR contact",'DAILY ENTRY'!$A$7:$A$1203,"&gt;="&amp;$B28,'DAILY ENTRY'!$A$7:$A$1203,"&lt;="&amp;$C28,'DAILY ENTRY'!$B$7:$B$1203,$S$2)</f>
        <v>0</v>
      </c>
      <c r="N28" s="38"/>
      <c r="O28" s="38"/>
      <c r="P28" s="38"/>
      <c r="Q28" s="38"/>
    </row>
    <row r="29" customFormat="false" ht="33.75" hidden="false" customHeight="true" outlineLevel="0" collapsed="false">
      <c r="A29" s="45" t="n">
        <v>26</v>
      </c>
      <c r="B29" s="43" t="n">
        <f aca="false">'START HERE'!$B$20+175</f>
        <v>46426</v>
      </c>
      <c r="C29" s="43" t="n">
        <f aca="false">B29+6</f>
        <v>46432</v>
      </c>
      <c r="D29" s="45" t="n">
        <f aca="false">SUMIFS('DAILY ENTRY'!$F$7:$F$1203,'DAILY ENTRY'!$D$7:$D$1203,"Lead researched (Sales Navigator)",'DAILY ENTRY'!$A$7:$A$1203,"&gt;="&amp;$B29,'DAILY ENTRY'!$A$7:$A$1203,"&lt;="&amp;$C29,'DAILY ENTRY'!$B$7:$B$1203,$S$2)</f>
        <v>0</v>
      </c>
      <c r="E29" s="45" t="n">
        <f aca="false">COUNTIFS('LinkedIn Outreach'!$A$5:$A$1203,"&gt;="&amp;$B29,'LinkedIn Outreach'!$A$5:$A$1203,"&lt;="&amp;$C29,'LinkedIn Outreach'!$B$5:$B$1203,$S$2,'LinkedIn Outreach'!$M$5:$M$1203,"Yes")</f>
        <v>0</v>
      </c>
      <c r="F29" s="45" t="n">
        <f aca="false">COUNTIFS('LinkedIn Outreach'!$A$5:$A$1203,"&gt;="&amp;$B29,'LinkedIn Outreach'!$A$5:$A$1203,"&lt;="&amp;$C29,'LinkedIn Outreach'!$B$5:$B$1203,$S$2,'LinkedIn Outreach'!$N$5:$N$1203,"Yes")</f>
        <v>0</v>
      </c>
      <c r="G29" s="70" t="str">
        <f aca="false">IFERROR(F29/E29,"")</f>
        <v/>
      </c>
      <c r="H29" s="45" t="n">
        <f aca="false">COUNTIFS('LinkedIn Outreach'!$A$5:$A$1203,"&gt;="&amp;$B29,'LinkedIn Outreach'!$A$5:$A$1203,"&lt;="&amp;$C29,'LinkedIn Outreach'!$B$5:$B$1203,$S$2,'LinkedIn Outreach'!$R$5:$R$1203,"Yes")</f>
        <v>0</v>
      </c>
      <c r="I29" s="45" t="n">
        <f aca="false">COUNTIFS('LinkedIn Outreach'!$A$5:$A$1203,"&gt;="&amp;$B29,'LinkedIn Outreach'!$A$5:$A$1203,"&lt;="&amp;$C29,'LinkedIn Outreach'!$B$5:$B$1203,$S$2,'LinkedIn Outreach'!$S$5:$S$1203,"Interested")+COUNTIFS('LinkedIn Outreach'!$A$5:$A$1203,"&gt;="&amp;$B29,'LinkedIn Outreach'!$A$5:$A$1203,"&lt;="&amp;$C29,'LinkedIn Outreach'!$B$5:$B$1203,$S$2,'LinkedIn Outreach'!$S$5:$S$1203,"Info Requested")+COUNTIFS('LinkedIn Outreach'!$A$5:$A$1203,"&gt;="&amp;$B29,'LinkedIn Outreach'!$A$5:$A$1203,"&lt;="&amp;$C29,'LinkedIn Outreach'!$B$5:$B$1203,$S$2,'LinkedIn Outreach'!$S$5:$S$1203,"Meeting Booked")+COUNTIFS('LinkedIn Outreach'!$A$5:$A$1203,"&gt;="&amp;$B29,'LinkedIn Outreach'!$A$5:$A$1203,"&lt;="&amp;$C29,'LinkedIn Outreach'!$B$5:$B$1203,$S$2,'LinkedIn Outreach'!$S$5:$S$1203,"Converted")</f>
        <v>0</v>
      </c>
      <c r="J29" s="70" t="str">
        <f aca="false">IFERROR(I29/H29,"")</f>
        <v/>
      </c>
      <c r="K29" s="45" t="n">
        <f aca="false">SUMIFS('DAILY ENTRY'!$F$7:$F$1203,'DAILY ENTRY'!$D$7:$D$1203,"Post / content published",'DAILY ENTRY'!$A$7:$A$1203,"&gt;="&amp;$B29,'DAILY ENTRY'!$A$7:$A$1203,"&lt;="&amp;$C29,'DAILY ENTRY'!$B$7:$B$1203,$S$2)</f>
        <v>0</v>
      </c>
      <c r="L29" s="45" t="n">
        <f aca="false">SUMIFS('DAILY ENTRY'!$F$7:$F$1203,'DAILY ENTRY'!$D$7:$D$1203,"Community answer or comment",'DAILY ENTRY'!$A$7:$A$1203,"&gt;="&amp;$B29,'DAILY ENTRY'!$A$7:$A$1203,"&lt;="&amp;$C29,'DAILY ENTRY'!$B$7:$B$1203,$S$2)</f>
        <v>0</v>
      </c>
      <c r="M29" s="45" t="n">
        <f aca="false">SUMIFS('DAILY ENTRY'!$F$7:$F$1203,'DAILY ENTRY'!$D$7:$D$1203,"Partnership / PR contact",'DAILY ENTRY'!$A$7:$A$1203,"&gt;="&amp;$B29,'DAILY ENTRY'!$A$7:$A$1203,"&lt;="&amp;$C29,'DAILY ENTRY'!$B$7:$B$1203,$S$2)</f>
        <v>0</v>
      </c>
      <c r="N29" s="38"/>
      <c r="O29" s="38"/>
      <c r="P29" s="38"/>
      <c r="Q29" s="38"/>
    </row>
    <row r="31" customFormat="false" ht="30" hidden="false" customHeight="true" outlineLevel="0" collapsed="false">
      <c r="A31" s="68" t="s">
        <v>470</v>
      </c>
      <c r="B31" s="68"/>
      <c r="C31" s="68"/>
      <c r="D31" s="68"/>
      <c r="E31" s="68"/>
      <c r="F31" s="68"/>
      <c r="G31" s="68"/>
      <c r="H31" s="68"/>
      <c r="I31" s="68"/>
      <c r="J31" s="68"/>
      <c r="K31" s="68"/>
      <c r="L31" s="68"/>
      <c r="M31" s="68"/>
      <c r="N31" s="68"/>
      <c r="O31" s="68"/>
      <c r="P31" s="68"/>
      <c r="Q31" s="68"/>
    </row>
  </sheetData>
  <mergeCells count="3">
    <mergeCell ref="A1:Q1"/>
    <mergeCell ref="C2:Q2"/>
    <mergeCell ref="A31:Q31"/>
  </mergeCells>
  <conditionalFormatting sqref="G4:G29">
    <cfRule type="cellIs" priority="2" operator="greaterThanOrEqual" aboveAverage="0" equalAverage="0" bottom="0" percent="0" rank="0" text="" dxfId="7">
      <formula>0.3</formula>
    </cfRule>
    <cfRule type="cellIs" priority="3" operator="between" aboveAverage="0" equalAverage="0" bottom="0" percent="0" rank="0" text="" dxfId="6">
      <formula>0.0001</formula>
      <formula>0.1999</formula>
    </cfRule>
  </conditionalFormatting>
  <conditionalFormatting sqref="J4:J29">
    <cfRule type="cellIs" priority="4" operator="greaterThanOrEqual" aboveAverage="0" equalAverage="0" bottom="0" percent="0" rank="0" text="" dxfId="7">
      <formula>0.15</formula>
    </cfRule>
    <cfRule type="cellIs" priority="5" operator="between" aboveAverage="0" equalAverage="0" bottom="0" percent="0" rank="0" text="" dxfId="6">
      <formula>0.0001</formula>
      <formula>0.0999</formula>
    </cfRule>
  </conditionalFormatting>
  <dataValidations count="1">
    <dataValidation allowBlank="false" errorStyle="stop" operator="between" prompt="Choose a team member, or All team" showDropDown="false" showErrorMessage="false" showInputMessage="false" sqref="B2" type="list">
      <formula1>Lists!$R$4:$R$14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O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6"/>
    <col collapsed="false" customWidth="true" hidden="false" outlineLevel="0" max="3" min="3" style="1" width="24"/>
    <col collapsed="false" customWidth="true" hidden="false" outlineLevel="0" max="4" min="4" style="1" width="30"/>
    <col collapsed="false" customWidth="true" hidden="false" outlineLevel="0" max="5" min="5" style="1" width="52"/>
    <col collapsed="false" customWidth="true" hidden="false" outlineLevel="0" max="6" min="6" style="1" width="10"/>
    <col collapsed="false" customWidth="true" hidden="false" outlineLevel="0" max="7" min="7" style="1" width="11"/>
    <col collapsed="false" customWidth="true" hidden="false" outlineLevel="0" max="8" min="8" style="1" width="10"/>
    <col collapsed="false" customWidth="true" hidden="false" outlineLevel="0" max="9" min="9" style="1" width="14"/>
    <col collapsed="false" customWidth="true" hidden="false" outlineLevel="0" max="10" min="10" style="1" width="13"/>
    <col collapsed="false" customWidth="true" hidden="false" outlineLevel="0" max="11" min="11" style="1" width="10"/>
    <col collapsed="false" customWidth="true" hidden="false" outlineLevel="0" max="13" min="12" style="1" width="12"/>
    <col collapsed="false" customWidth="true" hidden="false" outlineLevel="0" max="15" min="14" style="1" width="26"/>
  </cols>
  <sheetData>
    <row r="1" customFormat="false" ht="25.5" hidden="false" customHeight="true" outlineLevel="0" collapsed="false">
      <c r="A1" s="2" t="s">
        <v>471</v>
      </c>
      <c r="B1" s="2"/>
      <c r="C1" s="2"/>
      <c r="D1" s="2"/>
      <c r="E1" s="2"/>
      <c r="F1" s="2"/>
      <c r="G1" s="2"/>
      <c r="H1" s="2"/>
      <c r="I1" s="2"/>
      <c r="J1" s="2"/>
      <c r="K1" s="2"/>
      <c r="L1" s="2"/>
      <c r="M1" s="2"/>
      <c r="N1" s="2"/>
      <c r="O1" s="2"/>
    </row>
    <row r="2" customFormat="false" ht="18" hidden="false" customHeight="true" outlineLevel="0" collapsed="false">
      <c r="A2" s="3" t="s">
        <v>472</v>
      </c>
      <c r="B2" s="3"/>
      <c r="C2" s="3"/>
      <c r="D2" s="3"/>
      <c r="E2" s="3"/>
      <c r="F2" s="3"/>
      <c r="G2" s="3"/>
      <c r="H2" s="3"/>
      <c r="I2" s="3"/>
      <c r="J2" s="3"/>
      <c r="K2" s="3"/>
      <c r="L2" s="3"/>
      <c r="M2" s="3"/>
      <c r="N2" s="3"/>
      <c r="O2" s="3"/>
    </row>
    <row r="3" customFormat="false" ht="30" hidden="false" customHeight="true" outlineLevel="0" collapsed="false">
      <c r="A3" s="31" t="s">
        <v>473</v>
      </c>
      <c r="B3" s="31" t="s">
        <v>318</v>
      </c>
      <c r="C3" s="31" t="s">
        <v>115</v>
      </c>
      <c r="D3" s="31" t="s">
        <v>474</v>
      </c>
      <c r="E3" s="31" t="s">
        <v>475</v>
      </c>
      <c r="F3" s="31" t="s">
        <v>476</v>
      </c>
      <c r="G3" s="31" t="s">
        <v>477</v>
      </c>
      <c r="H3" s="31" t="s">
        <v>478</v>
      </c>
      <c r="I3" s="31" t="s">
        <v>187</v>
      </c>
      <c r="J3" s="31" t="s">
        <v>202</v>
      </c>
      <c r="K3" s="31" t="s">
        <v>479</v>
      </c>
      <c r="L3" s="31" t="s">
        <v>480</v>
      </c>
      <c r="M3" s="31" t="s">
        <v>481</v>
      </c>
      <c r="N3" s="31" t="s">
        <v>482</v>
      </c>
      <c r="O3" s="31" t="s">
        <v>162</v>
      </c>
    </row>
    <row r="4" customFormat="false" ht="31.5" hidden="false" customHeight="true" outlineLevel="0" collapsed="false">
      <c r="A4" s="41" t="s">
        <v>483</v>
      </c>
      <c r="B4" s="78" t="s">
        <v>129</v>
      </c>
      <c r="C4" s="92" t="s">
        <v>484</v>
      </c>
      <c r="D4" s="92" t="s">
        <v>485</v>
      </c>
      <c r="E4" s="92" t="s">
        <v>486</v>
      </c>
      <c r="F4" s="41" t="s">
        <v>487</v>
      </c>
      <c r="G4" s="41" t="s">
        <v>488</v>
      </c>
      <c r="H4" s="41" t="s">
        <v>489</v>
      </c>
      <c r="I4" s="37"/>
      <c r="J4" s="47" t="s">
        <v>221</v>
      </c>
      <c r="K4" s="93" t="n">
        <v>0</v>
      </c>
      <c r="L4" s="36"/>
      <c r="M4" s="36"/>
      <c r="N4" s="38"/>
      <c r="O4" s="38"/>
    </row>
    <row r="5" customFormat="false" ht="31.5" hidden="false" customHeight="true" outlineLevel="0" collapsed="false">
      <c r="A5" s="41" t="s">
        <v>490</v>
      </c>
      <c r="B5" s="78" t="s">
        <v>129</v>
      </c>
      <c r="C5" s="92" t="s">
        <v>491</v>
      </c>
      <c r="D5" s="92" t="s">
        <v>492</v>
      </c>
      <c r="E5" s="92" t="s">
        <v>493</v>
      </c>
      <c r="F5" s="41" t="s">
        <v>487</v>
      </c>
      <c r="G5" s="41" t="s">
        <v>488</v>
      </c>
      <c r="H5" s="41" t="s">
        <v>489</v>
      </c>
      <c r="I5" s="37"/>
      <c r="J5" s="47" t="s">
        <v>221</v>
      </c>
      <c r="K5" s="93" t="n">
        <v>0</v>
      </c>
      <c r="L5" s="36"/>
      <c r="M5" s="36"/>
      <c r="N5" s="38"/>
      <c r="O5" s="38"/>
    </row>
    <row r="6" customFormat="false" ht="31.5" hidden="false" customHeight="true" outlineLevel="0" collapsed="false">
      <c r="A6" s="41" t="s">
        <v>494</v>
      </c>
      <c r="B6" s="78" t="s">
        <v>129</v>
      </c>
      <c r="C6" s="92" t="s">
        <v>123</v>
      </c>
      <c r="D6" s="92" t="s">
        <v>495</v>
      </c>
      <c r="E6" s="92" t="s">
        <v>496</v>
      </c>
      <c r="F6" s="41" t="s">
        <v>487</v>
      </c>
      <c r="G6" s="41" t="s">
        <v>488</v>
      </c>
      <c r="H6" s="41" t="s">
        <v>489</v>
      </c>
      <c r="I6" s="37"/>
      <c r="J6" s="47" t="s">
        <v>221</v>
      </c>
      <c r="K6" s="93" t="n">
        <v>0</v>
      </c>
      <c r="L6" s="36"/>
      <c r="M6" s="36"/>
      <c r="N6" s="38"/>
      <c r="O6" s="38"/>
    </row>
    <row r="7" customFormat="false" ht="31.5" hidden="false" customHeight="true" outlineLevel="0" collapsed="false">
      <c r="A7" s="41" t="s">
        <v>497</v>
      </c>
      <c r="B7" s="78" t="s">
        <v>129</v>
      </c>
      <c r="C7" s="92" t="s">
        <v>123</v>
      </c>
      <c r="D7" s="92" t="s">
        <v>498</v>
      </c>
      <c r="E7" s="92" t="s">
        <v>499</v>
      </c>
      <c r="F7" s="41" t="s">
        <v>487</v>
      </c>
      <c r="G7" s="41" t="s">
        <v>500</v>
      </c>
      <c r="H7" s="41" t="s">
        <v>501</v>
      </c>
      <c r="I7" s="37"/>
      <c r="J7" s="47" t="s">
        <v>221</v>
      </c>
      <c r="K7" s="93" t="n">
        <v>0</v>
      </c>
      <c r="L7" s="36"/>
      <c r="M7" s="36"/>
      <c r="N7" s="38"/>
      <c r="O7" s="38"/>
    </row>
    <row r="8" customFormat="false" ht="31.5" hidden="false" customHeight="true" outlineLevel="0" collapsed="false">
      <c r="A8" s="41" t="s">
        <v>502</v>
      </c>
      <c r="B8" s="78" t="s">
        <v>129</v>
      </c>
      <c r="C8" s="92" t="s">
        <v>129</v>
      </c>
      <c r="D8" s="92" t="s">
        <v>503</v>
      </c>
      <c r="E8" s="92" t="s">
        <v>504</v>
      </c>
      <c r="F8" s="41" t="s">
        <v>487</v>
      </c>
      <c r="G8" s="41" t="s">
        <v>500</v>
      </c>
      <c r="H8" s="41" t="s">
        <v>505</v>
      </c>
      <c r="I8" s="37"/>
      <c r="J8" s="47" t="s">
        <v>221</v>
      </c>
      <c r="K8" s="93" t="n">
        <v>0</v>
      </c>
      <c r="L8" s="36"/>
      <c r="M8" s="36"/>
      <c r="N8" s="38"/>
      <c r="O8" s="38"/>
    </row>
    <row r="9" customFormat="false" ht="31.5" hidden="false" customHeight="true" outlineLevel="0" collapsed="false">
      <c r="A9" s="41" t="s">
        <v>506</v>
      </c>
      <c r="B9" s="78" t="s">
        <v>129</v>
      </c>
      <c r="C9" s="92" t="s">
        <v>129</v>
      </c>
      <c r="D9" s="92" t="s">
        <v>507</v>
      </c>
      <c r="E9" s="92" t="s">
        <v>508</v>
      </c>
      <c r="F9" s="41" t="s">
        <v>487</v>
      </c>
      <c r="G9" s="41" t="s">
        <v>500</v>
      </c>
      <c r="H9" s="41" t="s">
        <v>509</v>
      </c>
      <c r="I9" s="37"/>
      <c r="J9" s="47" t="s">
        <v>221</v>
      </c>
      <c r="K9" s="93" t="n">
        <v>0</v>
      </c>
      <c r="L9" s="36"/>
      <c r="M9" s="36"/>
      <c r="N9" s="38"/>
      <c r="O9" s="38"/>
    </row>
    <row r="10" customFormat="false" ht="31.5" hidden="false" customHeight="true" outlineLevel="0" collapsed="false">
      <c r="A10" s="41" t="s">
        <v>510</v>
      </c>
      <c r="B10" s="78" t="s">
        <v>129</v>
      </c>
      <c r="C10" s="92" t="s">
        <v>129</v>
      </c>
      <c r="D10" s="92" t="s">
        <v>511</v>
      </c>
      <c r="E10" s="92" t="s">
        <v>512</v>
      </c>
      <c r="F10" s="41" t="s">
        <v>487</v>
      </c>
      <c r="G10" s="41" t="s">
        <v>500</v>
      </c>
      <c r="H10" s="41" t="s">
        <v>513</v>
      </c>
      <c r="I10" s="37"/>
      <c r="J10" s="47" t="s">
        <v>221</v>
      </c>
      <c r="K10" s="93" t="n">
        <v>0</v>
      </c>
      <c r="L10" s="36"/>
      <c r="M10" s="36"/>
      <c r="N10" s="38"/>
      <c r="O10" s="38"/>
    </row>
    <row r="11" customFormat="false" ht="31.5" hidden="false" customHeight="true" outlineLevel="0" collapsed="false">
      <c r="A11" s="41" t="s">
        <v>514</v>
      </c>
      <c r="B11" s="78" t="s">
        <v>129</v>
      </c>
      <c r="C11" s="92" t="s">
        <v>129</v>
      </c>
      <c r="D11" s="92" t="s">
        <v>515</v>
      </c>
      <c r="E11" s="92" t="s">
        <v>516</v>
      </c>
      <c r="F11" s="41" t="s">
        <v>487</v>
      </c>
      <c r="G11" s="41" t="s">
        <v>500</v>
      </c>
      <c r="H11" s="41" t="s">
        <v>517</v>
      </c>
      <c r="I11" s="37"/>
      <c r="J11" s="47" t="s">
        <v>221</v>
      </c>
      <c r="K11" s="93" t="n">
        <v>0</v>
      </c>
      <c r="L11" s="36"/>
      <c r="M11" s="36"/>
      <c r="N11" s="38"/>
      <c r="O11" s="38"/>
    </row>
    <row r="12" customFormat="false" ht="31.5" hidden="false" customHeight="true" outlineLevel="0" collapsed="false">
      <c r="A12" s="41" t="s">
        <v>518</v>
      </c>
      <c r="B12" s="78" t="s">
        <v>129</v>
      </c>
      <c r="C12" s="92" t="s">
        <v>484</v>
      </c>
      <c r="D12" s="92" t="s">
        <v>519</v>
      </c>
      <c r="E12" s="92" t="s">
        <v>520</v>
      </c>
      <c r="F12" s="41" t="s">
        <v>212</v>
      </c>
      <c r="G12" s="41" t="s">
        <v>521</v>
      </c>
      <c r="H12" s="41" t="s">
        <v>522</v>
      </c>
      <c r="I12" s="37"/>
      <c r="J12" s="47" t="s">
        <v>221</v>
      </c>
      <c r="K12" s="93" t="n">
        <v>0</v>
      </c>
      <c r="L12" s="36"/>
      <c r="M12" s="36"/>
      <c r="N12" s="38"/>
      <c r="O12" s="38"/>
    </row>
    <row r="13" customFormat="false" ht="31.5" hidden="false" customHeight="true" outlineLevel="0" collapsed="false">
      <c r="A13" s="41" t="s">
        <v>523</v>
      </c>
      <c r="B13" s="78" t="s">
        <v>129</v>
      </c>
      <c r="C13" s="92" t="s">
        <v>129</v>
      </c>
      <c r="D13" s="92" t="s">
        <v>524</v>
      </c>
      <c r="E13" s="92" t="s">
        <v>525</v>
      </c>
      <c r="F13" s="41" t="s">
        <v>212</v>
      </c>
      <c r="G13" s="41" t="s">
        <v>500</v>
      </c>
      <c r="H13" s="41" t="s">
        <v>509</v>
      </c>
      <c r="I13" s="37"/>
      <c r="J13" s="47" t="s">
        <v>221</v>
      </c>
      <c r="K13" s="93" t="n">
        <v>0</v>
      </c>
      <c r="L13" s="36"/>
      <c r="M13" s="36"/>
      <c r="N13" s="38"/>
      <c r="O13" s="38"/>
    </row>
    <row r="14" customFormat="false" ht="31.5" hidden="false" customHeight="true" outlineLevel="0" collapsed="false">
      <c r="A14" s="41" t="s">
        <v>526</v>
      </c>
      <c r="B14" s="78" t="s">
        <v>129</v>
      </c>
      <c r="C14" s="92" t="s">
        <v>527</v>
      </c>
      <c r="D14" s="92" t="s">
        <v>528</v>
      </c>
      <c r="E14" s="92" t="s">
        <v>529</v>
      </c>
      <c r="F14" s="41" t="s">
        <v>212</v>
      </c>
      <c r="G14" s="41" t="s">
        <v>530</v>
      </c>
      <c r="H14" s="41" t="s">
        <v>489</v>
      </c>
      <c r="I14" s="37"/>
      <c r="J14" s="47" t="s">
        <v>221</v>
      </c>
      <c r="K14" s="93" t="n">
        <v>0</v>
      </c>
      <c r="L14" s="36"/>
      <c r="M14" s="36"/>
      <c r="N14" s="38"/>
      <c r="O14" s="38"/>
    </row>
    <row r="15" customFormat="false" ht="31.5" hidden="false" customHeight="true" outlineLevel="0" collapsed="false">
      <c r="A15" s="41" t="s">
        <v>531</v>
      </c>
      <c r="B15" s="78" t="s">
        <v>129</v>
      </c>
      <c r="C15" s="92" t="s">
        <v>532</v>
      </c>
      <c r="D15" s="92" t="s">
        <v>533</v>
      </c>
      <c r="E15" s="92" t="s">
        <v>534</v>
      </c>
      <c r="F15" s="41" t="s">
        <v>212</v>
      </c>
      <c r="G15" s="41" t="s">
        <v>521</v>
      </c>
      <c r="H15" s="41" t="s">
        <v>522</v>
      </c>
      <c r="I15" s="37"/>
      <c r="J15" s="47" t="s">
        <v>221</v>
      </c>
      <c r="K15" s="93" t="n">
        <v>0</v>
      </c>
      <c r="L15" s="36"/>
      <c r="M15" s="36"/>
      <c r="N15" s="38"/>
      <c r="O15" s="38"/>
    </row>
    <row r="16" customFormat="false" ht="31.5" hidden="false" customHeight="true" outlineLevel="0" collapsed="false">
      <c r="A16" s="41" t="s">
        <v>535</v>
      </c>
      <c r="B16" s="78" t="s">
        <v>322</v>
      </c>
      <c r="C16" s="92" t="s">
        <v>536</v>
      </c>
      <c r="D16" s="92" t="s">
        <v>537</v>
      </c>
      <c r="E16" s="92" t="s">
        <v>538</v>
      </c>
      <c r="F16" s="41" t="s">
        <v>212</v>
      </c>
      <c r="G16" s="41" t="s">
        <v>521</v>
      </c>
      <c r="H16" s="41" t="s">
        <v>522</v>
      </c>
      <c r="I16" s="37"/>
      <c r="J16" s="47" t="s">
        <v>221</v>
      </c>
      <c r="K16" s="93" t="n">
        <v>0</v>
      </c>
      <c r="L16" s="36"/>
      <c r="M16" s="36"/>
      <c r="N16" s="38"/>
      <c r="O16" s="38"/>
    </row>
    <row r="17" customFormat="false" ht="31.5" hidden="false" customHeight="true" outlineLevel="0" collapsed="false">
      <c r="A17" s="41" t="s">
        <v>539</v>
      </c>
      <c r="B17" s="78" t="s">
        <v>322</v>
      </c>
      <c r="C17" s="92" t="s">
        <v>540</v>
      </c>
      <c r="D17" s="92" t="s">
        <v>541</v>
      </c>
      <c r="E17" s="92" t="s">
        <v>542</v>
      </c>
      <c r="F17" s="41" t="s">
        <v>134</v>
      </c>
      <c r="G17" s="41" t="s">
        <v>521</v>
      </c>
      <c r="H17" s="41" t="s">
        <v>522</v>
      </c>
      <c r="I17" s="37"/>
      <c r="J17" s="47" t="s">
        <v>221</v>
      </c>
      <c r="K17" s="93" t="n">
        <v>0</v>
      </c>
      <c r="L17" s="36"/>
      <c r="M17" s="36"/>
      <c r="N17" s="38"/>
      <c r="O17" s="38"/>
    </row>
    <row r="18" customFormat="false" ht="31.5" hidden="false" customHeight="true" outlineLevel="0" collapsed="false">
      <c r="A18" s="41" t="s">
        <v>543</v>
      </c>
      <c r="B18" s="78" t="s">
        <v>322</v>
      </c>
      <c r="C18" s="92" t="s">
        <v>544</v>
      </c>
      <c r="D18" s="92" t="s">
        <v>545</v>
      </c>
      <c r="E18" s="92" t="s">
        <v>546</v>
      </c>
      <c r="F18" s="41" t="s">
        <v>212</v>
      </c>
      <c r="G18" s="41" t="s">
        <v>521</v>
      </c>
      <c r="H18" s="41" t="s">
        <v>522</v>
      </c>
      <c r="I18" s="37"/>
      <c r="J18" s="47" t="s">
        <v>221</v>
      </c>
      <c r="K18" s="93" t="n">
        <v>0</v>
      </c>
      <c r="L18" s="36"/>
      <c r="M18" s="36"/>
      <c r="N18" s="38"/>
      <c r="O18" s="38"/>
    </row>
    <row r="19" customFormat="false" ht="31.5" hidden="false" customHeight="true" outlineLevel="0" collapsed="false">
      <c r="A19" s="41" t="s">
        <v>547</v>
      </c>
      <c r="B19" s="78" t="s">
        <v>322</v>
      </c>
      <c r="C19" s="92" t="s">
        <v>548</v>
      </c>
      <c r="D19" s="92" t="s">
        <v>549</v>
      </c>
      <c r="E19" s="92" t="s">
        <v>550</v>
      </c>
      <c r="F19" s="41" t="s">
        <v>134</v>
      </c>
      <c r="G19" s="41" t="s">
        <v>500</v>
      </c>
      <c r="H19" s="41" t="s">
        <v>551</v>
      </c>
      <c r="I19" s="37"/>
      <c r="J19" s="47" t="s">
        <v>221</v>
      </c>
      <c r="K19" s="93" t="n">
        <v>0</v>
      </c>
      <c r="L19" s="36"/>
      <c r="M19" s="36"/>
      <c r="N19" s="38"/>
      <c r="O19" s="38"/>
    </row>
    <row r="20" customFormat="false" ht="31.5" hidden="false" customHeight="true" outlineLevel="0" collapsed="false">
      <c r="A20" s="41" t="s">
        <v>552</v>
      </c>
      <c r="B20" s="78" t="s">
        <v>322</v>
      </c>
      <c r="C20" s="92" t="s">
        <v>553</v>
      </c>
      <c r="D20" s="92" t="s">
        <v>549</v>
      </c>
      <c r="E20" s="92" t="s">
        <v>554</v>
      </c>
      <c r="F20" s="41" t="s">
        <v>134</v>
      </c>
      <c r="G20" s="41" t="s">
        <v>521</v>
      </c>
      <c r="H20" s="41" t="s">
        <v>522</v>
      </c>
      <c r="I20" s="37"/>
      <c r="J20" s="47" t="s">
        <v>221</v>
      </c>
      <c r="K20" s="93" t="n">
        <v>0</v>
      </c>
      <c r="L20" s="36"/>
      <c r="M20" s="36"/>
      <c r="N20" s="38"/>
      <c r="O20" s="38"/>
    </row>
    <row r="21" customFormat="false" ht="31.5" hidden="false" customHeight="true" outlineLevel="0" collapsed="false">
      <c r="A21" s="41" t="s">
        <v>555</v>
      </c>
      <c r="B21" s="78" t="s">
        <v>322</v>
      </c>
      <c r="C21" s="92" t="s">
        <v>556</v>
      </c>
      <c r="D21" s="92" t="s">
        <v>557</v>
      </c>
      <c r="E21" s="92" t="s">
        <v>558</v>
      </c>
      <c r="F21" s="41" t="s">
        <v>134</v>
      </c>
      <c r="G21" s="41" t="s">
        <v>521</v>
      </c>
      <c r="H21" s="41" t="s">
        <v>522</v>
      </c>
      <c r="I21" s="37"/>
      <c r="J21" s="47" t="s">
        <v>221</v>
      </c>
      <c r="K21" s="93" t="n">
        <v>0</v>
      </c>
      <c r="L21" s="36"/>
      <c r="M21" s="36"/>
      <c r="N21" s="38"/>
      <c r="O21" s="38"/>
    </row>
    <row r="22" customFormat="false" ht="31.5" hidden="false" customHeight="true" outlineLevel="0" collapsed="false">
      <c r="A22" s="41" t="s">
        <v>559</v>
      </c>
      <c r="B22" s="78" t="s">
        <v>322</v>
      </c>
      <c r="C22" s="92" t="s">
        <v>560</v>
      </c>
      <c r="D22" s="92" t="s">
        <v>561</v>
      </c>
      <c r="E22" s="92" t="s">
        <v>562</v>
      </c>
      <c r="F22" s="41" t="s">
        <v>487</v>
      </c>
      <c r="G22" s="41" t="s">
        <v>563</v>
      </c>
      <c r="H22" s="41" t="s">
        <v>489</v>
      </c>
      <c r="I22" s="37"/>
      <c r="J22" s="47" t="s">
        <v>221</v>
      </c>
      <c r="K22" s="93" t="n">
        <v>0</v>
      </c>
      <c r="L22" s="36"/>
      <c r="M22" s="36"/>
      <c r="N22" s="38"/>
      <c r="O22" s="38"/>
    </row>
    <row r="23" customFormat="false" ht="31.5" hidden="false" customHeight="true" outlineLevel="0" collapsed="false">
      <c r="A23" s="41" t="s">
        <v>564</v>
      </c>
      <c r="B23" s="78" t="s">
        <v>322</v>
      </c>
      <c r="C23" s="92" t="s">
        <v>565</v>
      </c>
      <c r="D23" s="92" t="s">
        <v>566</v>
      </c>
      <c r="E23" s="92" t="s">
        <v>567</v>
      </c>
      <c r="F23" s="41" t="s">
        <v>212</v>
      </c>
      <c r="G23" s="41" t="s">
        <v>521</v>
      </c>
      <c r="H23" s="41" t="s">
        <v>522</v>
      </c>
      <c r="I23" s="37"/>
      <c r="J23" s="47" t="s">
        <v>221</v>
      </c>
      <c r="K23" s="93" t="n">
        <v>0</v>
      </c>
      <c r="L23" s="36"/>
      <c r="M23" s="36"/>
      <c r="N23" s="38"/>
      <c r="O23" s="38"/>
    </row>
    <row r="24" customFormat="false" ht="31.5" hidden="false" customHeight="true" outlineLevel="0" collapsed="false">
      <c r="A24" s="41" t="s">
        <v>568</v>
      </c>
      <c r="B24" s="78" t="s">
        <v>322</v>
      </c>
      <c r="C24" s="92" t="s">
        <v>569</v>
      </c>
      <c r="D24" s="92" t="s">
        <v>570</v>
      </c>
      <c r="E24" s="92" t="s">
        <v>571</v>
      </c>
      <c r="F24" s="41" t="s">
        <v>572</v>
      </c>
      <c r="G24" s="41" t="s">
        <v>563</v>
      </c>
      <c r="H24" s="41" t="s">
        <v>551</v>
      </c>
      <c r="I24" s="37"/>
      <c r="J24" s="47" t="s">
        <v>221</v>
      </c>
      <c r="K24" s="93" t="n">
        <v>0</v>
      </c>
      <c r="L24" s="36"/>
      <c r="M24" s="36"/>
      <c r="N24" s="38"/>
      <c r="O24" s="38"/>
    </row>
    <row r="25" customFormat="false" ht="31.5" hidden="false" customHeight="true" outlineLevel="0" collapsed="false">
      <c r="A25" s="41" t="s">
        <v>573</v>
      </c>
      <c r="B25" s="78" t="s">
        <v>322</v>
      </c>
      <c r="C25" s="92" t="s">
        <v>574</v>
      </c>
      <c r="D25" s="92" t="s">
        <v>575</v>
      </c>
      <c r="E25" s="92" t="s">
        <v>576</v>
      </c>
      <c r="F25" s="41" t="s">
        <v>134</v>
      </c>
      <c r="G25" s="41" t="s">
        <v>563</v>
      </c>
      <c r="H25" s="41" t="s">
        <v>489</v>
      </c>
      <c r="I25" s="37"/>
      <c r="J25" s="47" t="s">
        <v>221</v>
      </c>
      <c r="K25" s="93" t="n">
        <v>0</v>
      </c>
      <c r="L25" s="36"/>
      <c r="M25" s="36"/>
      <c r="N25" s="38"/>
      <c r="O25" s="38"/>
    </row>
    <row r="26" customFormat="false" ht="31.5" hidden="false" customHeight="true" outlineLevel="0" collapsed="false">
      <c r="A26" s="41" t="s">
        <v>577</v>
      </c>
      <c r="B26" s="78" t="s">
        <v>322</v>
      </c>
      <c r="C26" s="92" t="s">
        <v>578</v>
      </c>
      <c r="D26" s="92" t="s">
        <v>575</v>
      </c>
      <c r="E26" s="92" t="s">
        <v>579</v>
      </c>
      <c r="F26" s="41" t="s">
        <v>572</v>
      </c>
      <c r="G26" s="41" t="s">
        <v>563</v>
      </c>
      <c r="H26" s="41" t="s">
        <v>489</v>
      </c>
      <c r="I26" s="37"/>
      <c r="J26" s="47" t="s">
        <v>221</v>
      </c>
      <c r="K26" s="93" t="n">
        <v>0</v>
      </c>
      <c r="L26" s="36"/>
      <c r="M26" s="36"/>
      <c r="N26" s="38"/>
      <c r="O26" s="38"/>
    </row>
    <row r="27" customFormat="false" ht="31.5" hidden="false" customHeight="true" outlineLevel="0" collapsed="false">
      <c r="A27" s="41" t="s">
        <v>580</v>
      </c>
      <c r="B27" s="78" t="s">
        <v>322</v>
      </c>
      <c r="C27" s="92" t="s">
        <v>581</v>
      </c>
      <c r="D27" s="92" t="s">
        <v>582</v>
      </c>
      <c r="E27" s="92" t="s">
        <v>583</v>
      </c>
      <c r="F27" s="41" t="s">
        <v>572</v>
      </c>
      <c r="G27" s="41" t="s">
        <v>584</v>
      </c>
      <c r="H27" s="41" t="s">
        <v>489</v>
      </c>
      <c r="I27" s="37"/>
      <c r="J27" s="47" t="s">
        <v>221</v>
      </c>
      <c r="K27" s="93" t="n">
        <v>0</v>
      </c>
      <c r="L27" s="36"/>
      <c r="M27" s="36"/>
      <c r="N27" s="38"/>
      <c r="O27" s="38"/>
    </row>
    <row r="28" customFormat="false" ht="31.5" hidden="false" customHeight="true" outlineLevel="0" collapsed="false">
      <c r="A28" s="41" t="s">
        <v>585</v>
      </c>
      <c r="B28" s="78" t="s">
        <v>323</v>
      </c>
      <c r="C28" s="92" t="s">
        <v>134</v>
      </c>
      <c r="D28" s="92" t="s">
        <v>586</v>
      </c>
      <c r="E28" s="92" t="s">
        <v>587</v>
      </c>
      <c r="F28" s="41" t="s">
        <v>212</v>
      </c>
      <c r="G28" s="41" t="s">
        <v>563</v>
      </c>
      <c r="H28" s="41" t="s">
        <v>489</v>
      </c>
      <c r="I28" s="37"/>
      <c r="J28" s="47" t="s">
        <v>221</v>
      </c>
      <c r="K28" s="93" t="n">
        <v>0</v>
      </c>
      <c r="L28" s="36"/>
      <c r="M28" s="36"/>
      <c r="N28" s="38"/>
      <c r="O28" s="38"/>
    </row>
    <row r="29" customFormat="false" ht="31.5" hidden="false" customHeight="true" outlineLevel="0" collapsed="false">
      <c r="A29" s="41" t="s">
        <v>588</v>
      </c>
      <c r="B29" s="78" t="s">
        <v>323</v>
      </c>
      <c r="C29" s="92" t="s">
        <v>589</v>
      </c>
      <c r="D29" s="92" t="s">
        <v>590</v>
      </c>
      <c r="E29" s="92" t="s">
        <v>591</v>
      </c>
      <c r="F29" s="41" t="s">
        <v>134</v>
      </c>
      <c r="G29" s="41" t="s">
        <v>530</v>
      </c>
      <c r="H29" s="41" t="s">
        <v>489</v>
      </c>
      <c r="I29" s="37"/>
      <c r="J29" s="47" t="s">
        <v>221</v>
      </c>
      <c r="K29" s="93" t="n">
        <v>0</v>
      </c>
      <c r="L29" s="36"/>
      <c r="M29" s="36"/>
      <c r="N29" s="38"/>
      <c r="O29" s="38"/>
    </row>
    <row r="30" customFormat="false" ht="31.5" hidden="false" customHeight="true" outlineLevel="0" collapsed="false">
      <c r="A30" s="41" t="s">
        <v>592</v>
      </c>
      <c r="B30" s="78" t="s">
        <v>323</v>
      </c>
      <c r="C30" s="92" t="s">
        <v>593</v>
      </c>
      <c r="D30" s="92" t="s">
        <v>594</v>
      </c>
      <c r="E30" s="92" t="s">
        <v>595</v>
      </c>
      <c r="F30" s="41" t="s">
        <v>134</v>
      </c>
      <c r="G30" s="41" t="s">
        <v>584</v>
      </c>
      <c r="H30" s="41" t="s">
        <v>489</v>
      </c>
      <c r="I30" s="37"/>
      <c r="J30" s="47" t="s">
        <v>221</v>
      </c>
      <c r="K30" s="93" t="n">
        <v>0</v>
      </c>
      <c r="L30" s="36"/>
      <c r="M30" s="36"/>
      <c r="N30" s="38"/>
      <c r="O30" s="38"/>
    </row>
    <row r="31" customFormat="false" ht="31.5" hidden="false" customHeight="true" outlineLevel="0" collapsed="false">
      <c r="A31" s="41" t="s">
        <v>596</v>
      </c>
      <c r="B31" s="78" t="s">
        <v>323</v>
      </c>
      <c r="C31" s="92" t="s">
        <v>597</v>
      </c>
      <c r="D31" s="92" t="s">
        <v>598</v>
      </c>
      <c r="E31" s="92" t="s">
        <v>599</v>
      </c>
      <c r="F31" s="41" t="s">
        <v>212</v>
      </c>
      <c r="G31" s="41" t="s">
        <v>563</v>
      </c>
      <c r="H31" s="41" t="s">
        <v>489</v>
      </c>
      <c r="I31" s="37"/>
      <c r="J31" s="47" t="s">
        <v>221</v>
      </c>
      <c r="K31" s="93" t="n">
        <v>0</v>
      </c>
      <c r="L31" s="36"/>
      <c r="M31" s="36"/>
      <c r="N31" s="38"/>
      <c r="O31" s="38"/>
    </row>
    <row r="32" customFormat="false" ht="31.5" hidden="false" customHeight="true" outlineLevel="0" collapsed="false">
      <c r="A32" s="41" t="s">
        <v>600</v>
      </c>
      <c r="B32" s="78" t="s">
        <v>323</v>
      </c>
      <c r="C32" s="92" t="s">
        <v>601</v>
      </c>
      <c r="D32" s="92" t="s">
        <v>602</v>
      </c>
      <c r="E32" s="92" t="s">
        <v>603</v>
      </c>
      <c r="F32" s="41" t="s">
        <v>487</v>
      </c>
      <c r="G32" s="41" t="s">
        <v>530</v>
      </c>
      <c r="H32" s="41" t="s">
        <v>489</v>
      </c>
      <c r="I32" s="37"/>
      <c r="J32" s="47" t="s">
        <v>221</v>
      </c>
      <c r="K32" s="93" t="n">
        <v>0</v>
      </c>
      <c r="L32" s="36"/>
      <c r="M32" s="36"/>
      <c r="N32" s="38"/>
      <c r="O32" s="38"/>
    </row>
    <row r="33" customFormat="false" ht="31.5" hidden="false" customHeight="true" outlineLevel="0" collapsed="false">
      <c r="A33" s="41" t="s">
        <v>604</v>
      </c>
      <c r="B33" s="78" t="s">
        <v>323</v>
      </c>
      <c r="C33" s="92" t="s">
        <v>605</v>
      </c>
      <c r="D33" s="92" t="s">
        <v>606</v>
      </c>
      <c r="E33" s="92" t="s">
        <v>607</v>
      </c>
      <c r="F33" s="41" t="s">
        <v>212</v>
      </c>
      <c r="G33" s="41" t="s">
        <v>563</v>
      </c>
      <c r="H33" s="41" t="s">
        <v>489</v>
      </c>
      <c r="I33" s="37"/>
      <c r="J33" s="47" t="s">
        <v>221</v>
      </c>
      <c r="K33" s="93" t="n">
        <v>0</v>
      </c>
      <c r="L33" s="36"/>
      <c r="M33" s="36"/>
      <c r="N33" s="38"/>
      <c r="O33" s="38"/>
    </row>
    <row r="34" customFormat="false" ht="31.5" hidden="false" customHeight="true" outlineLevel="0" collapsed="false">
      <c r="A34" s="41" t="s">
        <v>608</v>
      </c>
      <c r="B34" s="78" t="s">
        <v>323</v>
      </c>
      <c r="C34" s="92" t="s">
        <v>609</v>
      </c>
      <c r="D34" s="92" t="s">
        <v>610</v>
      </c>
      <c r="E34" s="92" t="s">
        <v>611</v>
      </c>
      <c r="F34" s="41" t="s">
        <v>134</v>
      </c>
      <c r="G34" s="41" t="s">
        <v>563</v>
      </c>
      <c r="H34" s="41" t="s">
        <v>489</v>
      </c>
      <c r="I34" s="37"/>
      <c r="J34" s="47" t="s">
        <v>221</v>
      </c>
      <c r="K34" s="93" t="n">
        <v>0</v>
      </c>
      <c r="L34" s="36"/>
      <c r="M34" s="36"/>
      <c r="N34" s="38"/>
      <c r="O34" s="38"/>
    </row>
    <row r="35" customFormat="false" ht="31.5" hidden="false" customHeight="true" outlineLevel="0" collapsed="false">
      <c r="A35" s="41" t="s">
        <v>612</v>
      </c>
      <c r="B35" s="78" t="s">
        <v>323</v>
      </c>
      <c r="C35" s="92" t="s">
        <v>613</v>
      </c>
      <c r="D35" s="92" t="s">
        <v>614</v>
      </c>
      <c r="E35" s="92" t="s">
        <v>615</v>
      </c>
      <c r="F35" s="41" t="s">
        <v>572</v>
      </c>
      <c r="G35" s="41" t="s">
        <v>584</v>
      </c>
      <c r="H35" s="41" t="s">
        <v>489</v>
      </c>
      <c r="I35" s="37"/>
      <c r="J35" s="47" t="s">
        <v>221</v>
      </c>
      <c r="K35" s="93" t="n">
        <v>0</v>
      </c>
      <c r="L35" s="36"/>
      <c r="M35" s="36"/>
      <c r="N35" s="38"/>
      <c r="O35" s="38"/>
    </row>
    <row r="36" customFormat="false" ht="31.5" hidden="false" customHeight="true" outlineLevel="0" collapsed="false">
      <c r="A36" s="41" t="s">
        <v>616</v>
      </c>
      <c r="B36" s="78" t="s">
        <v>323</v>
      </c>
      <c r="C36" s="92" t="s">
        <v>617</v>
      </c>
      <c r="D36" s="92" t="s">
        <v>618</v>
      </c>
      <c r="E36" s="92" t="s">
        <v>619</v>
      </c>
      <c r="F36" s="41" t="s">
        <v>572</v>
      </c>
      <c r="G36" s="41" t="s">
        <v>584</v>
      </c>
      <c r="H36" s="41" t="s">
        <v>489</v>
      </c>
      <c r="I36" s="37"/>
      <c r="J36" s="47" t="s">
        <v>221</v>
      </c>
      <c r="K36" s="93" t="n">
        <v>0</v>
      </c>
      <c r="L36" s="36"/>
      <c r="M36" s="36"/>
      <c r="N36" s="38"/>
      <c r="O36" s="38"/>
    </row>
    <row r="37" customFormat="false" ht="31.5" hidden="false" customHeight="true" outlineLevel="0" collapsed="false">
      <c r="A37" s="41" t="s">
        <v>620</v>
      </c>
      <c r="B37" s="78" t="s">
        <v>323</v>
      </c>
      <c r="C37" s="92" t="s">
        <v>621</v>
      </c>
      <c r="D37" s="92" t="s">
        <v>622</v>
      </c>
      <c r="E37" s="92" t="s">
        <v>623</v>
      </c>
      <c r="F37" s="41" t="s">
        <v>572</v>
      </c>
      <c r="G37" s="41" t="s">
        <v>584</v>
      </c>
      <c r="H37" s="41" t="s">
        <v>489</v>
      </c>
      <c r="I37" s="37"/>
      <c r="J37" s="47" t="s">
        <v>221</v>
      </c>
      <c r="K37" s="93" t="n">
        <v>0</v>
      </c>
      <c r="L37" s="36"/>
      <c r="M37" s="36"/>
      <c r="N37" s="38"/>
      <c r="O37" s="38"/>
    </row>
    <row r="38" customFormat="false" ht="31.5" hidden="false" customHeight="true" outlineLevel="0" collapsed="false">
      <c r="A38" s="41" t="s">
        <v>624</v>
      </c>
      <c r="B38" s="78" t="s">
        <v>323</v>
      </c>
      <c r="C38" s="92" t="s">
        <v>625</v>
      </c>
      <c r="D38" s="92" t="s">
        <v>622</v>
      </c>
      <c r="E38" s="92" t="s">
        <v>626</v>
      </c>
      <c r="F38" s="41" t="s">
        <v>572</v>
      </c>
      <c r="G38" s="41" t="s">
        <v>584</v>
      </c>
      <c r="H38" s="41" t="s">
        <v>489</v>
      </c>
      <c r="I38" s="37"/>
      <c r="J38" s="47" t="s">
        <v>221</v>
      </c>
      <c r="K38" s="93" t="n">
        <v>0</v>
      </c>
      <c r="L38" s="36"/>
      <c r="M38" s="36"/>
      <c r="N38" s="38"/>
      <c r="O38" s="38"/>
    </row>
    <row r="39" customFormat="false" ht="31.5" hidden="false" customHeight="true" outlineLevel="0" collapsed="false">
      <c r="A39" s="41" t="s">
        <v>627</v>
      </c>
      <c r="B39" s="78" t="s">
        <v>323</v>
      </c>
      <c r="C39" s="92" t="s">
        <v>597</v>
      </c>
      <c r="D39" s="92" t="s">
        <v>628</v>
      </c>
      <c r="E39" s="92" t="s">
        <v>629</v>
      </c>
      <c r="F39" s="41" t="s">
        <v>487</v>
      </c>
      <c r="G39" s="41" t="s">
        <v>563</v>
      </c>
      <c r="H39" s="41" t="s">
        <v>489</v>
      </c>
      <c r="I39" s="37"/>
      <c r="J39" s="47" t="s">
        <v>221</v>
      </c>
      <c r="K39" s="93" t="n">
        <v>0</v>
      </c>
      <c r="L39" s="36"/>
      <c r="M39" s="36"/>
      <c r="N39" s="38"/>
      <c r="O39" s="38"/>
    </row>
    <row r="40" customFormat="false" ht="31.5" hidden="false" customHeight="true" outlineLevel="0" collapsed="false">
      <c r="A40" s="41" t="s">
        <v>630</v>
      </c>
      <c r="B40" s="78" t="s">
        <v>324</v>
      </c>
      <c r="C40" s="92" t="s">
        <v>631</v>
      </c>
      <c r="D40" s="92" t="s">
        <v>632</v>
      </c>
      <c r="E40" s="92" t="s">
        <v>633</v>
      </c>
      <c r="F40" s="41" t="s">
        <v>212</v>
      </c>
      <c r="G40" s="41" t="s">
        <v>521</v>
      </c>
      <c r="H40" s="41" t="s">
        <v>522</v>
      </c>
      <c r="I40" s="37"/>
      <c r="J40" s="47" t="s">
        <v>221</v>
      </c>
      <c r="K40" s="93" t="n">
        <v>0</v>
      </c>
      <c r="L40" s="36"/>
      <c r="M40" s="36"/>
      <c r="N40" s="38"/>
      <c r="O40" s="38"/>
    </row>
    <row r="41" customFormat="false" ht="31.5" hidden="false" customHeight="true" outlineLevel="0" collapsed="false">
      <c r="A41" s="41" t="s">
        <v>634</v>
      </c>
      <c r="B41" s="78" t="s">
        <v>324</v>
      </c>
      <c r="C41" s="92" t="s">
        <v>635</v>
      </c>
      <c r="D41" s="92" t="s">
        <v>636</v>
      </c>
      <c r="E41" s="92" t="s">
        <v>637</v>
      </c>
      <c r="F41" s="41" t="s">
        <v>212</v>
      </c>
      <c r="G41" s="41" t="s">
        <v>521</v>
      </c>
      <c r="H41" s="41" t="s">
        <v>522</v>
      </c>
      <c r="I41" s="37"/>
      <c r="J41" s="47" t="s">
        <v>221</v>
      </c>
      <c r="K41" s="93" t="n">
        <v>0</v>
      </c>
      <c r="L41" s="36"/>
      <c r="M41" s="36"/>
      <c r="N41" s="38"/>
      <c r="O41" s="38"/>
    </row>
    <row r="42" customFormat="false" ht="31.5" hidden="false" customHeight="true" outlineLevel="0" collapsed="false">
      <c r="A42" s="41" t="s">
        <v>638</v>
      </c>
      <c r="B42" s="78" t="s">
        <v>324</v>
      </c>
      <c r="C42" s="92" t="s">
        <v>639</v>
      </c>
      <c r="D42" s="92" t="s">
        <v>640</v>
      </c>
      <c r="E42" s="92" t="s">
        <v>641</v>
      </c>
      <c r="F42" s="41" t="s">
        <v>134</v>
      </c>
      <c r="G42" s="41" t="s">
        <v>563</v>
      </c>
      <c r="H42" s="41" t="s">
        <v>642</v>
      </c>
      <c r="I42" s="37"/>
      <c r="J42" s="47" t="s">
        <v>221</v>
      </c>
      <c r="K42" s="93" t="n">
        <v>0</v>
      </c>
      <c r="L42" s="36"/>
      <c r="M42" s="36"/>
      <c r="N42" s="38"/>
      <c r="O42" s="38"/>
    </row>
    <row r="43" customFormat="false" ht="31.5" hidden="false" customHeight="true" outlineLevel="0" collapsed="false">
      <c r="A43" s="41" t="s">
        <v>643</v>
      </c>
      <c r="B43" s="78" t="s">
        <v>324</v>
      </c>
      <c r="C43" s="92" t="s">
        <v>644</v>
      </c>
      <c r="D43" s="92" t="s">
        <v>645</v>
      </c>
      <c r="E43" s="92" t="s">
        <v>646</v>
      </c>
      <c r="F43" s="41" t="s">
        <v>134</v>
      </c>
      <c r="G43" s="41" t="s">
        <v>563</v>
      </c>
      <c r="H43" s="41" t="s">
        <v>642</v>
      </c>
      <c r="I43" s="37"/>
      <c r="J43" s="47" t="s">
        <v>221</v>
      </c>
      <c r="K43" s="93" t="n">
        <v>0</v>
      </c>
      <c r="L43" s="36"/>
      <c r="M43" s="36"/>
      <c r="N43" s="38"/>
      <c r="O43" s="38"/>
    </row>
    <row r="44" customFormat="false" ht="31.5" hidden="false" customHeight="true" outlineLevel="0" collapsed="false">
      <c r="A44" s="41" t="s">
        <v>647</v>
      </c>
      <c r="B44" s="78" t="s">
        <v>325</v>
      </c>
      <c r="C44" s="92" t="s">
        <v>648</v>
      </c>
      <c r="D44" s="92" t="s">
        <v>649</v>
      </c>
      <c r="E44" s="92" t="s">
        <v>650</v>
      </c>
      <c r="F44" s="41" t="s">
        <v>134</v>
      </c>
      <c r="G44" s="41" t="s">
        <v>488</v>
      </c>
      <c r="H44" s="41" t="s">
        <v>489</v>
      </c>
      <c r="I44" s="37"/>
      <c r="J44" s="47" t="s">
        <v>221</v>
      </c>
      <c r="K44" s="93" t="n">
        <v>0</v>
      </c>
      <c r="L44" s="36"/>
      <c r="M44" s="36"/>
      <c r="N44" s="38"/>
      <c r="O44" s="38"/>
    </row>
    <row r="45" customFormat="false" ht="31.5" hidden="false" customHeight="true" outlineLevel="0" collapsed="false">
      <c r="A45" s="41" t="s">
        <v>651</v>
      </c>
      <c r="B45" s="78" t="s">
        <v>325</v>
      </c>
      <c r="C45" s="92" t="s">
        <v>652</v>
      </c>
      <c r="D45" s="92" t="s">
        <v>653</v>
      </c>
      <c r="E45" s="92" t="s">
        <v>654</v>
      </c>
      <c r="F45" s="41" t="s">
        <v>572</v>
      </c>
      <c r="G45" s="41" t="s">
        <v>488</v>
      </c>
      <c r="H45" s="41" t="s">
        <v>489</v>
      </c>
      <c r="I45" s="37"/>
      <c r="J45" s="47" t="s">
        <v>221</v>
      </c>
      <c r="K45" s="93" t="n">
        <v>0</v>
      </c>
      <c r="L45" s="36"/>
      <c r="M45" s="36"/>
      <c r="N45" s="38"/>
      <c r="O45" s="38"/>
    </row>
    <row r="46" customFormat="false" ht="31.5" hidden="false" customHeight="true" outlineLevel="0" collapsed="false">
      <c r="A46" s="41" t="s">
        <v>655</v>
      </c>
      <c r="B46" s="78" t="s">
        <v>325</v>
      </c>
      <c r="C46" s="92" t="s">
        <v>656</v>
      </c>
      <c r="D46" s="92" t="s">
        <v>657</v>
      </c>
      <c r="E46" s="92" t="s">
        <v>658</v>
      </c>
      <c r="F46" s="41" t="s">
        <v>134</v>
      </c>
      <c r="G46" s="41" t="s">
        <v>563</v>
      </c>
      <c r="H46" s="41" t="s">
        <v>489</v>
      </c>
      <c r="I46" s="37"/>
      <c r="J46" s="47" t="s">
        <v>221</v>
      </c>
      <c r="K46" s="93" t="n">
        <v>0</v>
      </c>
      <c r="L46" s="36"/>
      <c r="M46" s="36"/>
      <c r="N46" s="38"/>
      <c r="O46" s="38"/>
    </row>
    <row r="47" customFormat="false" ht="31.5" hidden="false" customHeight="true" outlineLevel="0" collapsed="false">
      <c r="A47" s="41" t="s">
        <v>659</v>
      </c>
      <c r="B47" s="78" t="s">
        <v>325</v>
      </c>
      <c r="C47" s="92" t="s">
        <v>660</v>
      </c>
      <c r="D47" s="92" t="s">
        <v>661</v>
      </c>
      <c r="E47" s="92" t="s">
        <v>662</v>
      </c>
      <c r="F47" s="41" t="s">
        <v>572</v>
      </c>
      <c r="G47" s="41" t="s">
        <v>663</v>
      </c>
      <c r="H47" s="41" t="s">
        <v>489</v>
      </c>
      <c r="I47" s="37"/>
      <c r="J47" s="47" t="s">
        <v>221</v>
      </c>
      <c r="K47" s="93" t="n">
        <v>0</v>
      </c>
      <c r="L47" s="36"/>
      <c r="M47" s="36"/>
      <c r="N47" s="38"/>
      <c r="O47" s="38"/>
    </row>
    <row r="48" customFormat="false" ht="31.5" hidden="false" customHeight="true" outlineLevel="0" collapsed="false">
      <c r="A48" s="41" t="s">
        <v>664</v>
      </c>
      <c r="B48" s="78" t="s">
        <v>325</v>
      </c>
      <c r="C48" s="92" t="s">
        <v>665</v>
      </c>
      <c r="D48" s="92" t="s">
        <v>666</v>
      </c>
      <c r="E48" s="92" t="s">
        <v>667</v>
      </c>
      <c r="F48" s="41" t="s">
        <v>572</v>
      </c>
      <c r="G48" s="41" t="s">
        <v>584</v>
      </c>
      <c r="H48" s="41" t="s">
        <v>489</v>
      </c>
      <c r="I48" s="37"/>
      <c r="J48" s="47" t="s">
        <v>221</v>
      </c>
      <c r="K48" s="93" t="n">
        <v>0</v>
      </c>
      <c r="L48" s="36"/>
      <c r="M48" s="36"/>
      <c r="N48" s="38"/>
      <c r="O48" s="38"/>
    </row>
    <row r="49" customFormat="false" ht="31.5" hidden="false" customHeight="true" outlineLevel="0" collapsed="false">
      <c r="A49" s="41" t="s">
        <v>668</v>
      </c>
      <c r="B49" s="78" t="s">
        <v>325</v>
      </c>
      <c r="C49" s="92" t="s">
        <v>669</v>
      </c>
      <c r="D49" s="92" t="s">
        <v>666</v>
      </c>
      <c r="E49" s="92" t="s">
        <v>667</v>
      </c>
      <c r="F49" s="41" t="s">
        <v>572</v>
      </c>
      <c r="G49" s="41" t="s">
        <v>584</v>
      </c>
      <c r="H49" s="41" t="s">
        <v>489</v>
      </c>
      <c r="I49" s="37"/>
      <c r="J49" s="47" t="s">
        <v>221</v>
      </c>
      <c r="K49" s="93" t="n">
        <v>0</v>
      </c>
      <c r="L49" s="36"/>
      <c r="M49" s="36"/>
      <c r="N49" s="38"/>
      <c r="O49" s="38"/>
    </row>
    <row r="50" customFormat="false" ht="31.5" hidden="false" customHeight="true" outlineLevel="0" collapsed="false">
      <c r="A50" s="41" t="s">
        <v>670</v>
      </c>
      <c r="B50" s="78" t="s">
        <v>325</v>
      </c>
      <c r="C50" s="92" t="s">
        <v>671</v>
      </c>
      <c r="D50" s="92" t="s">
        <v>666</v>
      </c>
      <c r="E50" s="92" t="s">
        <v>672</v>
      </c>
      <c r="F50" s="41" t="s">
        <v>572</v>
      </c>
      <c r="G50" s="41" t="s">
        <v>663</v>
      </c>
      <c r="H50" s="41" t="s">
        <v>489</v>
      </c>
      <c r="I50" s="37"/>
      <c r="J50" s="47" t="s">
        <v>221</v>
      </c>
      <c r="K50" s="93" t="n">
        <v>0</v>
      </c>
      <c r="L50" s="36"/>
      <c r="M50" s="36"/>
      <c r="N50" s="38"/>
      <c r="O50" s="38"/>
    </row>
    <row r="51" customFormat="false" ht="31.5" hidden="false" customHeight="true" outlineLevel="0" collapsed="false">
      <c r="A51" s="41" t="s">
        <v>673</v>
      </c>
      <c r="B51" s="78" t="s">
        <v>327</v>
      </c>
      <c r="C51" s="92" t="s">
        <v>674</v>
      </c>
      <c r="D51" s="92" t="s">
        <v>675</v>
      </c>
      <c r="E51" s="92" t="s">
        <v>676</v>
      </c>
      <c r="F51" s="41" t="s">
        <v>134</v>
      </c>
      <c r="G51" s="41" t="s">
        <v>584</v>
      </c>
      <c r="H51" s="41" t="s">
        <v>489</v>
      </c>
      <c r="I51" s="37"/>
      <c r="J51" s="47" t="s">
        <v>221</v>
      </c>
      <c r="K51" s="93" t="n">
        <v>0</v>
      </c>
      <c r="L51" s="36"/>
      <c r="M51" s="36"/>
      <c r="N51" s="38"/>
      <c r="O51" s="38"/>
    </row>
    <row r="52" customFormat="false" ht="31.5" hidden="false" customHeight="true" outlineLevel="0" collapsed="false">
      <c r="A52" s="41" t="s">
        <v>677</v>
      </c>
      <c r="B52" s="78" t="s">
        <v>327</v>
      </c>
      <c r="C52" s="92" t="s">
        <v>678</v>
      </c>
      <c r="D52" s="92" t="s">
        <v>679</v>
      </c>
      <c r="E52" s="92" t="s">
        <v>680</v>
      </c>
      <c r="F52" s="41" t="s">
        <v>572</v>
      </c>
      <c r="G52" s="41" t="s">
        <v>584</v>
      </c>
      <c r="H52" s="41" t="s">
        <v>489</v>
      </c>
      <c r="I52" s="37"/>
      <c r="J52" s="47" t="s">
        <v>221</v>
      </c>
      <c r="K52" s="93" t="n">
        <v>0</v>
      </c>
      <c r="L52" s="36"/>
      <c r="M52" s="36"/>
      <c r="N52" s="38"/>
      <c r="O52" s="38"/>
    </row>
    <row r="53" customFormat="false" ht="31.5" hidden="false" customHeight="true" outlineLevel="0" collapsed="false">
      <c r="A53" s="41" t="s">
        <v>681</v>
      </c>
      <c r="B53" s="78" t="s">
        <v>327</v>
      </c>
      <c r="C53" s="92" t="s">
        <v>682</v>
      </c>
      <c r="D53" s="92" t="s">
        <v>683</v>
      </c>
      <c r="E53" s="92" t="s">
        <v>684</v>
      </c>
      <c r="F53" s="41" t="s">
        <v>134</v>
      </c>
      <c r="G53" s="41" t="s">
        <v>584</v>
      </c>
      <c r="H53" s="41" t="s">
        <v>489</v>
      </c>
      <c r="I53" s="37"/>
      <c r="J53" s="47" t="s">
        <v>221</v>
      </c>
      <c r="K53" s="93" t="n">
        <v>0</v>
      </c>
      <c r="L53" s="36"/>
      <c r="M53" s="36"/>
      <c r="N53" s="38"/>
      <c r="O53" s="38"/>
    </row>
    <row r="54" customFormat="false" ht="31.5" hidden="false" customHeight="true" outlineLevel="0" collapsed="false">
      <c r="A54" s="41" t="s">
        <v>685</v>
      </c>
      <c r="B54" s="78" t="s">
        <v>327</v>
      </c>
      <c r="C54" s="92" t="s">
        <v>686</v>
      </c>
      <c r="D54" s="92" t="s">
        <v>687</v>
      </c>
      <c r="E54" s="92" t="s">
        <v>688</v>
      </c>
      <c r="F54" s="41" t="s">
        <v>134</v>
      </c>
      <c r="G54" s="41" t="s">
        <v>584</v>
      </c>
      <c r="H54" s="41" t="s">
        <v>489</v>
      </c>
      <c r="I54" s="37"/>
      <c r="J54" s="47" t="s">
        <v>221</v>
      </c>
      <c r="K54" s="93" t="n">
        <v>0</v>
      </c>
      <c r="L54" s="36"/>
      <c r="M54" s="36"/>
      <c r="N54" s="38"/>
      <c r="O54" s="38"/>
    </row>
    <row r="55" customFormat="false" ht="31.5" hidden="false" customHeight="true" outlineLevel="0" collapsed="false">
      <c r="A55" s="41" t="s">
        <v>689</v>
      </c>
      <c r="B55" s="78" t="s">
        <v>327</v>
      </c>
      <c r="C55" s="92" t="s">
        <v>690</v>
      </c>
      <c r="D55" s="92" t="s">
        <v>691</v>
      </c>
      <c r="E55" s="92" t="s">
        <v>692</v>
      </c>
      <c r="F55" s="41" t="s">
        <v>572</v>
      </c>
      <c r="G55" s="41" t="s">
        <v>488</v>
      </c>
      <c r="H55" s="41" t="s">
        <v>489</v>
      </c>
      <c r="I55" s="37"/>
      <c r="J55" s="47" t="s">
        <v>221</v>
      </c>
      <c r="K55" s="93" t="n">
        <v>0</v>
      </c>
      <c r="L55" s="36"/>
      <c r="M55" s="36"/>
      <c r="N55" s="38"/>
      <c r="O55" s="38"/>
    </row>
    <row r="56" customFormat="false" ht="31.5" hidden="false" customHeight="true" outlineLevel="0" collapsed="false">
      <c r="A56" s="41" t="s">
        <v>693</v>
      </c>
      <c r="B56" s="78" t="s">
        <v>326</v>
      </c>
      <c r="C56" s="92" t="s">
        <v>694</v>
      </c>
      <c r="D56" s="92" t="s">
        <v>695</v>
      </c>
      <c r="E56" s="92" t="s">
        <v>696</v>
      </c>
      <c r="F56" s="41" t="s">
        <v>487</v>
      </c>
      <c r="G56" s="41" t="s">
        <v>563</v>
      </c>
      <c r="H56" s="41" t="s">
        <v>551</v>
      </c>
      <c r="I56" s="37"/>
      <c r="J56" s="47" t="s">
        <v>221</v>
      </c>
      <c r="K56" s="93" t="n">
        <v>0</v>
      </c>
      <c r="L56" s="36"/>
      <c r="M56" s="36"/>
      <c r="N56" s="38"/>
      <c r="O56" s="38"/>
    </row>
    <row r="57" customFormat="false" ht="31.5" hidden="false" customHeight="true" outlineLevel="0" collapsed="false">
      <c r="A57" s="41" t="s">
        <v>697</v>
      </c>
      <c r="B57" s="78" t="s">
        <v>326</v>
      </c>
      <c r="C57" s="92" t="s">
        <v>698</v>
      </c>
      <c r="D57" s="92" t="s">
        <v>699</v>
      </c>
      <c r="E57" s="92" t="s">
        <v>700</v>
      </c>
      <c r="F57" s="41" t="s">
        <v>212</v>
      </c>
      <c r="G57" s="41" t="s">
        <v>563</v>
      </c>
      <c r="H57" s="41" t="s">
        <v>522</v>
      </c>
      <c r="I57" s="37"/>
      <c r="J57" s="47" t="s">
        <v>221</v>
      </c>
      <c r="K57" s="93" t="n">
        <v>0</v>
      </c>
      <c r="L57" s="36"/>
      <c r="M57" s="36"/>
      <c r="N57" s="38"/>
      <c r="O57" s="38"/>
    </row>
    <row r="58" customFormat="false" ht="31.5" hidden="false" customHeight="true" outlineLevel="0" collapsed="false">
      <c r="A58" s="41" t="s">
        <v>701</v>
      </c>
      <c r="B58" s="78" t="s">
        <v>326</v>
      </c>
      <c r="C58" s="92" t="s">
        <v>702</v>
      </c>
      <c r="D58" s="92" t="s">
        <v>703</v>
      </c>
      <c r="E58" s="92" t="s">
        <v>704</v>
      </c>
      <c r="F58" s="41" t="s">
        <v>487</v>
      </c>
      <c r="G58" s="41" t="s">
        <v>563</v>
      </c>
      <c r="H58" s="41" t="s">
        <v>551</v>
      </c>
      <c r="I58" s="37"/>
      <c r="J58" s="47" t="s">
        <v>221</v>
      </c>
      <c r="K58" s="93" t="n">
        <v>0</v>
      </c>
      <c r="L58" s="36"/>
      <c r="M58" s="36"/>
      <c r="N58" s="38"/>
      <c r="O58" s="38"/>
    </row>
    <row r="59" customFormat="false" ht="31.5" hidden="false" customHeight="true" outlineLevel="0" collapsed="false">
      <c r="A59" s="41" t="s">
        <v>705</v>
      </c>
      <c r="B59" s="78" t="s">
        <v>326</v>
      </c>
      <c r="C59" s="92" t="s">
        <v>706</v>
      </c>
      <c r="D59" s="92" t="s">
        <v>707</v>
      </c>
      <c r="E59" s="92" t="s">
        <v>708</v>
      </c>
      <c r="F59" s="41" t="s">
        <v>134</v>
      </c>
      <c r="G59" s="41" t="s">
        <v>563</v>
      </c>
      <c r="H59" s="41" t="s">
        <v>522</v>
      </c>
      <c r="I59" s="37"/>
      <c r="J59" s="47" t="s">
        <v>221</v>
      </c>
      <c r="K59" s="93" t="n">
        <v>0</v>
      </c>
      <c r="L59" s="36"/>
      <c r="M59" s="36"/>
      <c r="N59" s="38"/>
      <c r="O59" s="38"/>
    </row>
    <row r="60" customFormat="false" ht="31.5" hidden="false" customHeight="true" outlineLevel="0" collapsed="false">
      <c r="A60" s="41" t="s">
        <v>709</v>
      </c>
      <c r="B60" s="78" t="s">
        <v>326</v>
      </c>
      <c r="C60" s="92" t="s">
        <v>710</v>
      </c>
      <c r="D60" s="92" t="s">
        <v>711</v>
      </c>
      <c r="E60" s="92" t="s">
        <v>712</v>
      </c>
      <c r="F60" s="41" t="s">
        <v>212</v>
      </c>
      <c r="G60" s="41" t="s">
        <v>563</v>
      </c>
      <c r="H60" s="41" t="s">
        <v>642</v>
      </c>
      <c r="I60" s="37"/>
      <c r="J60" s="47" t="s">
        <v>221</v>
      </c>
      <c r="K60" s="93" t="n">
        <v>0</v>
      </c>
      <c r="L60" s="36"/>
      <c r="M60" s="36"/>
      <c r="N60" s="38"/>
      <c r="O60" s="38"/>
    </row>
    <row r="61" customFormat="false" ht="31.5" hidden="false" customHeight="true" outlineLevel="0" collapsed="false">
      <c r="A61" s="41" t="s">
        <v>713</v>
      </c>
      <c r="B61" s="78" t="s">
        <v>326</v>
      </c>
      <c r="C61" s="92" t="s">
        <v>714</v>
      </c>
      <c r="D61" s="92" t="s">
        <v>715</v>
      </c>
      <c r="E61" s="92" t="s">
        <v>716</v>
      </c>
      <c r="F61" s="41" t="s">
        <v>212</v>
      </c>
      <c r="G61" s="41" t="s">
        <v>584</v>
      </c>
      <c r="H61" s="41" t="s">
        <v>642</v>
      </c>
      <c r="I61" s="37"/>
      <c r="J61" s="47" t="s">
        <v>221</v>
      </c>
      <c r="K61" s="93" t="n">
        <v>0</v>
      </c>
      <c r="L61" s="36"/>
      <c r="M61" s="36"/>
      <c r="N61" s="38"/>
      <c r="O61" s="38"/>
    </row>
    <row r="62" customFormat="false" ht="31.5" hidden="false" customHeight="true" outlineLevel="0" collapsed="false">
      <c r="A62" s="41" t="s">
        <v>717</v>
      </c>
      <c r="B62" s="78" t="s">
        <v>326</v>
      </c>
      <c r="C62" s="92" t="s">
        <v>718</v>
      </c>
      <c r="D62" s="92" t="s">
        <v>719</v>
      </c>
      <c r="E62" s="92" t="s">
        <v>720</v>
      </c>
      <c r="F62" s="41" t="s">
        <v>212</v>
      </c>
      <c r="G62" s="41" t="s">
        <v>563</v>
      </c>
      <c r="H62" s="41" t="s">
        <v>522</v>
      </c>
      <c r="I62" s="37"/>
      <c r="J62" s="47" t="s">
        <v>221</v>
      </c>
      <c r="K62" s="93" t="n">
        <v>0</v>
      </c>
      <c r="L62" s="36"/>
      <c r="M62" s="36"/>
      <c r="N62" s="38"/>
      <c r="O62" s="38"/>
    </row>
    <row r="63" customFormat="false" ht="31.5" hidden="false" customHeight="true" outlineLevel="0" collapsed="false">
      <c r="A63" s="41" t="s">
        <v>721</v>
      </c>
      <c r="B63" s="78" t="s">
        <v>328</v>
      </c>
      <c r="C63" s="92" t="s">
        <v>722</v>
      </c>
      <c r="D63" s="92" t="s">
        <v>723</v>
      </c>
      <c r="E63" s="92" t="s">
        <v>724</v>
      </c>
      <c r="F63" s="41" t="s">
        <v>487</v>
      </c>
      <c r="G63" s="41" t="s">
        <v>563</v>
      </c>
      <c r="H63" s="41" t="s">
        <v>489</v>
      </c>
      <c r="I63" s="37"/>
      <c r="J63" s="47" t="s">
        <v>221</v>
      </c>
      <c r="K63" s="93" t="n">
        <v>0</v>
      </c>
      <c r="L63" s="36"/>
      <c r="M63" s="36"/>
      <c r="N63" s="38"/>
      <c r="O63" s="38"/>
    </row>
    <row r="64" customFormat="false" ht="31.5" hidden="false" customHeight="true" outlineLevel="0" collapsed="false">
      <c r="A64" s="41" t="s">
        <v>725</v>
      </c>
      <c r="B64" s="78" t="s">
        <v>328</v>
      </c>
      <c r="C64" s="92" t="s">
        <v>726</v>
      </c>
      <c r="D64" s="92" t="s">
        <v>727</v>
      </c>
      <c r="E64" s="92" t="s">
        <v>728</v>
      </c>
      <c r="F64" s="41" t="s">
        <v>487</v>
      </c>
      <c r="G64" s="41" t="s">
        <v>563</v>
      </c>
      <c r="H64" s="41" t="s">
        <v>489</v>
      </c>
      <c r="I64" s="37"/>
      <c r="J64" s="47" t="s">
        <v>221</v>
      </c>
      <c r="K64" s="93" t="n">
        <v>0</v>
      </c>
      <c r="L64" s="36"/>
      <c r="M64" s="36"/>
      <c r="N64" s="38"/>
      <c r="O64" s="38"/>
    </row>
    <row r="65" customFormat="false" ht="31.5" hidden="false" customHeight="true" outlineLevel="0" collapsed="false">
      <c r="A65" s="41" t="s">
        <v>729</v>
      </c>
      <c r="B65" s="78" t="s">
        <v>328</v>
      </c>
      <c r="C65" s="92" t="s">
        <v>730</v>
      </c>
      <c r="D65" s="92" t="s">
        <v>731</v>
      </c>
      <c r="E65" s="92" t="s">
        <v>732</v>
      </c>
      <c r="F65" s="41" t="s">
        <v>212</v>
      </c>
      <c r="G65" s="41" t="s">
        <v>563</v>
      </c>
      <c r="H65" s="41" t="s">
        <v>489</v>
      </c>
      <c r="I65" s="37"/>
      <c r="J65" s="47" t="s">
        <v>221</v>
      </c>
      <c r="K65" s="93" t="n">
        <v>0</v>
      </c>
      <c r="L65" s="36"/>
      <c r="M65" s="36"/>
      <c r="N65" s="38"/>
      <c r="O65" s="38"/>
    </row>
    <row r="66" customFormat="false" ht="31.5" hidden="false" customHeight="true" outlineLevel="0" collapsed="false">
      <c r="A66" s="41" t="s">
        <v>733</v>
      </c>
      <c r="B66" s="78" t="s">
        <v>328</v>
      </c>
      <c r="C66" s="92" t="s">
        <v>597</v>
      </c>
      <c r="D66" s="92" t="s">
        <v>734</v>
      </c>
      <c r="E66" s="92" t="s">
        <v>735</v>
      </c>
      <c r="F66" s="41" t="s">
        <v>487</v>
      </c>
      <c r="G66" s="41" t="s">
        <v>563</v>
      </c>
      <c r="H66" s="41" t="s">
        <v>489</v>
      </c>
      <c r="I66" s="37"/>
      <c r="J66" s="47" t="s">
        <v>221</v>
      </c>
      <c r="K66" s="93" t="n">
        <v>0</v>
      </c>
      <c r="L66" s="36"/>
      <c r="M66" s="36"/>
      <c r="N66" s="38"/>
      <c r="O66" s="38"/>
    </row>
  </sheetData>
  <autoFilter ref="A3:O66"/>
  <mergeCells count="2">
    <mergeCell ref="A1:O1"/>
    <mergeCell ref="A2:O2"/>
  </mergeCells>
  <conditionalFormatting sqref="J4:J66">
    <cfRule type="cellIs" priority="2" operator="equal" aboveAverage="0" equalAverage="0" bottom="0" percent="0" rank="0" text="" dxfId="7">
      <formula>"Complete"</formula>
    </cfRule>
    <cfRule type="cellIs" priority="3" operator="equal" aboveAverage="0" equalAverage="0" bottom="0" percent="0" rank="0" text="" dxfId="6">
      <formula>"Blocked"</formula>
    </cfRule>
    <cfRule type="cellIs" priority="4" operator="equal" aboveAverage="0" equalAverage="0" bottom="0" percent="0" rank="0" text="" dxfId="9">
      <formula>"In Progress"</formula>
    </cfRule>
  </conditionalFormatting>
  <conditionalFormatting sqref="K4:K66">
    <cfRule type="colorScale" priority="5">
      <colorScale>
        <cfvo type="num" val="0"/>
        <cfvo type="num" val="0.5"/>
        <cfvo type="num" val="1"/>
        <color rgb="FFF8CBAD"/>
        <color rgb="FFFFE699"/>
        <color rgb="FFC6EFCE"/>
      </colorScale>
    </cfRule>
  </conditionalFormatting>
  <dataValidations count="6">
    <dataValidation allowBlank="true" error="Please choose a value from the dropdown list." errorStyle="stop" errorTitle="Value not in list" operator="between" prompt="Choose from the Area list" showDropDown="false" showErrorMessage="false" showInputMessage="false" sqref="B4:B66" type="list">
      <formula1>Lists!$E$4:$E$11</formula1>
      <formula2>0</formula2>
    </dataValidation>
    <dataValidation allowBlank="true" error="Please choose a value from the dropdown list." errorStyle="stop" errorTitle="Value not in list" operator="between" prompt="Choose from the Priority list" showDropDown="false" showErrorMessage="false" showInputMessage="false" sqref="F4:F66" type="list">
      <formula1>Lists!$B$4:$B$7</formula1>
      <formula2>0</formula2>
    </dataValidation>
    <dataValidation allowBlank="true" error="Please choose a value from the dropdown list." errorStyle="stop" errorTitle="Value not in list" operator="between" prompt="Choose from the Frequency list" showDropDown="false" showErrorMessage="false" showInputMessage="false" sqref="G4:G66" type="list">
      <formula1>Lists!$D$4:$D$10</formula1>
      <formula2>0</formula2>
    </dataValidation>
    <dataValidation allowBlank="true" error="Please choose a value from the dropdown list." errorStyle="stop" errorTitle="Value not in list" operator="between" prompt="Choose from the Status list" showDropDown="false" showErrorMessage="false" showInputMessage="false" sqref="J4:J66" type="list">
      <formula1>Lists!$A$4:$A$9</formula1>
      <formula2>0</formula2>
    </dataValidation>
    <dataValidation allowBlank="true" error="Please choose a value from the dropdown list." errorStyle="stop" errorTitle="Value not in list" operator="between" prompt="Choose from the Platform list" showDropDown="false" showErrorMessage="false" showInputMessage="false" sqref="C4:C66" type="list">
      <formula1>Lists!$J$4:$J$52</formula1>
      <formula2>0</formula2>
    </dataValidation>
    <dataValidation allowBlank="true" error="Pick a name from the team roster on the START HERE tab." errorStyle="stop" errorTitle="Name not on the roster" operator="between" prompt="Choose the team member" showDropDown="false" showErrorMessage="false" showInputMessage="false" sqref="I4:I66" type="list">
      <formula1>'START HERE'!$B$55:$B$64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true"/>
  </sheetPr>
  <dimension ref="A1:N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4"/>
    <col collapsed="false" customWidth="true" hidden="false" outlineLevel="0" max="3" min="3" style="1" width="16"/>
    <col collapsed="false" customWidth="true" hidden="false" outlineLevel="0" max="4" min="4" style="1" width="10"/>
    <col collapsed="false" customWidth="true" hidden="false" outlineLevel="0" max="5" min="5" style="1" width="74"/>
    <col collapsed="false" customWidth="true" hidden="false" outlineLevel="0" max="6" min="6" style="1" width="28"/>
    <col collapsed="false" customWidth="true" hidden="false" outlineLevel="0" max="7" min="7" style="1" width="24"/>
    <col collapsed="false" customWidth="true" hidden="false" outlineLevel="0" max="8" min="8" style="1" width="22"/>
    <col collapsed="false" customWidth="true" hidden="false" outlineLevel="0" max="9" min="9" style="1" width="9"/>
    <col collapsed="false" customWidth="true" hidden="false" outlineLevel="0" max="10" min="10" style="1" width="13"/>
    <col collapsed="false" customWidth="true" hidden="false" outlineLevel="0" max="11" min="11" style="1" width="11"/>
    <col collapsed="false" customWidth="true" hidden="false" outlineLevel="0" max="12" min="12" style="1" width="12"/>
    <col collapsed="false" customWidth="true" hidden="false" outlineLevel="0" max="13" min="13" style="1" width="14"/>
    <col collapsed="false" customWidth="true" hidden="false" outlineLevel="0" max="14" min="14" style="1" width="26"/>
  </cols>
  <sheetData>
    <row r="1" customFormat="false" ht="25.5" hidden="false" customHeight="true" outlineLevel="0" collapsed="false">
      <c r="A1" s="2" t="s">
        <v>736</v>
      </c>
      <c r="B1" s="2"/>
      <c r="C1" s="2"/>
      <c r="D1" s="2"/>
      <c r="E1" s="2"/>
      <c r="F1" s="2"/>
      <c r="G1" s="2"/>
      <c r="H1" s="2"/>
      <c r="I1" s="2"/>
      <c r="J1" s="2"/>
      <c r="K1" s="2"/>
      <c r="L1" s="2"/>
      <c r="M1" s="2"/>
      <c r="N1" s="2"/>
    </row>
    <row r="2" customFormat="false" ht="18" hidden="false" customHeight="true" outlineLevel="0" collapsed="false">
      <c r="A2" s="3" t="s">
        <v>737</v>
      </c>
      <c r="B2" s="3"/>
      <c r="C2" s="3"/>
      <c r="D2" s="3"/>
      <c r="E2" s="3"/>
      <c r="F2" s="3"/>
      <c r="G2" s="3"/>
      <c r="H2" s="3"/>
      <c r="I2" s="3"/>
      <c r="J2" s="3"/>
      <c r="K2" s="3"/>
      <c r="L2" s="3"/>
      <c r="M2" s="3"/>
      <c r="N2" s="3"/>
    </row>
    <row r="3" customFormat="false" ht="30" hidden="false" customHeight="true" outlineLevel="0" collapsed="false">
      <c r="A3" s="31" t="s">
        <v>738</v>
      </c>
      <c r="B3" s="31" t="s">
        <v>115</v>
      </c>
      <c r="C3" s="31" t="s">
        <v>318</v>
      </c>
      <c r="D3" s="31" t="s">
        <v>476</v>
      </c>
      <c r="E3" s="31" t="s">
        <v>739</v>
      </c>
      <c r="F3" s="31" t="s">
        <v>740</v>
      </c>
      <c r="G3" s="31" t="s">
        <v>741</v>
      </c>
      <c r="H3" s="31" t="s">
        <v>742</v>
      </c>
      <c r="I3" s="31" t="s">
        <v>743</v>
      </c>
      <c r="J3" s="31" t="s">
        <v>202</v>
      </c>
      <c r="K3" s="31" t="s">
        <v>744</v>
      </c>
      <c r="L3" s="31" t="s">
        <v>745</v>
      </c>
      <c r="M3" s="31" t="s">
        <v>187</v>
      </c>
      <c r="N3" s="31" t="s">
        <v>162</v>
      </c>
    </row>
    <row r="4" customFormat="false" ht="57.75" hidden="false" customHeight="true" outlineLevel="0" collapsed="false">
      <c r="A4" s="41" t="n">
        <v>1</v>
      </c>
      <c r="B4" s="92" t="s">
        <v>484</v>
      </c>
      <c r="C4" s="78" t="s">
        <v>129</v>
      </c>
      <c r="D4" s="41" t="s">
        <v>487</v>
      </c>
      <c r="E4" s="92" t="s">
        <v>746</v>
      </c>
      <c r="F4" s="37"/>
      <c r="G4" s="37"/>
      <c r="H4" s="37"/>
      <c r="I4" s="47" t="s">
        <v>747</v>
      </c>
      <c r="J4" s="47" t="s">
        <v>221</v>
      </c>
      <c r="K4" s="93" t="n">
        <v>0</v>
      </c>
      <c r="L4" s="36"/>
      <c r="M4" s="37"/>
      <c r="N4" s="38"/>
    </row>
    <row r="5" customFormat="false" ht="57.75" hidden="false" customHeight="true" outlineLevel="0" collapsed="false">
      <c r="A5" s="41" t="n">
        <v>2</v>
      </c>
      <c r="B5" s="92" t="s">
        <v>491</v>
      </c>
      <c r="C5" s="78" t="s">
        <v>129</v>
      </c>
      <c r="D5" s="41" t="s">
        <v>487</v>
      </c>
      <c r="E5" s="92" t="s">
        <v>748</v>
      </c>
      <c r="F5" s="37"/>
      <c r="G5" s="37"/>
      <c r="H5" s="37"/>
      <c r="I5" s="47" t="s">
        <v>747</v>
      </c>
      <c r="J5" s="47" t="s">
        <v>221</v>
      </c>
      <c r="K5" s="93" t="n">
        <v>0</v>
      </c>
      <c r="L5" s="36"/>
      <c r="M5" s="37"/>
      <c r="N5" s="38"/>
    </row>
    <row r="6" customFormat="false" ht="57.75" hidden="false" customHeight="true" outlineLevel="0" collapsed="false">
      <c r="A6" s="41" t="n">
        <v>3</v>
      </c>
      <c r="B6" s="92" t="s">
        <v>123</v>
      </c>
      <c r="C6" s="78" t="s">
        <v>129</v>
      </c>
      <c r="D6" s="41" t="s">
        <v>487</v>
      </c>
      <c r="E6" s="92" t="s">
        <v>749</v>
      </c>
      <c r="F6" s="37"/>
      <c r="G6" s="37"/>
      <c r="H6" s="37"/>
      <c r="I6" s="47" t="s">
        <v>747</v>
      </c>
      <c r="J6" s="47" t="s">
        <v>221</v>
      </c>
      <c r="K6" s="93" t="n">
        <v>0</v>
      </c>
      <c r="L6" s="36"/>
      <c r="M6" s="37"/>
      <c r="N6" s="38"/>
    </row>
    <row r="7" customFormat="false" ht="57.75" hidden="false" customHeight="true" outlineLevel="0" collapsed="false">
      <c r="A7" s="41" t="n">
        <v>4</v>
      </c>
      <c r="B7" s="92" t="s">
        <v>527</v>
      </c>
      <c r="C7" s="78" t="s">
        <v>323</v>
      </c>
      <c r="D7" s="41" t="s">
        <v>212</v>
      </c>
      <c r="E7" s="92" t="s">
        <v>750</v>
      </c>
      <c r="F7" s="37"/>
      <c r="G7" s="37"/>
      <c r="H7" s="37"/>
      <c r="I7" s="47" t="s">
        <v>747</v>
      </c>
      <c r="J7" s="47" t="s">
        <v>221</v>
      </c>
      <c r="K7" s="93" t="n">
        <v>0</v>
      </c>
      <c r="L7" s="36"/>
      <c r="M7" s="37"/>
      <c r="N7" s="38"/>
    </row>
    <row r="8" customFormat="false" ht="57.75" hidden="false" customHeight="true" outlineLevel="0" collapsed="false">
      <c r="A8" s="41" t="n">
        <v>5</v>
      </c>
      <c r="B8" s="92" t="s">
        <v>532</v>
      </c>
      <c r="C8" s="78" t="s">
        <v>324</v>
      </c>
      <c r="D8" s="41" t="s">
        <v>212</v>
      </c>
      <c r="E8" s="92" t="s">
        <v>751</v>
      </c>
      <c r="F8" s="37"/>
      <c r="G8" s="37"/>
      <c r="H8" s="37"/>
      <c r="I8" s="47" t="s">
        <v>747</v>
      </c>
      <c r="J8" s="47" t="s">
        <v>221</v>
      </c>
      <c r="K8" s="93" t="n">
        <v>0</v>
      </c>
      <c r="L8" s="36"/>
      <c r="M8" s="37"/>
      <c r="N8" s="38"/>
    </row>
    <row r="9" customFormat="false" ht="57.75" hidden="false" customHeight="true" outlineLevel="0" collapsed="false">
      <c r="A9" s="41" t="n">
        <v>6</v>
      </c>
      <c r="B9" s="92" t="s">
        <v>536</v>
      </c>
      <c r="C9" s="78" t="s">
        <v>322</v>
      </c>
      <c r="D9" s="41" t="s">
        <v>212</v>
      </c>
      <c r="E9" s="92" t="s">
        <v>752</v>
      </c>
      <c r="F9" s="37"/>
      <c r="G9" s="37"/>
      <c r="H9" s="37"/>
      <c r="I9" s="47" t="s">
        <v>747</v>
      </c>
      <c r="J9" s="47" t="s">
        <v>221</v>
      </c>
      <c r="K9" s="93" t="n">
        <v>0</v>
      </c>
      <c r="L9" s="36"/>
      <c r="M9" s="37"/>
      <c r="N9" s="38"/>
    </row>
    <row r="10" customFormat="false" ht="57.75" hidden="false" customHeight="true" outlineLevel="0" collapsed="false">
      <c r="A10" s="41" t="n">
        <v>7</v>
      </c>
      <c r="B10" s="92" t="s">
        <v>540</v>
      </c>
      <c r="C10" s="78" t="s">
        <v>324</v>
      </c>
      <c r="D10" s="41" t="s">
        <v>134</v>
      </c>
      <c r="E10" s="92" t="s">
        <v>753</v>
      </c>
      <c r="F10" s="37"/>
      <c r="G10" s="37"/>
      <c r="H10" s="37"/>
      <c r="I10" s="47" t="s">
        <v>747</v>
      </c>
      <c r="J10" s="47" t="s">
        <v>221</v>
      </c>
      <c r="K10" s="93" t="n">
        <v>0</v>
      </c>
      <c r="L10" s="36"/>
      <c r="M10" s="37"/>
      <c r="N10" s="38"/>
    </row>
    <row r="11" customFormat="false" ht="57.75" hidden="false" customHeight="true" outlineLevel="0" collapsed="false">
      <c r="A11" s="41" t="n">
        <v>8</v>
      </c>
      <c r="B11" s="92" t="s">
        <v>544</v>
      </c>
      <c r="C11" s="78" t="s">
        <v>322</v>
      </c>
      <c r="D11" s="41" t="s">
        <v>212</v>
      </c>
      <c r="E11" s="92" t="s">
        <v>754</v>
      </c>
      <c r="F11" s="37"/>
      <c r="G11" s="37"/>
      <c r="H11" s="37"/>
      <c r="I11" s="47" t="s">
        <v>747</v>
      </c>
      <c r="J11" s="47" t="s">
        <v>221</v>
      </c>
      <c r="K11" s="93" t="n">
        <v>0</v>
      </c>
      <c r="L11" s="36"/>
      <c r="M11" s="37"/>
      <c r="N11" s="38"/>
    </row>
    <row r="12" customFormat="false" ht="57.75" hidden="false" customHeight="true" outlineLevel="0" collapsed="false">
      <c r="A12" s="41" t="n">
        <v>9</v>
      </c>
      <c r="B12" s="92" t="s">
        <v>548</v>
      </c>
      <c r="C12" s="78" t="s">
        <v>322</v>
      </c>
      <c r="D12" s="41" t="s">
        <v>134</v>
      </c>
      <c r="E12" s="92" t="s">
        <v>755</v>
      </c>
      <c r="F12" s="37"/>
      <c r="G12" s="37"/>
      <c r="H12" s="37"/>
      <c r="I12" s="47" t="s">
        <v>747</v>
      </c>
      <c r="J12" s="47" t="s">
        <v>221</v>
      </c>
      <c r="K12" s="93" t="n">
        <v>0</v>
      </c>
      <c r="L12" s="36"/>
      <c r="M12" s="37"/>
      <c r="N12" s="38"/>
    </row>
    <row r="13" customFormat="false" ht="57.75" hidden="false" customHeight="true" outlineLevel="0" collapsed="false">
      <c r="A13" s="41" t="n">
        <v>10</v>
      </c>
      <c r="B13" s="92" t="s">
        <v>553</v>
      </c>
      <c r="C13" s="78" t="s">
        <v>322</v>
      </c>
      <c r="D13" s="41" t="s">
        <v>134</v>
      </c>
      <c r="E13" s="92" t="s">
        <v>756</v>
      </c>
      <c r="F13" s="37"/>
      <c r="G13" s="37"/>
      <c r="H13" s="37"/>
      <c r="I13" s="47" t="s">
        <v>747</v>
      </c>
      <c r="J13" s="47" t="s">
        <v>221</v>
      </c>
      <c r="K13" s="93" t="n">
        <v>0</v>
      </c>
      <c r="L13" s="36"/>
      <c r="M13" s="37"/>
      <c r="N13" s="38"/>
    </row>
    <row r="14" customFormat="false" ht="57.75" hidden="false" customHeight="true" outlineLevel="0" collapsed="false">
      <c r="A14" s="41" t="n">
        <v>11</v>
      </c>
      <c r="B14" s="92" t="s">
        <v>556</v>
      </c>
      <c r="C14" s="78" t="s">
        <v>322</v>
      </c>
      <c r="D14" s="41" t="s">
        <v>134</v>
      </c>
      <c r="E14" s="92" t="s">
        <v>757</v>
      </c>
      <c r="F14" s="37"/>
      <c r="G14" s="37"/>
      <c r="H14" s="37"/>
      <c r="I14" s="47" t="s">
        <v>747</v>
      </c>
      <c r="J14" s="47" t="s">
        <v>221</v>
      </c>
      <c r="K14" s="93" t="n">
        <v>0</v>
      </c>
      <c r="L14" s="36"/>
      <c r="M14" s="37"/>
      <c r="N14" s="38"/>
    </row>
    <row r="15" customFormat="false" ht="57.75" hidden="false" customHeight="true" outlineLevel="0" collapsed="false">
      <c r="A15" s="41" t="n">
        <v>12</v>
      </c>
      <c r="B15" s="92" t="s">
        <v>560</v>
      </c>
      <c r="C15" s="78" t="s">
        <v>322</v>
      </c>
      <c r="D15" s="41" t="s">
        <v>487</v>
      </c>
      <c r="E15" s="92" t="s">
        <v>758</v>
      </c>
      <c r="F15" s="37"/>
      <c r="G15" s="37"/>
      <c r="H15" s="37"/>
      <c r="I15" s="47" t="s">
        <v>747</v>
      </c>
      <c r="J15" s="47" t="s">
        <v>221</v>
      </c>
      <c r="K15" s="93" t="n">
        <v>0</v>
      </c>
      <c r="L15" s="36"/>
      <c r="M15" s="37"/>
      <c r="N15" s="38"/>
    </row>
    <row r="16" customFormat="false" ht="57.75" hidden="false" customHeight="true" outlineLevel="0" collapsed="false">
      <c r="A16" s="41" t="n">
        <v>13</v>
      </c>
      <c r="B16" s="92" t="s">
        <v>565</v>
      </c>
      <c r="C16" s="78" t="s">
        <v>322</v>
      </c>
      <c r="D16" s="41" t="s">
        <v>212</v>
      </c>
      <c r="E16" s="92" t="s">
        <v>759</v>
      </c>
      <c r="F16" s="37"/>
      <c r="G16" s="37"/>
      <c r="H16" s="37"/>
      <c r="I16" s="47" t="s">
        <v>747</v>
      </c>
      <c r="J16" s="47" t="s">
        <v>221</v>
      </c>
      <c r="K16" s="93" t="n">
        <v>0</v>
      </c>
      <c r="L16" s="36"/>
      <c r="M16" s="37"/>
      <c r="N16" s="38"/>
    </row>
    <row r="17" customFormat="false" ht="57.75" hidden="false" customHeight="true" outlineLevel="0" collapsed="false">
      <c r="A17" s="41" t="n">
        <v>14</v>
      </c>
      <c r="B17" s="92" t="s">
        <v>569</v>
      </c>
      <c r="C17" s="78" t="s">
        <v>322</v>
      </c>
      <c r="D17" s="41" t="s">
        <v>572</v>
      </c>
      <c r="E17" s="92" t="s">
        <v>760</v>
      </c>
      <c r="F17" s="37"/>
      <c r="G17" s="37"/>
      <c r="H17" s="37"/>
      <c r="I17" s="47" t="s">
        <v>747</v>
      </c>
      <c r="J17" s="47" t="s">
        <v>221</v>
      </c>
      <c r="K17" s="93" t="n">
        <v>0</v>
      </c>
      <c r="L17" s="36"/>
      <c r="M17" s="37"/>
      <c r="N17" s="38"/>
    </row>
    <row r="18" customFormat="false" ht="57.75" hidden="false" customHeight="true" outlineLevel="0" collapsed="false">
      <c r="A18" s="41" t="n">
        <v>15</v>
      </c>
      <c r="B18" s="92" t="s">
        <v>134</v>
      </c>
      <c r="C18" s="78" t="s">
        <v>323</v>
      </c>
      <c r="D18" s="41" t="s">
        <v>212</v>
      </c>
      <c r="E18" s="92" t="s">
        <v>761</v>
      </c>
      <c r="F18" s="37"/>
      <c r="G18" s="37"/>
      <c r="H18" s="37"/>
      <c r="I18" s="47" t="s">
        <v>747</v>
      </c>
      <c r="J18" s="47" t="s">
        <v>221</v>
      </c>
      <c r="K18" s="93" t="n">
        <v>0</v>
      </c>
      <c r="L18" s="36"/>
      <c r="M18" s="37"/>
      <c r="N18" s="38"/>
    </row>
    <row r="19" customFormat="false" ht="57.75" hidden="false" customHeight="true" outlineLevel="0" collapsed="false">
      <c r="A19" s="41" t="n">
        <v>16</v>
      </c>
      <c r="B19" s="92" t="s">
        <v>589</v>
      </c>
      <c r="C19" s="78" t="s">
        <v>323</v>
      </c>
      <c r="D19" s="41" t="s">
        <v>134</v>
      </c>
      <c r="E19" s="92" t="s">
        <v>762</v>
      </c>
      <c r="F19" s="37"/>
      <c r="G19" s="37"/>
      <c r="H19" s="37"/>
      <c r="I19" s="47" t="s">
        <v>747</v>
      </c>
      <c r="J19" s="47" t="s">
        <v>221</v>
      </c>
      <c r="K19" s="93" t="n">
        <v>0</v>
      </c>
      <c r="L19" s="36"/>
      <c r="M19" s="37"/>
      <c r="N19" s="38"/>
    </row>
    <row r="20" customFormat="false" ht="57.75" hidden="false" customHeight="true" outlineLevel="0" collapsed="false">
      <c r="A20" s="41" t="n">
        <v>17</v>
      </c>
      <c r="B20" s="92" t="s">
        <v>593</v>
      </c>
      <c r="C20" s="78" t="s">
        <v>323</v>
      </c>
      <c r="D20" s="41" t="s">
        <v>134</v>
      </c>
      <c r="E20" s="92" t="s">
        <v>763</v>
      </c>
      <c r="F20" s="37"/>
      <c r="G20" s="37"/>
      <c r="H20" s="37"/>
      <c r="I20" s="47" t="s">
        <v>747</v>
      </c>
      <c r="J20" s="47" t="s">
        <v>221</v>
      </c>
      <c r="K20" s="93" t="n">
        <v>0</v>
      </c>
      <c r="L20" s="36"/>
      <c r="M20" s="37"/>
      <c r="N20" s="38"/>
    </row>
    <row r="21" customFormat="false" ht="57.75" hidden="false" customHeight="true" outlineLevel="0" collapsed="false">
      <c r="A21" s="41" t="n">
        <v>18</v>
      </c>
      <c r="B21" s="92" t="s">
        <v>581</v>
      </c>
      <c r="C21" s="78" t="s">
        <v>323</v>
      </c>
      <c r="D21" s="41" t="s">
        <v>572</v>
      </c>
      <c r="E21" s="92" t="s">
        <v>764</v>
      </c>
      <c r="F21" s="37"/>
      <c r="G21" s="37"/>
      <c r="H21" s="37"/>
      <c r="I21" s="47" t="s">
        <v>747</v>
      </c>
      <c r="J21" s="47" t="s">
        <v>221</v>
      </c>
      <c r="K21" s="93" t="n">
        <v>0</v>
      </c>
      <c r="L21" s="36"/>
      <c r="M21" s="37"/>
      <c r="N21" s="38"/>
    </row>
    <row r="22" customFormat="false" ht="57.75" hidden="false" customHeight="true" outlineLevel="0" collapsed="false">
      <c r="A22" s="41" t="n">
        <v>19</v>
      </c>
      <c r="B22" s="92" t="s">
        <v>631</v>
      </c>
      <c r="C22" s="78" t="s">
        <v>324</v>
      </c>
      <c r="D22" s="41" t="s">
        <v>212</v>
      </c>
      <c r="E22" s="92" t="s">
        <v>765</v>
      </c>
      <c r="F22" s="37"/>
      <c r="G22" s="37"/>
      <c r="H22" s="37"/>
      <c r="I22" s="47" t="s">
        <v>747</v>
      </c>
      <c r="J22" s="47" t="s">
        <v>221</v>
      </c>
      <c r="K22" s="93" t="n">
        <v>0</v>
      </c>
      <c r="L22" s="36"/>
      <c r="M22" s="37"/>
      <c r="N22" s="38"/>
    </row>
    <row r="23" customFormat="false" ht="57.75" hidden="false" customHeight="true" outlineLevel="0" collapsed="false">
      <c r="A23" s="41" t="n">
        <v>20</v>
      </c>
      <c r="B23" s="92" t="s">
        <v>635</v>
      </c>
      <c r="C23" s="78" t="s">
        <v>324</v>
      </c>
      <c r="D23" s="41" t="s">
        <v>212</v>
      </c>
      <c r="E23" s="92" t="s">
        <v>766</v>
      </c>
      <c r="F23" s="37"/>
      <c r="G23" s="37"/>
      <c r="H23" s="37"/>
      <c r="I23" s="47" t="s">
        <v>747</v>
      </c>
      <c r="J23" s="47" t="s">
        <v>221</v>
      </c>
      <c r="K23" s="93" t="n">
        <v>0</v>
      </c>
      <c r="L23" s="36"/>
      <c r="M23" s="37"/>
      <c r="N23" s="38"/>
    </row>
    <row r="24" customFormat="false" ht="57.75" hidden="false" customHeight="true" outlineLevel="0" collapsed="false">
      <c r="A24" s="41" t="n">
        <v>21</v>
      </c>
      <c r="B24" s="92" t="s">
        <v>639</v>
      </c>
      <c r="C24" s="78" t="s">
        <v>324</v>
      </c>
      <c r="D24" s="41" t="s">
        <v>134</v>
      </c>
      <c r="E24" s="92" t="s">
        <v>767</v>
      </c>
      <c r="F24" s="37"/>
      <c r="G24" s="37"/>
      <c r="H24" s="37"/>
      <c r="I24" s="47" t="s">
        <v>747</v>
      </c>
      <c r="J24" s="47" t="s">
        <v>221</v>
      </c>
      <c r="K24" s="93" t="n">
        <v>0</v>
      </c>
      <c r="L24" s="36"/>
      <c r="M24" s="37"/>
      <c r="N24" s="38"/>
    </row>
    <row r="25" customFormat="false" ht="57.75" hidden="false" customHeight="true" outlineLevel="0" collapsed="false">
      <c r="A25" s="41" t="n">
        <v>22</v>
      </c>
      <c r="B25" s="92" t="s">
        <v>644</v>
      </c>
      <c r="C25" s="78" t="s">
        <v>324</v>
      </c>
      <c r="D25" s="41" t="s">
        <v>134</v>
      </c>
      <c r="E25" s="92" t="s">
        <v>768</v>
      </c>
      <c r="F25" s="37"/>
      <c r="G25" s="37"/>
      <c r="H25" s="37"/>
      <c r="I25" s="47" t="s">
        <v>747</v>
      </c>
      <c r="J25" s="47" t="s">
        <v>221</v>
      </c>
      <c r="K25" s="93" t="n">
        <v>0</v>
      </c>
      <c r="L25" s="36"/>
      <c r="M25" s="37"/>
      <c r="N25" s="38"/>
    </row>
    <row r="26" customFormat="false" ht="57.75" hidden="false" customHeight="true" outlineLevel="0" collapsed="false">
      <c r="A26" s="41" t="n">
        <v>23</v>
      </c>
      <c r="B26" s="92" t="s">
        <v>574</v>
      </c>
      <c r="C26" s="78" t="s">
        <v>322</v>
      </c>
      <c r="D26" s="41" t="s">
        <v>134</v>
      </c>
      <c r="E26" s="92" t="s">
        <v>769</v>
      </c>
      <c r="F26" s="37"/>
      <c r="G26" s="37"/>
      <c r="H26" s="37"/>
      <c r="I26" s="47" t="s">
        <v>747</v>
      </c>
      <c r="J26" s="47" t="s">
        <v>221</v>
      </c>
      <c r="K26" s="93" t="n">
        <v>0</v>
      </c>
      <c r="L26" s="36"/>
      <c r="M26" s="37"/>
      <c r="N26" s="38"/>
    </row>
    <row r="27" customFormat="false" ht="57.75" hidden="false" customHeight="true" outlineLevel="0" collapsed="false">
      <c r="A27" s="41" t="n">
        <v>24</v>
      </c>
      <c r="B27" s="92" t="s">
        <v>578</v>
      </c>
      <c r="C27" s="78" t="s">
        <v>322</v>
      </c>
      <c r="D27" s="41" t="s">
        <v>572</v>
      </c>
      <c r="E27" s="92" t="s">
        <v>770</v>
      </c>
      <c r="F27" s="37"/>
      <c r="G27" s="37"/>
      <c r="H27" s="37"/>
      <c r="I27" s="47" t="s">
        <v>747</v>
      </c>
      <c r="J27" s="47" t="s">
        <v>221</v>
      </c>
      <c r="K27" s="93" t="n">
        <v>0</v>
      </c>
      <c r="L27" s="36"/>
      <c r="M27" s="37"/>
      <c r="N27" s="38"/>
    </row>
    <row r="28" customFormat="false" ht="57.75" hidden="false" customHeight="true" outlineLevel="0" collapsed="false">
      <c r="A28" s="41" t="n">
        <v>25</v>
      </c>
      <c r="B28" s="92" t="s">
        <v>648</v>
      </c>
      <c r="C28" s="78" t="s">
        <v>325</v>
      </c>
      <c r="D28" s="41" t="s">
        <v>134</v>
      </c>
      <c r="E28" s="92" t="s">
        <v>771</v>
      </c>
      <c r="F28" s="37"/>
      <c r="G28" s="37"/>
      <c r="H28" s="37"/>
      <c r="I28" s="47" t="s">
        <v>747</v>
      </c>
      <c r="J28" s="47" t="s">
        <v>221</v>
      </c>
      <c r="K28" s="93" t="n">
        <v>0</v>
      </c>
      <c r="L28" s="36"/>
      <c r="M28" s="37"/>
      <c r="N28" s="38"/>
    </row>
    <row r="29" customFormat="false" ht="57.75" hidden="false" customHeight="true" outlineLevel="0" collapsed="false">
      <c r="A29" s="41" t="n">
        <v>26</v>
      </c>
      <c r="B29" s="92" t="s">
        <v>652</v>
      </c>
      <c r="C29" s="78" t="s">
        <v>325</v>
      </c>
      <c r="D29" s="41" t="s">
        <v>572</v>
      </c>
      <c r="E29" s="92" t="s">
        <v>772</v>
      </c>
      <c r="F29" s="37"/>
      <c r="G29" s="37"/>
      <c r="H29" s="37"/>
      <c r="I29" s="47" t="s">
        <v>747</v>
      </c>
      <c r="J29" s="47" t="s">
        <v>221</v>
      </c>
      <c r="K29" s="93" t="n">
        <v>0</v>
      </c>
      <c r="L29" s="36"/>
      <c r="M29" s="37"/>
      <c r="N29" s="38"/>
    </row>
    <row r="30" customFormat="false" ht="57.75" hidden="false" customHeight="true" outlineLevel="0" collapsed="false">
      <c r="A30" s="41" t="n">
        <v>27</v>
      </c>
      <c r="B30" s="92" t="s">
        <v>656</v>
      </c>
      <c r="C30" s="78" t="s">
        <v>325</v>
      </c>
      <c r="D30" s="41" t="s">
        <v>134</v>
      </c>
      <c r="E30" s="92" t="s">
        <v>773</v>
      </c>
      <c r="F30" s="37"/>
      <c r="G30" s="37"/>
      <c r="H30" s="37"/>
      <c r="I30" s="47" t="s">
        <v>747</v>
      </c>
      <c r="J30" s="47" t="s">
        <v>221</v>
      </c>
      <c r="K30" s="93" t="n">
        <v>0</v>
      </c>
      <c r="L30" s="36"/>
      <c r="M30" s="37"/>
      <c r="N30" s="38"/>
    </row>
    <row r="31" customFormat="false" ht="57.75" hidden="false" customHeight="true" outlineLevel="0" collapsed="false">
      <c r="A31" s="41" t="n">
        <v>28</v>
      </c>
      <c r="B31" s="92" t="s">
        <v>660</v>
      </c>
      <c r="C31" s="78" t="s">
        <v>325</v>
      </c>
      <c r="D31" s="41" t="s">
        <v>572</v>
      </c>
      <c r="E31" s="92" t="s">
        <v>774</v>
      </c>
      <c r="F31" s="37"/>
      <c r="G31" s="37"/>
      <c r="H31" s="37"/>
      <c r="I31" s="47" t="s">
        <v>747</v>
      </c>
      <c r="J31" s="47" t="s">
        <v>221</v>
      </c>
      <c r="K31" s="93" t="n">
        <v>0</v>
      </c>
      <c r="L31" s="36"/>
      <c r="M31" s="37"/>
      <c r="N31" s="38"/>
    </row>
    <row r="32" customFormat="false" ht="57.75" hidden="false" customHeight="true" outlineLevel="0" collapsed="false">
      <c r="A32" s="41" t="n">
        <v>29</v>
      </c>
      <c r="B32" s="92" t="s">
        <v>665</v>
      </c>
      <c r="C32" s="78" t="s">
        <v>325</v>
      </c>
      <c r="D32" s="41" t="s">
        <v>572</v>
      </c>
      <c r="E32" s="92" t="s">
        <v>775</v>
      </c>
      <c r="F32" s="37"/>
      <c r="G32" s="37"/>
      <c r="H32" s="37"/>
      <c r="I32" s="47" t="s">
        <v>747</v>
      </c>
      <c r="J32" s="47" t="s">
        <v>221</v>
      </c>
      <c r="K32" s="93" t="n">
        <v>0</v>
      </c>
      <c r="L32" s="36"/>
      <c r="M32" s="37"/>
      <c r="N32" s="38"/>
    </row>
    <row r="33" customFormat="false" ht="57.75" hidden="false" customHeight="true" outlineLevel="0" collapsed="false">
      <c r="A33" s="41" t="n">
        <v>30</v>
      </c>
      <c r="B33" s="92" t="s">
        <v>669</v>
      </c>
      <c r="C33" s="78" t="s">
        <v>325</v>
      </c>
      <c r="D33" s="41" t="s">
        <v>572</v>
      </c>
      <c r="E33" s="92" t="s">
        <v>776</v>
      </c>
      <c r="F33" s="37"/>
      <c r="G33" s="37"/>
      <c r="H33" s="37"/>
      <c r="I33" s="47" t="s">
        <v>747</v>
      </c>
      <c r="J33" s="47" t="s">
        <v>221</v>
      </c>
      <c r="K33" s="93" t="n">
        <v>0</v>
      </c>
      <c r="L33" s="36"/>
      <c r="M33" s="37"/>
      <c r="N33" s="38"/>
    </row>
    <row r="34" customFormat="false" ht="57.75" hidden="false" customHeight="true" outlineLevel="0" collapsed="false">
      <c r="A34" s="41" t="n">
        <v>31</v>
      </c>
      <c r="B34" s="92" t="s">
        <v>671</v>
      </c>
      <c r="C34" s="78" t="s">
        <v>325</v>
      </c>
      <c r="D34" s="41" t="s">
        <v>572</v>
      </c>
      <c r="E34" s="92" t="s">
        <v>777</v>
      </c>
      <c r="F34" s="37"/>
      <c r="G34" s="37"/>
      <c r="H34" s="37"/>
      <c r="I34" s="47" t="s">
        <v>747</v>
      </c>
      <c r="J34" s="47" t="s">
        <v>221</v>
      </c>
      <c r="K34" s="93" t="n">
        <v>0</v>
      </c>
      <c r="L34" s="36"/>
      <c r="M34" s="37"/>
      <c r="N34" s="38"/>
    </row>
    <row r="35" customFormat="false" ht="57.75" hidden="false" customHeight="true" outlineLevel="0" collapsed="false">
      <c r="A35" s="41" t="n">
        <v>32</v>
      </c>
      <c r="B35" s="92" t="s">
        <v>674</v>
      </c>
      <c r="C35" s="78" t="s">
        <v>327</v>
      </c>
      <c r="D35" s="41" t="s">
        <v>134</v>
      </c>
      <c r="E35" s="92" t="s">
        <v>778</v>
      </c>
      <c r="F35" s="37"/>
      <c r="G35" s="37"/>
      <c r="H35" s="37"/>
      <c r="I35" s="47" t="s">
        <v>747</v>
      </c>
      <c r="J35" s="47" t="s">
        <v>221</v>
      </c>
      <c r="K35" s="93" t="n">
        <v>0</v>
      </c>
      <c r="L35" s="36"/>
      <c r="M35" s="37"/>
      <c r="N35" s="38"/>
    </row>
    <row r="36" customFormat="false" ht="57.75" hidden="false" customHeight="true" outlineLevel="0" collapsed="false">
      <c r="A36" s="41" t="n">
        <v>33</v>
      </c>
      <c r="B36" s="92" t="s">
        <v>678</v>
      </c>
      <c r="C36" s="78" t="s">
        <v>327</v>
      </c>
      <c r="D36" s="41" t="s">
        <v>572</v>
      </c>
      <c r="E36" s="92" t="s">
        <v>779</v>
      </c>
      <c r="F36" s="37"/>
      <c r="G36" s="37"/>
      <c r="H36" s="37"/>
      <c r="I36" s="47" t="s">
        <v>747</v>
      </c>
      <c r="J36" s="47" t="s">
        <v>221</v>
      </c>
      <c r="K36" s="93" t="n">
        <v>0</v>
      </c>
      <c r="L36" s="36"/>
      <c r="M36" s="37"/>
      <c r="N36" s="38"/>
    </row>
    <row r="37" customFormat="false" ht="57.75" hidden="false" customHeight="true" outlineLevel="0" collapsed="false">
      <c r="A37" s="41" t="n">
        <v>34</v>
      </c>
      <c r="B37" s="92" t="s">
        <v>682</v>
      </c>
      <c r="C37" s="78" t="s">
        <v>327</v>
      </c>
      <c r="D37" s="41" t="s">
        <v>134</v>
      </c>
      <c r="E37" s="92" t="s">
        <v>780</v>
      </c>
      <c r="F37" s="37"/>
      <c r="G37" s="37"/>
      <c r="H37" s="37"/>
      <c r="I37" s="47" t="s">
        <v>747</v>
      </c>
      <c r="J37" s="47" t="s">
        <v>221</v>
      </c>
      <c r="K37" s="93" t="n">
        <v>0</v>
      </c>
      <c r="L37" s="36"/>
      <c r="M37" s="37"/>
      <c r="N37" s="38"/>
    </row>
    <row r="38" customFormat="false" ht="57.75" hidden="false" customHeight="true" outlineLevel="0" collapsed="false">
      <c r="A38" s="41" t="n">
        <v>35</v>
      </c>
      <c r="B38" s="92" t="s">
        <v>686</v>
      </c>
      <c r="C38" s="78" t="s">
        <v>327</v>
      </c>
      <c r="D38" s="41" t="s">
        <v>134</v>
      </c>
      <c r="E38" s="92" t="s">
        <v>781</v>
      </c>
      <c r="F38" s="37"/>
      <c r="G38" s="37"/>
      <c r="H38" s="37"/>
      <c r="I38" s="47" t="s">
        <v>747</v>
      </c>
      <c r="J38" s="47" t="s">
        <v>221</v>
      </c>
      <c r="K38" s="93" t="n">
        <v>0</v>
      </c>
      <c r="L38" s="36"/>
      <c r="M38" s="37"/>
      <c r="N38" s="38"/>
    </row>
    <row r="39" customFormat="false" ht="57.75" hidden="false" customHeight="true" outlineLevel="0" collapsed="false">
      <c r="A39" s="41" t="n">
        <v>36</v>
      </c>
      <c r="B39" s="92" t="s">
        <v>690</v>
      </c>
      <c r="C39" s="78" t="s">
        <v>327</v>
      </c>
      <c r="D39" s="41" t="s">
        <v>572</v>
      </c>
      <c r="E39" s="92" t="s">
        <v>782</v>
      </c>
      <c r="F39" s="37"/>
      <c r="G39" s="37"/>
      <c r="H39" s="37"/>
      <c r="I39" s="47" t="s">
        <v>747</v>
      </c>
      <c r="J39" s="47" t="s">
        <v>221</v>
      </c>
      <c r="K39" s="93" t="n">
        <v>0</v>
      </c>
      <c r="L39" s="36"/>
      <c r="M39" s="37"/>
      <c r="N39" s="38"/>
    </row>
    <row r="40" customFormat="false" ht="57.75" hidden="false" customHeight="true" outlineLevel="0" collapsed="false">
      <c r="A40" s="41" t="n">
        <v>37</v>
      </c>
      <c r="B40" s="92" t="s">
        <v>601</v>
      </c>
      <c r="C40" s="78" t="s">
        <v>323</v>
      </c>
      <c r="D40" s="41" t="s">
        <v>487</v>
      </c>
      <c r="E40" s="92" t="s">
        <v>783</v>
      </c>
      <c r="F40" s="37"/>
      <c r="G40" s="37"/>
      <c r="H40" s="37"/>
      <c r="I40" s="47" t="s">
        <v>747</v>
      </c>
      <c r="J40" s="47" t="s">
        <v>221</v>
      </c>
      <c r="K40" s="93" t="n">
        <v>0</v>
      </c>
      <c r="L40" s="36"/>
      <c r="M40" s="37"/>
      <c r="N40" s="38"/>
    </row>
    <row r="41" customFormat="false" ht="57.75" hidden="false" customHeight="true" outlineLevel="0" collapsed="false">
      <c r="A41" s="41" t="n">
        <v>38</v>
      </c>
      <c r="B41" s="92" t="s">
        <v>609</v>
      </c>
      <c r="C41" s="78" t="s">
        <v>323</v>
      </c>
      <c r="D41" s="41" t="s">
        <v>134</v>
      </c>
      <c r="E41" s="92" t="s">
        <v>784</v>
      </c>
      <c r="F41" s="37"/>
      <c r="G41" s="37"/>
      <c r="H41" s="37"/>
      <c r="I41" s="47" t="s">
        <v>747</v>
      </c>
      <c r="J41" s="47" t="s">
        <v>221</v>
      </c>
      <c r="K41" s="93" t="n">
        <v>0</v>
      </c>
      <c r="L41" s="36"/>
      <c r="M41" s="37"/>
      <c r="N41" s="38"/>
    </row>
    <row r="42" customFormat="false" ht="57.75" hidden="false" customHeight="true" outlineLevel="0" collapsed="false">
      <c r="A42" s="41" t="n">
        <v>39</v>
      </c>
      <c r="B42" s="92" t="s">
        <v>613</v>
      </c>
      <c r="C42" s="78" t="s">
        <v>323</v>
      </c>
      <c r="D42" s="41" t="s">
        <v>572</v>
      </c>
      <c r="E42" s="92" t="s">
        <v>785</v>
      </c>
      <c r="F42" s="37"/>
      <c r="G42" s="37"/>
      <c r="H42" s="37"/>
      <c r="I42" s="47" t="s">
        <v>747</v>
      </c>
      <c r="J42" s="47" t="s">
        <v>221</v>
      </c>
      <c r="K42" s="93" t="n">
        <v>0</v>
      </c>
      <c r="L42" s="36"/>
      <c r="M42" s="37"/>
      <c r="N42" s="38"/>
    </row>
    <row r="43" customFormat="false" ht="57.75" hidden="false" customHeight="true" outlineLevel="0" collapsed="false">
      <c r="A43" s="41" t="n">
        <v>40</v>
      </c>
      <c r="B43" s="92" t="s">
        <v>605</v>
      </c>
      <c r="C43" s="78" t="s">
        <v>324</v>
      </c>
      <c r="D43" s="41" t="s">
        <v>212</v>
      </c>
      <c r="E43" s="92" t="s">
        <v>786</v>
      </c>
      <c r="F43" s="37"/>
      <c r="G43" s="37"/>
      <c r="H43" s="37"/>
      <c r="I43" s="47" t="s">
        <v>747</v>
      </c>
      <c r="J43" s="47" t="s">
        <v>221</v>
      </c>
      <c r="K43" s="93" t="n">
        <v>0</v>
      </c>
      <c r="L43" s="36"/>
      <c r="M43" s="37"/>
      <c r="N43" s="38"/>
    </row>
    <row r="44" customFormat="false" ht="57.75" hidden="false" customHeight="true" outlineLevel="0" collapsed="false">
      <c r="A44" s="41" t="n">
        <v>41</v>
      </c>
      <c r="B44" s="92" t="s">
        <v>617</v>
      </c>
      <c r="C44" s="78" t="s">
        <v>323</v>
      </c>
      <c r="D44" s="41" t="s">
        <v>572</v>
      </c>
      <c r="E44" s="92" t="s">
        <v>787</v>
      </c>
      <c r="F44" s="37"/>
      <c r="G44" s="37"/>
      <c r="H44" s="37"/>
      <c r="I44" s="47" t="s">
        <v>747</v>
      </c>
      <c r="J44" s="47" t="s">
        <v>221</v>
      </c>
      <c r="K44" s="93" t="n">
        <v>0</v>
      </c>
      <c r="L44" s="36"/>
      <c r="M44" s="37"/>
      <c r="N44" s="38"/>
    </row>
    <row r="45" customFormat="false" ht="57.75" hidden="false" customHeight="true" outlineLevel="0" collapsed="false">
      <c r="A45" s="41" t="n">
        <v>42</v>
      </c>
      <c r="B45" s="92" t="s">
        <v>621</v>
      </c>
      <c r="C45" s="78" t="s">
        <v>323</v>
      </c>
      <c r="D45" s="41" t="s">
        <v>572</v>
      </c>
      <c r="E45" s="92" t="s">
        <v>788</v>
      </c>
      <c r="F45" s="37"/>
      <c r="G45" s="37"/>
      <c r="H45" s="37"/>
      <c r="I45" s="47" t="s">
        <v>747</v>
      </c>
      <c r="J45" s="47" t="s">
        <v>221</v>
      </c>
      <c r="K45" s="93" t="n">
        <v>0</v>
      </c>
      <c r="L45" s="36"/>
      <c r="M45" s="37"/>
      <c r="N45" s="38"/>
    </row>
    <row r="46" customFormat="false" ht="57.75" hidden="false" customHeight="true" outlineLevel="0" collapsed="false">
      <c r="A46" s="41" t="n">
        <v>43</v>
      </c>
      <c r="B46" s="92" t="s">
        <v>625</v>
      </c>
      <c r="C46" s="78" t="s">
        <v>323</v>
      </c>
      <c r="D46" s="41" t="s">
        <v>572</v>
      </c>
      <c r="E46" s="92" t="s">
        <v>789</v>
      </c>
      <c r="F46" s="37"/>
      <c r="G46" s="37"/>
      <c r="H46" s="37"/>
      <c r="I46" s="47" t="s">
        <v>747</v>
      </c>
      <c r="J46" s="47" t="s">
        <v>221</v>
      </c>
      <c r="K46" s="93" t="n">
        <v>0</v>
      </c>
      <c r="L46" s="36"/>
      <c r="M46" s="37"/>
      <c r="N46" s="38"/>
    </row>
    <row r="47" customFormat="false" ht="57.75" hidden="false" customHeight="true" outlineLevel="0" collapsed="false">
      <c r="A47" s="41" t="n">
        <v>44</v>
      </c>
      <c r="B47" s="92" t="s">
        <v>722</v>
      </c>
      <c r="C47" s="78" t="s">
        <v>328</v>
      </c>
      <c r="D47" s="41" t="s">
        <v>487</v>
      </c>
      <c r="E47" s="92" t="s">
        <v>790</v>
      </c>
      <c r="F47" s="37"/>
      <c r="G47" s="37"/>
      <c r="H47" s="37"/>
      <c r="I47" s="47" t="s">
        <v>747</v>
      </c>
      <c r="J47" s="47" t="s">
        <v>221</v>
      </c>
      <c r="K47" s="93" t="n">
        <v>0</v>
      </c>
      <c r="L47" s="36"/>
      <c r="M47" s="37"/>
      <c r="N47" s="38"/>
    </row>
    <row r="48" customFormat="false" ht="57.75" hidden="false" customHeight="true" outlineLevel="0" collapsed="false">
      <c r="A48" s="41" t="n">
        <v>45</v>
      </c>
      <c r="B48" s="92" t="s">
        <v>726</v>
      </c>
      <c r="C48" s="78" t="s">
        <v>328</v>
      </c>
      <c r="D48" s="41" t="s">
        <v>487</v>
      </c>
      <c r="E48" s="92" t="s">
        <v>791</v>
      </c>
      <c r="F48" s="37"/>
      <c r="G48" s="37"/>
      <c r="H48" s="37"/>
      <c r="I48" s="47" t="s">
        <v>747</v>
      </c>
      <c r="J48" s="47" t="s">
        <v>221</v>
      </c>
      <c r="K48" s="93" t="n">
        <v>0</v>
      </c>
      <c r="L48" s="36"/>
      <c r="M48" s="37"/>
      <c r="N48" s="38"/>
    </row>
    <row r="49" customFormat="false" ht="57.75" hidden="false" customHeight="true" outlineLevel="0" collapsed="false">
      <c r="A49" s="41" t="n">
        <v>46</v>
      </c>
      <c r="B49" s="92" t="s">
        <v>730</v>
      </c>
      <c r="C49" s="78" t="s">
        <v>328</v>
      </c>
      <c r="D49" s="41" t="s">
        <v>212</v>
      </c>
      <c r="E49" s="92" t="s">
        <v>792</v>
      </c>
      <c r="F49" s="37"/>
      <c r="G49" s="37"/>
      <c r="H49" s="37"/>
      <c r="I49" s="47" t="s">
        <v>747</v>
      </c>
      <c r="J49" s="47" t="s">
        <v>221</v>
      </c>
      <c r="K49" s="93" t="n">
        <v>0</v>
      </c>
      <c r="L49" s="36"/>
      <c r="M49" s="37"/>
      <c r="N49" s="38"/>
    </row>
  </sheetData>
  <autoFilter ref="A3:N49"/>
  <mergeCells count="2">
    <mergeCell ref="A1:N1"/>
    <mergeCell ref="A2:N2"/>
  </mergeCells>
  <conditionalFormatting sqref="J4:J49">
    <cfRule type="cellIs" priority="2" operator="equal" aboveAverage="0" equalAverage="0" bottom="0" percent="0" rank="0" text="" dxfId="7">
      <formula>"Complete"</formula>
    </cfRule>
    <cfRule type="cellIs" priority="3" operator="equal" aboveAverage="0" equalAverage="0" bottom="0" percent="0" rank="0" text="" dxfId="6">
      <formula>"Blocked"</formula>
    </cfRule>
  </conditionalFormatting>
  <conditionalFormatting sqref="I4:I49">
    <cfRule type="cellIs" priority="4" operator="equal" aboveAverage="0" equalAverage="0" bottom="0" percent="0" rank="0" text="" dxfId="6">
      <formula>"No"</formula>
    </cfRule>
  </conditionalFormatting>
  <dataValidations count="5">
    <dataValidation allowBlank="true" error="Please choose a value from the dropdown list." errorStyle="stop" errorTitle="Value not in list" operator="between" prompt="Choose from the Area list" showDropDown="false" showErrorMessage="false" showInputMessage="false" sqref="C4:C49" type="list">
      <formula1>Lists!$E$4:$E$11</formula1>
      <formula2>0</formula2>
    </dataValidation>
    <dataValidation allowBlank="true" error="Please choose a value from the dropdown list." errorStyle="stop" errorTitle="Value not in list" operator="between" prompt="Choose from the Priority list" showDropDown="false" showErrorMessage="false" showInputMessage="false" sqref="D4:D49" type="list">
      <formula1>Lists!$B$4:$B$7</formula1>
      <formula2>0</formula2>
    </dataValidation>
    <dataValidation allowBlank="true" error="Please choose a value from the dropdown list." errorStyle="stop" errorTitle="Value not in list" operator="between" prompt="Choose from the Yes/No list" showDropDown="false" showErrorMessage="false" showInputMessage="false" sqref="I4:I49" type="list">
      <formula1>Lists!$C$4:$C$6</formula1>
      <formula2>0</formula2>
    </dataValidation>
    <dataValidation allowBlank="true" error="Please choose a value from the dropdown list." errorStyle="stop" errorTitle="Value not in list" operator="between" prompt="Choose from the Status list" showDropDown="false" showErrorMessage="false" showInputMessage="false" sqref="J4:J49" type="list">
      <formula1>Lists!$A$4:$A$9</formula1>
      <formula2>0</formula2>
    </dataValidation>
    <dataValidation allowBlank="true" error="Pick a name from the team roster on the START HERE tab." errorStyle="stop" errorTitle="Name not on the roster" operator="between" prompt="Choose the team member" showDropDown="false" showErrorMessage="false" showInputMessage="false" sqref="M4:M49" type="list">
      <formula1>'START HERE'!$B$55:$B$64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000"/>
    <pageSetUpPr fitToPage="tru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0"/>
    <col collapsed="false" customWidth="true" hidden="false" outlineLevel="0" max="3" min="3" style="1" width="40"/>
    <col collapsed="false" customWidth="true" hidden="false" outlineLevel="0" max="4" min="4" style="1" width="30"/>
    <col collapsed="false" customWidth="true" hidden="false" outlineLevel="0" max="5" min="5" style="1" width="40"/>
    <col collapsed="false" customWidth="true" hidden="false" outlineLevel="0" max="6" min="6" style="1" width="52"/>
    <col collapsed="false" customWidth="true" hidden="false" outlineLevel="0" max="7" min="7" style="1" width="12"/>
    <col collapsed="false" customWidth="true" hidden="false" outlineLevel="0" max="8" min="8" style="1" width="16"/>
    <col collapsed="false" customWidth="true" hidden="false" outlineLevel="0" max="9" min="9" style="1" width="13"/>
    <col collapsed="false" customWidth="true" hidden="false" outlineLevel="0" max="10" min="10" style="1" width="30"/>
    <col collapsed="false" customWidth="true" hidden="false" outlineLevel="0" max="11" min="11" style="1" width="12"/>
    <col collapsed="false" customWidth="true" hidden="false" outlineLevel="0" max="12" min="12" style="1" width="26"/>
  </cols>
  <sheetData>
    <row r="1" customFormat="false" ht="25.5" hidden="false" customHeight="true" outlineLevel="0" collapsed="false">
      <c r="A1" s="2" t="s">
        <v>793</v>
      </c>
      <c r="B1" s="2"/>
      <c r="C1" s="2"/>
      <c r="D1" s="2"/>
      <c r="E1" s="2"/>
      <c r="F1" s="2"/>
      <c r="G1" s="2"/>
      <c r="H1" s="2"/>
      <c r="I1" s="2"/>
      <c r="J1" s="2"/>
      <c r="K1" s="2"/>
      <c r="L1" s="2"/>
    </row>
    <row r="2" customFormat="false" ht="18" hidden="false" customHeight="true" outlineLevel="0" collapsed="false">
      <c r="A2" s="3" t="s">
        <v>794</v>
      </c>
      <c r="B2" s="3"/>
      <c r="C2" s="3"/>
      <c r="D2" s="3"/>
      <c r="E2" s="3"/>
      <c r="F2" s="3"/>
      <c r="G2" s="3"/>
      <c r="H2" s="3"/>
      <c r="I2" s="3"/>
      <c r="J2" s="3"/>
      <c r="K2" s="3"/>
      <c r="L2" s="3"/>
    </row>
    <row r="3" customFormat="false" ht="48" hidden="false" customHeight="true" outlineLevel="0" collapsed="false">
      <c r="A3" s="31" t="s">
        <v>795</v>
      </c>
      <c r="B3" s="31" t="s">
        <v>115</v>
      </c>
      <c r="C3" s="31" t="s">
        <v>796</v>
      </c>
      <c r="D3" s="31" t="s">
        <v>797</v>
      </c>
      <c r="E3" s="31" t="s">
        <v>798</v>
      </c>
      <c r="F3" s="31" t="s">
        <v>799</v>
      </c>
      <c r="G3" s="31" t="s">
        <v>800</v>
      </c>
      <c r="H3" s="31" t="s">
        <v>187</v>
      </c>
      <c r="I3" s="31" t="s">
        <v>202</v>
      </c>
      <c r="J3" s="31" t="s">
        <v>801</v>
      </c>
      <c r="K3" s="31" t="s">
        <v>802</v>
      </c>
      <c r="L3" s="31" t="s">
        <v>162</v>
      </c>
    </row>
    <row r="4" customFormat="false" ht="96" hidden="false" customHeight="true" outlineLevel="0" collapsed="false">
      <c r="A4" s="94" t="n">
        <v>1</v>
      </c>
      <c r="B4" s="77" t="s">
        <v>601</v>
      </c>
      <c r="C4" s="92" t="s">
        <v>803</v>
      </c>
      <c r="D4" s="67" t="s">
        <v>804</v>
      </c>
      <c r="E4" s="92" t="s">
        <v>805</v>
      </c>
      <c r="F4" s="95" t="s">
        <v>806</v>
      </c>
      <c r="G4" s="45" t="s">
        <v>807</v>
      </c>
      <c r="H4" s="37"/>
      <c r="I4" s="44" t="s">
        <v>221</v>
      </c>
      <c r="J4" s="37"/>
      <c r="K4" s="45" t="n">
        <f aca="false">COUNTIFS('Content Calendar'!$J$5:$J$403,"Published",'Content Calendar'!$C$5:$C$403,$B4)+COUNTIFS('Content Calendar'!$J$5:$J$403,"Repurposed",'Content Calendar'!$C$5:$C$403,$B4)</f>
        <v>0</v>
      </c>
      <c r="L4" s="38"/>
    </row>
    <row r="5" customFormat="false" ht="96" hidden="false" customHeight="true" outlineLevel="0" collapsed="false">
      <c r="A5" s="94" t="n">
        <v>2</v>
      </c>
      <c r="B5" s="77" t="s">
        <v>134</v>
      </c>
      <c r="C5" s="92" t="s">
        <v>808</v>
      </c>
      <c r="D5" s="67" t="s">
        <v>809</v>
      </c>
      <c r="E5" s="92" t="s">
        <v>810</v>
      </c>
      <c r="F5" s="95" t="s">
        <v>811</v>
      </c>
      <c r="G5" s="45" t="s">
        <v>563</v>
      </c>
      <c r="H5" s="37"/>
      <c r="I5" s="44" t="s">
        <v>221</v>
      </c>
      <c r="J5" s="37"/>
      <c r="K5" s="45" t="n">
        <f aca="false">COUNTIFS('Content Calendar'!$J$5:$J$403,"Published",'Content Calendar'!$C$5:$C$403,$B5)+COUNTIFS('Content Calendar'!$J$5:$J$403,"Repurposed",'Content Calendar'!$C$5:$C$403,$B5)</f>
        <v>0</v>
      </c>
      <c r="L5" s="38"/>
    </row>
    <row r="6" customFormat="false" ht="96" hidden="false" customHeight="true" outlineLevel="0" collapsed="false">
      <c r="A6" s="94" t="n">
        <v>3</v>
      </c>
      <c r="B6" s="77" t="s">
        <v>589</v>
      </c>
      <c r="C6" s="92" t="s">
        <v>812</v>
      </c>
      <c r="D6" s="67" t="s">
        <v>813</v>
      </c>
      <c r="E6" s="92" t="s">
        <v>814</v>
      </c>
      <c r="F6" s="95" t="s">
        <v>815</v>
      </c>
      <c r="G6" s="45" t="s">
        <v>807</v>
      </c>
      <c r="H6" s="37"/>
      <c r="I6" s="44" t="s">
        <v>221</v>
      </c>
      <c r="J6" s="37"/>
      <c r="K6" s="45" t="n">
        <f aca="false">COUNTIFS('Content Calendar'!$J$5:$J$403,"Published",'Content Calendar'!$C$5:$C$403,$B6)+COUNTIFS('Content Calendar'!$J$5:$J$403,"Repurposed",'Content Calendar'!$C$5:$C$403,$B6)</f>
        <v>0</v>
      </c>
      <c r="L6" s="38"/>
    </row>
    <row r="7" customFormat="false" ht="96" hidden="false" customHeight="true" outlineLevel="0" collapsed="false">
      <c r="A7" s="94" t="n">
        <v>4</v>
      </c>
      <c r="B7" s="77" t="s">
        <v>816</v>
      </c>
      <c r="C7" s="92" t="s">
        <v>817</v>
      </c>
      <c r="D7" s="67" t="s">
        <v>818</v>
      </c>
      <c r="E7" s="92" t="s">
        <v>819</v>
      </c>
      <c r="F7" s="95" t="s">
        <v>820</v>
      </c>
      <c r="G7" s="45" t="s">
        <v>521</v>
      </c>
      <c r="H7" s="37"/>
      <c r="I7" s="44" t="s">
        <v>221</v>
      </c>
      <c r="J7" s="37"/>
      <c r="K7" s="45" t="n">
        <f aca="false">COUNTIFS('Content Calendar'!$J$5:$J$403,"Published",'Content Calendar'!$C$5:$C$403,$B7)+COUNTIFS('Content Calendar'!$J$5:$J$403,"Repurposed",'Content Calendar'!$C$5:$C$403,$B7)</f>
        <v>0</v>
      </c>
      <c r="L7" s="38"/>
    </row>
    <row r="8" customFormat="false" ht="96" hidden="false" customHeight="true" outlineLevel="0" collapsed="false">
      <c r="A8" s="94" t="n">
        <v>5</v>
      </c>
      <c r="B8" s="77" t="s">
        <v>609</v>
      </c>
      <c r="C8" s="92" t="s">
        <v>821</v>
      </c>
      <c r="D8" s="67" t="s">
        <v>822</v>
      </c>
      <c r="E8" s="92" t="s">
        <v>823</v>
      </c>
      <c r="F8" s="95" t="s">
        <v>824</v>
      </c>
      <c r="G8" s="45" t="s">
        <v>563</v>
      </c>
      <c r="H8" s="37"/>
      <c r="I8" s="44" t="s">
        <v>221</v>
      </c>
      <c r="J8" s="37"/>
      <c r="K8" s="45" t="n">
        <f aca="false">COUNTIFS('Content Calendar'!$J$5:$J$403,"Published",'Content Calendar'!$C$5:$C$403,$B8)+COUNTIFS('Content Calendar'!$J$5:$J$403,"Repurposed",'Content Calendar'!$C$5:$C$403,$B8)</f>
        <v>0</v>
      </c>
      <c r="L8" s="38"/>
    </row>
    <row r="9" customFormat="false" ht="96" hidden="false" customHeight="true" outlineLevel="0" collapsed="false">
      <c r="A9" s="94" t="n">
        <v>6</v>
      </c>
      <c r="B9" s="77" t="s">
        <v>613</v>
      </c>
      <c r="C9" s="92" t="s">
        <v>825</v>
      </c>
      <c r="D9" s="67" t="s">
        <v>826</v>
      </c>
      <c r="E9" s="92" t="s">
        <v>827</v>
      </c>
      <c r="F9" s="95" t="s">
        <v>828</v>
      </c>
      <c r="G9" s="45" t="s">
        <v>584</v>
      </c>
      <c r="H9" s="37"/>
      <c r="I9" s="44" t="s">
        <v>221</v>
      </c>
      <c r="J9" s="37"/>
      <c r="K9" s="45" t="n">
        <f aca="false">COUNTIFS('Content Calendar'!$J$5:$J$403,"Published",'Content Calendar'!$C$5:$C$403,$B9)+COUNTIFS('Content Calendar'!$J$5:$J$403,"Repurposed",'Content Calendar'!$C$5:$C$403,$B9)</f>
        <v>0</v>
      </c>
      <c r="L9" s="38"/>
    </row>
    <row r="10" customFormat="false" ht="96" hidden="false" customHeight="true" outlineLevel="0" collapsed="false">
      <c r="A10" s="94" t="n">
        <v>7</v>
      </c>
      <c r="B10" s="77" t="s">
        <v>581</v>
      </c>
      <c r="C10" s="92" t="s">
        <v>829</v>
      </c>
      <c r="D10" s="67" t="s">
        <v>830</v>
      </c>
      <c r="E10" s="92" t="s">
        <v>831</v>
      </c>
      <c r="F10" s="95" t="s">
        <v>832</v>
      </c>
      <c r="G10" s="45" t="s">
        <v>584</v>
      </c>
      <c r="H10" s="37"/>
      <c r="I10" s="44" t="s">
        <v>221</v>
      </c>
      <c r="J10" s="37"/>
      <c r="K10" s="45" t="n">
        <f aca="false">COUNTIFS('Content Calendar'!$J$5:$J$403,"Published",'Content Calendar'!$C$5:$C$403,$B10)+COUNTIFS('Content Calendar'!$J$5:$J$403,"Repurposed",'Content Calendar'!$C$5:$C$403,$B10)</f>
        <v>0</v>
      </c>
      <c r="L10" s="38"/>
    </row>
    <row r="11" customFormat="false" ht="96" hidden="false" customHeight="true" outlineLevel="0" collapsed="false">
      <c r="A11" s="94" t="n">
        <v>8</v>
      </c>
      <c r="B11" s="77" t="s">
        <v>617</v>
      </c>
      <c r="C11" s="92" t="s">
        <v>833</v>
      </c>
      <c r="D11" s="67" t="s">
        <v>834</v>
      </c>
      <c r="E11" s="92" t="s">
        <v>835</v>
      </c>
      <c r="F11" s="95" t="s">
        <v>836</v>
      </c>
      <c r="G11" s="45" t="s">
        <v>584</v>
      </c>
      <c r="H11" s="37"/>
      <c r="I11" s="44" t="s">
        <v>221</v>
      </c>
      <c r="J11" s="37"/>
      <c r="K11" s="45" t="n">
        <f aca="false">COUNTIFS('Content Calendar'!$J$5:$J$403,"Published",'Content Calendar'!$C$5:$C$403,$B11)+COUNTIFS('Content Calendar'!$J$5:$J$403,"Repurposed",'Content Calendar'!$C$5:$C$403,$B11)</f>
        <v>0</v>
      </c>
      <c r="L11" s="38"/>
    </row>
    <row r="12" customFormat="false" ht="96" hidden="false" customHeight="true" outlineLevel="0" collapsed="false">
      <c r="A12" s="94" t="n">
        <v>9</v>
      </c>
      <c r="B12" s="77" t="s">
        <v>621</v>
      </c>
      <c r="C12" s="92" t="s">
        <v>837</v>
      </c>
      <c r="D12" s="67" t="s">
        <v>838</v>
      </c>
      <c r="E12" s="92" t="s">
        <v>839</v>
      </c>
      <c r="F12" s="95" t="s">
        <v>840</v>
      </c>
      <c r="G12" s="45" t="s">
        <v>584</v>
      </c>
      <c r="H12" s="37"/>
      <c r="I12" s="44" t="s">
        <v>221</v>
      </c>
      <c r="J12" s="37"/>
      <c r="K12" s="45" t="n">
        <f aca="false">COUNTIFS('Content Calendar'!$J$5:$J$403,"Published",'Content Calendar'!$C$5:$C$403,$B12)+COUNTIFS('Content Calendar'!$J$5:$J$403,"Repurposed",'Content Calendar'!$C$5:$C$403,$B12)</f>
        <v>0</v>
      </c>
      <c r="L12" s="38"/>
    </row>
    <row r="13" customFormat="false" ht="96" hidden="false" customHeight="true" outlineLevel="0" collapsed="false">
      <c r="A13" s="94" t="n">
        <v>10</v>
      </c>
      <c r="B13" s="77" t="s">
        <v>625</v>
      </c>
      <c r="C13" s="92" t="s">
        <v>841</v>
      </c>
      <c r="D13" s="67" t="s">
        <v>842</v>
      </c>
      <c r="E13" s="92" t="s">
        <v>843</v>
      </c>
      <c r="F13" s="95" t="s">
        <v>844</v>
      </c>
      <c r="G13" s="45" t="s">
        <v>584</v>
      </c>
      <c r="H13" s="37"/>
      <c r="I13" s="44" t="s">
        <v>221</v>
      </c>
      <c r="J13" s="37"/>
      <c r="K13" s="45" t="n">
        <f aca="false">COUNTIFS('Content Calendar'!$J$5:$J$403,"Published",'Content Calendar'!$C$5:$C$403,$B13)+COUNTIFS('Content Calendar'!$J$5:$J$403,"Repurposed",'Content Calendar'!$C$5:$C$403,$B13)</f>
        <v>0</v>
      </c>
      <c r="L13" s="38"/>
    </row>
    <row r="15" customFormat="false" ht="54" hidden="false" customHeight="true" outlineLevel="0" collapsed="false">
      <c r="A15" s="60" t="s">
        <v>845</v>
      </c>
      <c r="B15" s="60"/>
      <c r="C15" s="60"/>
      <c r="D15" s="60"/>
      <c r="E15" s="60"/>
      <c r="F15" s="60"/>
      <c r="G15" s="60"/>
      <c r="H15" s="60"/>
      <c r="I15" s="60"/>
      <c r="J15" s="60"/>
      <c r="K15" s="60"/>
      <c r="L15" s="60"/>
    </row>
    <row r="16" customFormat="false" ht="30" hidden="false" customHeight="true" outlineLevel="0" collapsed="false">
      <c r="A16" s="96" t="s">
        <v>846</v>
      </c>
      <c r="B16" s="96"/>
      <c r="C16" s="96"/>
      <c r="D16" s="96"/>
      <c r="E16" s="96"/>
      <c r="F16" s="96"/>
      <c r="G16" s="96"/>
      <c r="H16" s="96"/>
      <c r="I16" s="96"/>
      <c r="J16" s="96"/>
      <c r="K16" s="96"/>
      <c r="L16" s="96"/>
    </row>
  </sheetData>
  <mergeCells count="4">
    <mergeCell ref="A1:L1"/>
    <mergeCell ref="A2:L2"/>
    <mergeCell ref="A15:L15"/>
    <mergeCell ref="A16:L16"/>
  </mergeCells>
  <conditionalFormatting sqref="I4:I13">
    <cfRule type="cellIs" priority="2" operator="equal" aboveAverage="0" equalAverage="0" bottom="0" percent="0" rank="0" text="" dxfId="7">
      <formula>"Complete"</formula>
    </cfRule>
  </conditionalFormatting>
  <dataValidations count="3">
    <dataValidation allowBlank="true" error="Pick a name from the team roster on the START HERE tab." errorStyle="stop" errorTitle="Name not on the roster" operator="between" prompt="Choose the team member" showDropDown="false" showErrorMessage="false" showInputMessage="false" sqref="H4:H13" type="list">
      <formula1>'START HERE'!$B$55:$B$64</formula1>
      <formula2>0</formula2>
    </dataValidation>
    <dataValidation allowBlank="true" error="Please choose a value from the dropdown list." errorStyle="stop" errorTitle="Value not in list" operator="between" prompt="Choose from the Status list" showDropDown="false" showErrorMessage="false" showInputMessage="false" sqref="I4:I13" type="list">
      <formula1>Lists!$A$4:$A$9</formula1>
      <formula2>0</formula2>
    </dataValidation>
    <dataValidation allowBlank="true" error="Please choose a value from the dropdown list." errorStyle="stop" errorTitle="Value not in list" operator="between" prompt="Choose from the Frequency list" showDropDown="false" showErrorMessage="false" showInputMessage="false" sqref="G4:G13" type="list">
      <formula1>Lists!$D$4:$D$10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O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0"/>
    <col collapsed="false" customWidth="true" hidden="false" outlineLevel="0" max="3" min="3" style="1" width="40"/>
    <col collapsed="false" customWidth="true" hidden="false" outlineLevel="0" max="4" min="4" style="1" width="30"/>
    <col collapsed="false" customWidth="true" hidden="false" outlineLevel="0" max="5" min="5" style="1" width="26"/>
    <col collapsed="false" customWidth="true" hidden="false" outlineLevel="0" max="6" min="6" style="1" width="16"/>
    <col collapsed="false" customWidth="true" hidden="false" outlineLevel="0" max="7" min="7" style="1" width="13"/>
    <col collapsed="false" customWidth="true" hidden="false" outlineLevel="0" max="8" min="8" style="1" width="30"/>
    <col collapsed="false" customWidth="true" hidden="false" outlineLevel="0" max="9" min="9" style="1" width="12"/>
    <col collapsed="false" customWidth="true" hidden="false" outlineLevel="0" max="10" min="10" style="1" width="26"/>
    <col collapsed="false" customWidth="true" hidden="false" outlineLevel="0" max="11" min="11" style="1" width="12"/>
    <col collapsed="false" customWidth="true" hidden="false" outlineLevel="0" max="12" min="12" style="1" width="13"/>
    <col collapsed="false" customWidth="true" hidden="false" outlineLevel="0" max="13" min="13" style="1" width="11"/>
    <col collapsed="false" customWidth="true" hidden="false" outlineLevel="0" max="14" min="14" style="1" width="10"/>
    <col collapsed="false" customWidth="true" hidden="false" outlineLevel="0" max="15" min="15" style="1" width="24"/>
  </cols>
  <sheetData>
    <row r="1" customFormat="false" ht="25.5" hidden="false" customHeight="true" outlineLevel="0" collapsed="false">
      <c r="A1" s="2" t="s">
        <v>847</v>
      </c>
      <c r="B1" s="2"/>
      <c r="C1" s="2"/>
      <c r="D1" s="2"/>
      <c r="E1" s="2"/>
      <c r="F1" s="2"/>
      <c r="G1" s="2"/>
      <c r="H1" s="2"/>
      <c r="I1" s="2"/>
      <c r="J1" s="2"/>
      <c r="K1" s="2"/>
      <c r="L1" s="2"/>
      <c r="M1" s="2"/>
      <c r="N1" s="2"/>
      <c r="O1" s="2"/>
    </row>
    <row r="2" customFormat="false" ht="18" hidden="false" customHeight="true" outlineLevel="0" collapsed="false">
      <c r="A2" s="3" t="s">
        <v>848</v>
      </c>
      <c r="B2" s="3"/>
      <c r="C2" s="3"/>
      <c r="D2" s="3"/>
      <c r="E2" s="3"/>
      <c r="F2" s="3"/>
      <c r="G2" s="3"/>
      <c r="H2" s="3"/>
      <c r="I2" s="3"/>
      <c r="J2" s="3"/>
      <c r="K2" s="3"/>
      <c r="L2" s="3"/>
      <c r="M2" s="3"/>
      <c r="N2" s="3"/>
      <c r="O2" s="3"/>
    </row>
    <row r="3" customFormat="false" ht="43.5" hidden="false" customHeight="true" outlineLevel="0" collapsed="false">
      <c r="A3" s="31" t="s">
        <v>849</v>
      </c>
      <c r="B3" s="31" t="s">
        <v>850</v>
      </c>
      <c r="C3" s="31" t="s">
        <v>851</v>
      </c>
      <c r="D3" s="31" t="s">
        <v>852</v>
      </c>
      <c r="E3" s="31" t="s">
        <v>853</v>
      </c>
      <c r="F3" s="31" t="s">
        <v>187</v>
      </c>
      <c r="G3" s="31" t="s">
        <v>202</v>
      </c>
      <c r="H3" s="31" t="s">
        <v>854</v>
      </c>
      <c r="I3" s="31" t="s">
        <v>855</v>
      </c>
      <c r="J3" s="31" t="s">
        <v>856</v>
      </c>
      <c r="K3" s="31" t="s">
        <v>857</v>
      </c>
      <c r="L3" s="31" t="s">
        <v>858</v>
      </c>
      <c r="M3" s="31" t="s">
        <v>859</v>
      </c>
      <c r="N3" s="31" t="s">
        <v>860</v>
      </c>
      <c r="O3" s="31" t="s">
        <v>162</v>
      </c>
    </row>
    <row r="4" customFormat="false" ht="27.75" hidden="false" customHeight="true" outlineLevel="0" collapsed="false">
      <c r="A4" s="38" t="s">
        <v>861</v>
      </c>
      <c r="B4" s="37"/>
      <c r="C4" s="38" t="s">
        <v>862</v>
      </c>
      <c r="D4" s="38"/>
      <c r="E4" s="38"/>
      <c r="F4" s="37"/>
      <c r="G4" s="37" t="s">
        <v>863</v>
      </c>
      <c r="H4" s="37"/>
      <c r="I4" s="44"/>
      <c r="J4" s="38"/>
      <c r="K4" s="44"/>
      <c r="L4" s="44"/>
      <c r="M4" s="44"/>
      <c r="N4" s="44"/>
      <c r="O4" s="38"/>
    </row>
    <row r="5" customFormat="false" ht="27.75" hidden="false" customHeight="true" outlineLevel="0" collapsed="false">
      <c r="A5" s="38" t="s">
        <v>864</v>
      </c>
      <c r="B5" s="37"/>
      <c r="C5" s="38" t="s">
        <v>865</v>
      </c>
      <c r="D5" s="38"/>
      <c r="E5" s="38"/>
      <c r="F5" s="37"/>
      <c r="G5" s="37" t="s">
        <v>863</v>
      </c>
      <c r="H5" s="37"/>
      <c r="I5" s="44"/>
      <c r="J5" s="38"/>
      <c r="K5" s="44"/>
      <c r="L5" s="44"/>
      <c r="M5" s="44"/>
      <c r="N5" s="44"/>
      <c r="O5" s="38"/>
    </row>
    <row r="6" customFormat="false" ht="27.75" hidden="false" customHeight="true" outlineLevel="0" collapsed="false">
      <c r="A6" s="38" t="s">
        <v>866</v>
      </c>
      <c r="B6" s="37"/>
      <c r="C6" s="38" t="s">
        <v>867</v>
      </c>
      <c r="D6" s="38"/>
      <c r="E6" s="38"/>
      <c r="F6" s="37"/>
      <c r="G6" s="37" t="s">
        <v>863</v>
      </c>
      <c r="H6" s="37"/>
      <c r="I6" s="44"/>
      <c r="J6" s="38"/>
      <c r="K6" s="44"/>
      <c r="L6" s="44"/>
      <c r="M6" s="44"/>
      <c r="N6" s="44"/>
      <c r="O6" s="38"/>
    </row>
    <row r="7" customFormat="false" ht="27.75" hidden="false" customHeight="true" outlineLevel="0" collapsed="false">
      <c r="A7" s="38" t="s">
        <v>868</v>
      </c>
      <c r="B7" s="37"/>
      <c r="C7" s="38" t="s">
        <v>869</v>
      </c>
      <c r="D7" s="38"/>
      <c r="E7" s="38"/>
      <c r="F7" s="37"/>
      <c r="G7" s="37" t="s">
        <v>863</v>
      </c>
      <c r="H7" s="37"/>
      <c r="I7" s="44"/>
      <c r="J7" s="38"/>
      <c r="K7" s="44"/>
      <c r="L7" s="44"/>
      <c r="M7" s="44"/>
      <c r="N7" s="44"/>
      <c r="O7" s="38"/>
    </row>
    <row r="8" customFormat="false" ht="27.75" hidden="false" customHeight="true" outlineLevel="0" collapsed="false">
      <c r="A8" s="38" t="s">
        <v>870</v>
      </c>
      <c r="B8" s="37"/>
      <c r="C8" s="38" t="s">
        <v>871</v>
      </c>
      <c r="D8" s="38"/>
      <c r="E8" s="38"/>
      <c r="F8" s="37"/>
      <c r="G8" s="37" t="s">
        <v>863</v>
      </c>
      <c r="H8" s="37"/>
      <c r="I8" s="44"/>
      <c r="J8" s="38"/>
      <c r="K8" s="44"/>
      <c r="L8" s="44"/>
      <c r="M8" s="44"/>
      <c r="N8" s="44"/>
      <c r="O8" s="38"/>
    </row>
    <row r="9" customFormat="false" ht="27.75" hidden="false" customHeight="true" outlineLevel="0" collapsed="false">
      <c r="A9" s="38" t="s">
        <v>872</v>
      </c>
      <c r="B9" s="37"/>
      <c r="C9" s="38" t="s">
        <v>873</v>
      </c>
      <c r="D9" s="38"/>
      <c r="E9" s="38"/>
      <c r="F9" s="37"/>
      <c r="G9" s="37" t="s">
        <v>863</v>
      </c>
      <c r="H9" s="37"/>
      <c r="I9" s="44"/>
      <c r="J9" s="38"/>
      <c r="K9" s="44"/>
      <c r="L9" s="44"/>
      <c r="M9" s="44"/>
      <c r="N9" s="44"/>
      <c r="O9" s="38"/>
    </row>
    <row r="10" customFormat="false" ht="27.75" hidden="false" customHeight="true" outlineLevel="0" collapsed="false">
      <c r="A10" s="38" t="s">
        <v>874</v>
      </c>
      <c r="B10" s="37"/>
      <c r="C10" s="38" t="s">
        <v>875</v>
      </c>
      <c r="D10" s="38"/>
      <c r="E10" s="38"/>
      <c r="F10" s="37"/>
      <c r="G10" s="37" t="s">
        <v>863</v>
      </c>
      <c r="H10" s="37"/>
      <c r="I10" s="44"/>
      <c r="J10" s="38"/>
      <c r="K10" s="44"/>
      <c r="L10" s="44"/>
      <c r="M10" s="44"/>
      <c r="N10" s="44"/>
      <c r="O10" s="38"/>
    </row>
    <row r="11" customFormat="false" ht="27.75" hidden="false" customHeight="true" outlineLevel="0" collapsed="false">
      <c r="A11" s="38"/>
      <c r="B11" s="37"/>
      <c r="C11" s="38"/>
      <c r="D11" s="38"/>
      <c r="E11" s="38"/>
      <c r="F11" s="37"/>
      <c r="G11" s="37"/>
      <c r="H11" s="37"/>
      <c r="I11" s="44"/>
      <c r="J11" s="38"/>
      <c r="K11" s="44"/>
      <c r="L11" s="44"/>
      <c r="M11" s="44"/>
      <c r="N11" s="44"/>
      <c r="O11" s="38"/>
    </row>
    <row r="12" customFormat="false" ht="27.75" hidden="false" customHeight="true" outlineLevel="0" collapsed="false">
      <c r="A12" s="38"/>
      <c r="B12" s="37"/>
      <c r="C12" s="38"/>
      <c r="D12" s="38"/>
      <c r="E12" s="38"/>
      <c r="F12" s="37"/>
      <c r="G12" s="37"/>
      <c r="H12" s="37"/>
      <c r="I12" s="44"/>
      <c r="J12" s="38"/>
      <c r="K12" s="44"/>
      <c r="L12" s="44"/>
      <c r="M12" s="44"/>
      <c r="N12" s="44"/>
      <c r="O12" s="38"/>
    </row>
    <row r="13" customFormat="false" ht="27.75" hidden="false" customHeight="true" outlineLevel="0" collapsed="false">
      <c r="A13" s="38"/>
      <c r="B13" s="37"/>
      <c r="C13" s="38"/>
      <c r="D13" s="38"/>
      <c r="E13" s="38"/>
      <c r="F13" s="37"/>
      <c r="G13" s="37"/>
      <c r="H13" s="37"/>
      <c r="I13" s="44"/>
      <c r="J13" s="38"/>
      <c r="K13" s="44"/>
      <c r="L13" s="44"/>
      <c r="M13" s="44"/>
      <c r="N13" s="44"/>
      <c r="O13" s="38"/>
    </row>
    <row r="14" customFormat="false" ht="27.75" hidden="false" customHeight="true" outlineLevel="0" collapsed="false">
      <c r="A14" s="38"/>
      <c r="B14" s="37"/>
      <c r="C14" s="38"/>
      <c r="D14" s="38"/>
      <c r="E14" s="38"/>
      <c r="F14" s="37"/>
      <c r="G14" s="37"/>
      <c r="H14" s="37"/>
      <c r="I14" s="44"/>
      <c r="J14" s="38"/>
      <c r="K14" s="44"/>
      <c r="L14" s="44"/>
      <c r="M14" s="44"/>
      <c r="N14" s="44"/>
      <c r="O14" s="38"/>
    </row>
    <row r="15" customFormat="false" ht="27.75" hidden="false" customHeight="true" outlineLevel="0" collapsed="false">
      <c r="A15" s="38"/>
      <c r="B15" s="37"/>
      <c r="C15" s="38"/>
      <c r="D15" s="38"/>
      <c r="E15" s="38"/>
      <c r="F15" s="37"/>
      <c r="G15" s="37"/>
      <c r="H15" s="37"/>
      <c r="I15" s="44"/>
      <c r="J15" s="38"/>
      <c r="K15" s="44"/>
      <c r="L15" s="44"/>
      <c r="M15" s="44"/>
      <c r="N15" s="44"/>
      <c r="O15" s="38"/>
    </row>
    <row r="16" customFormat="false" ht="27.75" hidden="false" customHeight="true" outlineLevel="0" collapsed="false">
      <c r="A16" s="38"/>
      <c r="B16" s="37"/>
      <c r="C16" s="38"/>
      <c r="D16" s="38"/>
      <c r="E16" s="38"/>
      <c r="F16" s="37"/>
      <c r="G16" s="37"/>
      <c r="H16" s="37"/>
      <c r="I16" s="44"/>
      <c r="J16" s="38"/>
      <c r="K16" s="44"/>
      <c r="L16" s="44"/>
      <c r="M16" s="44"/>
      <c r="N16" s="44"/>
      <c r="O16" s="38"/>
    </row>
    <row r="17" customFormat="false" ht="27.75" hidden="false" customHeight="true" outlineLevel="0" collapsed="false">
      <c r="A17" s="38"/>
      <c r="B17" s="37"/>
      <c r="C17" s="38"/>
      <c r="D17" s="38"/>
      <c r="E17" s="38"/>
      <c r="F17" s="37"/>
      <c r="G17" s="37"/>
      <c r="H17" s="37"/>
      <c r="I17" s="44"/>
      <c r="J17" s="38"/>
      <c r="K17" s="44"/>
      <c r="L17" s="44"/>
      <c r="M17" s="44"/>
      <c r="N17" s="44"/>
      <c r="O17" s="38"/>
    </row>
    <row r="18" customFormat="false" ht="27.75" hidden="false" customHeight="true" outlineLevel="0" collapsed="false">
      <c r="A18" s="38"/>
      <c r="B18" s="37"/>
      <c r="C18" s="38"/>
      <c r="D18" s="38"/>
      <c r="E18" s="38"/>
      <c r="F18" s="37"/>
      <c r="G18" s="37"/>
      <c r="H18" s="37"/>
      <c r="I18" s="44"/>
      <c r="J18" s="38"/>
      <c r="K18" s="44"/>
      <c r="L18" s="44"/>
      <c r="M18" s="44"/>
      <c r="N18" s="44"/>
      <c r="O18" s="38"/>
    </row>
    <row r="19" customFormat="false" ht="27.75" hidden="false" customHeight="true" outlineLevel="0" collapsed="false">
      <c r="A19" s="38"/>
      <c r="B19" s="37"/>
      <c r="C19" s="38"/>
      <c r="D19" s="38"/>
      <c r="E19" s="38"/>
      <c r="F19" s="37"/>
      <c r="G19" s="37"/>
      <c r="H19" s="37"/>
      <c r="I19" s="44"/>
      <c r="J19" s="38"/>
      <c r="K19" s="44"/>
      <c r="L19" s="44"/>
      <c r="M19" s="44"/>
      <c r="N19" s="44"/>
      <c r="O19" s="38"/>
    </row>
    <row r="20" customFormat="false" ht="27.75" hidden="false" customHeight="true" outlineLevel="0" collapsed="false">
      <c r="A20" s="38"/>
      <c r="B20" s="37"/>
      <c r="C20" s="38"/>
      <c r="D20" s="38"/>
      <c r="E20" s="38"/>
      <c r="F20" s="37"/>
      <c r="G20" s="37"/>
      <c r="H20" s="37"/>
      <c r="I20" s="44"/>
      <c r="J20" s="38"/>
      <c r="K20" s="44"/>
      <c r="L20" s="44"/>
      <c r="M20" s="44"/>
      <c r="N20" s="44"/>
      <c r="O20" s="38"/>
    </row>
    <row r="21" customFormat="false" ht="27.75" hidden="false" customHeight="true" outlineLevel="0" collapsed="false">
      <c r="A21" s="38"/>
      <c r="B21" s="37"/>
      <c r="C21" s="38"/>
      <c r="D21" s="38"/>
      <c r="E21" s="38"/>
      <c r="F21" s="37"/>
      <c r="G21" s="37"/>
      <c r="H21" s="37"/>
      <c r="I21" s="44"/>
      <c r="J21" s="38"/>
      <c r="K21" s="44"/>
      <c r="L21" s="44"/>
      <c r="M21" s="44"/>
      <c r="N21" s="44"/>
      <c r="O21" s="38"/>
    </row>
    <row r="22" customFormat="false" ht="27.75" hidden="false" customHeight="true" outlineLevel="0" collapsed="false">
      <c r="A22" s="38"/>
      <c r="B22" s="37"/>
      <c r="C22" s="38"/>
      <c r="D22" s="38"/>
      <c r="E22" s="38"/>
      <c r="F22" s="37"/>
      <c r="G22" s="37"/>
      <c r="H22" s="37"/>
      <c r="I22" s="44"/>
      <c r="J22" s="38"/>
      <c r="K22" s="44"/>
      <c r="L22" s="44"/>
      <c r="M22" s="44"/>
      <c r="N22" s="44"/>
      <c r="O22" s="38"/>
    </row>
    <row r="23" customFormat="false" ht="27.75" hidden="false" customHeight="true" outlineLevel="0" collapsed="false">
      <c r="A23" s="38"/>
      <c r="B23" s="37"/>
      <c r="C23" s="38"/>
      <c r="D23" s="38"/>
      <c r="E23" s="38"/>
      <c r="F23" s="37"/>
      <c r="G23" s="37"/>
      <c r="H23" s="37"/>
      <c r="I23" s="44"/>
      <c r="J23" s="38"/>
      <c r="K23" s="44"/>
      <c r="L23" s="44"/>
      <c r="M23" s="44"/>
      <c r="N23" s="44"/>
      <c r="O23" s="38"/>
    </row>
    <row r="24" customFormat="false" ht="27.75" hidden="false" customHeight="true" outlineLevel="0" collapsed="false">
      <c r="A24" s="38"/>
      <c r="B24" s="37"/>
      <c r="C24" s="38"/>
      <c r="D24" s="38"/>
      <c r="E24" s="38"/>
      <c r="F24" s="37"/>
      <c r="G24" s="37"/>
      <c r="H24" s="37"/>
      <c r="I24" s="44"/>
      <c r="J24" s="38"/>
      <c r="K24" s="44"/>
      <c r="L24" s="44"/>
      <c r="M24" s="44"/>
      <c r="N24" s="44"/>
      <c r="O24" s="38"/>
    </row>
    <row r="25" customFormat="false" ht="27.75" hidden="false" customHeight="true" outlineLevel="0" collapsed="false">
      <c r="A25" s="38"/>
      <c r="B25" s="37"/>
      <c r="C25" s="38"/>
      <c r="D25" s="38"/>
      <c r="E25" s="38"/>
      <c r="F25" s="37"/>
      <c r="G25" s="37"/>
      <c r="H25" s="37"/>
      <c r="I25" s="44"/>
      <c r="J25" s="38"/>
      <c r="K25" s="44"/>
      <c r="L25" s="44"/>
      <c r="M25" s="44"/>
      <c r="N25" s="44"/>
      <c r="O25" s="38"/>
    </row>
    <row r="26" customFormat="false" ht="27.75" hidden="false" customHeight="true" outlineLevel="0" collapsed="false">
      <c r="A26" s="38"/>
      <c r="B26" s="37"/>
      <c r="C26" s="38"/>
      <c r="D26" s="38"/>
      <c r="E26" s="38"/>
      <c r="F26" s="37"/>
      <c r="G26" s="37"/>
      <c r="H26" s="37"/>
      <c r="I26" s="44"/>
      <c r="J26" s="38"/>
      <c r="K26" s="44"/>
      <c r="L26" s="44"/>
      <c r="M26" s="44"/>
      <c r="N26" s="44"/>
      <c r="O26" s="38"/>
    </row>
    <row r="27" customFormat="false" ht="27.75" hidden="false" customHeight="true" outlineLevel="0" collapsed="false">
      <c r="A27" s="38"/>
      <c r="B27" s="37"/>
      <c r="C27" s="38"/>
      <c r="D27" s="38"/>
      <c r="E27" s="38"/>
      <c r="F27" s="37"/>
      <c r="G27" s="37"/>
      <c r="H27" s="37"/>
      <c r="I27" s="44"/>
      <c r="J27" s="38"/>
      <c r="K27" s="44"/>
      <c r="L27" s="44"/>
      <c r="M27" s="44"/>
      <c r="N27" s="44"/>
      <c r="O27" s="38"/>
    </row>
    <row r="28" customFormat="false" ht="27.75" hidden="false" customHeight="true" outlineLevel="0" collapsed="false">
      <c r="A28" s="38"/>
      <c r="B28" s="37"/>
      <c r="C28" s="38"/>
      <c r="D28" s="38"/>
      <c r="E28" s="38"/>
      <c r="F28" s="37"/>
      <c r="G28" s="37"/>
      <c r="H28" s="37"/>
      <c r="I28" s="44"/>
      <c r="J28" s="38"/>
      <c r="K28" s="44"/>
      <c r="L28" s="44"/>
      <c r="M28" s="44"/>
      <c r="N28" s="44"/>
      <c r="O28" s="38"/>
    </row>
    <row r="29" customFormat="false" ht="27.75" hidden="false" customHeight="true" outlineLevel="0" collapsed="false">
      <c r="A29" s="38"/>
      <c r="B29" s="37"/>
      <c r="C29" s="38"/>
      <c r="D29" s="38"/>
      <c r="E29" s="38"/>
      <c r="F29" s="37"/>
      <c r="G29" s="37"/>
      <c r="H29" s="37"/>
      <c r="I29" s="44"/>
      <c r="J29" s="38"/>
      <c r="K29" s="44"/>
      <c r="L29" s="44"/>
      <c r="M29" s="44"/>
      <c r="N29" s="44"/>
      <c r="O29" s="38"/>
    </row>
    <row r="30" customFormat="false" ht="27.75" hidden="false" customHeight="true" outlineLevel="0" collapsed="false">
      <c r="A30" s="38"/>
      <c r="B30" s="37"/>
      <c r="C30" s="38"/>
      <c r="D30" s="38"/>
      <c r="E30" s="38"/>
      <c r="F30" s="37"/>
      <c r="G30" s="37"/>
      <c r="H30" s="37"/>
      <c r="I30" s="44"/>
      <c r="J30" s="38"/>
      <c r="K30" s="44"/>
      <c r="L30" s="44"/>
      <c r="M30" s="44"/>
      <c r="N30" s="44"/>
      <c r="O30" s="38"/>
    </row>
    <row r="31" customFormat="false" ht="27.75" hidden="false" customHeight="true" outlineLevel="0" collapsed="false">
      <c r="A31" s="38"/>
      <c r="B31" s="37"/>
      <c r="C31" s="38"/>
      <c r="D31" s="38"/>
      <c r="E31" s="38"/>
      <c r="F31" s="37"/>
      <c r="G31" s="37"/>
      <c r="H31" s="37"/>
      <c r="I31" s="44"/>
      <c r="J31" s="38"/>
      <c r="K31" s="44"/>
      <c r="L31" s="44"/>
      <c r="M31" s="44"/>
      <c r="N31" s="44"/>
      <c r="O31" s="38"/>
    </row>
    <row r="32" customFormat="false" ht="27.75" hidden="false" customHeight="true" outlineLevel="0" collapsed="false">
      <c r="A32" s="38"/>
      <c r="B32" s="37"/>
      <c r="C32" s="38"/>
      <c r="D32" s="38"/>
      <c r="E32" s="38"/>
      <c r="F32" s="37"/>
      <c r="G32" s="37"/>
      <c r="H32" s="37"/>
      <c r="I32" s="44"/>
      <c r="J32" s="38"/>
      <c r="K32" s="44"/>
      <c r="L32" s="44"/>
      <c r="M32" s="44"/>
      <c r="N32" s="44"/>
      <c r="O32" s="38"/>
    </row>
    <row r="33" customFormat="false" ht="27.75" hidden="false" customHeight="true" outlineLevel="0" collapsed="false">
      <c r="A33" s="38"/>
      <c r="B33" s="37"/>
      <c r="C33" s="38"/>
      <c r="D33" s="38"/>
      <c r="E33" s="38"/>
      <c r="F33" s="37"/>
      <c r="G33" s="37"/>
      <c r="H33" s="37"/>
      <c r="I33" s="44"/>
      <c r="J33" s="38"/>
      <c r="K33" s="44"/>
      <c r="L33" s="44"/>
      <c r="M33" s="44"/>
      <c r="N33" s="44"/>
      <c r="O33" s="38"/>
    </row>
    <row r="34" customFormat="false" ht="27.75" hidden="false" customHeight="true" outlineLevel="0" collapsed="false">
      <c r="A34" s="38"/>
      <c r="B34" s="37"/>
      <c r="C34" s="38"/>
      <c r="D34" s="38"/>
      <c r="E34" s="38"/>
      <c r="F34" s="37"/>
      <c r="G34" s="37"/>
      <c r="H34" s="37"/>
      <c r="I34" s="44"/>
      <c r="J34" s="38"/>
      <c r="K34" s="44"/>
      <c r="L34" s="44"/>
      <c r="M34" s="44"/>
      <c r="N34" s="44"/>
      <c r="O34" s="38"/>
    </row>
    <row r="35" customFormat="false" ht="27.75" hidden="false" customHeight="true" outlineLevel="0" collapsed="false">
      <c r="A35" s="38"/>
      <c r="B35" s="37"/>
      <c r="C35" s="38"/>
      <c r="D35" s="38"/>
      <c r="E35" s="38"/>
      <c r="F35" s="37"/>
      <c r="G35" s="37"/>
      <c r="H35" s="37"/>
      <c r="I35" s="44"/>
      <c r="J35" s="38"/>
      <c r="K35" s="44"/>
      <c r="L35" s="44"/>
      <c r="M35" s="44"/>
      <c r="N35" s="44"/>
      <c r="O35" s="38"/>
    </row>
    <row r="36" customFormat="false" ht="27.75" hidden="false" customHeight="true" outlineLevel="0" collapsed="false">
      <c r="A36" s="38"/>
      <c r="B36" s="37"/>
      <c r="C36" s="38"/>
      <c r="D36" s="38"/>
      <c r="E36" s="38"/>
      <c r="F36" s="37"/>
      <c r="G36" s="37"/>
      <c r="H36" s="37"/>
      <c r="I36" s="44"/>
      <c r="J36" s="38"/>
      <c r="K36" s="44"/>
      <c r="L36" s="44"/>
      <c r="M36" s="44"/>
      <c r="N36" s="44"/>
      <c r="O36" s="38"/>
    </row>
    <row r="37" customFormat="false" ht="27.75" hidden="false" customHeight="true" outlineLevel="0" collapsed="false">
      <c r="A37" s="38"/>
      <c r="B37" s="37"/>
      <c r="C37" s="38"/>
      <c r="D37" s="38"/>
      <c r="E37" s="38"/>
      <c r="F37" s="37"/>
      <c r="G37" s="37"/>
      <c r="H37" s="37"/>
      <c r="I37" s="44"/>
      <c r="J37" s="38"/>
      <c r="K37" s="44"/>
      <c r="L37" s="44"/>
      <c r="M37" s="44"/>
      <c r="N37" s="44"/>
      <c r="O37" s="38"/>
    </row>
    <row r="38" customFormat="false" ht="27.75" hidden="false" customHeight="true" outlineLevel="0" collapsed="false">
      <c r="A38" s="38"/>
      <c r="B38" s="37"/>
      <c r="C38" s="38"/>
      <c r="D38" s="38"/>
      <c r="E38" s="38"/>
      <c r="F38" s="37"/>
      <c r="G38" s="37"/>
      <c r="H38" s="37"/>
      <c r="I38" s="44"/>
      <c r="J38" s="38"/>
      <c r="K38" s="44"/>
      <c r="L38" s="44"/>
      <c r="M38" s="44"/>
      <c r="N38" s="44"/>
      <c r="O38" s="38"/>
    </row>
    <row r="39" customFormat="false" ht="27.75" hidden="false" customHeight="true" outlineLevel="0" collapsed="false">
      <c r="A39" s="38"/>
      <c r="B39" s="37"/>
      <c r="C39" s="38"/>
      <c r="D39" s="38"/>
      <c r="E39" s="38"/>
      <c r="F39" s="37"/>
      <c r="G39" s="37"/>
      <c r="H39" s="37"/>
      <c r="I39" s="44"/>
      <c r="J39" s="38"/>
      <c r="K39" s="44"/>
      <c r="L39" s="44"/>
      <c r="M39" s="44"/>
      <c r="N39" s="44"/>
      <c r="O39" s="38"/>
    </row>
    <row r="40" customFormat="false" ht="27.75" hidden="false" customHeight="true" outlineLevel="0" collapsed="false">
      <c r="A40" s="38"/>
      <c r="B40" s="37"/>
      <c r="C40" s="38"/>
      <c r="D40" s="38"/>
      <c r="E40" s="38"/>
      <c r="F40" s="37"/>
      <c r="G40" s="37"/>
      <c r="H40" s="37"/>
      <c r="I40" s="44"/>
      <c r="J40" s="38"/>
      <c r="K40" s="44"/>
      <c r="L40" s="44"/>
      <c r="M40" s="44"/>
      <c r="N40" s="44"/>
      <c r="O40" s="38"/>
    </row>
    <row r="41" customFormat="false" ht="27.75" hidden="false" customHeight="true" outlineLevel="0" collapsed="false">
      <c r="A41" s="38"/>
      <c r="B41" s="37"/>
      <c r="C41" s="38"/>
      <c r="D41" s="38"/>
      <c r="E41" s="38"/>
      <c r="F41" s="37"/>
      <c r="G41" s="37"/>
      <c r="H41" s="37"/>
      <c r="I41" s="44"/>
      <c r="J41" s="38"/>
      <c r="K41" s="44"/>
      <c r="L41" s="44"/>
      <c r="M41" s="44"/>
      <c r="N41" s="44"/>
      <c r="O41" s="38"/>
    </row>
    <row r="42" customFormat="false" ht="27.75" hidden="false" customHeight="true" outlineLevel="0" collapsed="false">
      <c r="A42" s="38"/>
      <c r="B42" s="37"/>
      <c r="C42" s="38"/>
      <c r="D42" s="38"/>
      <c r="E42" s="38"/>
      <c r="F42" s="37"/>
      <c r="G42" s="37"/>
      <c r="H42" s="37"/>
      <c r="I42" s="44"/>
      <c r="J42" s="38"/>
      <c r="K42" s="44"/>
      <c r="L42" s="44"/>
      <c r="M42" s="44"/>
      <c r="N42" s="44"/>
      <c r="O42" s="38"/>
    </row>
    <row r="43" customFormat="false" ht="27.75" hidden="false" customHeight="true" outlineLevel="0" collapsed="false">
      <c r="A43" s="38"/>
      <c r="B43" s="37"/>
      <c r="C43" s="38"/>
      <c r="D43" s="38"/>
      <c r="E43" s="38"/>
      <c r="F43" s="37"/>
      <c r="G43" s="37"/>
      <c r="H43" s="37"/>
      <c r="I43" s="44"/>
      <c r="J43" s="38"/>
      <c r="K43" s="44"/>
      <c r="L43" s="44"/>
      <c r="M43" s="44"/>
      <c r="N43" s="44"/>
      <c r="O43" s="38"/>
    </row>
    <row r="44" customFormat="false" ht="27.75" hidden="false" customHeight="true" outlineLevel="0" collapsed="false">
      <c r="A44" s="38"/>
      <c r="B44" s="37"/>
      <c r="C44" s="38"/>
      <c r="D44" s="38"/>
      <c r="E44" s="38"/>
      <c r="F44" s="37"/>
      <c r="G44" s="37"/>
      <c r="H44" s="37"/>
      <c r="I44" s="44"/>
      <c r="J44" s="38"/>
      <c r="K44" s="44"/>
      <c r="L44" s="44"/>
      <c r="M44" s="44"/>
      <c r="N44" s="44"/>
      <c r="O44" s="38"/>
    </row>
    <row r="45" customFormat="false" ht="27.75" hidden="false" customHeight="true" outlineLevel="0" collapsed="false">
      <c r="A45" s="38"/>
      <c r="B45" s="37"/>
      <c r="C45" s="38"/>
      <c r="D45" s="38"/>
      <c r="E45" s="38"/>
      <c r="F45" s="37"/>
      <c r="G45" s="37"/>
      <c r="H45" s="37"/>
      <c r="I45" s="44"/>
      <c r="J45" s="38"/>
      <c r="K45" s="44"/>
      <c r="L45" s="44"/>
      <c r="M45" s="44"/>
      <c r="N45" s="44"/>
      <c r="O45" s="38"/>
    </row>
    <row r="46" customFormat="false" ht="27.75" hidden="false" customHeight="true" outlineLevel="0" collapsed="false">
      <c r="A46" s="38"/>
      <c r="B46" s="37"/>
      <c r="C46" s="38"/>
      <c r="D46" s="38"/>
      <c r="E46" s="38"/>
      <c r="F46" s="37"/>
      <c r="G46" s="37"/>
      <c r="H46" s="37"/>
      <c r="I46" s="44"/>
      <c r="J46" s="38"/>
      <c r="K46" s="44"/>
      <c r="L46" s="44"/>
      <c r="M46" s="44"/>
      <c r="N46" s="44"/>
      <c r="O46" s="38"/>
    </row>
    <row r="47" customFormat="false" ht="27.75" hidden="false" customHeight="true" outlineLevel="0" collapsed="false">
      <c r="A47" s="38"/>
      <c r="B47" s="37"/>
      <c r="C47" s="38"/>
      <c r="D47" s="38"/>
      <c r="E47" s="38"/>
      <c r="F47" s="37"/>
      <c r="G47" s="37"/>
      <c r="H47" s="37"/>
      <c r="I47" s="44"/>
      <c r="J47" s="38"/>
      <c r="K47" s="44"/>
      <c r="L47" s="44"/>
      <c r="M47" s="44"/>
      <c r="N47" s="44"/>
      <c r="O47" s="38"/>
    </row>
    <row r="48" customFormat="false" ht="27.75" hidden="false" customHeight="true" outlineLevel="0" collapsed="false">
      <c r="A48" s="38"/>
      <c r="B48" s="37"/>
      <c r="C48" s="38"/>
      <c r="D48" s="38"/>
      <c r="E48" s="38"/>
      <c r="F48" s="37"/>
      <c r="G48" s="37"/>
      <c r="H48" s="37"/>
      <c r="I48" s="44"/>
      <c r="J48" s="38"/>
      <c r="K48" s="44"/>
      <c r="L48" s="44"/>
      <c r="M48" s="44"/>
      <c r="N48" s="44"/>
      <c r="O48" s="38"/>
    </row>
    <row r="49" customFormat="false" ht="27.75" hidden="false" customHeight="true" outlineLevel="0" collapsed="false">
      <c r="A49" s="38"/>
      <c r="B49" s="37"/>
      <c r="C49" s="38"/>
      <c r="D49" s="38"/>
      <c r="E49" s="38"/>
      <c r="F49" s="37"/>
      <c r="G49" s="37"/>
      <c r="H49" s="37"/>
      <c r="I49" s="44"/>
      <c r="J49" s="38"/>
      <c r="K49" s="44"/>
      <c r="L49" s="44"/>
      <c r="M49" s="44"/>
      <c r="N49" s="44"/>
      <c r="O49" s="38"/>
    </row>
    <row r="50" customFormat="false" ht="27.75" hidden="false" customHeight="true" outlineLevel="0" collapsed="false">
      <c r="A50" s="38"/>
      <c r="B50" s="37"/>
      <c r="C50" s="38"/>
      <c r="D50" s="38"/>
      <c r="E50" s="38"/>
      <c r="F50" s="37"/>
      <c r="G50" s="37"/>
      <c r="H50" s="37"/>
      <c r="I50" s="44"/>
      <c r="J50" s="38"/>
      <c r="K50" s="44"/>
      <c r="L50" s="44"/>
      <c r="M50" s="44"/>
      <c r="N50" s="44"/>
      <c r="O50" s="38"/>
    </row>
    <row r="51" customFormat="false" ht="27.75" hidden="false" customHeight="true" outlineLevel="0" collapsed="false">
      <c r="A51" s="38"/>
      <c r="B51" s="37"/>
      <c r="C51" s="38"/>
      <c r="D51" s="38"/>
      <c r="E51" s="38"/>
      <c r="F51" s="37"/>
      <c r="G51" s="37"/>
      <c r="H51" s="37"/>
      <c r="I51" s="44"/>
      <c r="J51" s="38"/>
      <c r="K51" s="44"/>
      <c r="L51" s="44"/>
      <c r="M51" s="44"/>
      <c r="N51" s="44"/>
      <c r="O51" s="38"/>
    </row>
    <row r="52" customFormat="false" ht="27.75" hidden="false" customHeight="true" outlineLevel="0" collapsed="false">
      <c r="A52" s="38"/>
      <c r="B52" s="37"/>
      <c r="C52" s="38"/>
      <c r="D52" s="38"/>
      <c r="E52" s="38"/>
      <c r="F52" s="37"/>
      <c r="G52" s="37"/>
      <c r="H52" s="37"/>
      <c r="I52" s="44"/>
      <c r="J52" s="38"/>
      <c r="K52" s="44"/>
      <c r="L52" s="44"/>
      <c r="M52" s="44"/>
      <c r="N52" s="44"/>
      <c r="O52" s="38"/>
    </row>
    <row r="53" customFormat="false" ht="27.75" hidden="false" customHeight="true" outlineLevel="0" collapsed="false">
      <c r="A53" s="38"/>
      <c r="B53" s="37"/>
      <c r="C53" s="38"/>
      <c r="D53" s="38"/>
      <c r="E53" s="38"/>
      <c r="F53" s="37"/>
      <c r="G53" s="37"/>
      <c r="H53" s="37"/>
      <c r="I53" s="44"/>
      <c r="J53" s="38"/>
      <c r="K53" s="44"/>
      <c r="L53" s="44"/>
      <c r="M53" s="44"/>
      <c r="N53" s="44"/>
      <c r="O53" s="38"/>
    </row>
    <row r="54" customFormat="false" ht="27.75" hidden="false" customHeight="true" outlineLevel="0" collapsed="false">
      <c r="A54" s="38"/>
      <c r="B54" s="37"/>
      <c r="C54" s="38"/>
      <c r="D54" s="38"/>
      <c r="E54" s="38"/>
      <c r="F54" s="37"/>
      <c r="G54" s="37"/>
      <c r="H54" s="37"/>
      <c r="I54" s="44"/>
      <c r="J54" s="38"/>
      <c r="K54" s="44"/>
      <c r="L54" s="44"/>
      <c r="M54" s="44"/>
      <c r="N54" s="44"/>
      <c r="O54" s="38"/>
    </row>
    <row r="55" customFormat="false" ht="27.75" hidden="false" customHeight="true" outlineLevel="0" collapsed="false">
      <c r="A55" s="38"/>
      <c r="B55" s="37"/>
      <c r="C55" s="38"/>
      <c r="D55" s="38"/>
      <c r="E55" s="38"/>
      <c r="F55" s="37"/>
      <c r="G55" s="37"/>
      <c r="H55" s="37"/>
      <c r="I55" s="44"/>
      <c r="J55" s="38"/>
      <c r="K55" s="44"/>
      <c r="L55" s="44"/>
      <c r="M55" s="44"/>
      <c r="N55" s="44"/>
      <c r="O55" s="38"/>
    </row>
    <row r="56" customFormat="false" ht="27.75" hidden="false" customHeight="true" outlineLevel="0" collapsed="false">
      <c r="A56" s="38"/>
      <c r="B56" s="37"/>
      <c r="C56" s="38"/>
      <c r="D56" s="38"/>
      <c r="E56" s="38"/>
      <c r="F56" s="37"/>
      <c r="G56" s="37"/>
      <c r="H56" s="37"/>
      <c r="I56" s="44"/>
      <c r="J56" s="38"/>
      <c r="K56" s="44"/>
      <c r="L56" s="44"/>
      <c r="M56" s="44"/>
      <c r="N56" s="44"/>
      <c r="O56" s="38"/>
    </row>
    <row r="57" customFormat="false" ht="27.75" hidden="false" customHeight="true" outlineLevel="0" collapsed="false">
      <c r="A57" s="38"/>
      <c r="B57" s="37"/>
      <c r="C57" s="38"/>
      <c r="D57" s="38"/>
      <c r="E57" s="38"/>
      <c r="F57" s="37"/>
      <c r="G57" s="37"/>
      <c r="H57" s="37"/>
      <c r="I57" s="44"/>
      <c r="J57" s="38"/>
      <c r="K57" s="44"/>
      <c r="L57" s="44"/>
      <c r="M57" s="44"/>
      <c r="N57" s="44"/>
      <c r="O57" s="38"/>
    </row>
    <row r="58" customFormat="false" ht="27.75" hidden="false" customHeight="true" outlineLevel="0" collapsed="false">
      <c r="A58" s="38"/>
      <c r="B58" s="37"/>
      <c r="C58" s="38"/>
      <c r="D58" s="38"/>
      <c r="E58" s="38"/>
      <c r="F58" s="37"/>
      <c r="G58" s="37"/>
      <c r="H58" s="37"/>
      <c r="I58" s="44"/>
      <c r="J58" s="38"/>
      <c r="K58" s="44"/>
      <c r="L58" s="44"/>
      <c r="M58" s="44"/>
      <c r="N58" s="44"/>
      <c r="O58" s="38"/>
    </row>
    <row r="59" customFormat="false" ht="27.75" hidden="false" customHeight="true" outlineLevel="0" collapsed="false">
      <c r="A59" s="38"/>
      <c r="B59" s="37"/>
      <c r="C59" s="38"/>
      <c r="D59" s="38"/>
      <c r="E59" s="38"/>
      <c r="F59" s="37"/>
      <c r="G59" s="37"/>
      <c r="H59" s="37"/>
      <c r="I59" s="44"/>
      <c r="J59" s="38"/>
      <c r="K59" s="44"/>
      <c r="L59" s="44"/>
      <c r="M59" s="44"/>
      <c r="N59" s="44"/>
      <c r="O59" s="38"/>
    </row>
    <row r="60" customFormat="false" ht="27.75" hidden="false" customHeight="true" outlineLevel="0" collapsed="false">
      <c r="A60" s="38"/>
      <c r="B60" s="37"/>
      <c r="C60" s="38"/>
      <c r="D60" s="38"/>
      <c r="E60" s="38"/>
      <c r="F60" s="37"/>
      <c r="G60" s="37"/>
      <c r="H60" s="37"/>
      <c r="I60" s="44"/>
      <c r="J60" s="38"/>
      <c r="K60" s="44"/>
      <c r="L60" s="44"/>
      <c r="M60" s="44"/>
      <c r="N60" s="44"/>
      <c r="O60" s="38"/>
    </row>
    <row r="61" customFormat="false" ht="27.75" hidden="false" customHeight="true" outlineLevel="0" collapsed="false">
      <c r="A61" s="38"/>
      <c r="B61" s="37"/>
      <c r="C61" s="38"/>
      <c r="D61" s="38"/>
      <c r="E61" s="38"/>
      <c r="F61" s="37"/>
      <c r="G61" s="37"/>
      <c r="H61" s="37"/>
      <c r="I61" s="44"/>
      <c r="J61" s="38"/>
      <c r="K61" s="44"/>
      <c r="L61" s="44"/>
      <c r="M61" s="44"/>
      <c r="N61" s="44"/>
      <c r="O61" s="38"/>
    </row>
    <row r="62" customFormat="false" ht="27.75" hidden="false" customHeight="true" outlineLevel="0" collapsed="false">
      <c r="A62" s="38"/>
      <c r="B62" s="37"/>
      <c r="C62" s="38"/>
      <c r="D62" s="38"/>
      <c r="E62" s="38"/>
      <c r="F62" s="37"/>
      <c r="G62" s="37"/>
      <c r="H62" s="37"/>
      <c r="I62" s="44"/>
      <c r="J62" s="38"/>
      <c r="K62" s="44"/>
      <c r="L62" s="44"/>
      <c r="M62" s="44"/>
      <c r="N62" s="44"/>
      <c r="O62" s="38"/>
    </row>
    <row r="63" customFormat="false" ht="27.75" hidden="false" customHeight="true" outlineLevel="0" collapsed="false">
      <c r="A63" s="38"/>
      <c r="B63" s="37"/>
      <c r="C63" s="38"/>
      <c r="D63" s="38"/>
      <c r="E63" s="38"/>
      <c r="F63" s="37"/>
      <c r="G63" s="37"/>
      <c r="H63" s="37"/>
      <c r="I63" s="44"/>
      <c r="J63" s="38"/>
      <c r="K63" s="44"/>
      <c r="L63" s="44"/>
      <c r="M63" s="44"/>
      <c r="N63" s="44"/>
      <c r="O63" s="38"/>
    </row>
    <row r="64" customFormat="false" ht="27.75" hidden="false" customHeight="true" outlineLevel="0" collapsed="false">
      <c r="A64" s="38"/>
      <c r="B64" s="37"/>
      <c r="C64" s="38"/>
      <c r="D64" s="38"/>
      <c r="E64" s="38"/>
      <c r="F64" s="37"/>
      <c r="G64" s="37"/>
      <c r="H64" s="37"/>
      <c r="I64" s="44"/>
      <c r="J64" s="38"/>
      <c r="K64" s="44"/>
      <c r="L64" s="44"/>
      <c r="M64" s="44"/>
      <c r="N64" s="44"/>
      <c r="O64" s="38"/>
    </row>
    <row r="65" customFormat="false" ht="27.75" hidden="false" customHeight="true" outlineLevel="0" collapsed="false">
      <c r="A65" s="38"/>
      <c r="B65" s="37"/>
      <c r="C65" s="38"/>
      <c r="D65" s="38"/>
      <c r="E65" s="38"/>
      <c r="F65" s="37"/>
      <c r="G65" s="37"/>
      <c r="H65" s="37"/>
      <c r="I65" s="44"/>
      <c r="J65" s="38"/>
      <c r="K65" s="44"/>
      <c r="L65" s="44"/>
      <c r="M65" s="44"/>
      <c r="N65" s="44"/>
      <c r="O65" s="38"/>
    </row>
    <row r="66" customFormat="false" ht="27.75" hidden="false" customHeight="true" outlineLevel="0" collapsed="false">
      <c r="A66" s="38"/>
      <c r="B66" s="37"/>
      <c r="C66" s="38"/>
      <c r="D66" s="38"/>
      <c r="E66" s="38"/>
      <c r="F66" s="37"/>
      <c r="G66" s="37"/>
      <c r="H66" s="37"/>
      <c r="I66" s="44"/>
      <c r="J66" s="38"/>
      <c r="K66" s="44"/>
      <c r="L66" s="44"/>
      <c r="M66" s="44"/>
      <c r="N66" s="44"/>
      <c r="O66" s="38"/>
    </row>
    <row r="67" customFormat="false" ht="27.75" hidden="false" customHeight="true" outlineLevel="0" collapsed="false">
      <c r="A67" s="38"/>
      <c r="B67" s="37"/>
      <c r="C67" s="38"/>
      <c r="D67" s="38"/>
      <c r="E67" s="38"/>
      <c r="F67" s="37"/>
      <c r="G67" s="37"/>
      <c r="H67" s="37"/>
      <c r="I67" s="44"/>
      <c r="J67" s="38"/>
      <c r="K67" s="44"/>
      <c r="L67" s="44"/>
      <c r="M67" s="44"/>
      <c r="N67" s="44"/>
      <c r="O67" s="38"/>
    </row>
    <row r="68" customFormat="false" ht="27.75" hidden="false" customHeight="true" outlineLevel="0" collapsed="false">
      <c r="A68" s="38"/>
      <c r="B68" s="37"/>
      <c r="C68" s="38"/>
      <c r="D68" s="38"/>
      <c r="E68" s="38"/>
      <c r="F68" s="37"/>
      <c r="G68" s="37"/>
      <c r="H68" s="37"/>
      <c r="I68" s="44"/>
      <c r="J68" s="38"/>
      <c r="K68" s="44"/>
      <c r="L68" s="44"/>
      <c r="M68" s="44"/>
      <c r="N68" s="44"/>
      <c r="O68" s="38"/>
    </row>
    <row r="69" customFormat="false" ht="27.75" hidden="false" customHeight="true" outlineLevel="0" collapsed="false">
      <c r="A69" s="38"/>
      <c r="B69" s="37"/>
      <c r="C69" s="38"/>
      <c r="D69" s="38"/>
      <c r="E69" s="38"/>
      <c r="F69" s="37"/>
      <c r="G69" s="37"/>
      <c r="H69" s="37"/>
      <c r="I69" s="44"/>
      <c r="J69" s="38"/>
      <c r="K69" s="44"/>
      <c r="L69" s="44"/>
      <c r="M69" s="44"/>
      <c r="N69" s="44"/>
      <c r="O69" s="38"/>
    </row>
    <row r="70" customFormat="false" ht="27.75" hidden="false" customHeight="true" outlineLevel="0" collapsed="false">
      <c r="A70" s="38"/>
      <c r="B70" s="37"/>
      <c r="C70" s="38"/>
      <c r="D70" s="38"/>
      <c r="E70" s="38"/>
      <c r="F70" s="37"/>
      <c r="G70" s="37"/>
      <c r="H70" s="37"/>
      <c r="I70" s="44"/>
      <c r="J70" s="38"/>
      <c r="K70" s="44"/>
      <c r="L70" s="44"/>
      <c r="M70" s="44"/>
      <c r="N70" s="44"/>
      <c r="O70" s="38"/>
    </row>
    <row r="71" customFormat="false" ht="27.75" hidden="false" customHeight="true" outlineLevel="0" collapsed="false">
      <c r="A71" s="38"/>
      <c r="B71" s="37"/>
      <c r="C71" s="38"/>
      <c r="D71" s="38"/>
      <c r="E71" s="38"/>
      <c r="F71" s="37"/>
      <c r="G71" s="37"/>
      <c r="H71" s="37"/>
      <c r="I71" s="44"/>
      <c r="J71" s="38"/>
      <c r="K71" s="44"/>
      <c r="L71" s="44"/>
      <c r="M71" s="44"/>
      <c r="N71" s="44"/>
      <c r="O71" s="38"/>
    </row>
    <row r="72" customFormat="false" ht="27.75" hidden="false" customHeight="true" outlineLevel="0" collapsed="false">
      <c r="A72" s="38"/>
      <c r="B72" s="37"/>
      <c r="C72" s="38"/>
      <c r="D72" s="38"/>
      <c r="E72" s="38"/>
      <c r="F72" s="37"/>
      <c r="G72" s="37"/>
      <c r="H72" s="37"/>
      <c r="I72" s="44"/>
      <c r="J72" s="38"/>
      <c r="K72" s="44"/>
      <c r="L72" s="44"/>
      <c r="M72" s="44"/>
      <c r="N72" s="44"/>
      <c r="O72" s="38"/>
    </row>
    <row r="73" customFormat="false" ht="27.75" hidden="false" customHeight="true" outlineLevel="0" collapsed="false">
      <c r="A73" s="38"/>
      <c r="B73" s="37"/>
      <c r="C73" s="38"/>
      <c r="D73" s="38"/>
      <c r="E73" s="38"/>
      <c r="F73" s="37"/>
      <c r="G73" s="37"/>
      <c r="H73" s="37"/>
      <c r="I73" s="44"/>
      <c r="J73" s="38"/>
      <c r="K73" s="44"/>
      <c r="L73" s="44"/>
      <c r="M73" s="44"/>
      <c r="N73" s="44"/>
      <c r="O73" s="38"/>
    </row>
    <row r="74" customFormat="false" ht="27.75" hidden="false" customHeight="true" outlineLevel="0" collapsed="false">
      <c r="A74" s="38"/>
      <c r="B74" s="37"/>
      <c r="C74" s="38"/>
      <c r="D74" s="38"/>
      <c r="E74" s="38"/>
      <c r="F74" s="37"/>
      <c r="G74" s="37"/>
      <c r="H74" s="37"/>
      <c r="I74" s="44"/>
      <c r="J74" s="38"/>
      <c r="K74" s="44"/>
      <c r="L74" s="44"/>
      <c r="M74" s="44"/>
      <c r="N74" s="44"/>
      <c r="O74" s="38"/>
    </row>
    <row r="75" customFormat="false" ht="27.75" hidden="false" customHeight="true" outlineLevel="0" collapsed="false">
      <c r="A75" s="38"/>
      <c r="B75" s="37"/>
      <c r="C75" s="38"/>
      <c r="D75" s="38"/>
      <c r="E75" s="38"/>
      <c r="F75" s="37"/>
      <c r="G75" s="37"/>
      <c r="H75" s="37"/>
      <c r="I75" s="44"/>
      <c r="J75" s="38"/>
      <c r="K75" s="44"/>
      <c r="L75" s="44"/>
      <c r="M75" s="44"/>
      <c r="N75" s="44"/>
      <c r="O75" s="38"/>
    </row>
    <row r="76" customFormat="false" ht="27.75" hidden="false" customHeight="true" outlineLevel="0" collapsed="false">
      <c r="A76" s="38"/>
      <c r="B76" s="37"/>
      <c r="C76" s="38"/>
      <c r="D76" s="38"/>
      <c r="E76" s="38"/>
      <c r="F76" s="37"/>
      <c r="G76" s="37"/>
      <c r="H76" s="37"/>
      <c r="I76" s="44"/>
      <c r="J76" s="38"/>
      <c r="K76" s="44"/>
      <c r="L76" s="44"/>
      <c r="M76" s="44"/>
      <c r="N76" s="44"/>
      <c r="O76" s="38"/>
    </row>
    <row r="77" customFormat="false" ht="27.75" hidden="false" customHeight="true" outlineLevel="0" collapsed="false">
      <c r="A77" s="38"/>
      <c r="B77" s="37"/>
      <c r="C77" s="38"/>
      <c r="D77" s="38"/>
      <c r="E77" s="38"/>
      <c r="F77" s="37"/>
      <c r="G77" s="37"/>
      <c r="H77" s="37"/>
      <c r="I77" s="44"/>
      <c r="J77" s="38"/>
      <c r="K77" s="44"/>
      <c r="L77" s="44"/>
      <c r="M77" s="44"/>
      <c r="N77" s="44"/>
      <c r="O77" s="38"/>
    </row>
    <row r="78" customFormat="false" ht="27.75" hidden="false" customHeight="true" outlineLevel="0" collapsed="false">
      <c r="A78" s="38"/>
      <c r="B78" s="37"/>
      <c r="C78" s="38"/>
      <c r="D78" s="38"/>
      <c r="E78" s="38"/>
      <c r="F78" s="37"/>
      <c r="G78" s="37"/>
      <c r="H78" s="37"/>
      <c r="I78" s="44"/>
      <c r="J78" s="38"/>
      <c r="K78" s="44"/>
      <c r="L78" s="44"/>
      <c r="M78" s="44"/>
      <c r="N78" s="44"/>
      <c r="O78" s="38"/>
    </row>
    <row r="79" customFormat="false" ht="27.75" hidden="false" customHeight="true" outlineLevel="0" collapsed="false">
      <c r="A79" s="38"/>
      <c r="B79" s="37"/>
      <c r="C79" s="38"/>
      <c r="D79" s="38"/>
      <c r="E79" s="38"/>
      <c r="F79" s="37"/>
      <c r="G79" s="37"/>
      <c r="H79" s="37"/>
      <c r="I79" s="44"/>
      <c r="J79" s="38"/>
      <c r="K79" s="44"/>
      <c r="L79" s="44"/>
      <c r="M79" s="44"/>
      <c r="N79" s="44"/>
      <c r="O79" s="38"/>
    </row>
    <row r="80" customFormat="false" ht="27.75" hidden="false" customHeight="true" outlineLevel="0" collapsed="false">
      <c r="A80" s="38"/>
      <c r="B80" s="37"/>
      <c r="C80" s="38"/>
      <c r="D80" s="38"/>
      <c r="E80" s="38"/>
      <c r="F80" s="37"/>
      <c r="G80" s="37"/>
      <c r="H80" s="37"/>
      <c r="I80" s="44"/>
      <c r="J80" s="38"/>
      <c r="K80" s="44"/>
      <c r="L80" s="44"/>
      <c r="M80" s="44"/>
      <c r="N80" s="44"/>
      <c r="O80" s="38"/>
    </row>
    <row r="81" customFormat="false" ht="27.75" hidden="false" customHeight="true" outlineLevel="0" collapsed="false">
      <c r="A81" s="38"/>
      <c r="B81" s="37"/>
      <c r="C81" s="38"/>
      <c r="D81" s="38"/>
      <c r="E81" s="38"/>
      <c r="F81" s="37"/>
      <c r="G81" s="37"/>
      <c r="H81" s="37"/>
      <c r="I81" s="44"/>
      <c r="J81" s="38"/>
      <c r="K81" s="44"/>
      <c r="L81" s="44"/>
      <c r="M81" s="44"/>
      <c r="N81" s="44"/>
      <c r="O81" s="38"/>
    </row>
    <row r="82" customFormat="false" ht="27.75" hidden="false" customHeight="true" outlineLevel="0" collapsed="false">
      <c r="A82" s="38"/>
      <c r="B82" s="37"/>
      <c r="C82" s="38"/>
      <c r="D82" s="38"/>
      <c r="E82" s="38"/>
      <c r="F82" s="37"/>
      <c r="G82" s="37"/>
      <c r="H82" s="37"/>
      <c r="I82" s="44"/>
      <c r="J82" s="38"/>
      <c r="K82" s="44"/>
      <c r="L82" s="44"/>
      <c r="M82" s="44"/>
      <c r="N82" s="44"/>
      <c r="O82" s="38"/>
    </row>
    <row r="83" customFormat="false" ht="27.75" hidden="false" customHeight="true" outlineLevel="0" collapsed="false">
      <c r="A83" s="38"/>
      <c r="B83" s="37"/>
      <c r="C83" s="38"/>
      <c r="D83" s="38"/>
      <c r="E83" s="38"/>
      <c r="F83" s="37"/>
      <c r="G83" s="37"/>
      <c r="H83" s="37"/>
      <c r="I83" s="44"/>
      <c r="J83" s="38"/>
      <c r="K83" s="44"/>
      <c r="L83" s="44"/>
      <c r="M83" s="44"/>
      <c r="N83" s="44"/>
      <c r="O83" s="38"/>
    </row>
    <row r="84" customFormat="false" ht="27.75" hidden="false" customHeight="true" outlineLevel="0" collapsed="false">
      <c r="A84" s="38"/>
      <c r="B84" s="37"/>
      <c r="C84" s="38"/>
      <c r="D84" s="38"/>
      <c r="E84" s="38"/>
      <c r="F84" s="37"/>
      <c r="G84" s="37"/>
      <c r="H84" s="37"/>
      <c r="I84" s="44"/>
      <c r="J84" s="38"/>
      <c r="K84" s="44"/>
      <c r="L84" s="44"/>
      <c r="M84" s="44"/>
      <c r="N84" s="44"/>
      <c r="O84" s="38"/>
    </row>
    <row r="85" customFormat="false" ht="27.75" hidden="false" customHeight="true" outlineLevel="0" collapsed="false">
      <c r="A85" s="38"/>
      <c r="B85" s="37"/>
      <c r="C85" s="38"/>
      <c r="D85" s="38"/>
      <c r="E85" s="38"/>
      <c r="F85" s="37"/>
      <c r="G85" s="37"/>
      <c r="H85" s="37"/>
      <c r="I85" s="44"/>
      <c r="J85" s="38"/>
      <c r="K85" s="44"/>
      <c r="L85" s="44"/>
      <c r="M85" s="44"/>
      <c r="N85" s="44"/>
      <c r="O85" s="38"/>
    </row>
    <row r="86" customFormat="false" ht="27.75" hidden="false" customHeight="true" outlineLevel="0" collapsed="false">
      <c r="A86" s="38"/>
      <c r="B86" s="37"/>
      <c r="C86" s="38"/>
      <c r="D86" s="38"/>
      <c r="E86" s="38"/>
      <c r="F86" s="37"/>
      <c r="G86" s="37"/>
      <c r="H86" s="37"/>
      <c r="I86" s="44"/>
      <c r="J86" s="38"/>
      <c r="K86" s="44"/>
      <c r="L86" s="44"/>
      <c r="M86" s="44"/>
      <c r="N86" s="44"/>
      <c r="O86" s="38"/>
    </row>
    <row r="87" customFormat="false" ht="27.75" hidden="false" customHeight="true" outlineLevel="0" collapsed="false">
      <c r="A87" s="38"/>
      <c r="B87" s="37"/>
      <c r="C87" s="38"/>
      <c r="D87" s="38"/>
      <c r="E87" s="38"/>
      <c r="F87" s="37"/>
      <c r="G87" s="37"/>
      <c r="H87" s="37"/>
      <c r="I87" s="44"/>
      <c r="J87" s="38"/>
      <c r="K87" s="44"/>
      <c r="L87" s="44"/>
      <c r="M87" s="44"/>
      <c r="N87" s="44"/>
      <c r="O87" s="38"/>
    </row>
    <row r="88" customFormat="false" ht="27.75" hidden="false" customHeight="true" outlineLevel="0" collapsed="false">
      <c r="A88" s="38"/>
      <c r="B88" s="37"/>
      <c r="C88" s="38"/>
      <c r="D88" s="38"/>
      <c r="E88" s="38"/>
      <c r="F88" s="37"/>
      <c r="G88" s="37"/>
      <c r="H88" s="37"/>
      <c r="I88" s="44"/>
      <c r="J88" s="38"/>
      <c r="K88" s="44"/>
      <c r="L88" s="44"/>
      <c r="M88" s="44"/>
      <c r="N88" s="44"/>
      <c r="O88" s="38"/>
    </row>
    <row r="89" customFormat="false" ht="27.75" hidden="false" customHeight="true" outlineLevel="0" collapsed="false">
      <c r="A89" s="38"/>
      <c r="B89" s="37"/>
      <c r="C89" s="38"/>
      <c r="D89" s="38"/>
      <c r="E89" s="38"/>
      <c r="F89" s="37"/>
      <c r="G89" s="37"/>
      <c r="H89" s="37"/>
      <c r="I89" s="44"/>
      <c r="J89" s="38"/>
      <c r="K89" s="44"/>
      <c r="L89" s="44"/>
      <c r="M89" s="44"/>
      <c r="N89" s="44"/>
      <c r="O89" s="38"/>
    </row>
    <row r="90" customFormat="false" ht="27.75" hidden="false" customHeight="true" outlineLevel="0" collapsed="false">
      <c r="A90" s="38"/>
      <c r="B90" s="37"/>
      <c r="C90" s="38"/>
      <c r="D90" s="38"/>
      <c r="E90" s="38"/>
      <c r="F90" s="37"/>
      <c r="G90" s="37"/>
      <c r="H90" s="37"/>
      <c r="I90" s="44"/>
      <c r="J90" s="38"/>
      <c r="K90" s="44"/>
      <c r="L90" s="44"/>
      <c r="M90" s="44"/>
      <c r="N90" s="44"/>
      <c r="O90" s="38"/>
    </row>
    <row r="91" customFormat="false" ht="27.75" hidden="false" customHeight="true" outlineLevel="0" collapsed="false">
      <c r="A91" s="38"/>
      <c r="B91" s="37"/>
      <c r="C91" s="38"/>
      <c r="D91" s="38"/>
      <c r="E91" s="38"/>
      <c r="F91" s="37"/>
      <c r="G91" s="37"/>
      <c r="H91" s="37"/>
      <c r="I91" s="44"/>
      <c r="J91" s="38"/>
      <c r="K91" s="44"/>
      <c r="L91" s="44"/>
      <c r="M91" s="44"/>
      <c r="N91" s="44"/>
      <c r="O91" s="38"/>
    </row>
    <row r="92" customFormat="false" ht="27.75" hidden="false" customHeight="true" outlineLevel="0" collapsed="false">
      <c r="A92" s="38"/>
      <c r="B92" s="37"/>
      <c r="C92" s="38"/>
      <c r="D92" s="38"/>
      <c r="E92" s="38"/>
      <c r="F92" s="37"/>
      <c r="G92" s="37"/>
      <c r="H92" s="37"/>
      <c r="I92" s="44"/>
      <c r="J92" s="38"/>
      <c r="K92" s="44"/>
      <c r="L92" s="44"/>
      <c r="M92" s="44"/>
      <c r="N92" s="44"/>
      <c r="O92" s="38"/>
    </row>
    <row r="93" customFormat="false" ht="27.75" hidden="false" customHeight="true" outlineLevel="0" collapsed="false">
      <c r="A93" s="38"/>
      <c r="B93" s="37"/>
      <c r="C93" s="38"/>
      <c r="D93" s="38"/>
      <c r="E93" s="38"/>
      <c r="F93" s="37"/>
      <c r="G93" s="37"/>
      <c r="H93" s="37"/>
      <c r="I93" s="44"/>
      <c r="J93" s="38"/>
      <c r="K93" s="44"/>
      <c r="L93" s="44"/>
      <c r="M93" s="44"/>
      <c r="N93" s="44"/>
      <c r="O93" s="38"/>
    </row>
    <row r="94" customFormat="false" ht="27.75" hidden="false" customHeight="true" outlineLevel="0" collapsed="false">
      <c r="A94" s="38"/>
      <c r="B94" s="37"/>
      <c r="C94" s="38"/>
      <c r="D94" s="38"/>
      <c r="E94" s="38"/>
      <c r="F94" s="37"/>
      <c r="G94" s="37"/>
      <c r="H94" s="37"/>
      <c r="I94" s="44"/>
      <c r="J94" s="38"/>
      <c r="K94" s="44"/>
      <c r="L94" s="44"/>
      <c r="M94" s="44"/>
      <c r="N94" s="44"/>
      <c r="O94" s="38"/>
    </row>
    <row r="95" customFormat="false" ht="27.75" hidden="false" customHeight="true" outlineLevel="0" collapsed="false">
      <c r="A95" s="38"/>
      <c r="B95" s="37"/>
      <c r="C95" s="38"/>
      <c r="D95" s="38"/>
      <c r="E95" s="38"/>
      <c r="F95" s="37"/>
      <c r="G95" s="37"/>
      <c r="H95" s="37"/>
      <c r="I95" s="44"/>
      <c r="J95" s="38"/>
      <c r="K95" s="44"/>
      <c r="L95" s="44"/>
      <c r="M95" s="44"/>
      <c r="N95" s="44"/>
      <c r="O95" s="38"/>
    </row>
    <row r="96" customFormat="false" ht="27.75" hidden="false" customHeight="true" outlineLevel="0" collapsed="false">
      <c r="A96" s="38"/>
      <c r="B96" s="37"/>
      <c r="C96" s="38"/>
      <c r="D96" s="38"/>
      <c r="E96" s="38"/>
      <c r="F96" s="37"/>
      <c r="G96" s="37"/>
      <c r="H96" s="37"/>
      <c r="I96" s="44"/>
      <c r="J96" s="38"/>
      <c r="K96" s="44"/>
      <c r="L96" s="44"/>
      <c r="M96" s="44"/>
      <c r="N96" s="44"/>
      <c r="O96" s="38"/>
    </row>
    <row r="97" customFormat="false" ht="27.75" hidden="false" customHeight="true" outlineLevel="0" collapsed="false">
      <c r="A97" s="38"/>
      <c r="B97" s="37"/>
      <c r="C97" s="38"/>
      <c r="D97" s="38"/>
      <c r="E97" s="38"/>
      <c r="F97" s="37"/>
      <c r="G97" s="37"/>
      <c r="H97" s="37"/>
      <c r="I97" s="44"/>
      <c r="J97" s="38"/>
      <c r="K97" s="44"/>
      <c r="L97" s="44"/>
      <c r="M97" s="44"/>
      <c r="N97" s="44"/>
      <c r="O97" s="38"/>
    </row>
    <row r="98" customFormat="false" ht="27.75" hidden="false" customHeight="true" outlineLevel="0" collapsed="false">
      <c r="A98" s="38"/>
      <c r="B98" s="37"/>
      <c r="C98" s="38"/>
      <c r="D98" s="38"/>
      <c r="E98" s="38"/>
      <c r="F98" s="37"/>
      <c r="G98" s="37"/>
      <c r="H98" s="37"/>
      <c r="I98" s="44"/>
      <c r="J98" s="38"/>
      <c r="K98" s="44"/>
      <c r="L98" s="44"/>
      <c r="M98" s="44"/>
      <c r="N98" s="44"/>
      <c r="O98" s="38"/>
    </row>
    <row r="99" customFormat="false" ht="27.75" hidden="false" customHeight="true" outlineLevel="0" collapsed="false">
      <c r="A99" s="38"/>
      <c r="B99" s="37"/>
      <c r="C99" s="38"/>
      <c r="D99" s="38"/>
      <c r="E99" s="38"/>
      <c r="F99" s="37"/>
      <c r="G99" s="37"/>
      <c r="H99" s="37"/>
      <c r="I99" s="44"/>
      <c r="J99" s="38"/>
      <c r="K99" s="44"/>
      <c r="L99" s="44"/>
      <c r="M99" s="44"/>
      <c r="N99" s="44"/>
      <c r="O99" s="38"/>
    </row>
    <row r="100" customFormat="false" ht="27.75" hidden="false" customHeight="true" outlineLevel="0" collapsed="false">
      <c r="A100" s="38"/>
      <c r="B100" s="37"/>
      <c r="C100" s="38"/>
      <c r="D100" s="38"/>
      <c r="E100" s="38"/>
      <c r="F100" s="37"/>
      <c r="G100" s="37"/>
      <c r="H100" s="37"/>
      <c r="I100" s="44"/>
      <c r="J100" s="38"/>
      <c r="K100" s="44"/>
      <c r="L100" s="44"/>
      <c r="M100" s="44"/>
      <c r="N100" s="44"/>
      <c r="O100" s="38"/>
    </row>
    <row r="101" customFormat="false" ht="27.75" hidden="false" customHeight="true" outlineLevel="0" collapsed="false">
      <c r="A101" s="38"/>
      <c r="B101" s="37"/>
      <c r="C101" s="38"/>
      <c r="D101" s="38"/>
      <c r="E101" s="38"/>
      <c r="F101" s="37"/>
      <c r="G101" s="37"/>
      <c r="H101" s="37"/>
      <c r="I101" s="44"/>
      <c r="J101" s="38"/>
      <c r="K101" s="44"/>
      <c r="L101" s="44"/>
      <c r="M101" s="44"/>
      <c r="N101" s="44"/>
      <c r="O101" s="38"/>
    </row>
    <row r="102" customFormat="false" ht="27.75" hidden="false" customHeight="true" outlineLevel="0" collapsed="false">
      <c r="A102" s="38"/>
      <c r="B102" s="37"/>
      <c r="C102" s="38"/>
      <c r="D102" s="38"/>
      <c r="E102" s="38"/>
      <c r="F102" s="37"/>
      <c r="G102" s="37"/>
      <c r="H102" s="37"/>
      <c r="I102" s="44"/>
      <c r="J102" s="38"/>
      <c r="K102" s="44"/>
      <c r="L102" s="44"/>
      <c r="M102" s="44"/>
      <c r="N102" s="44"/>
      <c r="O102" s="38"/>
    </row>
    <row r="103" customFormat="false" ht="27.75" hidden="false" customHeight="true" outlineLevel="0" collapsed="false">
      <c r="A103" s="38"/>
      <c r="B103" s="37"/>
      <c r="C103" s="38"/>
      <c r="D103" s="38"/>
      <c r="E103" s="38"/>
      <c r="F103" s="37"/>
      <c r="G103" s="37"/>
      <c r="H103" s="37"/>
      <c r="I103" s="44"/>
      <c r="J103" s="38"/>
      <c r="K103" s="44"/>
      <c r="L103" s="44"/>
      <c r="M103" s="44"/>
      <c r="N103" s="44"/>
      <c r="O103" s="38"/>
    </row>
  </sheetData>
  <mergeCells count="2">
    <mergeCell ref="A1:O1"/>
    <mergeCell ref="A2:O2"/>
  </mergeCells>
  <conditionalFormatting sqref="K4:K103">
    <cfRule type="cellIs" priority="2" operator="equal" aboveAverage="0" equalAverage="0" bottom="0" percent="0" rank="0" text="" dxfId="6">
      <formula>"No"</formula>
    </cfRule>
  </conditionalFormatting>
  <dataValidations count="3">
    <dataValidation allowBlank="true" error="Pick a name from the team roster on the START HERE tab." errorStyle="stop" errorTitle="Name not on the roster" operator="between" prompt="Choose the team member" showDropDown="false" showErrorMessage="false" showInputMessage="false" sqref="F4:F103" type="list">
      <formula1>'START HERE'!$B$55:$B$64</formula1>
      <formula2>0</formula2>
    </dataValidation>
    <dataValidation allowBlank="true" error="Please choose a value from the dropdown list." errorStyle="stop" errorTitle="Value not in list" operator="between" prompt="Choose from the Content Status list" showDropDown="false" showErrorMessage="false" showInputMessage="false" sqref="G4:G103" type="list">
      <formula1>Lists!$I$4:$I$10</formula1>
      <formula2>0</formula2>
    </dataValidation>
    <dataValidation allowBlank="true" error="Please choose a value from the dropdown list." errorStyle="stop" errorTitle="Value not in list" operator="between" prompt="Choose from the Yes/No list" showDropDown="false" showErrorMessage="false" showInputMessage="false" sqref="I4:I103 K4:K103" type="list">
      <formula1>Lists!$C$4:$C$6</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86"/>
    <col collapsed="false" customWidth="true" hidden="false" outlineLevel="0" max="4" min="4" style="1" width="12"/>
    <col collapsed="false" customWidth="true" hidden="false" outlineLevel="0" max="5" min="5" style="1" width="10"/>
    <col collapsed="false" customWidth="true" hidden="false" outlineLevel="0" max="6" min="6" style="1" width="44"/>
  </cols>
  <sheetData>
    <row r="1" customFormat="false" ht="25.5" hidden="false" customHeight="true" outlineLevel="0" collapsed="false">
      <c r="A1" s="2" t="s">
        <v>876</v>
      </c>
      <c r="B1" s="2"/>
      <c r="C1" s="2"/>
      <c r="D1" s="2"/>
      <c r="E1" s="2"/>
      <c r="F1" s="2"/>
    </row>
    <row r="2" customFormat="false" ht="18" hidden="false" customHeight="true" outlineLevel="0" collapsed="false">
      <c r="A2" s="3" t="s">
        <v>877</v>
      </c>
      <c r="B2" s="3"/>
      <c r="C2" s="3"/>
      <c r="D2" s="3"/>
      <c r="E2" s="3"/>
      <c r="F2" s="3"/>
    </row>
    <row r="3" customFormat="false" ht="30" hidden="false" customHeight="true" outlineLevel="0" collapsed="false">
      <c r="A3" s="31" t="s">
        <v>878</v>
      </c>
      <c r="B3" s="31" t="s">
        <v>879</v>
      </c>
      <c r="C3" s="31" t="s">
        <v>880</v>
      </c>
      <c r="D3" s="31" t="s">
        <v>881</v>
      </c>
      <c r="E3" s="31" t="s">
        <v>882</v>
      </c>
      <c r="F3" s="31" t="s">
        <v>883</v>
      </c>
    </row>
    <row r="4" customFormat="false" ht="75.75" hidden="false" customHeight="true" outlineLevel="0" collapsed="false">
      <c r="A4" s="97" t="s">
        <v>884</v>
      </c>
      <c r="B4" s="92" t="s">
        <v>885</v>
      </c>
      <c r="C4" s="98" t="s">
        <v>886</v>
      </c>
      <c r="D4" s="45" t="n">
        <f aca="false">IF(C4="","",LEN(C4))</f>
        <v>196</v>
      </c>
      <c r="E4" s="45" t="n">
        <v>200</v>
      </c>
      <c r="F4" s="95" t="s">
        <v>887</v>
      </c>
    </row>
    <row r="5" customFormat="false" ht="75.75" hidden="false" customHeight="true" outlineLevel="0" collapsed="false">
      <c r="A5" s="97" t="s">
        <v>888</v>
      </c>
      <c r="B5" s="92" t="s">
        <v>889</v>
      </c>
      <c r="C5" s="98" t="s">
        <v>890</v>
      </c>
      <c r="D5" s="45" t="n">
        <f aca="false">IF(C5="","",LEN(C5))</f>
        <v>292</v>
      </c>
      <c r="E5" s="45" t="n">
        <v>300</v>
      </c>
      <c r="F5" s="95" t="s">
        <v>891</v>
      </c>
    </row>
    <row r="6" customFormat="false" ht="75.75" hidden="false" customHeight="true" outlineLevel="0" collapsed="false">
      <c r="A6" s="97" t="s">
        <v>892</v>
      </c>
      <c r="B6" s="92" t="s">
        <v>893</v>
      </c>
      <c r="C6" s="98" t="s">
        <v>894</v>
      </c>
      <c r="D6" s="45" t="n">
        <f aca="false">IF(C6="","",LEN(C6))</f>
        <v>290</v>
      </c>
      <c r="E6" s="45" t="n">
        <v>300</v>
      </c>
      <c r="F6" s="95" t="s">
        <v>895</v>
      </c>
    </row>
    <row r="7" customFormat="false" ht="75.75" hidden="false" customHeight="true" outlineLevel="0" collapsed="false">
      <c r="A7" s="97" t="s">
        <v>896</v>
      </c>
      <c r="B7" s="92" t="s">
        <v>897</v>
      </c>
      <c r="C7" s="98" t="s">
        <v>898</v>
      </c>
      <c r="D7" s="45" t="n">
        <f aca="false">IF(C7="","",LEN(C7))</f>
        <v>236</v>
      </c>
      <c r="E7" s="45" t="n">
        <v>300</v>
      </c>
      <c r="F7" s="95" t="s">
        <v>899</v>
      </c>
    </row>
    <row r="8" customFormat="false" ht="75.75" hidden="false" customHeight="true" outlineLevel="0" collapsed="false">
      <c r="A8" s="97" t="s">
        <v>900</v>
      </c>
      <c r="B8" s="92" t="s">
        <v>901</v>
      </c>
      <c r="C8" s="98" t="s">
        <v>902</v>
      </c>
      <c r="D8" s="45" t="n">
        <f aca="false">IF(C8="","",LEN(C8))</f>
        <v>222</v>
      </c>
      <c r="E8" s="45" t="n">
        <v>300</v>
      </c>
      <c r="F8" s="95" t="s">
        <v>903</v>
      </c>
    </row>
    <row r="9" customFormat="false" ht="75.75" hidden="false" customHeight="true" outlineLevel="0" collapsed="false">
      <c r="A9" s="97" t="s">
        <v>904</v>
      </c>
      <c r="B9" s="92" t="s">
        <v>905</v>
      </c>
      <c r="C9" s="98" t="s">
        <v>906</v>
      </c>
      <c r="D9" s="45" t="n">
        <f aca="false">IF(C9="","",LEN(C9))</f>
        <v>287</v>
      </c>
      <c r="E9" s="45" t="n">
        <v>300</v>
      </c>
      <c r="F9" s="95" t="s">
        <v>907</v>
      </c>
    </row>
    <row r="10" customFormat="false" ht="75.75" hidden="false" customHeight="true" outlineLevel="0" collapsed="false">
      <c r="A10" s="97" t="s">
        <v>908</v>
      </c>
      <c r="B10" s="92" t="s">
        <v>909</v>
      </c>
      <c r="C10" s="98" t="s">
        <v>910</v>
      </c>
      <c r="D10" s="45" t="n">
        <f aca="false">IF(C10="","",LEN(C10))</f>
        <v>258</v>
      </c>
      <c r="E10" s="45" t="n">
        <v>300</v>
      </c>
      <c r="F10" s="95" t="s">
        <v>911</v>
      </c>
    </row>
    <row r="11" customFormat="false" ht="75.75" hidden="false" customHeight="true" outlineLevel="0" collapsed="false">
      <c r="A11" s="97" t="s">
        <v>912</v>
      </c>
      <c r="B11" s="92" t="s">
        <v>913</v>
      </c>
      <c r="C11" s="98" t="s">
        <v>914</v>
      </c>
      <c r="D11" s="45" t="n">
        <f aca="false">IF(C11="","",LEN(C11))</f>
        <v>235</v>
      </c>
      <c r="E11" s="45" t="n">
        <v>300</v>
      </c>
      <c r="F11" s="95" t="s">
        <v>915</v>
      </c>
    </row>
    <row r="12" customFormat="false" ht="75.75" hidden="false" customHeight="true" outlineLevel="0" collapsed="false">
      <c r="A12" s="97" t="s">
        <v>916</v>
      </c>
      <c r="B12" s="92" t="s">
        <v>917</v>
      </c>
      <c r="C12" s="98" t="s">
        <v>918</v>
      </c>
      <c r="D12" s="45" t="n">
        <f aca="false">IF(C12="","",LEN(C12))</f>
        <v>279</v>
      </c>
      <c r="E12" s="45" t="n">
        <v>300</v>
      </c>
      <c r="F12" s="95" t="s">
        <v>919</v>
      </c>
    </row>
    <row r="13" customFormat="false" ht="75.75" hidden="false" customHeight="true" outlineLevel="0" collapsed="false">
      <c r="A13" s="97" t="s">
        <v>920</v>
      </c>
      <c r="B13" s="92" t="s">
        <v>921</v>
      </c>
      <c r="C13" s="98" t="s">
        <v>922</v>
      </c>
      <c r="D13" s="45" t="n">
        <f aca="false">IF(C13="","",LEN(C13))</f>
        <v>266</v>
      </c>
      <c r="E13" s="45" t="n">
        <v>300</v>
      </c>
      <c r="F13" s="95" t="s">
        <v>923</v>
      </c>
    </row>
    <row r="14" customFormat="false" ht="75.75" hidden="false" customHeight="true" outlineLevel="0" collapsed="false">
      <c r="A14" s="97" t="s">
        <v>924</v>
      </c>
      <c r="B14" s="92" t="s">
        <v>925</v>
      </c>
      <c r="C14" s="98" t="s">
        <v>926</v>
      </c>
      <c r="D14" s="45" t="n">
        <f aca="false">IF(C14="","",LEN(C14))</f>
        <v>268</v>
      </c>
      <c r="E14" s="45" t="n">
        <v>300</v>
      </c>
      <c r="F14" s="95" t="s">
        <v>927</v>
      </c>
    </row>
    <row r="15" customFormat="false" ht="75.75" hidden="false" customHeight="true" outlineLevel="0" collapsed="false">
      <c r="A15" s="97" t="s">
        <v>928</v>
      </c>
      <c r="B15" s="92" t="s">
        <v>929</v>
      </c>
      <c r="C15" s="98" t="s">
        <v>930</v>
      </c>
      <c r="D15" s="45" t="n">
        <f aca="false">IF(C15="","",LEN(C15))</f>
        <v>270</v>
      </c>
      <c r="E15" s="45" t="n">
        <v>300</v>
      </c>
      <c r="F15" s="95" t="s">
        <v>931</v>
      </c>
    </row>
    <row r="16" customFormat="false" ht="75.75" hidden="false" customHeight="true" outlineLevel="0" collapsed="false">
      <c r="A16" s="97" t="s">
        <v>932</v>
      </c>
      <c r="B16" s="92" t="s">
        <v>933</v>
      </c>
      <c r="C16" s="98" t="s">
        <v>934</v>
      </c>
      <c r="D16" s="45" t="n">
        <f aca="false">IF(C16="","",LEN(C16))</f>
        <v>260</v>
      </c>
      <c r="E16" s="45" t="n">
        <v>300</v>
      </c>
      <c r="F16" s="95" t="s">
        <v>935</v>
      </c>
    </row>
    <row r="17" customFormat="false" ht="75.75" hidden="false" customHeight="true" outlineLevel="0" collapsed="false">
      <c r="A17" s="97" t="s">
        <v>936</v>
      </c>
      <c r="B17" s="92" t="s">
        <v>937</v>
      </c>
      <c r="C17" s="98" t="s">
        <v>938</v>
      </c>
      <c r="D17" s="45" t="n">
        <f aca="false">IF(C17="","",LEN(C17))</f>
        <v>267</v>
      </c>
      <c r="E17" s="45" t="n">
        <v>300</v>
      </c>
      <c r="F17" s="95" t="s">
        <v>939</v>
      </c>
    </row>
    <row r="18" customFormat="false" ht="75.75" hidden="false" customHeight="true" outlineLevel="0" collapsed="false">
      <c r="A18" s="97" t="s">
        <v>940</v>
      </c>
      <c r="B18" s="92" t="s">
        <v>941</v>
      </c>
      <c r="C18" s="98" t="s">
        <v>942</v>
      </c>
      <c r="D18" s="45" t="n">
        <f aca="false">IF(C18="","",LEN(C18))</f>
        <v>200</v>
      </c>
      <c r="E18" s="45" t="n">
        <v>300</v>
      </c>
      <c r="F18" s="95" t="s">
        <v>943</v>
      </c>
    </row>
    <row r="20" customFormat="false" ht="33.75" hidden="false" customHeight="true" outlineLevel="0" collapsed="false">
      <c r="A20" s="68" t="s">
        <v>944</v>
      </c>
      <c r="B20" s="68"/>
      <c r="C20" s="68"/>
      <c r="D20" s="68"/>
      <c r="E20" s="68"/>
      <c r="F20" s="68"/>
    </row>
  </sheetData>
  <mergeCells count="3">
    <mergeCell ref="A1:F1"/>
    <mergeCell ref="A2:F2"/>
    <mergeCell ref="A20:F20"/>
  </mergeCells>
  <conditionalFormatting sqref="D4:D18">
    <cfRule type="expression" priority="2" aboveAverage="0" equalAverage="0" bottom="0" percent="0" rank="0" text="" dxfId="7">
      <formula>AND(D4&lt;&gt;"",D4&lt;=E4)</formula>
    </cfRule>
    <cfRule type="expression" priority="3" aboveAverage="0" equalAverage="0" bottom="0" percent="0" rank="0" text="" dxfId="6">
      <formula>AND(D4&lt;&gt;"",D4&gt;E4)</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66C2"/>
    <pageSetUpPr fitToPage="tru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6"/>
    <col collapsed="false" customWidth="true" hidden="false" outlineLevel="0" max="3" min="3" style="1" width="92"/>
    <col collapsed="false" customWidth="true" hidden="false" outlineLevel="0" max="4" min="4" style="1" width="40"/>
    <col collapsed="false" customWidth="true" hidden="false" outlineLevel="0" max="5" min="5" style="1" width="26"/>
  </cols>
  <sheetData>
    <row r="1" customFormat="false" ht="25.5" hidden="false" customHeight="true" outlineLevel="0" collapsed="false">
      <c r="A1" s="2" t="s">
        <v>945</v>
      </c>
      <c r="B1" s="2"/>
      <c r="C1" s="2"/>
      <c r="D1" s="2"/>
      <c r="E1" s="2"/>
    </row>
    <row r="2" customFormat="false" ht="18" hidden="false" customHeight="true" outlineLevel="0" collapsed="false">
      <c r="A2" s="3" t="s">
        <v>946</v>
      </c>
      <c r="B2" s="3"/>
      <c r="C2" s="3"/>
      <c r="D2" s="3"/>
      <c r="E2" s="3"/>
    </row>
    <row r="3" customFormat="false" ht="30" hidden="false" customHeight="true" outlineLevel="0" collapsed="false">
      <c r="A3" s="31" t="s">
        <v>947</v>
      </c>
      <c r="B3" s="31" t="s">
        <v>948</v>
      </c>
      <c r="C3" s="31" t="s">
        <v>949</v>
      </c>
      <c r="D3" s="31" t="s">
        <v>950</v>
      </c>
      <c r="E3" s="31" t="s">
        <v>951</v>
      </c>
    </row>
    <row r="4" customFormat="false" ht="63.75" hidden="false" customHeight="true" outlineLevel="0" collapsed="false">
      <c r="A4" s="99" t="s">
        <v>952</v>
      </c>
      <c r="B4" s="92" t="s">
        <v>953</v>
      </c>
      <c r="C4" s="92" t="s">
        <v>954</v>
      </c>
      <c r="D4" s="100" t="s">
        <v>955</v>
      </c>
      <c r="E4" s="92" t="s">
        <v>956</v>
      </c>
    </row>
    <row r="5" customFormat="false" ht="63.75" hidden="false" customHeight="true" outlineLevel="0" collapsed="false">
      <c r="A5" s="99" t="s">
        <v>957</v>
      </c>
      <c r="B5" s="92" t="s">
        <v>953</v>
      </c>
      <c r="C5" s="92" t="s">
        <v>958</v>
      </c>
      <c r="D5" s="100" t="s">
        <v>959</v>
      </c>
      <c r="E5" s="92" t="s">
        <v>956</v>
      </c>
    </row>
    <row r="6" customFormat="false" ht="63.75" hidden="false" customHeight="true" outlineLevel="0" collapsed="false">
      <c r="A6" s="99" t="s">
        <v>960</v>
      </c>
      <c r="B6" s="92" t="s">
        <v>953</v>
      </c>
      <c r="C6" s="92" t="s">
        <v>961</v>
      </c>
      <c r="D6" s="100" t="s">
        <v>962</v>
      </c>
      <c r="E6" s="92" t="s">
        <v>956</v>
      </c>
    </row>
    <row r="7" customFormat="false" ht="63.75" hidden="false" customHeight="true" outlineLevel="0" collapsed="false">
      <c r="A7" s="99" t="n">
        <v>1</v>
      </c>
      <c r="B7" s="92" t="s">
        <v>963</v>
      </c>
      <c r="C7" s="92" t="s">
        <v>964</v>
      </c>
      <c r="D7" s="100" t="s">
        <v>965</v>
      </c>
      <c r="E7" s="92" t="s">
        <v>966</v>
      </c>
    </row>
    <row r="8" customFormat="false" ht="63.75" hidden="false" customHeight="true" outlineLevel="0" collapsed="false">
      <c r="A8" s="99" t="n">
        <v>2</v>
      </c>
      <c r="B8" s="92" t="s">
        <v>967</v>
      </c>
      <c r="C8" s="92" t="s">
        <v>968</v>
      </c>
      <c r="D8" s="100" t="s">
        <v>969</v>
      </c>
      <c r="E8" s="92" t="s">
        <v>970</v>
      </c>
    </row>
    <row r="9" customFormat="false" ht="63.75" hidden="false" customHeight="true" outlineLevel="0" collapsed="false">
      <c r="A9" s="99" t="n">
        <v>3</v>
      </c>
      <c r="B9" s="92" t="s">
        <v>971</v>
      </c>
      <c r="C9" s="92" t="s">
        <v>972</v>
      </c>
      <c r="D9" s="100" t="s">
        <v>973</v>
      </c>
      <c r="E9" s="92" t="s">
        <v>974</v>
      </c>
    </row>
    <row r="10" customFormat="false" ht="63.75" hidden="false" customHeight="true" outlineLevel="0" collapsed="false">
      <c r="A10" s="99" t="n">
        <v>4</v>
      </c>
      <c r="B10" s="92" t="s">
        <v>975</v>
      </c>
      <c r="C10" s="92" t="s">
        <v>976</v>
      </c>
      <c r="D10" s="100" t="s">
        <v>977</v>
      </c>
      <c r="E10" s="92" t="s">
        <v>978</v>
      </c>
    </row>
    <row r="11" customFormat="false" ht="63.75" hidden="false" customHeight="true" outlineLevel="0" collapsed="false">
      <c r="A11" s="99" t="n">
        <v>5</v>
      </c>
      <c r="B11" s="92" t="s">
        <v>979</v>
      </c>
      <c r="C11" s="92" t="s">
        <v>980</v>
      </c>
      <c r="D11" s="100" t="s">
        <v>981</v>
      </c>
      <c r="E11" s="92" t="s">
        <v>982</v>
      </c>
    </row>
    <row r="12" customFormat="false" ht="63.75" hidden="false" customHeight="true" outlineLevel="0" collapsed="false">
      <c r="A12" s="99" t="n">
        <v>6</v>
      </c>
      <c r="B12" s="92" t="s">
        <v>983</v>
      </c>
      <c r="C12" s="92" t="s">
        <v>984</v>
      </c>
      <c r="D12" s="100" t="s">
        <v>985</v>
      </c>
      <c r="E12" s="92" t="s">
        <v>986</v>
      </c>
    </row>
    <row r="13" customFormat="false" ht="63.75" hidden="false" customHeight="true" outlineLevel="0" collapsed="false">
      <c r="A13" s="99" t="n">
        <v>7</v>
      </c>
      <c r="B13" s="92" t="s">
        <v>987</v>
      </c>
      <c r="C13" s="92" t="s">
        <v>988</v>
      </c>
      <c r="D13" s="100" t="s">
        <v>989</v>
      </c>
      <c r="E13" s="92" t="s">
        <v>990</v>
      </c>
    </row>
    <row r="14" customFormat="false" ht="63.75" hidden="false" customHeight="true" outlineLevel="0" collapsed="false">
      <c r="A14" s="99" t="n">
        <v>8</v>
      </c>
      <c r="B14" s="92" t="s">
        <v>991</v>
      </c>
      <c r="C14" s="92" t="s">
        <v>992</v>
      </c>
      <c r="D14" s="100" t="s">
        <v>993</v>
      </c>
      <c r="E14" s="92" t="s">
        <v>994</v>
      </c>
    </row>
    <row r="15" customFormat="false" ht="63.75" hidden="false" customHeight="true" outlineLevel="0" collapsed="false">
      <c r="A15" s="99" t="n">
        <v>9</v>
      </c>
      <c r="B15" s="92" t="s">
        <v>995</v>
      </c>
      <c r="C15" s="92" t="s">
        <v>996</v>
      </c>
      <c r="D15" s="100" t="s">
        <v>997</v>
      </c>
      <c r="E15" s="92" t="s">
        <v>998</v>
      </c>
    </row>
    <row r="16" customFormat="false" ht="63.75" hidden="false" customHeight="true" outlineLevel="0" collapsed="false">
      <c r="A16" s="99" t="n">
        <v>10</v>
      </c>
      <c r="B16" s="92" t="s">
        <v>999</v>
      </c>
      <c r="C16" s="92" t="s">
        <v>1000</v>
      </c>
      <c r="D16" s="100" t="s">
        <v>1001</v>
      </c>
      <c r="E16" s="92" t="s">
        <v>1002</v>
      </c>
    </row>
    <row r="17" customFormat="false" ht="63.75" hidden="false" customHeight="true" outlineLevel="0" collapsed="false">
      <c r="A17" s="101" t="s">
        <v>1003</v>
      </c>
      <c r="B17" s="38" t="s">
        <v>1004</v>
      </c>
      <c r="C17" s="38" t="s">
        <v>1005</v>
      </c>
      <c r="D17" s="102" t="s">
        <v>1006</v>
      </c>
      <c r="E17" s="38" t="s">
        <v>1007</v>
      </c>
    </row>
    <row r="18" customFormat="false" ht="63.75" hidden="false" customHeight="true" outlineLevel="0" collapsed="false">
      <c r="A18" s="101" t="s">
        <v>1003</v>
      </c>
      <c r="B18" s="38" t="s">
        <v>1008</v>
      </c>
      <c r="C18" s="38" t="s">
        <v>1009</v>
      </c>
      <c r="D18" s="102" t="s">
        <v>1010</v>
      </c>
      <c r="E18" s="38" t="s">
        <v>517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S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3"/>
    <col collapsed="false" customWidth="true" hidden="false" outlineLevel="0" max="3" min="3" style="1" width="24"/>
    <col collapsed="false" customWidth="true" hidden="false" outlineLevel="0" max="4" min="4" style="1" width="18"/>
    <col collapsed="false" customWidth="true" hidden="false" outlineLevel="0" max="5" min="5" style="1" width="34"/>
    <col collapsed="false" customWidth="true" hidden="false" outlineLevel="0" max="6" min="6" style="1" width="20"/>
    <col collapsed="false" customWidth="true" hidden="false" outlineLevel="0" max="7" min="7" style="1" width="34"/>
    <col collapsed="false" customWidth="true" hidden="false" outlineLevel="0" max="8" min="8" style="1" width="24"/>
    <col collapsed="false" customWidth="true" hidden="false" outlineLevel="0" max="9" min="9" style="1" width="26"/>
    <col collapsed="false" customWidth="true" hidden="false" outlineLevel="0" max="10" min="10" style="1" width="13"/>
    <col collapsed="false" customWidth="true" hidden="false" outlineLevel="0" max="11" min="11" style="1" width="12"/>
    <col collapsed="false" customWidth="true" hidden="false" outlineLevel="0" max="12" min="12" style="1" width="30"/>
    <col collapsed="false" customWidth="true" hidden="false" outlineLevel="0" max="14" min="13" style="1" width="12"/>
    <col collapsed="false" customWidth="true" hidden="false" outlineLevel="0" max="15" min="15" style="1" width="9"/>
    <col collapsed="false" customWidth="true" hidden="false" outlineLevel="0" max="16" min="16" style="1" width="8"/>
    <col collapsed="false" customWidth="true" hidden="false" outlineLevel="0" max="17" min="17" style="1" width="24"/>
    <col collapsed="false" customWidth="true" hidden="false" outlineLevel="0" max="19" min="18" style="1" width="26"/>
  </cols>
  <sheetData>
    <row r="1" customFormat="false" ht="25.5" hidden="false" customHeight="true" outlineLevel="0" collapsed="false">
      <c r="A1" s="2" t="s">
        <v>1011</v>
      </c>
      <c r="B1" s="2"/>
      <c r="C1" s="2"/>
      <c r="D1" s="2"/>
      <c r="E1" s="2"/>
      <c r="F1" s="2"/>
      <c r="G1" s="2"/>
      <c r="H1" s="2"/>
      <c r="I1" s="2"/>
      <c r="J1" s="2"/>
      <c r="K1" s="2"/>
      <c r="L1" s="2"/>
      <c r="M1" s="2"/>
      <c r="N1" s="2"/>
      <c r="O1" s="2"/>
      <c r="P1" s="2"/>
      <c r="Q1" s="2"/>
      <c r="R1" s="2"/>
    </row>
    <row r="2" customFormat="false" ht="18" hidden="false" customHeight="true" outlineLevel="0" collapsed="false">
      <c r="A2" s="3" t="s">
        <v>1012</v>
      </c>
      <c r="B2" s="3"/>
      <c r="C2" s="3"/>
      <c r="D2" s="3"/>
      <c r="E2" s="3"/>
      <c r="F2" s="3"/>
      <c r="G2" s="3"/>
      <c r="H2" s="3"/>
      <c r="I2" s="3"/>
      <c r="J2" s="3"/>
      <c r="K2" s="3"/>
      <c r="L2" s="3"/>
      <c r="M2" s="3"/>
      <c r="N2" s="3"/>
      <c r="O2" s="3"/>
      <c r="P2" s="3"/>
      <c r="Q2" s="3"/>
      <c r="R2" s="3"/>
    </row>
    <row r="3" customFormat="false" ht="39.75" hidden="false" customHeight="true" outlineLevel="0" collapsed="false">
      <c r="A3" s="31" t="s">
        <v>1013</v>
      </c>
      <c r="B3" s="31" t="s">
        <v>140</v>
      </c>
      <c r="C3" s="31" t="s">
        <v>115</v>
      </c>
      <c r="D3" s="31" t="s">
        <v>1014</v>
      </c>
      <c r="E3" s="31" t="s">
        <v>1015</v>
      </c>
      <c r="F3" s="31" t="s">
        <v>1016</v>
      </c>
      <c r="G3" s="31" t="s">
        <v>1017</v>
      </c>
      <c r="H3" s="31" t="s">
        <v>1018</v>
      </c>
      <c r="I3" s="31" t="s">
        <v>1019</v>
      </c>
      <c r="J3" s="31" t="s">
        <v>202</v>
      </c>
      <c r="K3" s="31" t="s">
        <v>1020</v>
      </c>
      <c r="L3" s="31" t="s">
        <v>854</v>
      </c>
      <c r="M3" s="31" t="s">
        <v>1021</v>
      </c>
      <c r="N3" s="31" t="s">
        <v>377</v>
      </c>
      <c r="O3" s="31" t="s">
        <v>1022</v>
      </c>
      <c r="P3" s="31" t="s">
        <v>1023</v>
      </c>
      <c r="Q3" s="31" t="s">
        <v>1024</v>
      </c>
      <c r="R3" s="31" t="s">
        <v>162</v>
      </c>
      <c r="S3" s="31" t="s">
        <v>1025</v>
      </c>
    </row>
    <row r="4" customFormat="false" ht="27.75" hidden="false" customHeight="true" outlineLevel="0" collapsed="false">
      <c r="A4" s="32" t="n">
        <v>46251</v>
      </c>
      <c r="B4" s="33" t="s">
        <v>168</v>
      </c>
      <c r="C4" s="33" t="s">
        <v>484</v>
      </c>
      <c r="D4" s="33" t="s">
        <v>1026</v>
      </c>
      <c r="E4" s="34" t="s">
        <v>1027</v>
      </c>
      <c r="F4" s="33" t="s">
        <v>1028</v>
      </c>
      <c r="G4" s="34" t="s">
        <v>1029</v>
      </c>
      <c r="H4" s="34" t="s">
        <v>1030</v>
      </c>
      <c r="I4" s="33" t="s">
        <v>1031</v>
      </c>
      <c r="J4" s="33" t="s">
        <v>863</v>
      </c>
      <c r="K4" s="36"/>
      <c r="L4" s="37"/>
      <c r="M4" s="103"/>
      <c r="N4" s="103"/>
      <c r="O4" s="103"/>
      <c r="P4" s="103"/>
      <c r="Q4" s="34" t="s">
        <v>1032</v>
      </c>
      <c r="R4" s="34" t="s">
        <v>1033</v>
      </c>
      <c r="S4" s="104"/>
    </row>
    <row r="5" customFormat="false" ht="27.75" hidden="false" customHeight="true" outlineLevel="0" collapsed="false">
      <c r="A5" s="36"/>
      <c r="B5" s="37"/>
      <c r="C5" s="37"/>
      <c r="D5" s="37"/>
      <c r="E5" s="38"/>
      <c r="F5" s="37"/>
      <c r="G5" s="38"/>
      <c r="H5" s="38"/>
      <c r="I5" s="37"/>
      <c r="J5" s="37"/>
      <c r="K5" s="36"/>
      <c r="L5" s="37"/>
      <c r="M5" s="103"/>
      <c r="N5" s="103"/>
      <c r="O5" s="103"/>
      <c r="P5" s="103"/>
      <c r="Q5" s="38"/>
      <c r="R5" s="38"/>
      <c r="S5" s="104"/>
    </row>
    <row r="6" customFormat="false" ht="27.75" hidden="false" customHeight="true" outlineLevel="0" collapsed="false">
      <c r="A6" s="36"/>
      <c r="B6" s="37"/>
      <c r="C6" s="37"/>
      <c r="D6" s="37"/>
      <c r="E6" s="38"/>
      <c r="F6" s="37"/>
      <c r="G6" s="38"/>
      <c r="H6" s="38"/>
      <c r="I6" s="37"/>
      <c r="J6" s="37"/>
      <c r="K6" s="36"/>
      <c r="L6" s="37"/>
      <c r="M6" s="103"/>
      <c r="N6" s="103"/>
      <c r="O6" s="103"/>
      <c r="P6" s="103"/>
      <c r="Q6" s="38"/>
      <c r="R6" s="38"/>
      <c r="S6" s="104"/>
    </row>
    <row r="7" customFormat="false" ht="27.75" hidden="false" customHeight="true" outlineLevel="0" collapsed="false">
      <c r="A7" s="36"/>
      <c r="B7" s="37"/>
      <c r="C7" s="37"/>
      <c r="D7" s="37"/>
      <c r="E7" s="38"/>
      <c r="F7" s="37"/>
      <c r="G7" s="38"/>
      <c r="H7" s="38"/>
      <c r="I7" s="37"/>
      <c r="J7" s="37"/>
      <c r="K7" s="36"/>
      <c r="L7" s="37"/>
      <c r="M7" s="103"/>
      <c r="N7" s="103"/>
      <c r="O7" s="103"/>
      <c r="P7" s="103"/>
      <c r="Q7" s="38"/>
      <c r="R7" s="38"/>
      <c r="S7" s="104"/>
    </row>
    <row r="8" customFormat="false" ht="27.75" hidden="false" customHeight="true" outlineLevel="0" collapsed="false">
      <c r="A8" s="36"/>
      <c r="B8" s="37"/>
      <c r="C8" s="37"/>
      <c r="D8" s="37"/>
      <c r="E8" s="38"/>
      <c r="F8" s="37"/>
      <c r="G8" s="38"/>
      <c r="H8" s="38"/>
      <c r="I8" s="37"/>
      <c r="J8" s="37"/>
      <c r="K8" s="36"/>
      <c r="L8" s="37"/>
      <c r="M8" s="103"/>
      <c r="N8" s="103"/>
      <c r="O8" s="103"/>
      <c r="P8" s="103"/>
      <c r="Q8" s="38"/>
      <c r="R8" s="38"/>
      <c r="S8" s="104"/>
    </row>
    <row r="9" customFormat="false" ht="27.75" hidden="false" customHeight="true" outlineLevel="0" collapsed="false">
      <c r="A9" s="36"/>
      <c r="B9" s="37"/>
      <c r="C9" s="37"/>
      <c r="D9" s="37"/>
      <c r="E9" s="38"/>
      <c r="F9" s="37"/>
      <c r="G9" s="38"/>
      <c r="H9" s="38"/>
      <c r="I9" s="37"/>
      <c r="J9" s="37"/>
      <c r="K9" s="36"/>
      <c r="L9" s="37"/>
      <c r="M9" s="103"/>
      <c r="N9" s="103"/>
      <c r="O9" s="103"/>
      <c r="P9" s="103"/>
      <c r="Q9" s="38"/>
      <c r="R9" s="38"/>
      <c r="S9" s="104"/>
    </row>
    <row r="10" customFormat="false" ht="27.75" hidden="false" customHeight="true" outlineLevel="0" collapsed="false">
      <c r="A10" s="36"/>
      <c r="B10" s="37"/>
      <c r="C10" s="37"/>
      <c r="D10" s="37"/>
      <c r="E10" s="38"/>
      <c r="F10" s="37"/>
      <c r="G10" s="38"/>
      <c r="H10" s="38"/>
      <c r="I10" s="37"/>
      <c r="J10" s="37"/>
      <c r="K10" s="36"/>
      <c r="L10" s="37"/>
      <c r="M10" s="103"/>
      <c r="N10" s="103"/>
      <c r="O10" s="103"/>
      <c r="P10" s="103"/>
      <c r="Q10" s="38"/>
      <c r="R10" s="38"/>
      <c r="S10" s="104"/>
    </row>
    <row r="11" customFormat="false" ht="27.75" hidden="false" customHeight="true" outlineLevel="0" collapsed="false">
      <c r="A11" s="36"/>
      <c r="B11" s="37"/>
      <c r="C11" s="37"/>
      <c r="D11" s="37"/>
      <c r="E11" s="38"/>
      <c r="F11" s="37"/>
      <c r="G11" s="38"/>
      <c r="H11" s="38"/>
      <c r="I11" s="37"/>
      <c r="J11" s="37"/>
      <c r="K11" s="36"/>
      <c r="L11" s="37"/>
      <c r="M11" s="103"/>
      <c r="N11" s="103"/>
      <c r="O11" s="103"/>
      <c r="P11" s="103"/>
      <c r="Q11" s="38"/>
      <c r="R11" s="38"/>
      <c r="S11" s="104"/>
    </row>
    <row r="12" customFormat="false" ht="27.75" hidden="false" customHeight="true" outlineLevel="0" collapsed="false">
      <c r="A12" s="36"/>
      <c r="B12" s="37"/>
      <c r="C12" s="37"/>
      <c r="D12" s="37"/>
      <c r="E12" s="38"/>
      <c r="F12" s="37"/>
      <c r="G12" s="38"/>
      <c r="H12" s="38"/>
      <c r="I12" s="37"/>
      <c r="J12" s="37"/>
      <c r="K12" s="36"/>
      <c r="L12" s="37"/>
      <c r="M12" s="103"/>
      <c r="N12" s="103"/>
      <c r="O12" s="103"/>
      <c r="P12" s="103"/>
      <c r="Q12" s="38"/>
      <c r="R12" s="38"/>
      <c r="S12" s="104"/>
    </row>
    <row r="13" customFormat="false" ht="27.75" hidden="false" customHeight="true" outlineLevel="0" collapsed="false">
      <c r="A13" s="36"/>
      <c r="B13" s="37"/>
      <c r="C13" s="37"/>
      <c r="D13" s="37"/>
      <c r="E13" s="38"/>
      <c r="F13" s="37"/>
      <c r="G13" s="38"/>
      <c r="H13" s="38"/>
      <c r="I13" s="37"/>
      <c r="J13" s="37"/>
      <c r="K13" s="36"/>
      <c r="L13" s="37"/>
      <c r="M13" s="103"/>
      <c r="N13" s="103"/>
      <c r="O13" s="103"/>
      <c r="P13" s="103"/>
      <c r="Q13" s="38"/>
      <c r="R13" s="38"/>
      <c r="S13" s="104"/>
    </row>
    <row r="14" customFormat="false" ht="27.75" hidden="false" customHeight="true" outlineLevel="0" collapsed="false">
      <c r="A14" s="36"/>
      <c r="B14" s="37"/>
      <c r="C14" s="37"/>
      <c r="D14" s="37"/>
      <c r="E14" s="38"/>
      <c r="F14" s="37"/>
      <c r="G14" s="38"/>
      <c r="H14" s="38"/>
      <c r="I14" s="37"/>
      <c r="J14" s="37"/>
      <c r="K14" s="36"/>
      <c r="L14" s="37"/>
      <c r="M14" s="103"/>
      <c r="N14" s="103"/>
      <c r="O14" s="103"/>
      <c r="P14" s="103"/>
      <c r="Q14" s="38"/>
      <c r="R14" s="38"/>
      <c r="S14" s="104"/>
    </row>
    <row r="15" customFormat="false" ht="27.75" hidden="false" customHeight="true" outlineLevel="0" collapsed="false">
      <c r="A15" s="36"/>
      <c r="B15" s="37"/>
      <c r="C15" s="37"/>
      <c r="D15" s="37"/>
      <c r="E15" s="38"/>
      <c r="F15" s="37"/>
      <c r="G15" s="38"/>
      <c r="H15" s="38"/>
      <c r="I15" s="37"/>
      <c r="J15" s="37"/>
      <c r="K15" s="36"/>
      <c r="L15" s="37"/>
      <c r="M15" s="103"/>
      <c r="N15" s="103"/>
      <c r="O15" s="103"/>
      <c r="P15" s="103"/>
      <c r="Q15" s="38"/>
      <c r="R15" s="38"/>
      <c r="S15" s="104"/>
    </row>
    <row r="16" customFormat="false" ht="27.75" hidden="false" customHeight="true" outlineLevel="0" collapsed="false">
      <c r="A16" s="36"/>
      <c r="B16" s="37"/>
      <c r="C16" s="37"/>
      <c r="D16" s="37"/>
      <c r="E16" s="38"/>
      <c r="F16" s="37"/>
      <c r="G16" s="38"/>
      <c r="H16" s="38"/>
      <c r="I16" s="37"/>
      <c r="J16" s="37"/>
      <c r="K16" s="36"/>
      <c r="L16" s="37"/>
      <c r="M16" s="103"/>
      <c r="N16" s="103"/>
      <c r="O16" s="103"/>
      <c r="P16" s="103"/>
      <c r="Q16" s="38"/>
      <c r="R16" s="38"/>
      <c r="S16" s="104"/>
    </row>
    <row r="17" customFormat="false" ht="27.75" hidden="false" customHeight="true" outlineLevel="0" collapsed="false">
      <c r="A17" s="36"/>
      <c r="B17" s="37"/>
      <c r="C17" s="37"/>
      <c r="D17" s="37"/>
      <c r="E17" s="38"/>
      <c r="F17" s="37"/>
      <c r="G17" s="38"/>
      <c r="H17" s="38"/>
      <c r="I17" s="37"/>
      <c r="J17" s="37"/>
      <c r="K17" s="36"/>
      <c r="L17" s="37"/>
      <c r="M17" s="103"/>
      <c r="N17" s="103"/>
      <c r="O17" s="103"/>
      <c r="P17" s="103"/>
      <c r="Q17" s="38"/>
      <c r="R17" s="38"/>
      <c r="S17" s="104"/>
    </row>
    <row r="18" customFormat="false" ht="27.75" hidden="false" customHeight="true" outlineLevel="0" collapsed="false">
      <c r="A18" s="36"/>
      <c r="B18" s="37"/>
      <c r="C18" s="37"/>
      <c r="D18" s="37"/>
      <c r="E18" s="38"/>
      <c r="F18" s="37"/>
      <c r="G18" s="38"/>
      <c r="H18" s="38"/>
      <c r="I18" s="37"/>
      <c r="J18" s="37"/>
      <c r="K18" s="36"/>
      <c r="L18" s="37"/>
      <c r="M18" s="103"/>
      <c r="N18" s="103"/>
      <c r="O18" s="103"/>
      <c r="P18" s="103"/>
      <c r="Q18" s="38"/>
      <c r="R18" s="38"/>
      <c r="S18" s="104"/>
    </row>
    <row r="19" customFormat="false" ht="27.75" hidden="false" customHeight="true" outlineLevel="0" collapsed="false">
      <c r="A19" s="36"/>
      <c r="B19" s="37"/>
      <c r="C19" s="37"/>
      <c r="D19" s="37"/>
      <c r="E19" s="38"/>
      <c r="F19" s="37"/>
      <c r="G19" s="38"/>
      <c r="H19" s="38"/>
      <c r="I19" s="37"/>
      <c r="J19" s="37"/>
      <c r="K19" s="36"/>
      <c r="L19" s="37"/>
      <c r="M19" s="103"/>
      <c r="N19" s="103"/>
      <c r="O19" s="103"/>
      <c r="P19" s="103"/>
      <c r="Q19" s="38"/>
      <c r="R19" s="38"/>
      <c r="S19" s="104"/>
    </row>
    <row r="20" customFormat="false" ht="27.75" hidden="false" customHeight="true" outlineLevel="0" collapsed="false">
      <c r="A20" s="36"/>
      <c r="B20" s="37"/>
      <c r="C20" s="37"/>
      <c r="D20" s="37"/>
      <c r="E20" s="38"/>
      <c r="F20" s="37"/>
      <c r="G20" s="38"/>
      <c r="H20" s="38"/>
      <c r="I20" s="37"/>
      <c r="J20" s="37"/>
      <c r="K20" s="36"/>
      <c r="L20" s="37"/>
      <c r="M20" s="103"/>
      <c r="N20" s="103"/>
      <c r="O20" s="103"/>
      <c r="P20" s="103"/>
      <c r="Q20" s="38"/>
      <c r="R20" s="38"/>
      <c r="S20" s="104"/>
    </row>
    <row r="21" customFormat="false" ht="27.75" hidden="false" customHeight="true" outlineLevel="0" collapsed="false">
      <c r="A21" s="36"/>
      <c r="B21" s="37"/>
      <c r="C21" s="37"/>
      <c r="D21" s="37"/>
      <c r="E21" s="38"/>
      <c r="F21" s="37"/>
      <c r="G21" s="38"/>
      <c r="H21" s="38"/>
      <c r="I21" s="37"/>
      <c r="J21" s="37"/>
      <c r="K21" s="36"/>
      <c r="L21" s="37"/>
      <c r="M21" s="103"/>
      <c r="N21" s="103"/>
      <c r="O21" s="103"/>
      <c r="P21" s="103"/>
      <c r="Q21" s="38"/>
      <c r="R21" s="38"/>
      <c r="S21" s="104"/>
    </row>
    <row r="22" customFormat="false" ht="27.75" hidden="false" customHeight="true" outlineLevel="0" collapsed="false">
      <c r="A22" s="36"/>
      <c r="B22" s="37"/>
      <c r="C22" s="37"/>
      <c r="D22" s="37"/>
      <c r="E22" s="38"/>
      <c r="F22" s="37"/>
      <c r="G22" s="38"/>
      <c r="H22" s="38"/>
      <c r="I22" s="37"/>
      <c r="J22" s="37"/>
      <c r="K22" s="36"/>
      <c r="L22" s="37"/>
      <c r="M22" s="103"/>
      <c r="N22" s="103"/>
      <c r="O22" s="103"/>
      <c r="P22" s="103"/>
      <c r="Q22" s="38"/>
      <c r="R22" s="38"/>
      <c r="S22" s="104"/>
    </row>
    <row r="23" customFormat="false" ht="27.75" hidden="false" customHeight="true" outlineLevel="0" collapsed="false">
      <c r="A23" s="36"/>
      <c r="B23" s="37"/>
      <c r="C23" s="37"/>
      <c r="D23" s="37"/>
      <c r="E23" s="38"/>
      <c r="F23" s="37"/>
      <c r="G23" s="38"/>
      <c r="H23" s="38"/>
      <c r="I23" s="37"/>
      <c r="J23" s="37"/>
      <c r="K23" s="36"/>
      <c r="L23" s="37"/>
      <c r="M23" s="103"/>
      <c r="N23" s="103"/>
      <c r="O23" s="103"/>
      <c r="P23" s="103"/>
      <c r="Q23" s="38"/>
      <c r="R23" s="38"/>
      <c r="S23" s="104"/>
    </row>
    <row r="24" customFormat="false" ht="27.75" hidden="false" customHeight="true" outlineLevel="0" collapsed="false">
      <c r="A24" s="36"/>
      <c r="B24" s="37"/>
      <c r="C24" s="37"/>
      <c r="D24" s="37"/>
      <c r="E24" s="38"/>
      <c r="F24" s="37"/>
      <c r="G24" s="38"/>
      <c r="H24" s="38"/>
      <c r="I24" s="37"/>
      <c r="J24" s="37"/>
      <c r="K24" s="36"/>
      <c r="L24" s="37"/>
      <c r="M24" s="103"/>
      <c r="N24" s="103"/>
      <c r="O24" s="103"/>
      <c r="P24" s="103"/>
      <c r="Q24" s="38"/>
      <c r="R24" s="38"/>
      <c r="S24" s="104"/>
    </row>
    <row r="25" customFormat="false" ht="27.75" hidden="false" customHeight="true" outlineLevel="0" collapsed="false">
      <c r="A25" s="36"/>
      <c r="B25" s="37"/>
      <c r="C25" s="37"/>
      <c r="D25" s="37"/>
      <c r="E25" s="38"/>
      <c r="F25" s="37"/>
      <c r="G25" s="38"/>
      <c r="H25" s="38"/>
      <c r="I25" s="37"/>
      <c r="J25" s="37"/>
      <c r="K25" s="36"/>
      <c r="L25" s="37"/>
      <c r="M25" s="103"/>
      <c r="N25" s="103"/>
      <c r="O25" s="103"/>
      <c r="P25" s="103"/>
      <c r="Q25" s="38"/>
      <c r="R25" s="38"/>
      <c r="S25" s="104"/>
    </row>
    <row r="26" customFormat="false" ht="27.75" hidden="false" customHeight="true" outlineLevel="0" collapsed="false">
      <c r="A26" s="36"/>
      <c r="B26" s="37"/>
      <c r="C26" s="37"/>
      <c r="D26" s="37"/>
      <c r="E26" s="38"/>
      <c r="F26" s="37"/>
      <c r="G26" s="38"/>
      <c r="H26" s="38"/>
      <c r="I26" s="37"/>
      <c r="J26" s="37"/>
      <c r="K26" s="36"/>
      <c r="L26" s="37"/>
      <c r="M26" s="103"/>
      <c r="N26" s="103"/>
      <c r="O26" s="103"/>
      <c r="P26" s="103"/>
      <c r="Q26" s="38"/>
      <c r="R26" s="38"/>
      <c r="S26" s="104"/>
    </row>
    <row r="27" customFormat="false" ht="27.75" hidden="false" customHeight="true" outlineLevel="0" collapsed="false">
      <c r="A27" s="36"/>
      <c r="B27" s="37"/>
      <c r="C27" s="37"/>
      <c r="D27" s="37"/>
      <c r="E27" s="38"/>
      <c r="F27" s="37"/>
      <c r="G27" s="38"/>
      <c r="H27" s="38"/>
      <c r="I27" s="37"/>
      <c r="J27" s="37"/>
      <c r="K27" s="36"/>
      <c r="L27" s="37"/>
      <c r="M27" s="103"/>
      <c r="N27" s="103"/>
      <c r="O27" s="103"/>
      <c r="P27" s="103"/>
      <c r="Q27" s="38"/>
      <c r="R27" s="38"/>
      <c r="S27" s="104"/>
    </row>
    <row r="28" customFormat="false" ht="27.75" hidden="false" customHeight="true" outlineLevel="0" collapsed="false">
      <c r="A28" s="36"/>
      <c r="B28" s="37"/>
      <c r="C28" s="37"/>
      <c r="D28" s="37"/>
      <c r="E28" s="38"/>
      <c r="F28" s="37"/>
      <c r="G28" s="38"/>
      <c r="H28" s="38"/>
      <c r="I28" s="37"/>
      <c r="J28" s="37"/>
      <c r="K28" s="36"/>
      <c r="L28" s="37"/>
      <c r="M28" s="103"/>
      <c r="N28" s="103"/>
      <c r="O28" s="103"/>
      <c r="P28" s="103"/>
      <c r="Q28" s="38"/>
      <c r="R28" s="38"/>
      <c r="S28" s="104"/>
    </row>
    <row r="29" customFormat="false" ht="27.75" hidden="false" customHeight="true" outlineLevel="0" collapsed="false">
      <c r="A29" s="36"/>
      <c r="B29" s="37"/>
      <c r="C29" s="37"/>
      <c r="D29" s="37"/>
      <c r="E29" s="38"/>
      <c r="F29" s="37"/>
      <c r="G29" s="38"/>
      <c r="H29" s="38"/>
      <c r="I29" s="37"/>
      <c r="J29" s="37"/>
      <c r="K29" s="36"/>
      <c r="L29" s="37"/>
      <c r="M29" s="103"/>
      <c r="N29" s="103"/>
      <c r="O29" s="103"/>
      <c r="P29" s="103"/>
      <c r="Q29" s="38"/>
      <c r="R29" s="38"/>
      <c r="S29" s="104"/>
    </row>
    <row r="30" customFormat="false" ht="27.75" hidden="false" customHeight="true" outlineLevel="0" collapsed="false">
      <c r="A30" s="36"/>
      <c r="B30" s="37"/>
      <c r="C30" s="37"/>
      <c r="D30" s="37"/>
      <c r="E30" s="38"/>
      <c r="F30" s="37"/>
      <c r="G30" s="38"/>
      <c r="H30" s="38"/>
      <c r="I30" s="37"/>
      <c r="J30" s="37"/>
      <c r="K30" s="36"/>
      <c r="L30" s="37"/>
      <c r="M30" s="103"/>
      <c r="N30" s="103"/>
      <c r="O30" s="103"/>
      <c r="P30" s="103"/>
      <c r="Q30" s="38"/>
      <c r="R30" s="38"/>
      <c r="S30" s="104"/>
    </row>
    <row r="31" customFormat="false" ht="27.75" hidden="false" customHeight="true" outlineLevel="0" collapsed="false">
      <c r="A31" s="36"/>
      <c r="B31" s="37"/>
      <c r="C31" s="37"/>
      <c r="D31" s="37"/>
      <c r="E31" s="38"/>
      <c r="F31" s="37"/>
      <c r="G31" s="38"/>
      <c r="H31" s="38"/>
      <c r="I31" s="37"/>
      <c r="J31" s="37"/>
      <c r="K31" s="36"/>
      <c r="L31" s="37"/>
      <c r="M31" s="103"/>
      <c r="N31" s="103"/>
      <c r="O31" s="103"/>
      <c r="P31" s="103"/>
      <c r="Q31" s="38"/>
      <c r="R31" s="38"/>
      <c r="S31" s="104"/>
    </row>
    <row r="32" customFormat="false" ht="27.75" hidden="false" customHeight="true" outlineLevel="0" collapsed="false">
      <c r="A32" s="36"/>
      <c r="B32" s="37"/>
      <c r="C32" s="37"/>
      <c r="D32" s="37"/>
      <c r="E32" s="38"/>
      <c r="F32" s="37"/>
      <c r="G32" s="38"/>
      <c r="H32" s="38"/>
      <c r="I32" s="37"/>
      <c r="J32" s="37"/>
      <c r="K32" s="36"/>
      <c r="L32" s="37"/>
      <c r="M32" s="103"/>
      <c r="N32" s="103"/>
      <c r="O32" s="103"/>
      <c r="P32" s="103"/>
      <c r="Q32" s="38"/>
      <c r="R32" s="38"/>
      <c r="S32" s="104"/>
    </row>
    <row r="33" customFormat="false" ht="27.75" hidden="false" customHeight="true" outlineLevel="0" collapsed="false">
      <c r="A33" s="36"/>
      <c r="B33" s="37"/>
      <c r="C33" s="37"/>
      <c r="D33" s="37"/>
      <c r="E33" s="38"/>
      <c r="F33" s="37"/>
      <c r="G33" s="38"/>
      <c r="H33" s="38"/>
      <c r="I33" s="37"/>
      <c r="J33" s="37"/>
      <c r="K33" s="36"/>
      <c r="L33" s="37"/>
      <c r="M33" s="103"/>
      <c r="N33" s="103"/>
      <c r="O33" s="103"/>
      <c r="P33" s="103"/>
      <c r="Q33" s="38"/>
      <c r="R33" s="38"/>
      <c r="S33" s="104"/>
    </row>
    <row r="34" customFormat="false" ht="27.75" hidden="false" customHeight="true" outlineLevel="0" collapsed="false">
      <c r="A34" s="36"/>
      <c r="B34" s="37"/>
      <c r="C34" s="37"/>
      <c r="D34" s="37"/>
      <c r="E34" s="38"/>
      <c r="F34" s="37"/>
      <c r="G34" s="38"/>
      <c r="H34" s="38"/>
      <c r="I34" s="37"/>
      <c r="J34" s="37"/>
      <c r="K34" s="36"/>
      <c r="L34" s="37"/>
      <c r="M34" s="103"/>
      <c r="N34" s="103"/>
      <c r="O34" s="103"/>
      <c r="P34" s="103"/>
      <c r="Q34" s="38"/>
      <c r="R34" s="38"/>
      <c r="S34" s="104"/>
    </row>
    <row r="35" customFormat="false" ht="27.75" hidden="false" customHeight="true" outlineLevel="0" collapsed="false">
      <c r="A35" s="36"/>
      <c r="B35" s="37"/>
      <c r="C35" s="37"/>
      <c r="D35" s="37"/>
      <c r="E35" s="38"/>
      <c r="F35" s="37"/>
      <c r="G35" s="38"/>
      <c r="H35" s="38"/>
      <c r="I35" s="37"/>
      <c r="J35" s="37"/>
      <c r="K35" s="36"/>
      <c r="L35" s="37"/>
      <c r="M35" s="103"/>
      <c r="N35" s="103"/>
      <c r="O35" s="103"/>
      <c r="P35" s="103"/>
      <c r="Q35" s="38"/>
      <c r="R35" s="38"/>
      <c r="S35" s="104"/>
    </row>
    <row r="36" customFormat="false" ht="27.75" hidden="false" customHeight="true" outlineLevel="0" collapsed="false">
      <c r="A36" s="36"/>
      <c r="B36" s="37"/>
      <c r="C36" s="37"/>
      <c r="D36" s="37"/>
      <c r="E36" s="38"/>
      <c r="F36" s="37"/>
      <c r="G36" s="38"/>
      <c r="H36" s="38"/>
      <c r="I36" s="37"/>
      <c r="J36" s="37"/>
      <c r="K36" s="36"/>
      <c r="L36" s="37"/>
      <c r="M36" s="103"/>
      <c r="N36" s="103"/>
      <c r="O36" s="103"/>
      <c r="P36" s="103"/>
      <c r="Q36" s="38"/>
      <c r="R36" s="38"/>
      <c r="S36" s="104"/>
    </row>
    <row r="37" customFormat="false" ht="27.75" hidden="false" customHeight="true" outlineLevel="0" collapsed="false">
      <c r="A37" s="36"/>
      <c r="B37" s="37"/>
      <c r="C37" s="37"/>
      <c r="D37" s="37"/>
      <c r="E37" s="38"/>
      <c r="F37" s="37"/>
      <c r="G37" s="38"/>
      <c r="H37" s="38"/>
      <c r="I37" s="37"/>
      <c r="J37" s="37"/>
      <c r="K37" s="36"/>
      <c r="L37" s="37"/>
      <c r="M37" s="103"/>
      <c r="N37" s="103"/>
      <c r="O37" s="103"/>
      <c r="P37" s="103"/>
      <c r="Q37" s="38"/>
      <c r="R37" s="38"/>
      <c r="S37" s="104"/>
    </row>
    <row r="38" customFormat="false" ht="27.75" hidden="false" customHeight="true" outlineLevel="0" collapsed="false">
      <c r="A38" s="36"/>
      <c r="B38" s="37"/>
      <c r="C38" s="37"/>
      <c r="D38" s="37"/>
      <c r="E38" s="38"/>
      <c r="F38" s="37"/>
      <c r="G38" s="38"/>
      <c r="H38" s="38"/>
      <c r="I38" s="37"/>
      <c r="J38" s="37"/>
      <c r="K38" s="36"/>
      <c r="L38" s="37"/>
      <c r="M38" s="103"/>
      <c r="N38" s="103"/>
      <c r="O38" s="103"/>
      <c r="P38" s="103"/>
      <c r="Q38" s="38"/>
      <c r="R38" s="38"/>
      <c r="S38" s="104"/>
    </row>
    <row r="39" customFormat="false" ht="27.75" hidden="false" customHeight="true" outlineLevel="0" collapsed="false">
      <c r="A39" s="36"/>
      <c r="B39" s="37"/>
      <c r="C39" s="37"/>
      <c r="D39" s="37"/>
      <c r="E39" s="38"/>
      <c r="F39" s="37"/>
      <c r="G39" s="38"/>
      <c r="H39" s="38"/>
      <c r="I39" s="37"/>
      <c r="J39" s="37"/>
      <c r="K39" s="36"/>
      <c r="L39" s="37"/>
      <c r="M39" s="103"/>
      <c r="N39" s="103"/>
      <c r="O39" s="103"/>
      <c r="P39" s="103"/>
      <c r="Q39" s="38"/>
      <c r="R39" s="38"/>
      <c r="S39" s="104"/>
    </row>
    <row r="40" customFormat="false" ht="27.75" hidden="false" customHeight="true" outlineLevel="0" collapsed="false">
      <c r="A40" s="36"/>
      <c r="B40" s="37"/>
      <c r="C40" s="37"/>
      <c r="D40" s="37"/>
      <c r="E40" s="38"/>
      <c r="F40" s="37"/>
      <c r="G40" s="38"/>
      <c r="H40" s="38"/>
      <c r="I40" s="37"/>
      <c r="J40" s="37"/>
      <c r="K40" s="36"/>
      <c r="L40" s="37"/>
      <c r="M40" s="103"/>
      <c r="N40" s="103"/>
      <c r="O40" s="103"/>
      <c r="P40" s="103"/>
      <c r="Q40" s="38"/>
      <c r="R40" s="38"/>
      <c r="S40" s="104"/>
    </row>
    <row r="41" customFormat="false" ht="27.75" hidden="false" customHeight="true" outlineLevel="0" collapsed="false">
      <c r="A41" s="36"/>
      <c r="B41" s="37"/>
      <c r="C41" s="37"/>
      <c r="D41" s="37"/>
      <c r="E41" s="38"/>
      <c r="F41" s="37"/>
      <c r="G41" s="38"/>
      <c r="H41" s="38"/>
      <c r="I41" s="37"/>
      <c r="J41" s="37"/>
      <c r="K41" s="36"/>
      <c r="L41" s="37"/>
      <c r="M41" s="103"/>
      <c r="N41" s="103"/>
      <c r="O41" s="103"/>
      <c r="P41" s="103"/>
      <c r="Q41" s="38"/>
      <c r="R41" s="38"/>
      <c r="S41" s="104"/>
    </row>
    <row r="42" customFormat="false" ht="27.75" hidden="false" customHeight="true" outlineLevel="0" collapsed="false">
      <c r="A42" s="36"/>
      <c r="B42" s="37"/>
      <c r="C42" s="37"/>
      <c r="D42" s="37"/>
      <c r="E42" s="38"/>
      <c r="F42" s="37"/>
      <c r="G42" s="38"/>
      <c r="H42" s="38"/>
      <c r="I42" s="37"/>
      <c r="J42" s="37"/>
      <c r="K42" s="36"/>
      <c r="L42" s="37"/>
      <c r="M42" s="103"/>
      <c r="N42" s="103"/>
      <c r="O42" s="103"/>
      <c r="P42" s="103"/>
      <c r="Q42" s="38"/>
      <c r="R42" s="38"/>
      <c r="S42" s="104"/>
    </row>
    <row r="43" customFormat="false" ht="27.75" hidden="false" customHeight="true" outlineLevel="0" collapsed="false">
      <c r="A43" s="36"/>
      <c r="B43" s="37"/>
      <c r="C43" s="37"/>
      <c r="D43" s="37"/>
      <c r="E43" s="38"/>
      <c r="F43" s="37"/>
      <c r="G43" s="38"/>
      <c r="H43" s="38"/>
      <c r="I43" s="37"/>
      <c r="J43" s="37"/>
      <c r="K43" s="36"/>
      <c r="L43" s="37"/>
      <c r="M43" s="103"/>
      <c r="N43" s="103"/>
      <c r="O43" s="103"/>
      <c r="P43" s="103"/>
      <c r="Q43" s="38"/>
      <c r="R43" s="38"/>
      <c r="S43" s="104"/>
    </row>
    <row r="44" customFormat="false" ht="27.75" hidden="false" customHeight="true" outlineLevel="0" collapsed="false">
      <c r="A44" s="36"/>
      <c r="B44" s="37"/>
      <c r="C44" s="37"/>
      <c r="D44" s="37"/>
      <c r="E44" s="38"/>
      <c r="F44" s="37"/>
      <c r="G44" s="38"/>
      <c r="H44" s="38"/>
      <c r="I44" s="37"/>
      <c r="J44" s="37"/>
      <c r="K44" s="36"/>
      <c r="L44" s="37"/>
      <c r="M44" s="103"/>
      <c r="N44" s="103"/>
      <c r="O44" s="103"/>
      <c r="P44" s="103"/>
      <c r="Q44" s="38"/>
      <c r="R44" s="38"/>
      <c r="S44" s="104"/>
    </row>
    <row r="45" customFormat="false" ht="27.75" hidden="false" customHeight="true" outlineLevel="0" collapsed="false">
      <c r="A45" s="36"/>
      <c r="B45" s="37"/>
      <c r="C45" s="37"/>
      <c r="D45" s="37"/>
      <c r="E45" s="38"/>
      <c r="F45" s="37"/>
      <c r="G45" s="38"/>
      <c r="H45" s="38"/>
      <c r="I45" s="37"/>
      <c r="J45" s="37"/>
      <c r="K45" s="36"/>
      <c r="L45" s="37"/>
      <c r="M45" s="103"/>
      <c r="N45" s="103"/>
      <c r="O45" s="103"/>
      <c r="P45" s="103"/>
      <c r="Q45" s="38"/>
      <c r="R45" s="38"/>
      <c r="S45" s="104"/>
    </row>
    <row r="46" customFormat="false" ht="27.75" hidden="false" customHeight="true" outlineLevel="0" collapsed="false">
      <c r="A46" s="36"/>
      <c r="B46" s="37"/>
      <c r="C46" s="37"/>
      <c r="D46" s="37"/>
      <c r="E46" s="38"/>
      <c r="F46" s="37"/>
      <c r="G46" s="38"/>
      <c r="H46" s="38"/>
      <c r="I46" s="37"/>
      <c r="J46" s="37"/>
      <c r="K46" s="36"/>
      <c r="L46" s="37"/>
      <c r="M46" s="103"/>
      <c r="N46" s="103"/>
      <c r="O46" s="103"/>
      <c r="P46" s="103"/>
      <c r="Q46" s="38"/>
      <c r="R46" s="38"/>
      <c r="S46" s="104"/>
    </row>
    <row r="47" customFormat="false" ht="27.75" hidden="false" customHeight="true" outlineLevel="0" collapsed="false">
      <c r="A47" s="36"/>
      <c r="B47" s="37"/>
      <c r="C47" s="37"/>
      <c r="D47" s="37"/>
      <c r="E47" s="38"/>
      <c r="F47" s="37"/>
      <c r="G47" s="38"/>
      <c r="H47" s="38"/>
      <c r="I47" s="37"/>
      <c r="J47" s="37"/>
      <c r="K47" s="36"/>
      <c r="L47" s="37"/>
      <c r="M47" s="103"/>
      <c r="N47" s="103"/>
      <c r="O47" s="103"/>
      <c r="P47" s="103"/>
      <c r="Q47" s="38"/>
      <c r="R47" s="38"/>
      <c r="S47" s="104"/>
    </row>
    <row r="48" customFormat="false" ht="27.75" hidden="false" customHeight="true" outlineLevel="0" collapsed="false">
      <c r="A48" s="36"/>
      <c r="B48" s="37"/>
      <c r="C48" s="37"/>
      <c r="D48" s="37"/>
      <c r="E48" s="38"/>
      <c r="F48" s="37"/>
      <c r="G48" s="38"/>
      <c r="H48" s="38"/>
      <c r="I48" s="37"/>
      <c r="J48" s="37"/>
      <c r="K48" s="36"/>
      <c r="L48" s="37"/>
      <c r="M48" s="103"/>
      <c r="N48" s="103"/>
      <c r="O48" s="103"/>
      <c r="P48" s="103"/>
      <c r="Q48" s="38"/>
      <c r="R48" s="38"/>
      <c r="S48" s="104"/>
    </row>
    <row r="49" customFormat="false" ht="27.75" hidden="false" customHeight="true" outlineLevel="0" collapsed="false">
      <c r="A49" s="36"/>
      <c r="B49" s="37"/>
      <c r="C49" s="37"/>
      <c r="D49" s="37"/>
      <c r="E49" s="38"/>
      <c r="F49" s="37"/>
      <c r="G49" s="38"/>
      <c r="H49" s="38"/>
      <c r="I49" s="37"/>
      <c r="J49" s="37"/>
      <c r="K49" s="36"/>
      <c r="L49" s="37"/>
      <c r="M49" s="103"/>
      <c r="N49" s="103"/>
      <c r="O49" s="103"/>
      <c r="P49" s="103"/>
      <c r="Q49" s="38"/>
      <c r="R49" s="38"/>
      <c r="S49" s="104"/>
    </row>
    <row r="50" customFormat="false" ht="27.75" hidden="false" customHeight="true" outlineLevel="0" collapsed="false">
      <c r="A50" s="36"/>
      <c r="B50" s="37"/>
      <c r="C50" s="37"/>
      <c r="D50" s="37"/>
      <c r="E50" s="38"/>
      <c r="F50" s="37"/>
      <c r="G50" s="38"/>
      <c r="H50" s="38"/>
      <c r="I50" s="37"/>
      <c r="J50" s="37"/>
      <c r="K50" s="36"/>
      <c r="L50" s="37"/>
      <c r="M50" s="103"/>
      <c r="N50" s="103"/>
      <c r="O50" s="103"/>
      <c r="P50" s="103"/>
      <c r="Q50" s="38"/>
      <c r="R50" s="38"/>
      <c r="S50" s="104"/>
    </row>
    <row r="51" customFormat="false" ht="27.75" hidden="false" customHeight="true" outlineLevel="0" collapsed="false">
      <c r="A51" s="36"/>
      <c r="B51" s="37"/>
      <c r="C51" s="37"/>
      <c r="D51" s="37"/>
      <c r="E51" s="38"/>
      <c r="F51" s="37"/>
      <c r="G51" s="38"/>
      <c r="H51" s="38"/>
      <c r="I51" s="37"/>
      <c r="J51" s="37"/>
      <c r="K51" s="36"/>
      <c r="L51" s="37"/>
      <c r="M51" s="103"/>
      <c r="N51" s="103"/>
      <c r="O51" s="103"/>
      <c r="P51" s="103"/>
      <c r="Q51" s="38"/>
      <c r="R51" s="38"/>
      <c r="S51" s="104"/>
    </row>
    <row r="52" customFormat="false" ht="27.75" hidden="false" customHeight="true" outlineLevel="0" collapsed="false">
      <c r="A52" s="36"/>
      <c r="B52" s="37"/>
      <c r="C52" s="37"/>
      <c r="D52" s="37"/>
      <c r="E52" s="38"/>
      <c r="F52" s="37"/>
      <c r="G52" s="38"/>
      <c r="H52" s="38"/>
      <c r="I52" s="37"/>
      <c r="J52" s="37"/>
      <c r="K52" s="36"/>
      <c r="L52" s="37"/>
      <c r="M52" s="103"/>
      <c r="N52" s="103"/>
      <c r="O52" s="103"/>
      <c r="P52" s="103"/>
      <c r="Q52" s="38"/>
      <c r="R52" s="38"/>
      <c r="S52" s="104"/>
    </row>
    <row r="53" customFormat="false" ht="27.75" hidden="false" customHeight="true" outlineLevel="0" collapsed="false">
      <c r="A53" s="36"/>
      <c r="B53" s="37"/>
      <c r="C53" s="37"/>
      <c r="D53" s="37"/>
      <c r="E53" s="38"/>
      <c r="F53" s="37"/>
      <c r="G53" s="38"/>
      <c r="H53" s="38"/>
      <c r="I53" s="37"/>
      <c r="J53" s="37"/>
      <c r="K53" s="36"/>
      <c r="L53" s="37"/>
      <c r="M53" s="103"/>
      <c r="N53" s="103"/>
      <c r="O53" s="103"/>
      <c r="P53" s="103"/>
      <c r="Q53" s="38"/>
      <c r="R53" s="38"/>
      <c r="S53" s="104"/>
    </row>
    <row r="54" customFormat="false" ht="27.75" hidden="false" customHeight="true" outlineLevel="0" collapsed="false">
      <c r="A54" s="36"/>
      <c r="B54" s="37"/>
      <c r="C54" s="37"/>
      <c r="D54" s="37"/>
      <c r="E54" s="38"/>
      <c r="F54" s="37"/>
      <c r="G54" s="38"/>
      <c r="H54" s="38"/>
      <c r="I54" s="37"/>
      <c r="J54" s="37"/>
      <c r="K54" s="36"/>
      <c r="L54" s="37"/>
      <c r="M54" s="103"/>
      <c r="N54" s="103"/>
      <c r="O54" s="103"/>
      <c r="P54" s="103"/>
      <c r="Q54" s="38"/>
      <c r="R54" s="38"/>
      <c r="S54" s="104"/>
    </row>
    <row r="55" customFormat="false" ht="27.75" hidden="false" customHeight="true" outlineLevel="0" collapsed="false">
      <c r="A55" s="36"/>
      <c r="B55" s="37"/>
      <c r="C55" s="37"/>
      <c r="D55" s="37"/>
      <c r="E55" s="38"/>
      <c r="F55" s="37"/>
      <c r="G55" s="38"/>
      <c r="H55" s="38"/>
      <c r="I55" s="37"/>
      <c r="J55" s="37"/>
      <c r="K55" s="36"/>
      <c r="L55" s="37"/>
      <c r="M55" s="103"/>
      <c r="N55" s="103"/>
      <c r="O55" s="103"/>
      <c r="P55" s="103"/>
      <c r="Q55" s="38"/>
      <c r="R55" s="38"/>
      <c r="S55" s="104"/>
    </row>
    <row r="56" customFormat="false" ht="27.75" hidden="false" customHeight="true" outlineLevel="0" collapsed="false">
      <c r="A56" s="36"/>
      <c r="B56" s="37"/>
      <c r="C56" s="37"/>
      <c r="D56" s="37"/>
      <c r="E56" s="38"/>
      <c r="F56" s="37"/>
      <c r="G56" s="38"/>
      <c r="H56" s="38"/>
      <c r="I56" s="37"/>
      <c r="J56" s="37"/>
      <c r="K56" s="36"/>
      <c r="L56" s="37"/>
      <c r="M56" s="103"/>
      <c r="N56" s="103"/>
      <c r="O56" s="103"/>
      <c r="P56" s="103"/>
      <c r="Q56" s="38"/>
      <c r="R56" s="38"/>
      <c r="S56" s="104"/>
    </row>
    <row r="57" customFormat="false" ht="27.75" hidden="false" customHeight="true" outlineLevel="0" collapsed="false">
      <c r="A57" s="36"/>
      <c r="B57" s="37"/>
      <c r="C57" s="37"/>
      <c r="D57" s="37"/>
      <c r="E57" s="38"/>
      <c r="F57" s="37"/>
      <c r="G57" s="38"/>
      <c r="H57" s="38"/>
      <c r="I57" s="37"/>
      <c r="J57" s="37"/>
      <c r="K57" s="36"/>
      <c r="L57" s="37"/>
      <c r="M57" s="103"/>
      <c r="N57" s="103"/>
      <c r="O57" s="103"/>
      <c r="P57" s="103"/>
      <c r="Q57" s="38"/>
      <c r="R57" s="38"/>
      <c r="S57" s="104"/>
    </row>
    <row r="58" customFormat="false" ht="27.75" hidden="false" customHeight="true" outlineLevel="0" collapsed="false">
      <c r="A58" s="36"/>
      <c r="B58" s="37"/>
      <c r="C58" s="37"/>
      <c r="D58" s="37"/>
      <c r="E58" s="38"/>
      <c r="F58" s="37"/>
      <c r="G58" s="38"/>
      <c r="H58" s="38"/>
      <c r="I58" s="37"/>
      <c r="J58" s="37"/>
      <c r="K58" s="36"/>
      <c r="L58" s="37"/>
      <c r="M58" s="103"/>
      <c r="N58" s="103"/>
      <c r="O58" s="103"/>
      <c r="P58" s="103"/>
      <c r="Q58" s="38"/>
      <c r="R58" s="38"/>
      <c r="S58" s="104"/>
    </row>
    <row r="59" customFormat="false" ht="27.75" hidden="false" customHeight="true" outlineLevel="0" collapsed="false">
      <c r="A59" s="36"/>
      <c r="B59" s="37"/>
      <c r="C59" s="37"/>
      <c r="D59" s="37"/>
      <c r="E59" s="38"/>
      <c r="F59" s="37"/>
      <c r="G59" s="38"/>
      <c r="H59" s="38"/>
      <c r="I59" s="37"/>
      <c r="J59" s="37"/>
      <c r="K59" s="36"/>
      <c r="L59" s="37"/>
      <c r="M59" s="103"/>
      <c r="N59" s="103"/>
      <c r="O59" s="103"/>
      <c r="P59" s="103"/>
      <c r="Q59" s="38"/>
      <c r="R59" s="38"/>
      <c r="S59" s="104"/>
    </row>
    <row r="60" customFormat="false" ht="27.75" hidden="false" customHeight="true" outlineLevel="0" collapsed="false">
      <c r="A60" s="36"/>
      <c r="B60" s="37"/>
      <c r="C60" s="37"/>
      <c r="D60" s="37"/>
      <c r="E60" s="38"/>
      <c r="F60" s="37"/>
      <c r="G60" s="38"/>
      <c r="H60" s="38"/>
      <c r="I60" s="37"/>
      <c r="J60" s="37"/>
      <c r="K60" s="36"/>
      <c r="L60" s="37"/>
      <c r="M60" s="103"/>
      <c r="N60" s="103"/>
      <c r="O60" s="103"/>
      <c r="P60" s="103"/>
      <c r="Q60" s="38"/>
      <c r="R60" s="38"/>
      <c r="S60" s="104"/>
    </row>
    <row r="61" customFormat="false" ht="27.75" hidden="false" customHeight="true" outlineLevel="0" collapsed="false">
      <c r="A61" s="36"/>
      <c r="B61" s="37"/>
      <c r="C61" s="37"/>
      <c r="D61" s="37"/>
      <c r="E61" s="38"/>
      <c r="F61" s="37"/>
      <c r="G61" s="38"/>
      <c r="H61" s="38"/>
      <c r="I61" s="37"/>
      <c r="J61" s="37"/>
      <c r="K61" s="36"/>
      <c r="L61" s="37"/>
      <c r="M61" s="103"/>
      <c r="N61" s="103"/>
      <c r="O61" s="103"/>
      <c r="P61" s="103"/>
      <c r="Q61" s="38"/>
      <c r="R61" s="38"/>
      <c r="S61" s="104"/>
    </row>
    <row r="62" customFormat="false" ht="27.75" hidden="false" customHeight="true" outlineLevel="0" collapsed="false">
      <c r="A62" s="36"/>
      <c r="B62" s="37"/>
      <c r="C62" s="37"/>
      <c r="D62" s="37"/>
      <c r="E62" s="38"/>
      <c r="F62" s="37"/>
      <c r="G62" s="38"/>
      <c r="H62" s="38"/>
      <c r="I62" s="37"/>
      <c r="J62" s="37"/>
      <c r="K62" s="36"/>
      <c r="L62" s="37"/>
      <c r="M62" s="103"/>
      <c r="N62" s="103"/>
      <c r="O62" s="103"/>
      <c r="P62" s="103"/>
      <c r="Q62" s="38"/>
      <c r="R62" s="38"/>
      <c r="S62" s="104"/>
    </row>
    <row r="63" customFormat="false" ht="27.75" hidden="false" customHeight="true" outlineLevel="0" collapsed="false">
      <c r="A63" s="36"/>
      <c r="B63" s="37"/>
      <c r="C63" s="37"/>
      <c r="D63" s="37"/>
      <c r="E63" s="38"/>
      <c r="F63" s="37"/>
      <c r="G63" s="38"/>
      <c r="H63" s="38"/>
      <c r="I63" s="37"/>
      <c r="J63" s="37"/>
      <c r="K63" s="36"/>
      <c r="L63" s="37"/>
      <c r="M63" s="103"/>
      <c r="N63" s="103"/>
      <c r="O63" s="103"/>
      <c r="P63" s="103"/>
      <c r="Q63" s="38"/>
      <c r="R63" s="38"/>
      <c r="S63" s="104"/>
    </row>
    <row r="64" customFormat="false" ht="27.75" hidden="false" customHeight="true" outlineLevel="0" collapsed="false">
      <c r="A64" s="36"/>
      <c r="B64" s="37"/>
      <c r="C64" s="37"/>
      <c r="D64" s="37"/>
      <c r="E64" s="38"/>
      <c r="F64" s="37"/>
      <c r="G64" s="38"/>
      <c r="H64" s="38"/>
      <c r="I64" s="37"/>
      <c r="J64" s="37"/>
      <c r="K64" s="36"/>
      <c r="L64" s="37"/>
      <c r="M64" s="103"/>
      <c r="N64" s="103"/>
      <c r="O64" s="103"/>
      <c r="P64" s="103"/>
      <c r="Q64" s="38"/>
      <c r="R64" s="38"/>
      <c r="S64" s="104"/>
    </row>
    <row r="65" customFormat="false" ht="27.75" hidden="false" customHeight="true" outlineLevel="0" collapsed="false">
      <c r="A65" s="36"/>
      <c r="B65" s="37"/>
      <c r="C65" s="37"/>
      <c r="D65" s="37"/>
      <c r="E65" s="38"/>
      <c r="F65" s="37"/>
      <c r="G65" s="38"/>
      <c r="H65" s="38"/>
      <c r="I65" s="37"/>
      <c r="J65" s="37"/>
      <c r="K65" s="36"/>
      <c r="L65" s="37"/>
      <c r="M65" s="103"/>
      <c r="N65" s="103"/>
      <c r="O65" s="103"/>
      <c r="P65" s="103"/>
      <c r="Q65" s="38"/>
      <c r="R65" s="38"/>
      <c r="S65" s="104"/>
    </row>
    <row r="66" customFormat="false" ht="27.75" hidden="false" customHeight="true" outlineLevel="0" collapsed="false">
      <c r="A66" s="36"/>
      <c r="B66" s="37"/>
      <c r="C66" s="37"/>
      <c r="D66" s="37"/>
      <c r="E66" s="38"/>
      <c r="F66" s="37"/>
      <c r="G66" s="38"/>
      <c r="H66" s="38"/>
      <c r="I66" s="37"/>
      <c r="J66" s="37"/>
      <c r="K66" s="36"/>
      <c r="L66" s="37"/>
      <c r="M66" s="103"/>
      <c r="N66" s="103"/>
      <c r="O66" s="103"/>
      <c r="P66" s="103"/>
      <c r="Q66" s="38"/>
      <c r="R66" s="38"/>
      <c r="S66" s="104"/>
    </row>
    <row r="67" customFormat="false" ht="27.75" hidden="false" customHeight="true" outlineLevel="0" collapsed="false">
      <c r="A67" s="36"/>
      <c r="B67" s="37"/>
      <c r="C67" s="37"/>
      <c r="D67" s="37"/>
      <c r="E67" s="38"/>
      <c r="F67" s="37"/>
      <c r="G67" s="38"/>
      <c r="H67" s="38"/>
      <c r="I67" s="37"/>
      <c r="J67" s="37"/>
      <c r="K67" s="36"/>
      <c r="L67" s="37"/>
      <c r="M67" s="103"/>
      <c r="N67" s="103"/>
      <c r="O67" s="103"/>
      <c r="P67" s="103"/>
      <c r="Q67" s="38"/>
      <c r="R67" s="38"/>
      <c r="S67" s="104"/>
    </row>
    <row r="68" customFormat="false" ht="27.75" hidden="false" customHeight="true" outlineLevel="0" collapsed="false">
      <c r="A68" s="36"/>
      <c r="B68" s="37"/>
      <c r="C68" s="37"/>
      <c r="D68" s="37"/>
      <c r="E68" s="38"/>
      <c r="F68" s="37"/>
      <c r="G68" s="38"/>
      <c r="H68" s="38"/>
      <c r="I68" s="37"/>
      <c r="J68" s="37"/>
      <c r="K68" s="36"/>
      <c r="L68" s="37"/>
      <c r="M68" s="103"/>
      <c r="N68" s="103"/>
      <c r="O68" s="103"/>
      <c r="P68" s="103"/>
      <c r="Q68" s="38"/>
      <c r="R68" s="38"/>
      <c r="S68" s="104"/>
    </row>
    <row r="69" customFormat="false" ht="27.75" hidden="false" customHeight="true" outlineLevel="0" collapsed="false">
      <c r="A69" s="36"/>
      <c r="B69" s="37"/>
      <c r="C69" s="37"/>
      <c r="D69" s="37"/>
      <c r="E69" s="38"/>
      <c r="F69" s="37"/>
      <c r="G69" s="38"/>
      <c r="H69" s="38"/>
      <c r="I69" s="37"/>
      <c r="J69" s="37"/>
      <c r="K69" s="36"/>
      <c r="L69" s="37"/>
      <c r="M69" s="103"/>
      <c r="N69" s="103"/>
      <c r="O69" s="103"/>
      <c r="P69" s="103"/>
      <c r="Q69" s="38"/>
      <c r="R69" s="38"/>
      <c r="S69" s="104"/>
    </row>
    <row r="70" customFormat="false" ht="27.75" hidden="false" customHeight="true" outlineLevel="0" collapsed="false">
      <c r="A70" s="36"/>
      <c r="B70" s="37"/>
      <c r="C70" s="37"/>
      <c r="D70" s="37"/>
      <c r="E70" s="38"/>
      <c r="F70" s="37"/>
      <c r="G70" s="38"/>
      <c r="H70" s="38"/>
      <c r="I70" s="37"/>
      <c r="J70" s="37"/>
      <c r="K70" s="36"/>
      <c r="L70" s="37"/>
      <c r="M70" s="103"/>
      <c r="N70" s="103"/>
      <c r="O70" s="103"/>
      <c r="P70" s="103"/>
      <c r="Q70" s="38"/>
      <c r="R70" s="38"/>
      <c r="S70" s="104"/>
    </row>
    <row r="71" customFormat="false" ht="27.75" hidden="false" customHeight="true" outlineLevel="0" collapsed="false">
      <c r="A71" s="36"/>
      <c r="B71" s="37"/>
      <c r="C71" s="37"/>
      <c r="D71" s="37"/>
      <c r="E71" s="38"/>
      <c r="F71" s="37"/>
      <c r="G71" s="38"/>
      <c r="H71" s="38"/>
      <c r="I71" s="37"/>
      <c r="J71" s="37"/>
      <c r="K71" s="36"/>
      <c r="L71" s="37"/>
      <c r="M71" s="103"/>
      <c r="N71" s="103"/>
      <c r="O71" s="103"/>
      <c r="P71" s="103"/>
      <c r="Q71" s="38"/>
      <c r="R71" s="38"/>
      <c r="S71" s="104"/>
    </row>
    <row r="72" customFormat="false" ht="27.75" hidden="false" customHeight="true" outlineLevel="0" collapsed="false">
      <c r="A72" s="36"/>
      <c r="B72" s="37"/>
      <c r="C72" s="37"/>
      <c r="D72" s="37"/>
      <c r="E72" s="38"/>
      <c r="F72" s="37"/>
      <c r="G72" s="38"/>
      <c r="H72" s="38"/>
      <c r="I72" s="37"/>
      <c r="J72" s="37"/>
      <c r="K72" s="36"/>
      <c r="L72" s="37"/>
      <c r="M72" s="103"/>
      <c r="N72" s="103"/>
      <c r="O72" s="103"/>
      <c r="P72" s="103"/>
      <c r="Q72" s="38"/>
      <c r="R72" s="38"/>
      <c r="S72" s="104"/>
    </row>
    <row r="73" customFormat="false" ht="27.75" hidden="false" customHeight="true" outlineLevel="0" collapsed="false">
      <c r="A73" s="36"/>
      <c r="B73" s="37"/>
      <c r="C73" s="37"/>
      <c r="D73" s="37"/>
      <c r="E73" s="38"/>
      <c r="F73" s="37"/>
      <c r="G73" s="38"/>
      <c r="H73" s="38"/>
      <c r="I73" s="37"/>
      <c r="J73" s="37"/>
      <c r="K73" s="36"/>
      <c r="L73" s="37"/>
      <c r="M73" s="103"/>
      <c r="N73" s="103"/>
      <c r="O73" s="103"/>
      <c r="P73" s="103"/>
      <c r="Q73" s="38"/>
      <c r="R73" s="38"/>
      <c r="S73" s="104"/>
    </row>
    <row r="74" customFormat="false" ht="27.75" hidden="false" customHeight="true" outlineLevel="0" collapsed="false">
      <c r="A74" s="36"/>
      <c r="B74" s="37"/>
      <c r="C74" s="37"/>
      <c r="D74" s="37"/>
      <c r="E74" s="38"/>
      <c r="F74" s="37"/>
      <c r="G74" s="38"/>
      <c r="H74" s="38"/>
      <c r="I74" s="37"/>
      <c r="J74" s="37"/>
      <c r="K74" s="36"/>
      <c r="L74" s="37"/>
      <c r="M74" s="103"/>
      <c r="N74" s="103"/>
      <c r="O74" s="103"/>
      <c r="P74" s="103"/>
      <c r="Q74" s="38"/>
      <c r="R74" s="38"/>
      <c r="S74" s="104"/>
    </row>
    <row r="75" customFormat="false" ht="27.75" hidden="false" customHeight="true" outlineLevel="0" collapsed="false">
      <c r="A75" s="36"/>
      <c r="B75" s="37"/>
      <c r="C75" s="37"/>
      <c r="D75" s="37"/>
      <c r="E75" s="38"/>
      <c r="F75" s="37"/>
      <c r="G75" s="38"/>
      <c r="H75" s="38"/>
      <c r="I75" s="37"/>
      <c r="J75" s="37"/>
      <c r="K75" s="36"/>
      <c r="L75" s="37"/>
      <c r="M75" s="103"/>
      <c r="N75" s="103"/>
      <c r="O75" s="103"/>
      <c r="P75" s="103"/>
      <c r="Q75" s="38"/>
      <c r="R75" s="38"/>
      <c r="S75" s="104"/>
    </row>
    <row r="76" customFormat="false" ht="27.75" hidden="false" customHeight="true" outlineLevel="0" collapsed="false">
      <c r="A76" s="36"/>
      <c r="B76" s="37"/>
      <c r="C76" s="37"/>
      <c r="D76" s="37"/>
      <c r="E76" s="38"/>
      <c r="F76" s="37"/>
      <c r="G76" s="38"/>
      <c r="H76" s="38"/>
      <c r="I76" s="37"/>
      <c r="J76" s="37"/>
      <c r="K76" s="36"/>
      <c r="L76" s="37"/>
      <c r="M76" s="103"/>
      <c r="N76" s="103"/>
      <c r="O76" s="103"/>
      <c r="P76" s="103"/>
      <c r="Q76" s="38"/>
      <c r="R76" s="38"/>
      <c r="S76" s="104"/>
    </row>
    <row r="77" customFormat="false" ht="27.75" hidden="false" customHeight="true" outlineLevel="0" collapsed="false">
      <c r="A77" s="36"/>
      <c r="B77" s="37"/>
      <c r="C77" s="37"/>
      <c r="D77" s="37"/>
      <c r="E77" s="38"/>
      <c r="F77" s="37"/>
      <c r="G77" s="38"/>
      <c r="H77" s="38"/>
      <c r="I77" s="37"/>
      <c r="J77" s="37"/>
      <c r="K77" s="36"/>
      <c r="L77" s="37"/>
      <c r="M77" s="103"/>
      <c r="N77" s="103"/>
      <c r="O77" s="103"/>
      <c r="P77" s="103"/>
      <c r="Q77" s="38"/>
      <c r="R77" s="38"/>
      <c r="S77" s="104"/>
    </row>
    <row r="78" customFormat="false" ht="27.75" hidden="false" customHeight="true" outlineLevel="0" collapsed="false">
      <c r="A78" s="36"/>
      <c r="B78" s="37"/>
      <c r="C78" s="37"/>
      <c r="D78" s="37"/>
      <c r="E78" s="38"/>
      <c r="F78" s="37"/>
      <c r="G78" s="38"/>
      <c r="H78" s="38"/>
      <c r="I78" s="37"/>
      <c r="J78" s="37"/>
      <c r="K78" s="36"/>
      <c r="L78" s="37"/>
      <c r="M78" s="103"/>
      <c r="N78" s="103"/>
      <c r="O78" s="103"/>
      <c r="P78" s="103"/>
      <c r="Q78" s="38"/>
      <c r="R78" s="38"/>
      <c r="S78" s="104"/>
    </row>
    <row r="79" customFormat="false" ht="27.75" hidden="false" customHeight="true" outlineLevel="0" collapsed="false">
      <c r="A79" s="36"/>
      <c r="B79" s="37"/>
      <c r="C79" s="37"/>
      <c r="D79" s="37"/>
      <c r="E79" s="38"/>
      <c r="F79" s="37"/>
      <c r="G79" s="38"/>
      <c r="H79" s="38"/>
      <c r="I79" s="37"/>
      <c r="J79" s="37"/>
      <c r="K79" s="36"/>
      <c r="L79" s="37"/>
      <c r="M79" s="103"/>
      <c r="N79" s="103"/>
      <c r="O79" s="103"/>
      <c r="P79" s="103"/>
      <c r="Q79" s="38"/>
      <c r="R79" s="38"/>
      <c r="S79" s="104"/>
    </row>
    <row r="80" customFormat="false" ht="27.75" hidden="false" customHeight="true" outlineLevel="0" collapsed="false">
      <c r="A80" s="36"/>
      <c r="B80" s="37"/>
      <c r="C80" s="37"/>
      <c r="D80" s="37"/>
      <c r="E80" s="38"/>
      <c r="F80" s="37"/>
      <c r="G80" s="38"/>
      <c r="H80" s="38"/>
      <c r="I80" s="37"/>
      <c r="J80" s="37"/>
      <c r="K80" s="36"/>
      <c r="L80" s="37"/>
      <c r="M80" s="103"/>
      <c r="N80" s="103"/>
      <c r="O80" s="103"/>
      <c r="P80" s="103"/>
      <c r="Q80" s="38"/>
      <c r="R80" s="38"/>
      <c r="S80" s="104"/>
    </row>
    <row r="81" customFormat="false" ht="27.75" hidden="false" customHeight="true" outlineLevel="0" collapsed="false">
      <c r="A81" s="36"/>
      <c r="B81" s="37"/>
      <c r="C81" s="37"/>
      <c r="D81" s="37"/>
      <c r="E81" s="38"/>
      <c r="F81" s="37"/>
      <c r="G81" s="38"/>
      <c r="H81" s="38"/>
      <c r="I81" s="37"/>
      <c r="J81" s="37"/>
      <c r="K81" s="36"/>
      <c r="L81" s="37"/>
      <c r="M81" s="103"/>
      <c r="N81" s="103"/>
      <c r="O81" s="103"/>
      <c r="P81" s="103"/>
      <c r="Q81" s="38"/>
      <c r="R81" s="38"/>
      <c r="S81" s="104"/>
    </row>
    <row r="82" customFormat="false" ht="27.75" hidden="false" customHeight="true" outlineLevel="0" collapsed="false">
      <c r="A82" s="36"/>
      <c r="B82" s="37"/>
      <c r="C82" s="37"/>
      <c r="D82" s="37"/>
      <c r="E82" s="38"/>
      <c r="F82" s="37"/>
      <c r="G82" s="38"/>
      <c r="H82" s="38"/>
      <c r="I82" s="37"/>
      <c r="J82" s="37"/>
      <c r="K82" s="36"/>
      <c r="L82" s="37"/>
      <c r="M82" s="103"/>
      <c r="N82" s="103"/>
      <c r="O82" s="103"/>
      <c r="P82" s="103"/>
      <c r="Q82" s="38"/>
      <c r="R82" s="38"/>
      <c r="S82" s="104"/>
    </row>
    <row r="83" customFormat="false" ht="27.75" hidden="false" customHeight="true" outlineLevel="0" collapsed="false">
      <c r="A83" s="36"/>
      <c r="B83" s="37"/>
      <c r="C83" s="37"/>
      <c r="D83" s="37"/>
      <c r="E83" s="38"/>
      <c r="F83" s="37"/>
      <c r="G83" s="38"/>
      <c r="H83" s="38"/>
      <c r="I83" s="37"/>
      <c r="J83" s="37"/>
      <c r="K83" s="36"/>
      <c r="L83" s="37"/>
      <c r="M83" s="103"/>
      <c r="N83" s="103"/>
      <c r="O83" s="103"/>
      <c r="P83" s="103"/>
      <c r="Q83" s="38"/>
      <c r="R83" s="38"/>
      <c r="S83" s="104"/>
    </row>
    <row r="84" customFormat="false" ht="27.75" hidden="false" customHeight="true" outlineLevel="0" collapsed="false">
      <c r="A84" s="36"/>
      <c r="B84" s="37"/>
      <c r="C84" s="37"/>
      <c r="D84" s="37"/>
      <c r="E84" s="38"/>
      <c r="F84" s="37"/>
      <c r="G84" s="38"/>
      <c r="H84" s="38"/>
      <c r="I84" s="37"/>
      <c r="J84" s="37"/>
      <c r="K84" s="36"/>
      <c r="L84" s="37"/>
      <c r="M84" s="103"/>
      <c r="N84" s="103"/>
      <c r="O84" s="103"/>
      <c r="P84" s="103"/>
      <c r="Q84" s="38"/>
      <c r="R84" s="38"/>
      <c r="S84" s="104"/>
    </row>
    <row r="85" customFormat="false" ht="27.75" hidden="false" customHeight="true" outlineLevel="0" collapsed="false">
      <c r="A85" s="36"/>
      <c r="B85" s="37"/>
      <c r="C85" s="37"/>
      <c r="D85" s="37"/>
      <c r="E85" s="38"/>
      <c r="F85" s="37"/>
      <c r="G85" s="38"/>
      <c r="H85" s="38"/>
      <c r="I85" s="37"/>
      <c r="J85" s="37"/>
      <c r="K85" s="36"/>
      <c r="L85" s="37"/>
      <c r="M85" s="103"/>
      <c r="N85" s="103"/>
      <c r="O85" s="103"/>
      <c r="P85" s="103"/>
      <c r="Q85" s="38"/>
      <c r="R85" s="38"/>
      <c r="S85" s="104"/>
    </row>
    <row r="86" customFormat="false" ht="27.75" hidden="false" customHeight="true" outlineLevel="0" collapsed="false">
      <c r="A86" s="36"/>
      <c r="B86" s="37"/>
      <c r="C86" s="37"/>
      <c r="D86" s="37"/>
      <c r="E86" s="38"/>
      <c r="F86" s="37"/>
      <c r="G86" s="38"/>
      <c r="H86" s="38"/>
      <c r="I86" s="37"/>
      <c r="J86" s="37"/>
      <c r="K86" s="36"/>
      <c r="L86" s="37"/>
      <c r="M86" s="103"/>
      <c r="N86" s="103"/>
      <c r="O86" s="103"/>
      <c r="P86" s="103"/>
      <c r="Q86" s="38"/>
      <c r="R86" s="38"/>
      <c r="S86" s="104"/>
    </row>
    <row r="87" customFormat="false" ht="27.75" hidden="false" customHeight="true" outlineLevel="0" collapsed="false">
      <c r="A87" s="36"/>
      <c r="B87" s="37"/>
      <c r="C87" s="37"/>
      <c r="D87" s="37"/>
      <c r="E87" s="38"/>
      <c r="F87" s="37"/>
      <c r="G87" s="38"/>
      <c r="H87" s="38"/>
      <c r="I87" s="37"/>
      <c r="J87" s="37"/>
      <c r="K87" s="36"/>
      <c r="L87" s="37"/>
      <c r="M87" s="103"/>
      <c r="N87" s="103"/>
      <c r="O87" s="103"/>
      <c r="P87" s="103"/>
      <c r="Q87" s="38"/>
      <c r="R87" s="38"/>
      <c r="S87" s="104"/>
    </row>
    <row r="88" customFormat="false" ht="27.75" hidden="false" customHeight="true" outlineLevel="0" collapsed="false">
      <c r="A88" s="36"/>
      <c r="B88" s="37"/>
      <c r="C88" s="37"/>
      <c r="D88" s="37"/>
      <c r="E88" s="38"/>
      <c r="F88" s="37"/>
      <c r="G88" s="38"/>
      <c r="H88" s="38"/>
      <c r="I88" s="37"/>
      <c r="J88" s="37"/>
      <c r="K88" s="36"/>
      <c r="L88" s="37"/>
      <c r="M88" s="103"/>
      <c r="N88" s="103"/>
      <c r="O88" s="103"/>
      <c r="P88" s="103"/>
      <c r="Q88" s="38"/>
      <c r="R88" s="38"/>
      <c r="S88" s="104"/>
    </row>
    <row r="89" customFormat="false" ht="27.75" hidden="false" customHeight="true" outlineLevel="0" collapsed="false">
      <c r="A89" s="36"/>
      <c r="B89" s="37"/>
      <c r="C89" s="37"/>
      <c r="D89" s="37"/>
      <c r="E89" s="38"/>
      <c r="F89" s="37"/>
      <c r="G89" s="38"/>
      <c r="H89" s="38"/>
      <c r="I89" s="37"/>
      <c r="J89" s="37"/>
      <c r="K89" s="36"/>
      <c r="L89" s="37"/>
      <c r="M89" s="103"/>
      <c r="N89" s="103"/>
      <c r="O89" s="103"/>
      <c r="P89" s="103"/>
      <c r="Q89" s="38"/>
      <c r="R89" s="38"/>
      <c r="S89" s="104"/>
    </row>
    <row r="90" customFormat="false" ht="27.75" hidden="false" customHeight="true" outlineLevel="0" collapsed="false">
      <c r="A90" s="36"/>
      <c r="B90" s="37"/>
      <c r="C90" s="37"/>
      <c r="D90" s="37"/>
      <c r="E90" s="38"/>
      <c r="F90" s="37"/>
      <c r="G90" s="38"/>
      <c r="H90" s="38"/>
      <c r="I90" s="37"/>
      <c r="J90" s="37"/>
      <c r="K90" s="36"/>
      <c r="L90" s="37"/>
      <c r="M90" s="103"/>
      <c r="N90" s="103"/>
      <c r="O90" s="103"/>
      <c r="P90" s="103"/>
      <c r="Q90" s="38"/>
      <c r="R90" s="38"/>
      <c r="S90" s="104"/>
    </row>
    <row r="91" customFormat="false" ht="27.75" hidden="false" customHeight="true" outlineLevel="0" collapsed="false">
      <c r="A91" s="36"/>
      <c r="B91" s="37"/>
      <c r="C91" s="37"/>
      <c r="D91" s="37"/>
      <c r="E91" s="38"/>
      <c r="F91" s="37"/>
      <c r="G91" s="38"/>
      <c r="H91" s="38"/>
      <c r="I91" s="37"/>
      <c r="J91" s="37"/>
      <c r="K91" s="36"/>
      <c r="L91" s="37"/>
      <c r="M91" s="103"/>
      <c r="N91" s="103"/>
      <c r="O91" s="103"/>
      <c r="P91" s="103"/>
      <c r="Q91" s="38"/>
      <c r="R91" s="38"/>
      <c r="S91" s="104"/>
    </row>
    <row r="92" customFormat="false" ht="27.75" hidden="false" customHeight="true" outlineLevel="0" collapsed="false">
      <c r="A92" s="36"/>
      <c r="B92" s="37"/>
      <c r="C92" s="37"/>
      <c r="D92" s="37"/>
      <c r="E92" s="38"/>
      <c r="F92" s="37"/>
      <c r="G92" s="38"/>
      <c r="H92" s="38"/>
      <c r="I92" s="37"/>
      <c r="J92" s="37"/>
      <c r="K92" s="36"/>
      <c r="L92" s="37"/>
      <c r="M92" s="103"/>
      <c r="N92" s="103"/>
      <c r="O92" s="103"/>
      <c r="P92" s="103"/>
      <c r="Q92" s="38"/>
      <c r="R92" s="38"/>
      <c r="S92" s="104"/>
    </row>
    <row r="93" customFormat="false" ht="27.75" hidden="false" customHeight="true" outlineLevel="0" collapsed="false">
      <c r="A93" s="36"/>
      <c r="B93" s="37"/>
      <c r="C93" s="37"/>
      <c r="D93" s="37"/>
      <c r="E93" s="38"/>
      <c r="F93" s="37"/>
      <c r="G93" s="38"/>
      <c r="H93" s="38"/>
      <c r="I93" s="37"/>
      <c r="J93" s="37"/>
      <c r="K93" s="36"/>
      <c r="L93" s="37"/>
      <c r="M93" s="103"/>
      <c r="N93" s="103"/>
      <c r="O93" s="103"/>
      <c r="P93" s="103"/>
      <c r="Q93" s="38"/>
      <c r="R93" s="38"/>
      <c r="S93" s="104"/>
    </row>
    <row r="94" customFormat="false" ht="27.75" hidden="false" customHeight="true" outlineLevel="0" collapsed="false">
      <c r="A94" s="36"/>
      <c r="B94" s="37"/>
      <c r="C94" s="37"/>
      <c r="D94" s="37"/>
      <c r="E94" s="38"/>
      <c r="F94" s="37"/>
      <c r="G94" s="38"/>
      <c r="H94" s="38"/>
      <c r="I94" s="37"/>
      <c r="J94" s="37"/>
      <c r="K94" s="36"/>
      <c r="L94" s="37"/>
      <c r="M94" s="103"/>
      <c r="N94" s="103"/>
      <c r="O94" s="103"/>
      <c r="P94" s="103"/>
      <c r="Q94" s="38"/>
      <c r="R94" s="38"/>
      <c r="S94" s="104"/>
    </row>
    <row r="95" customFormat="false" ht="27.75" hidden="false" customHeight="true" outlineLevel="0" collapsed="false">
      <c r="A95" s="36"/>
      <c r="B95" s="37"/>
      <c r="C95" s="37"/>
      <c r="D95" s="37"/>
      <c r="E95" s="38"/>
      <c r="F95" s="37"/>
      <c r="G95" s="38"/>
      <c r="H95" s="38"/>
      <c r="I95" s="37"/>
      <c r="J95" s="37"/>
      <c r="K95" s="36"/>
      <c r="L95" s="37"/>
      <c r="M95" s="103"/>
      <c r="N95" s="103"/>
      <c r="O95" s="103"/>
      <c r="P95" s="103"/>
      <c r="Q95" s="38"/>
      <c r="R95" s="38"/>
      <c r="S95" s="104"/>
    </row>
    <row r="96" customFormat="false" ht="27.75" hidden="false" customHeight="true" outlineLevel="0" collapsed="false">
      <c r="A96" s="36"/>
      <c r="B96" s="37"/>
      <c r="C96" s="37"/>
      <c r="D96" s="37"/>
      <c r="E96" s="38"/>
      <c r="F96" s="37"/>
      <c r="G96" s="38"/>
      <c r="H96" s="38"/>
      <c r="I96" s="37"/>
      <c r="J96" s="37"/>
      <c r="K96" s="36"/>
      <c r="L96" s="37"/>
      <c r="M96" s="103"/>
      <c r="N96" s="103"/>
      <c r="O96" s="103"/>
      <c r="P96" s="103"/>
      <c r="Q96" s="38"/>
      <c r="R96" s="38"/>
      <c r="S96" s="104"/>
    </row>
    <row r="97" customFormat="false" ht="27.75" hidden="false" customHeight="true" outlineLevel="0" collapsed="false">
      <c r="A97" s="36"/>
      <c r="B97" s="37"/>
      <c r="C97" s="37"/>
      <c r="D97" s="37"/>
      <c r="E97" s="38"/>
      <c r="F97" s="37"/>
      <c r="G97" s="38"/>
      <c r="H97" s="38"/>
      <c r="I97" s="37"/>
      <c r="J97" s="37"/>
      <c r="K97" s="36"/>
      <c r="L97" s="37"/>
      <c r="M97" s="103"/>
      <c r="N97" s="103"/>
      <c r="O97" s="103"/>
      <c r="P97" s="103"/>
      <c r="Q97" s="38"/>
      <c r="R97" s="38"/>
      <c r="S97" s="104"/>
    </row>
    <row r="98" customFormat="false" ht="27.75" hidden="false" customHeight="true" outlineLevel="0" collapsed="false">
      <c r="A98" s="36"/>
      <c r="B98" s="37"/>
      <c r="C98" s="37"/>
      <c r="D98" s="37"/>
      <c r="E98" s="38"/>
      <c r="F98" s="37"/>
      <c r="G98" s="38"/>
      <c r="H98" s="38"/>
      <c r="I98" s="37"/>
      <c r="J98" s="37"/>
      <c r="K98" s="36"/>
      <c r="L98" s="37"/>
      <c r="M98" s="103"/>
      <c r="N98" s="103"/>
      <c r="O98" s="103"/>
      <c r="P98" s="103"/>
      <c r="Q98" s="38"/>
      <c r="R98" s="38"/>
      <c r="S98" s="104"/>
    </row>
    <row r="99" customFormat="false" ht="27.75" hidden="false" customHeight="true" outlineLevel="0" collapsed="false">
      <c r="A99" s="36"/>
      <c r="B99" s="37"/>
      <c r="C99" s="37"/>
      <c r="D99" s="37"/>
      <c r="E99" s="38"/>
      <c r="F99" s="37"/>
      <c r="G99" s="38"/>
      <c r="H99" s="38"/>
      <c r="I99" s="37"/>
      <c r="J99" s="37"/>
      <c r="K99" s="36"/>
      <c r="L99" s="37"/>
      <c r="M99" s="103"/>
      <c r="N99" s="103"/>
      <c r="O99" s="103"/>
      <c r="P99" s="103"/>
      <c r="Q99" s="38"/>
      <c r="R99" s="38"/>
      <c r="S99" s="104"/>
    </row>
    <row r="100" customFormat="false" ht="27.75" hidden="false" customHeight="true" outlineLevel="0" collapsed="false">
      <c r="A100" s="36"/>
      <c r="B100" s="37"/>
      <c r="C100" s="37"/>
      <c r="D100" s="37"/>
      <c r="E100" s="38"/>
      <c r="F100" s="37"/>
      <c r="G100" s="38"/>
      <c r="H100" s="38"/>
      <c r="I100" s="37"/>
      <c r="J100" s="37"/>
      <c r="K100" s="36"/>
      <c r="L100" s="37"/>
      <c r="M100" s="103"/>
      <c r="N100" s="103"/>
      <c r="O100" s="103"/>
      <c r="P100" s="103"/>
      <c r="Q100" s="38"/>
      <c r="R100" s="38"/>
      <c r="S100" s="104"/>
    </row>
    <row r="101" customFormat="false" ht="27.75" hidden="false" customHeight="true" outlineLevel="0" collapsed="false">
      <c r="A101" s="36"/>
      <c r="B101" s="37"/>
      <c r="C101" s="37"/>
      <c r="D101" s="37"/>
      <c r="E101" s="38"/>
      <c r="F101" s="37"/>
      <c r="G101" s="38"/>
      <c r="H101" s="38"/>
      <c r="I101" s="37"/>
      <c r="J101" s="37"/>
      <c r="K101" s="36"/>
      <c r="L101" s="37"/>
      <c r="M101" s="103"/>
      <c r="N101" s="103"/>
      <c r="O101" s="103"/>
      <c r="P101" s="103"/>
      <c r="Q101" s="38"/>
      <c r="R101" s="38"/>
      <c r="S101" s="104"/>
    </row>
    <row r="102" customFormat="false" ht="27.75" hidden="false" customHeight="true" outlineLevel="0" collapsed="false">
      <c r="A102" s="36"/>
      <c r="B102" s="37"/>
      <c r="C102" s="37"/>
      <c r="D102" s="37"/>
      <c r="E102" s="38"/>
      <c r="F102" s="37"/>
      <c r="G102" s="38"/>
      <c r="H102" s="38"/>
      <c r="I102" s="37"/>
      <c r="J102" s="37"/>
      <c r="K102" s="36"/>
      <c r="L102" s="37"/>
      <c r="M102" s="103"/>
      <c r="N102" s="103"/>
      <c r="O102" s="103"/>
      <c r="P102" s="103"/>
      <c r="Q102" s="38"/>
      <c r="R102" s="38"/>
      <c r="S102" s="104"/>
    </row>
    <row r="103" customFormat="false" ht="27.75" hidden="false" customHeight="true" outlineLevel="0" collapsed="false">
      <c r="A103" s="36"/>
      <c r="B103" s="37"/>
      <c r="C103" s="37"/>
      <c r="D103" s="37"/>
      <c r="E103" s="38"/>
      <c r="F103" s="37"/>
      <c r="G103" s="38"/>
      <c r="H103" s="38"/>
      <c r="I103" s="37"/>
      <c r="J103" s="37"/>
      <c r="K103" s="36"/>
      <c r="L103" s="37"/>
      <c r="M103" s="103"/>
      <c r="N103" s="103"/>
      <c r="O103" s="103"/>
      <c r="P103" s="103"/>
      <c r="Q103" s="38"/>
      <c r="R103" s="38"/>
      <c r="S103" s="104"/>
    </row>
    <row r="104" customFormat="false" ht="27.75" hidden="false" customHeight="true" outlineLevel="0" collapsed="false">
      <c r="A104" s="36"/>
      <c r="B104" s="37"/>
      <c r="C104" s="37"/>
      <c r="D104" s="37"/>
      <c r="E104" s="38"/>
      <c r="F104" s="37"/>
      <c r="G104" s="38"/>
      <c r="H104" s="38"/>
      <c r="I104" s="37"/>
      <c r="J104" s="37"/>
      <c r="K104" s="36"/>
      <c r="L104" s="37"/>
      <c r="M104" s="103"/>
      <c r="N104" s="103"/>
      <c r="O104" s="103"/>
      <c r="P104" s="103"/>
      <c r="Q104" s="38"/>
      <c r="R104" s="38"/>
      <c r="S104" s="104"/>
    </row>
    <row r="105" customFormat="false" ht="27.75" hidden="false" customHeight="true" outlineLevel="0" collapsed="false">
      <c r="A105" s="36"/>
      <c r="B105" s="37"/>
      <c r="C105" s="37"/>
      <c r="D105" s="37"/>
      <c r="E105" s="38"/>
      <c r="F105" s="37"/>
      <c r="G105" s="38"/>
      <c r="H105" s="38"/>
      <c r="I105" s="37"/>
      <c r="J105" s="37"/>
      <c r="K105" s="36"/>
      <c r="L105" s="37"/>
      <c r="M105" s="103"/>
      <c r="N105" s="103"/>
      <c r="O105" s="103"/>
      <c r="P105" s="103"/>
      <c r="Q105" s="38"/>
      <c r="R105" s="38"/>
      <c r="S105" s="104"/>
    </row>
    <row r="106" customFormat="false" ht="27.75" hidden="false" customHeight="true" outlineLevel="0" collapsed="false">
      <c r="A106" s="36"/>
      <c r="B106" s="37"/>
      <c r="C106" s="37"/>
      <c r="D106" s="37"/>
      <c r="E106" s="38"/>
      <c r="F106" s="37"/>
      <c r="G106" s="38"/>
      <c r="H106" s="38"/>
      <c r="I106" s="37"/>
      <c r="J106" s="37"/>
      <c r="K106" s="36"/>
      <c r="L106" s="37"/>
      <c r="M106" s="103"/>
      <c r="N106" s="103"/>
      <c r="O106" s="103"/>
      <c r="P106" s="103"/>
      <c r="Q106" s="38"/>
      <c r="R106" s="38"/>
      <c r="S106" s="104"/>
    </row>
    <row r="107" customFormat="false" ht="27.75" hidden="false" customHeight="true" outlineLevel="0" collapsed="false">
      <c r="A107" s="36"/>
      <c r="B107" s="37"/>
      <c r="C107" s="37"/>
      <c r="D107" s="37"/>
      <c r="E107" s="38"/>
      <c r="F107" s="37"/>
      <c r="G107" s="38"/>
      <c r="H107" s="38"/>
      <c r="I107" s="37"/>
      <c r="J107" s="37"/>
      <c r="K107" s="36"/>
      <c r="L107" s="37"/>
      <c r="M107" s="103"/>
      <c r="N107" s="103"/>
      <c r="O107" s="103"/>
      <c r="P107" s="103"/>
      <c r="Q107" s="38"/>
      <c r="R107" s="38"/>
      <c r="S107" s="104"/>
    </row>
    <row r="108" customFormat="false" ht="27.75" hidden="false" customHeight="true" outlineLevel="0" collapsed="false">
      <c r="A108" s="36"/>
      <c r="B108" s="37"/>
      <c r="C108" s="37"/>
      <c r="D108" s="37"/>
      <c r="E108" s="38"/>
      <c r="F108" s="37"/>
      <c r="G108" s="38"/>
      <c r="H108" s="38"/>
      <c r="I108" s="37"/>
      <c r="J108" s="37"/>
      <c r="K108" s="36"/>
      <c r="L108" s="37"/>
      <c r="M108" s="103"/>
      <c r="N108" s="103"/>
      <c r="O108" s="103"/>
      <c r="P108" s="103"/>
      <c r="Q108" s="38"/>
      <c r="R108" s="38"/>
      <c r="S108" s="104"/>
    </row>
    <row r="109" customFormat="false" ht="27.75" hidden="false" customHeight="true" outlineLevel="0" collapsed="false">
      <c r="A109" s="36"/>
      <c r="B109" s="37"/>
      <c r="C109" s="37"/>
      <c r="D109" s="37"/>
      <c r="E109" s="38"/>
      <c r="F109" s="37"/>
      <c r="G109" s="38"/>
      <c r="H109" s="38"/>
      <c r="I109" s="37"/>
      <c r="J109" s="37"/>
      <c r="K109" s="36"/>
      <c r="L109" s="37"/>
      <c r="M109" s="103"/>
      <c r="N109" s="103"/>
      <c r="O109" s="103"/>
      <c r="P109" s="103"/>
      <c r="Q109" s="38"/>
      <c r="R109" s="38"/>
      <c r="S109" s="104"/>
    </row>
    <row r="110" customFormat="false" ht="27.75" hidden="false" customHeight="true" outlineLevel="0" collapsed="false">
      <c r="A110" s="36"/>
      <c r="B110" s="37"/>
      <c r="C110" s="37"/>
      <c r="D110" s="37"/>
      <c r="E110" s="38"/>
      <c r="F110" s="37"/>
      <c r="G110" s="38"/>
      <c r="H110" s="38"/>
      <c r="I110" s="37"/>
      <c r="J110" s="37"/>
      <c r="K110" s="36"/>
      <c r="L110" s="37"/>
      <c r="M110" s="103"/>
      <c r="N110" s="103"/>
      <c r="O110" s="103"/>
      <c r="P110" s="103"/>
      <c r="Q110" s="38"/>
      <c r="R110" s="38"/>
      <c r="S110" s="104"/>
    </row>
    <row r="111" customFormat="false" ht="27.75" hidden="false" customHeight="true" outlineLevel="0" collapsed="false">
      <c r="A111" s="36"/>
      <c r="B111" s="37"/>
      <c r="C111" s="37"/>
      <c r="D111" s="37"/>
      <c r="E111" s="38"/>
      <c r="F111" s="37"/>
      <c r="G111" s="38"/>
      <c r="H111" s="38"/>
      <c r="I111" s="37"/>
      <c r="J111" s="37"/>
      <c r="K111" s="36"/>
      <c r="L111" s="37"/>
      <c r="M111" s="103"/>
      <c r="N111" s="103"/>
      <c r="O111" s="103"/>
      <c r="P111" s="103"/>
      <c r="Q111" s="38"/>
      <c r="R111" s="38"/>
      <c r="S111" s="104"/>
    </row>
    <row r="112" customFormat="false" ht="27.75" hidden="false" customHeight="true" outlineLevel="0" collapsed="false">
      <c r="A112" s="36"/>
      <c r="B112" s="37"/>
      <c r="C112" s="37"/>
      <c r="D112" s="37"/>
      <c r="E112" s="38"/>
      <c r="F112" s="37"/>
      <c r="G112" s="38"/>
      <c r="H112" s="38"/>
      <c r="I112" s="37"/>
      <c r="J112" s="37"/>
      <c r="K112" s="36"/>
      <c r="L112" s="37"/>
      <c r="M112" s="103"/>
      <c r="N112" s="103"/>
      <c r="O112" s="103"/>
      <c r="P112" s="103"/>
      <c r="Q112" s="38"/>
      <c r="R112" s="38"/>
      <c r="S112" s="104"/>
    </row>
    <row r="113" customFormat="false" ht="27.75" hidden="false" customHeight="true" outlineLevel="0" collapsed="false">
      <c r="A113" s="36"/>
      <c r="B113" s="37"/>
      <c r="C113" s="37"/>
      <c r="D113" s="37"/>
      <c r="E113" s="38"/>
      <c r="F113" s="37"/>
      <c r="G113" s="38"/>
      <c r="H113" s="38"/>
      <c r="I113" s="37"/>
      <c r="J113" s="37"/>
      <c r="K113" s="36"/>
      <c r="L113" s="37"/>
      <c r="M113" s="103"/>
      <c r="N113" s="103"/>
      <c r="O113" s="103"/>
      <c r="P113" s="103"/>
      <c r="Q113" s="38"/>
      <c r="R113" s="38"/>
      <c r="S113" s="104"/>
    </row>
    <row r="114" customFormat="false" ht="27.75" hidden="false" customHeight="true" outlineLevel="0" collapsed="false">
      <c r="A114" s="36"/>
      <c r="B114" s="37"/>
      <c r="C114" s="37"/>
      <c r="D114" s="37"/>
      <c r="E114" s="38"/>
      <c r="F114" s="37"/>
      <c r="G114" s="38"/>
      <c r="H114" s="38"/>
      <c r="I114" s="37"/>
      <c r="J114" s="37"/>
      <c r="K114" s="36"/>
      <c r="L114" s="37"/>
      <c r="M114" s="103"/>
      <c r="N114" s="103"/>
      <c r="O114" s="103"/>
      <c r="P114" s="103"/>
      <c r="Q114" s="38"/>
      <c r="R114" s="38"/>
      <c r="S114" s="104"/>
    </row>
    <row r="115" customFormat="false" ht="27.75" hidden="false" customHeight="true" outlineLevel="0" collapsed="false">
      <c r="A115" s="36"/>
      <c r="B115" s="37"/>
      <c r="C115" s="37"/>
      <c r="D115" s="37"/>
      <c r="E115" s="38"/>
      <c r="F115" s="37"/>
      <c r="G115" s="38"/>
      <c r="H115" s="38"/>
      <c r="I115" s="37"/>
      <c r="J115" s="37"/>
      <c r="K115" s="36"/>
      <c r="L115" s="37"/>
      <c r="M115" s="103"/>
      <c r="N115" s="103"/>
      <c r="O115" s="103"/>
      <c r="P115" s="103"/>
      <c r="Q115" s="38"/>
      <c r="R115" s="38"/>
      <c r="S115" s="104"/>
    </row>
    <row r="116" customFormat="false" ht="27.75" hidden="false" customHeight="true" outlineLevel="0" collapsed="false">
      <c r="A116" s="36"/>
      <c r="B116" s="37"/>
      <c r="C116" s="37"/>
      <c r="D116" s="37"/>
      <c r="E116" s="38"/>
      <c r="F116" s="37"/>
      <c r="G116" s="38"/>
      <c r="H116" s="38"/>
      <c r="I116" s="37"/>
      <c r="J116" s="37"/>
      <c r="K116" s="36"/>
      <c r="L116" s="37"/>
      <c r="M116" s="103"/>
      <c r="N116" s="103"/>
      <c r="O116" s="103"/>
      <c r="P116" s="103"/>
      <c r="Q116" s="38"/>
      <c r="R116" s="38"/>
      <c r="S116" s="104"/>
    </row>
    <row r="117" customFormat="false" ht="27.75" hidden="false" customHeight="true" outlineLevel="0" collapsed="false">
      <c r="A117" s="36"/>
      <c r="B117" s="37"/>
      <c r="C117" s="37"/>
      <c r="D117" s="37"/>
      <c r="E117" s="38"/>
      <c r="F117" s="37"/>
      <c r="G117" s="38"/>
      <c r="H117" s="38"/>
      <c r="I117" s="37"/>
      <c r="J117" s="37"/>
      <c r="K117" s="36"/>
      <c r="L117" s="37"/>
      <c r="M117" s="103"/>
      <c r="N117" s="103"/>
      <c r="O117" s="103"/>
      <c r="P117" s="103"/>
      <c r="Q117" s="38"/>
      <c r="R117" s="38"/>
      <c r="S117" s="104"/>
    </row>
    <row r="118" customFormat="false" ht="27.75" hidden="false" customHeight="true" outlineLevel="0" collapsed="false">
      <c r="A118" s="36"/>
      <c r="B118" s="37"/>
      <c r="C118" s="37"/>
      <c r="D118" s="37"/>
      <c r="E118" s="38"/>
      <c r="F118" s="37"/>
      <c r="G118" s="38"/>
      <c r="H118" s="38"/>
      <c r="I118" s="37"/>
      <c r="J118" s="37"/>
      <c r="K118" s="36"/>
      <c r="L118" s="37"/>
      <c r="M118" s="103"/>
      <c r="N118" s="103"/>
      <c r="O118" s="103"/>
      <c r="P118" s="103"/>
      <c r="Q118" s="38"/>
      <c r="R118" s="38"/>
      <c r="S118" s="104"/>
    </row>
    <row r="119" customFormat="false" ht="27.75" hidden="false" customHeight="true" outlineLevel="0" collapsed="false">
      <c r="A119" s="36"/>
      <c r="B119" s="37"/>
      <c r="C119" s="37"/>
      <c r="D119" s="37"/>
      <c r="E119" s="38"/>
      <c r="F119" s="37"/>
      <c r="G119" s="38"/>
      <c r="H119" s="38"/>
      <c r="I119" s="37"/>
      <c r="J119" s="37"/>
      <c r="K119" s="36"/>
      <c r="L119" s="37"/>
      <c r="M119" s="103"/>
      <c r="N119" s="103"/>
      <c r="O119" s="103"/>
      <c r="P119" s="103"/>
      <c r="Q119" s="38"/>
      <c r="R119" s="38"/>
      <c r="S119" s="104"/>
    </row>
    <row r="120" customFormat="false" ht="27.75" hidden="false" customHeight="true" outlineLevel="0" collapsed="false">
      <c r="A120" s="36"/>
      <c r="B120" s="37"/>
      <c r="C120" s="37"/>
      <c r="D120" s="37"/>
      <c r="E120" s="38"/>
      <c r="F120" s="37"/>
      <c r="G120" s="38"/>
      <c r="H120" s="38"/>
      <c r="I120" s="37"/>
      <c r="J120" s="37"/>
      <c r="K120" s="36"/>
      <c r="L120" s="37"/>
      <c r="M120" s="103"/>
      <c r="N120" s="103"/>
      <c r="O120" s="103"/>
      <c r="P120" s="103"/>
      <c r="Q120" s="38"/>
      <c r="R120" s="38"/>
      <c r="S120" s="104"/>
    </row>
    <row r="121" customFormat="false" ht="27.75" hidden="false" customHeight="true" outlineLevel="0" collapsed="false">
      <c r="A121" s="36"/>
      <c r="B121" s="37"/>
      <c r="C121" s="37"/>
      <c r="D121" s="37"/>
      <c r="E121" s="38"/>
      <c r="F121" s="37"/>
      <c r="G121" s="38"/>
      <c r="H121" s="38"/>
      <c r="I121" s="37"/>
      <c r="J121" s="37"/>
      <c r="K121" s="36"/>
      <c r="L121" s="37"/>
      <c r="M121" s="103"/>
      <c r="N121" s="103"/>
      <c r="O121" s="103"/>
      <c r="P121" s="103"/>
      <c r="Q121" s="38"/>
      <c r="R121" s="38"/>
      <c r="S121" s="104"/>
    </row>
    <row r="122" customFormat="false" ht="27.75" hidden="false" customHeight="true" outlineLevel="0" collapsed="false">
      <c r="A122" s="36"/>
      <c r="B122" s="37"/>
      <c r="C122" s="37"/>
      <c r="D122" s="37"/>
      <c r="E122" s="38"/>
      <c r="F122" s="37"/>
      <c r="G122" s="38"/>
      <c r="H122" s="38"/>
      <c r="I122" s="37"/>
      <c r="J122" s="37"/>
      <c r="K122" s="36"/>
      <c r="L122" s="37"/>
      <c r="M122" s="103"/>
      <c r="N122" s="103"/>
      <c r="O122" s="103"/>
      <c r="P122" s="103"/>
      <c r="Q122" s="38"/>
      <c r="R122" s="38"/>
      <c r="S122" s="104"/>
    </row>
    <row r="123" customFormat="false" ht="27.75" hidden="false" customHeight="true" outlineLevel="0" collapsed="false">
      <c r="A123" s="36"/>
      <c r="B123" s="37"/>
      <c r="C123" s="37"/>
      <c r="D123" s="37"/>
      <c r="E123" s="38"/>
      <c r="F123" s="37"/>
      <c r="G123" s="38"/>
      <c r="H123" s="38"/>
      <c r="I123" s="37"/>
      <c r="J123" s="37"/>
      <c r="K123" s="36"/>
      <c r="L123" s="37"/>
      <c r="M123" s="103"/>
      <c r="N123" s="103"/>
      <c r="O123" s="103"/>
      <c r="P123" s="103"/>
      <c r="Q123" s="38"/>
      <c r="R123" s="38"/>
      <c r="S123" s="104"/>
    </row>
    <row r="124" customFormat="false" ht="27.75" hidden="false" customHeight="true" outlineLevel="0" collapsed="false">
      <c r="A124" s="36"/>
      <c r="B124" s="37"/>
      <c r="C124" s="37"/>
      <c r="D124" s="37"/>
      <c r="E124" s="38"/>
      <c r="F124" s="37"/>
      <c r="G124" s="38"/>
      <c r="H124" s="38"/>
      <c r="I124" s="37"/>
      <c r="J124" s="37"/>
      <c r="K124" s="36"/>
      <c r="L124" s="37"/>
      <c r="M124" s="103"/>
      <c r="N124" s="103"/>
      <c r="O124" s="103"/>
      <c r="P124" s="103"/>
      <c r="Q124" s="38"/>
      <c r="R124" s="38"/>
      <c r="S124" s="104"/>
    </row>
    <row r="125" customFormat="false" ht="27.75" hidden="false" customHeight="true" outlineLevel="0" collapsed="false">
      <c r="A125" s="36"/>
      <c r="B125" s="37"/>
      <c r="C125" s="37"/>
      <c r="D125" s="37"/>
      <c r="E125" s="38"/>
      <c r="F125" s="37"/>
      <c r="G125" s="38"/>
      <c r="H125" s="38"/>
      <c r="I125" s="37"/>
      <c r="J125" s="37"/>
      <c r="K125" s="36"/>
      <c r="L125" s="37"/>
      <c r="M125" s="103"/>
      <c r="N125" s="103"/>
      <c r="O125" s="103"/>
      <c r="P125" s="103"/>
      <c r="Q125" s="38"/>
      <c r="R125" s="38"/>
      <c r="S125" s="104"/>
    </row>
    <row r="126" customFormat="false" ht="27.75" hidden="false" customHeight="true" outlineLevel="0" collapsed="false">
      <c r="A126" s="36"/>
      <c r="B126" s="37"/>
      <c r="C126" s="37"/>
      <c r="D126" s="37"/>
      <c r="E126" s="38"/>
      <c r="F126" s="37"/>
      <c r="G126" s="38"/>
      <c r="H126" s="38"/>
      <c r="I126" s="37"/>
      <c r="J126" s="37"/>
      <c r="K126" s="36"/>
      <c r="L126" s="37"/>
      <c r="M126" s="103"/>
      <c r="N126" s="103"/>
      <c r="O126" s="103"/>
      <c r="P126" s="103"/>
      <c r="Q126" s="38"/>
      <c r="R126" s="38"/>
      <c r="S126" s="104"/>
    </row>
    <row r="127" customFormat="false" ht="27.75" hidden="false" customHeight="true" outlineLevel="0" collapsed="false">
      <c r="A127" s="36"/>
      <c r="B127" s="37"/>
      <c r="C127" s="37"/>
      <c r="D127" s="37"/>
      <c r="E127" s="38"/>
      <c r="F127" s="37"/>
      <c r="G127" s="38"/>
      <c r="H127" s="38"/>
      <c r="I127" s="37"/>
      <c r="J127" s="37"/>
      <c r="K127" s="36"/>
      <c r="L127" s="37"/>
      <c r="M127" s="103"/>
      <c r="N127" s="103"/>
      <c r="O127" s="103"/>
      <c r="P127" s="103"/>
      <c r="Q127" s="38"/>
      <c r="R127" s="38"/>
      <c r="S127" s="104"/>
    </row>
    <row r="128" customFormat="false" ht="27.75" hidden="false" customHeight="true" outlineLevel="0" collapsed="false">
      <c r="A128" s="36"/>
      <c r="B128" s="37"/>
      <c r="C128" s="37"/>
      <c r="D128" s="37"/>
      <c r="E128" s="38"/>
      <c r="F128" s="37"/>
      <c r="G128" s="38"/>
      <c r="H128" s="38"/>
      <c r="I128" s="37"/>
      <c r="J128" s="37"/>
      <c r="K128" s="36"/>
      <c r="L128" s="37"/>
      <c r="M128" s="103"/>
      <c r="N128" s="103"/>
      <c r="O128" s="103"/>
      <c r="P128" s="103"/>
      <c r="Q128" s="38"/>
      <c r="R128" s="38"/>
      <c r="S128" s="104"/>
    </row>
    <row r="129" customFormat="false" ht="27.75" hidden="false" customHeight="true" outlineLevel="0" collapsed="false">
      <c r="A129" s="36"/>
      <c r="B129" s="37"/>
      <c r="C129" s="37"/>
      <c r="D129" s="37"/>
      <c r="E129" s="38"/>
      <c r="F129" s="37"/>
      <c r="G129" s="38"/>
      <c r="H129" s="38"/>
      <c r="I129" s="37"/>
      <c r="J129" s="37"/>
      <c r="K129" s="36"/>
      <c r="L129" s="37"/>
      <c r="M129" s="103"/>
      <c r="N129" s="103"/>
      <c r="O129" s="103"/>
      <c r="P129" s="103"/>
      <c r="Q129" s="38"/>
      <c r="R129" s="38"/>
      <c r="S129" s="104"/>
    </row>
    <row r="130" customFormat="false" ht="27.75" hidden="false" customHeight="true" outlineLevel="0" collapsed="false">
      <c r="A130" s="36"/>
      <c r="B130" s="37"/>
      <c r="C130" s="37"/>
      <c r="D130" s="37"/>
      <c r="E130" s="38"/>
      <c r="F130" s="37"/>
      <c r="G130" s="38"/>
      <c r="H130" s="38"/>
      <c r="I130" s="37"/>
      <c r="J130" s="37"/>
      <c r="K130" s="36"/>
      <c r="L130" s="37"/>
      <c r="M130" s="103"/>
      <c r="N130" s="103"/>
      <c r="O130" s="103"/>
      <c r="P130" s="103"/>
      <c r="Q130" s="38"/>
      <c r="R130" s="38"/>
      <c r="S130" s="104"/>
    </row>
    <row r="131" customFormat="false" ht="27.75" hidden="false" customHeight="true" outlineLevel="0" collapsed="false">
      <c r="A131" s="36"/>
      <c r="B131" s="37"/>
      <c r="C131" s="37"/>
      <c r="D131" s="37"/>
      <c r="E131" s="38"/>
      <c r="F131" s="37"/>
      <c r="G131" s="38"/>
      <c r="H131" s="38"/>
      <c r="I131" s="37"/>
      <c r="J131" s="37"/>
      <c r="K131" s="36"/>
      <c r="L131" s="37"/>
      <c r="M131" s="103"/>
      <c r="N131" s="103"/>
      <c r="O131" s="103"/>
      <c r="P131" s="103"/>
      <c r="Q131" s="38"/>
      <c r="R131" s="38"/>
      <c r="S131" s="104"/>
    </row>
    <row r="132" customFormat="false" ht="27.75" hidden="false" customHeight="true" outlineLevel="0" collapsed="false">
      <c r="A132" s="36"/>
      <c r="B132" s="37"/>
      <c r="C132" s="37"/>
      <c r="D132" s="37"/>
      <c r="E132" s="38"/>
      <c r="F132" s="37"/>
      <c r="G132" s="38"/>
      <c r="H132" s="38"/>
      <c r="I132" s="37"/>
      <c r="J132" s="37"/>
      <c r="K132" s="36"/>
      <c r="L132" s="37"/>
      <c r="M132" s="103"/>
      <c r="N132" s="103"/>
      <c r="O132" s="103"/>
      <c r="P132" s="103"/>
      <c r="Q132" s="38"/>
      <c r="R132" s="38"/>
      <c r="S132" s="104"/>
    </row>
    <row r="133" customFormat="false" ht="27.75" hidden="false" customHeight="true" outlineLevel="0" collapsed="false">
      <c r="A133" s="36"/>
      <c r="B133" s="37"/>
      <c r="C133" s="37"/>
      <c r="D133" s="37"/>
      <c r="E133" s="38"/>
      <c r="F133" s="37"/>
      <c r="G133" s="38"/>
      <c r="H133" s="38"/>
      <c r="I133" s="37"/>
      <c r="J133" s="37"/>
      <c r="K133" s="36"/>
      <c r="L133" s="37"/>
      <c r="M133" s="103"/>
      <c r="N133" s="103"/>
      <c r="O133" s="103"/>
      <c r="P133" s="103"/>
      <c r="Q133" s="38"/>
      <c r="R133" s="38"/>
      <c r="S133" s="104"/>
    </row>
    <row r="134" customFormat="false" ht="27.75" hidden="false" customHeight="true" outlineLevel="0" collapsed="false">
      <c r="A134" s="36"/>
      <c r="B134" s="37"/>
      <c r="C134" s="37"/>
      <c r="D134" s="37"/>
      <c r="E134" s="38"/>
      <c r="F134" s="37"/>
      <c r="G134" s="38"/>
      <c r="H134" s="38"/>
      <c r="I134" s="37"/>
      <c r="J134" s="37"/>
      <c r="K134" s="36"/>
      <c r="L134" s="37"/>
      <c r="M134" s="103"/>
      <c r="N134" s="103"/>
      <c r="O134" s="103"/>
      <c r="P134" s="103"/>
      <c r="Q134" s="38"/>
      <c r="R134" s="38"/>
      <c r="S134" s="104"/>
    </row>
    <row r="135" customFormat="false" ht="27.75" hidden="false" customHeight="true" outlineLevel="0" collapsed="false">
      <c r="A135" s="36"/>
      <c r="B135" s="37"/>
      <c r="C135" s="37"/>
      <c r="D135" s="37"/>
      <c r="E135" s="38"/>
      <c r="F135" s="37"/>
      <c r="G135" s="38"/>
      <c r="H135" s="38"/>
      <c r="I135" s="37"/>
      <c r="J135" s="37"/>
      <c r="K135" s="36"/>
      <c r="L135" s="37"/>
      <c r="M135" s="103"/>
      <c r="N135" s="103"/>
      <c r="O135" s="103"/>
      <c r="P135" s="103"/>
      <c r="Q135" s="38"/>
      <c r="R135" s="38"/>
      <c r="S135" s="104"/>
    </row>
    <row r="136" customFormat="false" ht="27.75" hidden="false" customHeight="true" outlineLevel="0" collapsed="false">
      <c r="A136" s="36"/>
      <c r="B136" s="37"/>
      <c r="C136" s="37"/>
      <c r="D136" s="37"/>
      <c r="E136" s="38"/>
      <c r="F136" s="37"/>
      <c r="G136" s="38"/>
      <c r="H136" s="38"/>
      <c r="I136" s="37"/>
      <c r="J136" s="37"/>
      <c r="K136" s="36"/>
      <c r="L136" s="37"/>
      <c r="M136" s="103"/>
      <c r="N136" s="103"/>
      <c r="O136" s="103"/>
      <c r="P136" s="103"/>
      <c r="Q136" s="38"/>
      <c r="R136" s="38"/>
      <c r="S136" s="104"/>
    </row>
    <row r="137" customFormat="false" ht="27.75" hidden="false" customHeight="true" outlineLevel="0" collapsed="false">
      <c r="A137" s="36"/>
      <c r="B137" s="37"/>
      <c r="C137" s="37"/>
      <c r="D137" s="37"/>
      <c r="E137" s="38"/>
      <c r="F137" s="37"/>
      <c r="G137" s="38"/>
      <c r="H137" s="38"/>
      <c r="I137" s="37"/>
      <c r="J137" s="37"/>
      <c r="K137" s="36"/>
      <c r="L137" s="37"/>
      <c r="M137" s="103"/>
      <c r="N137" s="103"/>
      <c r="O137" s="103"/>
      <c r="P137" s="103"/>
      <c r="Q137" s="38"/>
      <c r="R137" s="38"/>
      <c r="S137" s="104"/>
    </row>
    <row r="138" customFormat="false" ht="27.75" hidden="false" customHeight="true" outlineLevel="0" collapsed="false">
      <c r="A138" s="36"/>
      <c r="B138" s="37"/>
      <c r="C138" s="37"/>
      <c r="D138" s="37"/>
      <c r="E138" s="38"/>
      <c r="F138" s="37"/>
      <c r="G138" s="38"/>
      <c r="H138" s="38"/>
      <c r="I138" s="37"/>
      <c r="J138" s="37"/>
      <c r="K138" s="36"/>
      <c r="L138" s="37"/>
      <c r="M138" s="103"/>
      <c r="N138" s="103"/>
      <c r="O138" s="103"/>
      <c r="P138" s="103"/>
      <c r="Q138" s="38"/>
      <c r="R138" s="38"/>
      <c r="S138" s="104"/>
    </row>
    <row r="139" customFormat="false" ht="27.75" hidden="false" customHeight="true" outlineLevel="0" collapsed="false">
      <c r="A139" s="36"/>
      <c r="B139" s="37"/>
      <c r="C139" s="37"/>
      <c r="D139" s="37"/>
      <c r="E139" s="38"/>
      <c r="F139" s="37"/>
      <c r="G139" s="38"/>
      <c r="H139" s="38"/>
      <c r="I139" s="37"/>
      <c r="J139" s="37"/>
      <c r="K139" s="36"/>
      <c r="L139" s="37"/>
      <c r="M139" s="103"/>
      <c r="N139" s="103"/>
      <c r="O139" s="103"/>
      <c r="P139" s="103"/>
      <c r="Q139" s="38"/>
      <c r="R139" s="38"/>
      <c r="S139" s="104"/>
    </row>
    <row r="140" customFormat="false" ht="27.75" hidden="false" customHeight="true" outlineLevel="0" collapsed="false">
      <c r="A140" s="36"/>
      <c r="B140" s="37"/>
      <c r="C140" s="37"/>
      <c r="D140" s="37"/>
      <c r="E140" s="38"/>
      <c r="F140" s="37"/>
      <c r="G140" s="38"/>
      <c r="H140" s="38"/>
      <c r="I140" s="37"/>
      <c r="J140" s="37"/>
      <c r="K140" s="36"/>
      <c r="L140" s="37"/>
      <c r="M140" s="103"/>
      <c r="N140" s="103"/>
      <c r="O140" s="103"/>
      <c r="P140" s="103"/>
      <c r="Q140" s="38"/>
      <c r="R140" s="38"/>
      <c r="S140" s="104"/>
    </row>
    <row r="141" customFormat="false" ht="27.75" hidden="false" customHeight="true" outlineLevel="0" collapsed="false">
      <c r="A141" s="36"/>
      <c r="B141" s="37"/>
      <c r="C141" s="37"/>
      <c r="D141" s="37"/>
      <c r="E141" s="38"/>
      <c r="F141" s="37"/>
      <c r="G141" s="38"/>
      <c r="H141" s="38"/>
      <c r="I141" s="37"/>
      <c r="J141" s="37"/>
      <c r="K141" s="36"/>
      <c r="L141" s="37"/>
      <c r="M141" s="103"/>
      <c r="N141" s="103"/>
      <c r="O141" s="103"/>
      <c r="P141" s="103"/>
      <c r="Q141" s="38"/>
      <c r="R141" s="38"/>
      <c r="S141" s="104"/>
    </row>
    <row r="142" customFormat="false" ht="27.75" hidden="false" customHeight="true" outlineLevel="0" collapsed="false">
      <c r="A142" s="36"/>
      <c r="B142" s="37"/>
      <c r="C142" s="37"/>
      <c r="D142" s="37"/>
      <c r="E142" s="38"/>
      <c r="F142" s="37"/>
      <c r="G142" s="38"/>
      <c r="H142" s="38"/>
      <c r="I142" s="37"/>
      <c r="J142" s="37"/>
      <c r="K142" s="36"/>
      <c r="L142" s="37"/>
      <c r="M142" s="103"/>
      <c r="N142" s="103"/>
      <c r="O142" s="103"/>
      <c r="P142" s="103"/>
      <c r="Q142" s="38"/>
      <c r="R142" s="38"/>
      <c r="S142" s="104"/>
    </row>
    <row r="143" customFormat="false" ht="27.75" hidden="false" customHeight="true" outlineLevel="0" collapsed="false">
      <c r="A143" s="36"/>
      <c r="B143" s="37"/>
      <c r="C143" s="37"/>
      <c r="D143" s="37"/>
      <c r="E143" s="38"/>
      <c r="F143" s="37"/>
      <c r="G143" s="38"/>
      <c r="H143" s="38"/>
      <c r="I143" s="37"/>
      <c r="J143" s="37"/>
      <c r="K143" s="36"/>
      <c r="L143" s="37"/>
      <c r="M143" s="103"/>
      <c r="N143" s="103"/>
      <c r="O143" s="103"/>
      <c r="P143" s="103"/>
      <c r="Q143" s="38"/>
      <c r="R143" s="38"/>
      <c r="S143" s="104"/>
    </row>
    <row r="144" customFormat="false" ht="27.75" hidden="false" customHeight="true" outlineLevel="0" collapsed="false">
      <c r="A144" s="36"/>
      <c r="B144" s="37"/>
      <c r="C144" s="37"/>
      <c r="D144" s="37"/>
      <c r="E144" s="38"/>
      <c r="F144" s="37"/>
      <c r="G144" s="38"/>
      <c r="H144" s="38"/>
      <c r="I144" s="37"/>
      <c r="J144" s="37"/>
      <c r="K144" s="36"/>
      <c r="L144" s="37"/>
      <c r="M144" s="103"/>
      <c r="N144" s="103"/>
      <c r="O144" s="103"/>
      <c r="P144" s="103"/>
      <c r="Q144" s="38"/>
      <c r="R144" s="38"/>
      <c r="S144" s="104"/>
    </row>
    <row r="145" customFormat="false" ht="27.75" hidden="false" customHeight="true" outlineLevel="0" collapsed="false">
      <c r="A145" s="36"/>
      <c r="B145" s="37"/>
      <c r="C145" s="37"/>
      <c r="D145" s="37"/>
      <c r="E145" s="38"/>
      <c r="F145" s="37"/>
      <c r="G145" s="38"/>
      <c r="H145" s="38"/>
      <c r="I145" s="37"/>
      <c r="J145" s="37"/>
      <c r="K145" s="36"/>
      <c r="L145" s="37"/>
      <c r="M145" s="103"/>
      <c r="N145" s="103"/>
      <c r="O145" s="103"/>
      <c r="P145" s="103"/>
      <c r="Q145" s="38"/>
      <c r="R145" s="38"/>
      <c r="S145" s="104"/>
    </row>
    <row r="146" customFormat="false" ht="27.75" hidden="false" customHeight="true" outlineLevel="0" collapsed="false">
      <c r="A146" s="36"/>
      <c r="B146" s="37"/>
      <c r="C146" s="37"/>
      <c r="D146" s="37"/>
      <c r="E146" s="38"/>
      <c r="F146" s="37"/>
      <c r="G146" s="38"/>
      <c r="H146" s="38"/>
      <c r="I146" s="37"/>
      <c r="J146" s="37"/>
      <c r="K146" s="36"/>
      <c r="L146" s="37"/>
      <c r="M146" s="103"/>
      <c r="N146" s="103"/>
      <c r="O146" s="103"/>
      <c r="P146" s="103"/>
      <c r="Q146" s="38"/>
      <c r="R146" s="38"/>
      <c r="S146" s="104"/>
    </row>
    <row r="147" customFormat="false" ht="27.75" hidden="false" customHeight="true" outlineLevel="0" collapsed="false">
      <c r="A147" s="36"/>
      <c r="B147" s="37"/>
      <c r="C147" s="37"/>
      <c r="D147" s="37"/>
      <c r="E147" s="38"/>
      <c r="F147" s="37"/>
      <c r="G147" s="38"/>
      <c r="H147" s="38"/>
      <c r="I147" s="37"/>
      <c r="J147" s="37"/>
      <c r="K147" s="36"/>
      <c r="L147" s="37"/>
      <c r="M147" s="103"/>
      <c r="N147" s="103"/>
      <c r="O147" s="103"/>
      <c r="P147" s="103"/>
      <c r="Q147" s="38"/>
      <c r="R147" s="38"/>
      <c r="S147" s="104"/>
    </row>
    <row r="148" customFormat="false" ht="27.75" hidden="false" customHeight="true" outlineLevel="0" collapsed="false">
      <c r="A148" s="36"/>
      <c r="B148" s="37"/>
      <c r="C148" s="37"/>
      <c r="D148" s="37"/>
      <c r="E148" s="38"/>
      <c r="F148" s="37"/>
      <c r="G148" s="38"/>
      <c r="H148" s="38"/>
      <c r="I148" s="37"/>
      <c r="J148" s="37"/>
      <c r="K148" s="36"/>
      <c r="L148" s="37"/>
      <c r="M148" s="103"/>
      <c r="N148" s="103"/>
      <c r="O148" s="103"/>
      <c r="P148" s="103"/>
      <c r="Q148" s="38"/>
      <c r="R148" s="38"/>
      <c r="S148" s="104"/>
    </row>
    <row r="149" customFormat="false" ht="27.75" hidden="false" customHeight="true" outlineLevel="0" collapsed="false">
      <c r="A149" s="36"/>
      <c r="B149" s="37"/>
      <c r="C149" s="37"/>
      <c r="D149" s="37"/>
      <c r="E149" s="38"/>
      <c r="F149" s="37"/>
      <c r="G149" s="38"/>
      <c r="H149" s="38"/>
      <c r="I149" s="37"/>
      <c r="J149" s="37"/>
      <c r="K149" s="36"/>
      <c r="L149" s="37"/>
      <c r="M149" s="103"/>
      <c r="N149" s="103"/>
      <c r="O149" s="103"/>
      <c r="P149" s="103"/>
      <c r="Q149" s="38"/>
      <c r="R149" s="38"/>
      <c r="S149" s="104"/>
    </row>
    <row r="150" customFormat="false" ht="27.75" hidden="false" customHeight="true" outlineLevel="0" collapsed="false">
      <c r="A150" s="36"/>
      <c r="B150" s="37"/>
      <c r="C150" s="37"/>
      <c r="D150" s="37"/>
      <c r="E150" s="38"/>
      <c r="F150" s="37"/>
      <c r="G150" s="38"/>
      <c r="H150" s="38"/>
      <c r="I150" s="37"/>
      <c r="J150" s="37"/>
      <c r="K150" s="36"/>
      <c r="L150" s="37"/>
      <c r="M150" s="103"/>
      <c r="N150" s="103"/>
      <c r="O150" s="103"/>
      <c r="P150" s="103"/>
      <c r="Q150" s="38"/>
      <c r="R150" s="38"/>
      <c r="S150" s="104"/>
    </row>
    <row r="151" customFormat="false" ht="27.75" hidden="false" customHeight="true" outlineLevel="0" collapsed="false">
      <c r="A151" s="36"/>
      <c r="B151" s="37"/>
      <c r="C151" s="37"/>
      <c r="D151" s="37"/>
      <c r="E151" s="38"/>
      <c r="F151" s="37"/>
      <c r="G151" s="38"/>
      <c r="H151" s="38"/>
      <c r="I151" s="37"/>
      <c r="J151" s="37"/>
      <c r="K151" s="36"/>
      <c r="L151" s="37"/>
      <c r="M151" s="103"/>
      <c r="N151" s="103"/>
      <c r="O151" s="103"/>
      <c r="P151" s="103"/>
      <c r="Q151" s="38"/>
      <c r="R151" s="38"/>
      <c r="S151" s="104"/>
    </row>
    <row r="152" customFormat="false" ht="27.75" hidden="false" customHeight="true" outlineLevel="0" collapsed="false">
      <c r="A152" s="36"/>
      <c r="B152" s="37"/>
      <c r="C152" s="37"/>
      <c r="D152" s="37"/>
      <c r="E152" s="38"/>
      <c r="F152" s="37"/>
      <c r="G152" s="38"/>
      <c r="H152" s="38"/>
      <c r="I152" s="37"/>
      <c r="J152" s="37"/>
      <c r="K152" s="36"/>
      <c r="L152" s="37"/>
      <c r="M152" s="103"/>
      <c r="N152" s="103"/>
      <c r="O152" s="103"/>
      <c r="P152" s="103"/>
      <c r="Q152" s="38"/>
      <c r="R152" s="38"/>
      <c r="S152" s="104"/>
    </row>
    <row r="153" customFormat="false" ht="27.75" hidden="false" customHeight="true" outlineLevel="0" collapsed="false">
      <c r="A153" s="36"/>
      <c r="B153" s="37"/>
      <c r="C153" s="37"/>
      <c r="D153" s="37"/>
      <c r="E153" s="38"/>
      <c r="F153" s="37"/>
      <c r="G153" s="38"/>
      <c r="H153" s="38"/>
      <c r="I153" s="37"/>
      <c r="J153" s="37"/>
      <c r="K153" s="36"/>
      <c r="L153" s="37"/>
      <c r="M153" s="103"/>
      <c r="N153" s="103"/>
      <c r="O153" s="103"/>
      <c r="P153" s="103"/>
      <c r="Q153" s="38"/>
      <c r="R153" s="38"/>
      <c r="S153" s="104"/>
    </row>
    <row r="154" customFormat="false" ht="27.75" hidden="false" customHeight="true" outlineLevel="0" collapsed="false">
      <c r="A154" s="36"/>
      <c r="B154" s="37"/>
      <c r="C154" s="37"/>
      <c r="D154" s="37"/>
      <c r="E154" s="38"/>
      <c r="F154" s="37"/>
      <c r="G154" s="38"/>
      <c r="H154" s="38"/>
      <c r="I154" s="37"/>
      <c r="J154" s="37"/>
      <c r="K154" s="36"/>
      <c r="L154" s="37"/>
      <c r="M154" s="103"/>
      <c r="N154" s="103"/>
      <c r="O154" s="103"/>
      <c r="P154" s="103"/>
      <c r="Q154" s="38"/>
      <c r="R154" s="38"/>
      <c r="S154" s="104"/>
    </row>
    <row r="155" customFormat="false" ht="27.75" hidden="false" customHeight="true" outlineLevel="0" collapsed="false">
      <c r="A155" s="36"/>
      <c r="B155" s="37"/>
      <c r="C155" s="37"/>
      <c r="D155" s="37"/>
      <c r="E155" s="38"/>
      <c r="F155" s="37"/>
      <c r="G155" s="38"/>
      <c r="H155" s="38"/>
      <c r="I155" s="37"/>
      <c r="J155" s="37"/>
      <c r="K155" s="36"/>
      <c r="L155" s="37"/>
      <c r="M155" s="103"/>
      <c r="N155" s="103"/>
      <c r="O155" s="103"/>
      <c r="P155" s="103"/>
      <c r="Q155" s="38"/>
      <c r="R155" s="38"/>
      <c r="S155" s="104"/>
    </row>
    <row r="156" customFormat="false" ht="27.75" hidden="false" customHeight="true" outlineLevel="0" collapsed="false">
      <c r="A156" s="36"/>
      <c r="B156" s="37"/>
      <c r="C156" s="37"/>
      <c r="D156" s="37"/>
      <c r="E156" s="38"/>
      <c r="F156" s="37"/>
      <c r="G156" s="38"/>
      <c r="H156" s="38"/>
      <c r="I156" s="37"/>
      <c r="J156" s="37"/>
      <c r="K156" s="36"/>
      <c r="L156" s="37"/>
      <c r="M156" s="103"/>
      <c r="N156" s="103"/>
      <c r="O156" s="103"/>
      <c r="P156" s="103"/>
      <c r="Q156" s="38"/>
      <c r="R156" s="38"/>
      <c r="S156" s="104"/>
    </row>
    <row r="157" customFormat="false" ht="27.75" hidden="false" customHeight="true" outlineLevel="0" collapsed="false">
      <c r="A157" s="36"/>
      <c r="B157" s="37"/>
      <c r="C157" s="37"/>
      <c r="D157" s="37"/>
      <c r="E157" s="38"/>
      <c r="F157" s="37"/>
      <c r="G157" s="38"/>
      <c r="H157" s="38"/>
      <c r="I157" s="37"/>
      <c r="J157" s="37"/>
      <c r="K157" s="36"/>
      <c r="L157" s="37"/>
      <c r="M157" s="103"/>
      <c r="N157" s="103"/>
      <c r="O157" s="103"/>
      <c r="P157" s="103"/>
      <c r="Q157" s="38"/>
      <c r="R157" s="38"/>
      <c r="S157" s="104"/>
    </row>
    <row r="158" customFormat="false" ht="27.75" hidden="false" customHeight="true" outlineLevel="0" collapsed="false">
      <c r="A158" s="36"/>
      <c r="B158" s="37"/>
      <c r="C158" s="37"/>
      <c r="D158" s="37"/>
      <c r="E158" s="38"/>
      <c r="F158" s="37"/>
      <c r="G158" s="38"/>
      <c r="H158" s="38"/>
      <c r="I158" s="37"/>
      <c r="J158" s="37"/>
      <c r="K158" s="36"/>
      <c r="L158" s="37"/>
      <c r="M158" s="103"/>
      <c r="N158" s="103"/>
      <c r="O158" s="103"/>
      <c r="P158" s="103"/>
      <c r="Q158" s="38"/>
      <c r="R158" s="38"/>
      <c r="S158" s="104"/>
    </row>
    <row r="159" customFormat="false" ht="27.75" hidden="false" customHeight="true" outlineLevel="0" collapsed="false">
      <c r="A159" s="36"/>
      <c r="B159" s="37"/>
      <c r="C159" s="37"/>
      <c r="D159" s="37"/>
      <c r="E159" s="38"/>
      <c r="F159" s="37"/>
      <c r="G159" s="38"/>
      <c r="H159" s="38"/>
      <c r="I159" s="37"/>
      <c r="J159" s="37"/>
      <c r="K159" s="36"/>
      <c r="L159" s="37"/>
      <c r="M159" s="103"/>
      <c r="N159" s="103"/>
      <c r="O159" s="103"/>
      <c r="P159" s="103"/>
      <c r="Q159" s="38"/>
      <c r="R159" s="38"/>
      <c r="S159" s="104"/>
    </row>
    <row r="160" customFormat="false" ht="27.75" hidden="false" customHeight="true" outlineLevel="0" collapsed="false">
      <c r="A160" s="36"/>
      <c r="B160" s="37"/>
      <c r="C160" s="37"/>
      <c r="D160" s="37"/>
      <c r="E160" s="38"/>
      <c r="F160" s="37"/>
      <c r="G160" s="38"/>
      <c r="H160" s="38"/>
      <c r="I160" s="37"/>
      <c r="J160" s="37"/>
      <c r="K160" s="36"/>
      <c r="L160" s="37"/>
      <c r="M160" s="103"/>
      <c r="N160" s="103"/>
      <c r="O160" s="103"/>
      <c r="P160" s="103"/>
      <c r="Q160" s="38"/>
      <c r="R160" s="38"/>
      <c r="S160" s="104"/>
    </row>
    <row r="161" customFormat="false" ht="27.75" hidden="false" customHeight="true" outlineLevel="0" collapsed="false">
      <c r="A161" s="36"/>
      <c r="B161" s="37"/>
      <c r="C161" s="37"/>
      <c r="D161" s="37"/>
      <c r="E161" s="38"/>
      <c r="F161" s="37"/>
      <c r="G161" s="38"/>
      <c r="H161" s="38"/>
      <c r="I161" s="37"/>
      <c r="J161" s="37"/>
      <c r="K161" s="36"/>
      <c r="L161" s="37"/>
      <c r="M161" s="103"/>
      <c r="N161" s="103"/>
      <c r="O161" s="103"/>
      <c r="P161" s="103"/>
      <c r="Q161" s="38"/>
      <c r="R161" s="38"/>
      <c r="S161" s="104"/>
    </row>
    <row r="162" customFormat="false" ht="27.75" hidden="false" customHeight="true" outlineLevel="0" collapsed="false">
      <c r="A162" s="36"/>
      <c r="B162" s="37"/>
      <c r="C162" s="37"/>
      <c r="D162" s="37"/>
      <c r="E162" s="38"/>
      <c r="F162" s="37"/>
      <c r="G162" s="38"/>
      <c r="H162" s="38"/>
      <c r="I162" s="37"/>
      <c r="J162" s="37"/>
      <c r="K162" s="36"/>
      <c r="L162" s="37"/>
      <c r="M162" s="103"/>
      <c r="N162" s="103"/>
      <c r="O162" s="103"/>
      <c r="P162" s="103"/>
      <c r="Q162" s="38"/>
      <c r="R162" s="38"/>
      <c r="S162" s="104"/>
    </row>
    <row r="163" customFormat="false" ht="27.75" hidden="false" customHeight="true" outlineLevel="0" collapsed="false">
      <c r="A163" s="36"/>
      <c r="B163" s="37"/>
      <c r="C163" s="37"/>
      <c r="D163" s="37"/>
      <c r="E163" s="38"/>
      <c r="F163" s="37"/>
      <c r="G163" s="38"/>
      <c r="H163" s="38"/>
      <c r="I163" s="37"/>
      <c r="J163" s="37"/>
      <c r="K163" s="36"/>
      <c r="L163" s="37"/>
      <c r="M163" s="103"/>
      <c r="N163" s="103"/>
      <c r="O163" s="103"/>
      <c r="P163" s="103"/>
      <c r="Q163" s="38"/>
      <c r="R163" s="38"/>
      <c r="S163" s="104"/>
    </row>
    <row r="164" customFormat="false" ht="27.75" hidden="false" customHeight="true" outlineLevel="0" collapsed="false">
      <c r="A164" s="36"/>
      <c r="B164" s="37"/>
      <c r="C164" s="37"/>
      <c r="D164" s="37"/>
      <c r="E164" s="38"/>
      <c r="F164" s="37"/>
      <c r="G164" s="38"/>
      <c r="H164" s="38"/>
      <c r="I164" s="37"/>
      <c r="J164" s="37"/>
      <c r="K164" s="36"/>
      <c r="L164" s="37"/>
      <c r="M164" s="103"/>
      <c r="N164" s="103"/>
      <c r="O164" s="103"/>
      <c r="P164" s="103"/>
      <c r="Q164" s="38"/>
      <c r="R164" s="38"/>
      <c r="S164" s="104"/>
    </row>
    <row r="165" customFormat="false" ht="27.75" hidden="false" customHeight="true" outlineLevel="0" collapsed="false">
      <c r="A165" s="36"/>
      <c r="B165" s="37"/>
      <c r="C165" s="37"/>
      <c r="D165" s="37"/>
      <c r="E165" s="38"/>
      <c r="F165" s="37"/>
      <c r="G165" s="38"/>
      <c r="H165" s="38"/>
      <c r="I165" s="37"/>
      <c r="J165" s="37"/>
      <c r="K165" s="36"/>
      <c r="L165" s="37"/>
      <c r="M165" s="103"/>
      <c r="N165" s="103"/>
      <c r="O165" s="103"/>
      <c r="P165" s="103"/>
      <c r="Q165" s="38"/>
      <c r="R165" s="38"/>
      <c r="S165" s="104"/>
    </row>
    <row r="166" customFormat="false" ht="27.75" hidden="false" customHeight="true" outlineLevel="0" collapsed="false">
      <c r="A166" s="36"/>
      <c r="B166" s="37"/>
      <c r="C166" s="37"/>
      <c r="D166" s="37"/>
      <c r="E166" s="38"/>
      <c r="F166" s="37"/>
      <c r="G166" s="38"/>
      <c r="H166" s="38"/>
      <c r="I166" s="37"/>
      <c r="J166" s="37"/>
      <c r="K166" s="36"/>
      <c r="L166" s="37"/>
      <c r="M166" s="103"/>
      <c r="N166" s="103"/>
      <c r="O166" s="103"/>
      <c r="P166" s="103"/>
      <c r="Q166" s="38"/>
      <c r="R166" s="38"/>
      <c r="S166" s="104"/>
    </row>
    <row r="167" customFormat="false" ht="27.75" hidden="false" customHeight="true" outlineLevel="0" collapsed="false">
      <c r="A167" s="36"/>
      <c r="B167" s="37"/>
      <c r="C167" s="37"/>
      <c r="D167" s="37"/>
      <c r="E167" s="38"/>
      <c r="F167" s="37"/>
      <c r="G167" s="38"/>
      <c r="H167" s="38"/>
      <c r="I167" s="37"/>
      <c r="J167" s="37"/>
      <c r="K167" s="36"/>
      <c r="L167" s="37"/>
      <c r="M167" s="103"/>
      <c r="N167" s="103"/>
      <c r="O167" s="103"/>
      <c r="P167" s="103"/>
      <c r="Q167" s="38"/>
      <c r="R167" s="38"/>
      <c r="S167" s="104"/>
    </row>
    <row r="168" customFormat="false" ht="27.75" hidden="false" customHeight="true" outlineLevel="0" collapsed="false">
      <c r="A168" s="36"/>
      <c r="B168" s="37"/>
      <c r="C168" s="37"/>
      <c r="D168" s="37"/>
      <c r="E168" s="38"/>
      <c r="F168" s="37"/>
      <c r="G168" s="38"/>
      <c r="H168" s="38"/>
      <c r="I168" s="37"/>
      <c r="J168" s="37"/>
      <c r="K168" s="36"/>
      <c r="L168" s="37"/>
      <c r="M168" s="103"/>
      <c r="N168" s="103"/>
      <c r="O168" s="103"/>
      <c r="P168" s="103"/>
      <c r="Q168" s="38"/>
      <c r="R168" s="38"/>
      <c r="S168" s="104"/>
    </row>
    <row r="169" customFormat="false" ht="27.75" hidden="false" customHeight="true" outlineLevel="0" collapsed="false">
      <c r="A169" s="36"/>
      <c r="B169" s="37"/>
      <c r="C169" s="37"/>
      <c r="D169" s="37"/>
      <c r="E169" s="38"/>
      <c r="F169" s="37"/>
      <c r="G169" s="38"/>
      <c r="H169" s="38"/>
      <c r="I169" s="37"/>
      <c r="J169" s="37"/>
      <c r="K169" s="36"/>
      <c r="L169" s="37"/>
      <c r="M169" s="103"/>
      <c r="N169" s="103"/>
      <c r="O169" s="103"/>
      <c r="P169" s="103"/>
      <c r="Q169" s="38"/>
      <c r="R169" s="38"/>
      <c r="S169" s="104"/>
    </row>
    <row r="170" customFormat="false" ht="27.75" hidden="false" customHeight="true" outlineLevel="0" collapsed="false">
      <c r="A170" s="36"/>
      <c r="B170" s="37"/>
      <c r="C170" s="37"/>
      <c r="D170" s="37"/>
      <c r="E170" s="38"/>
      <c r="F170" s="37"/>
      <c r="G170" s="38"/>
      <c r="H170" s="38"/>
      <c r="I170" s="37"/>
      <c r="J170" s="37"/>
      <c r="K170" s="36"/>
      <c r="L170" s="37"/>
      <c r="M170" s="103"/>
      <c r="N170" s="103"/>
      <c r="O170" s="103"/>
      <c r="P170" s="103"/>
      <c r="Q170" s="38"/>
      <c r="R170" s="38"/>
      <c r="S170" s="104"/>
    </row>
    <row r="171" customFormat="false" ht="27.75" hidden="false" customHeight="true" outlineLevel="0" collapsed="false">
      <c r="A171" s="36"/>
      <c r="B171" s="37"/>
      <c r="C171" s="37"/>
      <c r="D171" s="37"/>
      <c r="E171" s="38"/>
      <c r="F171" s="37"/>
      <c r="G171" s="38"/>
      <c r="H171" s="38"/>
      <c r="I171" s="37"/>
      <c r="J171" s="37"/>
      <c r="K171" s="36"/>
      <c r="L171" s="37"/>
      <c r="M171" s="103"/>
      <c r="N171" s="103"/>
      <c r="O171" s="103"/>
      <c r="P171" s="103"/>
      <c r="Q171" s="38"/>
      <c r="R171" s="38"/>
      <c r="S171" s="104"/>
    </row>
    <row r="172" customFormat="false" ht="27.75" hidden="false" customHeight="true" outlineLevel="0" collapsed="false">
      <c r="A172" s="36"/>
      <c r="B172" s="37"/>
      <c r="C172" s="37"/>
      <c r="D172" s="37"/>
      <c r="E172" s="38"/>
      <c r="F172" s="37"/>
      <c r="G172" s="38"/>
      <c r="H172" s="38"/>
      <c r="I172" s="37"/>
      <c r="J172" s="37"/>
      <c r="K172" s="36"/>
      <c r="L172" s="37"/>
      <c r="M172" s="103"/>
      <c r="N172" s="103"/>
      <c r="O172" s="103"/>
      <c r="P172" s="103"/>
      <c r="Q172" s="38"/>
      <c r="R172" s="38"/>
      <c r="S172" s="104"/>
    </row>
    <row r="173" customFormat="false" ht="27.75" hidden="false" customHeight="true" outlineLevel="0" collapsed="false">
      <c r="A173" s="36"/>
      <c r="B173" s="37"/>
      <c r="C173" s="37"/>
      <c r="D173" s="37"/>
      <c r="E173" s="38"/>
      <c r="F173" s="37"/>
      <c r="G173" s="38"/>
      <c r="H173" s="38"/>
      <c r="I173" s="37"/>
      <c r="J173" s="37"/>
      <c r="K173" s="36"/>
      <c r="L173" s="37"/>
      <c r="M173" s="103"/>
      <c r="N173" s="103"/>
      <c r="O173" s="103"/>
      <c r="P173" s="103"/>
      <c r="Q173" s="38"/>
      <c r="R173" s="38"/>
      <c r="S173" s="104"/>
    </row>
    <row r="174" customFormat="false" ht="27.75" hidden="false" customHeight="true" outlineLevel="0" collapsed="false">
      <c r="A174" s="36"/>
      <c r="B174" s="37"/>
      <c r="C174" s="37"/>
      <c r="D174" s="37"/>
      <c r="E174" s="38"/>
      <c r="F174" s="37"/>
      <c r="G174" s="38"/>
      <c r="H174" s="38"/>
      <c r="I174" s="37"/>
      <c r="J174" s="37"/>
      <c r="K174" s="36"/>
      <c r="L174" s="37"/>
      <c r="M174" s="103"/>
      <c r="N174" s="103"/>
      <c r="O174" s="103"/>
      <c r="P174" s="103"/>
      <c r="Q174" s="38"/>
      <c r="R174" s="38"/>
      <c r="S174" s="104"/>
    </row>
    <row r="175" customFormat="false" ht="27.75" hidden="false" customHeight="true" outlineLevel="0" collapsed="false">
      <c r="A175" s="36"/>
      <c r="B175" s="37"/>
      <c r="C175" s="37"/>
      <c r="D175" s="37"/>
      <c r="E175" s="38"/>
      <c r="F175" s="37"/>
      <c r="G175" s="38"/>
      <c r="H175" s="38"/>
      <c r="I175" s="37"/>
      <c r="J175" s="37"/>
      <c r="K175" s="36"/>
      <c r="L175" s="37"/>
      <c r="M175" s="103"/>
      <c r="N175" s="103"/>
      <c r="O175" s="103"/>
      <c r="P175" s="103"/>
      <c r="Q175" s="38"/>
      <c r="R175" s="38"/>
      <c r="S175" s="104"/>
    </row>
    <row r="176" customFormat="false" ht="27.75" hidden="false" customHeight="true" outlineLevel="0" collapsed="false">
      <c r="A176" s="36"/>
      <c r="B176" s="37"/>
      <c r="C176" s="37"/>
      <c r="D176" s="37"/>
      <c r="E176" s="38"/>
      <c r="F176" s="37"/>
      <c r="G176" s="38"/>
      <c r="H176" s="38"/>
      <c r="I176" s="37"/>
      <c r="J176" s="37"/>
      <c r="K176" s="36"/>
      <c r="L176" s="37"/>
      <c r="M176" s="103"/>
      <c r="N176" s="103"/>
      <c r="O176" s="103"/>
      <c r="P176" s="103"/>
      <c r="Q176" s="38"/>
      <c r="R176" s="38"/>
      <c r="S176" s="104"/>
    </row>
    <row r="177" customFormat="false" ht="27.75" hidden="false" customHeight="true" outlineLevel="0" collapsed="false">
      <c r="A177" s="36"/>
      <c r="B177" s="37"/>
      <c r="C177" s="37"/>
      <c r="D177" s="37"/>
      <c r="E177" s="38"/>
      <c r="F177" s="37"/>
      <c r="G177" s="38"/>
      <c r="H177" s="38"/>
      <c r="I177" s="37"/>
      <c r="J177" s="37"/>
      <c r="K177" s="36"/>
      <c r="L177" s="37"/>
      <c r="M177" s="103"/>
      <c r="N177" s="103"/>
      <c r="O177" s="103"/>
      <c r="P177" s="103"/>
      <c r="Q177" s="38"/>
      <c r="R177" s="38"/>
      <c r="S177" s="104"/>
    </row>
    <row r="178" customFormat="false" ht="27.75" hidden="false" customHeight="true" outlineLevel="0" collapsed="false">
      <c r="A178" s="36"/>
      <c r="B178" s="37"/>
      <c r="C178" s="37"/>
      <c r="D178" s="37"/>
      <c r="E178" s="38"/>
      <c r="F178" s="37"/>
      <c r="G178" s="38"/>
      <c r="H178" s="38"/>
      <c r="I178" s="37"/>
      <c r="J178" s="37"/>
      <c r="K178" s="36"/>
      <c r="L178" s="37"/>
      <c r="M178" s="103"/>
      <c r="N178" s="103"/>
      <c r="O178" s="103"/>
      <c r="P178" s="103"/>
      <c r="Q178" s="38"/>
      <c r="R178" s="38"/>
      <c r="S178" s="104"/>
    </row>
    <row r="179" customFormat="false" ht="27.75" hidden="false" customHeight="true" outlineLevel="0" collapsed="false">
      <c r="A179" s="36"/>
      <c r="B179" s="37"/>
      <c r="C179" s="37"/>
      <c r="D179" s="37"/>
      <c r="E179" s="38"/>
      <c r="F179" s="37"/>
      <c r="G179" s="38"/>
      <c r="H179" s="38"/>
      <c r="I179" s="37"/>
      <c r="J179" s="37"/>
      <c r="K179" s="36"/>
      <c r="L179" s="37"/>
      <c r="M179" s="103"/>
      <c r="N179" s="103"/>
      <c r="O179" s="103"/>
      <c r="P179" s="103"/>
      <c r="Q179" s="38"/>
      <c r="R179" s="38"/>
      <c r="S179" s="104"/>
    </row>
    <row r="180" customFormat="false" ht="27.75" hidden="false" customHeight="true" outlineLevel="0" collapsed="false">
      <c r="A180" s="36"/>
      <c r="B180" s="37"/>
      <c r="C180" s="37"/>
      <c r="D180" s="37"/>
      <c r="E180" s="38"/>
      <c r="F180" s="37"/>
      <c r="G180" s="38"/>
      <c r="H180" s="38"/>
      <c r="I180" s="37"/>
      <c r="J180" s="37"/>
      <c r="K180" s="36"/>
      <c r="L180" s="37"/>
      <c r="M180" s="103"/>
      <c r="N180" s="103"/>
      <c r="O180" s="103"/>
      <c r="P180" s="103"/>
      <c r="Q180" s="38"/>
      <c r="R180" s="38"/>
      <c r="S180" s="104"/>
    </row>
    <row r="181" customFormat="false" ht="27.75" hidden="false" customHeight="true" outlineLevel="0" collapsed="false">
      <c r="A181" s="36"/>
      <c r="B181" s="37"/>
      <c r="C181" s="37"/>
      <c r="D181" s="37"/>
      <c r="E181" s="38"/>
      <c r="F181" s="37"/>
      <c r="G181" s="38"/>
      <c r="H181" s="38"/>
      <c r="I181" s="37"/>
      <c r="J181" s="37"/>
      <c r="K181" s="36"/>
      <c r="L181" s="37"/>
      <c r="M181" s="103"/>
      <c r="N181" s="103"/>
      <c r="O181" s="103"/>
      <c r="P181" s="103"/>
      <c r="Q181" s="38"/>
      <c r="R181" s="38"/>
      <c r="S181" s="104"/>
    </row>
    <row r="182" customFormat="false" ht="27.75" hidden="false" customHeight="true" outlineLevel="0" collapsed="false">
      <c r="A182" s="36"/>
      <c r="B182" s="37"/>
      <c r="C182" s="37"/>
      <c r="D182" s="37"/>
      <c r="E182" s="38"/>
      <c r="F182" s="37"/>
      <c r="G182" s="38"/>
      <c r="H182" s="38"/>
      <c r="I182" s="37"/>
      <c r="J182" s="37"/>
      <c r="K182" s="36"/>
      <c r="L182" s="37"/>
      <c r="M182" s="103"/>
      <c r="N182" s="103"/>
      <c r="O182" s="103"/>
      <c r="P182" s="103"/>
      <c r="Q182" s="38"/>
      <c r="R182" s="38"/>
      <c r="S182" s="104"/>
    </row>
    <row r="183" customFormat="false" ht="27.75" hidden="false" customHeight="true" outlineLevel="0" collapsed="false">
      <c r="A183" s="36"/>
      <c r="B183" s="37"/>
      <c r="C183" s="37"/>
      <c r="D183" s="37"/>
      <c r="E183" s="38"/>
      <c r="F183" s="37"/>
      <c r="G183" s="38"/>
      <c r="H183" s="38"/>
      <c r="I183" s="37"/>
      <c r="J183" s="37"/>
      <c r="K183" s="36"/>
      <c r="L183" s="37"/>
      <c r="M183" s="103"/>
      <c r="N183" s="103"/>
      <c r="O183" s="103"/>
      <c r="P183" s="103"/>
      <c r="Q183" s="38"/>
      <c r="R183" s="38"/>
      <c r="S183" s="104"/>
    </row>
    <row r="184" customFormat="false" ht="27.75" hidden="false" customHeight="true" outlineLevel="0" collapsed="false">
      <c r="A184" s="36"/>
      <c r="B184" s="37"/>
      <c r="C184" s="37"/>
      <c r="D184" s="37"/>
      <c r="E184" s="38"/>
      <c r="F184" s="37"/>
      <c r="G184" s="38"/>
      <c r="H184" s="38"/>
      <c r="I184" s="37"/>
      <c r="J184" s="37"/>
      <c r="K184" s="36"/>
      <c r="L184" s="37"/>
      <c r="M184" s="103"/>
      <c r="N184" s="103"/>
      <c r="O184" s="103"/>
      <c r="P184" s="103"/>
      <c r="Q184" s="38"/>
      <c r="R184" s="38"/>
      <c r="S184" s="104"/>
    </row>
    <row r="185" customFormat="false" ht="27.75" hidden="false" customHeight="true" outlineLevel="0" collapsed="false">
      <c r="A185" s="36"/>
      <c r="B185" s="37"/>
      <c r="C185" s="37"/>
      <c r="D185" s="37"/>
      <c r="E185" s="38"/>
      <c r="F185" s="37"/>
      <c r="G185" s="38"/>
      <c r="H185" s="38"/>
      <c r="I185" s="37"/>
      <c r="J185" s="37"/>
      <c r="K185" s="36"/>
      <c r="L185" s="37"/>
      <c r="M185" s="103"/>
      <c r="N185" s="103"/>
      <c r="O185" s="103"/>
      <c r="P185" s="103"/>
      <c r="Q185" s="38"/>
      <c r="R185" s="38"/>
      <c r="S185" s="104"/>
    </row>
    <row r="186" customFormat="false" ht="27.75" hidden="false" customHeight="true" outlineLevel="0" collapsed="false">
      <c r="A186" s="36"/>
      <c r="B186" s="37"/>
      <c r="C186" s="37"/>
      <c r="D186" s="37"/>
      <c r="E186" s="38"/>
      <c r="F186" s="37"/>
      <c r="G186" s="38"/>
      <c r="H186" s="38"/>
      <c r="I186" s="37"/>
      <c r="J186" s="37"/>
      <c r="K186" s="36"/>
      <c r="L186" s="37"/>
      <c r="M186" s="103"/>
      <c r="N186" s="103"/>
      <c r="O186" s="103"/>
      <c r="P186" s="103"/>
      <c r="Q186" s="38"/>
      <c r="R186" s="38"/>
      <c r="S186" s="104"/>
    </row>
    <row r="187" customFormat="false" ht="27.75" hidden="false" customHeight="true" outlineLevel="0" collapsed="false">
      <c r="A187" s="36"/>
      <c r="B187" s="37"/>
      <c r="C187" s="37"/>
      <c r="D187" s="37"/>
      <c r="E187" s="38"/>
      <c r="F187" s="37"/>
      <c r="G187" s="38"/>
      <c r="H187" s="38"/>
      <c r="I187" s="37"/>
      <c r="J187" s="37"/>
      <c r="K187" s="36"/>
      <c r="L187" s="37"/>
      <c r="M187" s="103"/>
      <c r="N187" s="103"/>
      <c r="O187" s="103"/>
      <c r="P187" s="103"/>
      <c r="Q187" s="38"/>
      <c r="R187" s="38"/>
      <c r="S187" s="104"/>
    </row>
    <row r="188" customFormat="false" ht="27.75" hidden="false" customHeight="true" outlineLevel="0" collapsed="false">
      <c r="A188" s="36"/>
      <c r="B188" s="37"/>
      <c r="C188" s="37"/>
      <c r="D188" s="37"/>
      <c r="E188" s="38"/>
      <c r="F188" s="37"/>
      <c r="G188" s="38"/>
      <c r="H188" s="38"/>
      <c r="I188" s="37"/>
      <c r="J188" s="37"/>
      <c r="K188" s="36"/>
      <c r="L188" s="37"/>
      <c r="M188" s="103"/>
      <c r="N188" s="103"/>
      <c r="O188" s="103"/>
      <c r="P188" s="103"/>
      <c r="Q188" s="38"/>
      <c r="R188" s="38"/>
      <c r="S188" s="104"/>
    </row>
    <row r="189" customFormat="false" ht="27.75" hidden="false" customHeight="true" outlineLevel="0" collapsed="false">
      <c r="A189" s="36"/>
      <c r="B189" s="37"/>
      <c r="C189" s="37"/>
      <c r="D189" s="37"/>
      <c r="E189" s="38"/>
      <c r="F189" s="37"/>
      <c r="G189" s="38"/>
      <c r="H189" s="38"/>
      <c r="I189" s="37"/>
      <c r="J189" s="37"/>
      <c r="K189" s="36"/>
      <c r="L189" s="37"/>
      <c r="M189" s="103"/>
      <c r="N189" s="103"/>
      <c r="O189" s="103"/>
      <c r="P189" s="103"/>
      <c r="Q189" s="38"/>
      <c r="R189" s="38"/>
      <c r="S189" s="104"/>
    </row>
    <row r="190" customFormat="false" ht="27.75" hidden="false" customHeight="true" outlineLevel="0" collapsed="false">
      <c r="A190" s="36"/>
      <c r="B190" s="37"/>
      <c r="C190" s="37"/>
      <c r="D190" s="37"/>
      <c r="E190" s="38"/>
      <c r="F190" s="37"/>
      <c r="G190" s="38"/>
      <c r="H190" s="38"/>
      <c r="I190" s="37"/>
      <c r="J190" s="37"/>
      <c r="K190" s="36"/>
      <c r="L190" s="37"/>
      <c r="M190" s="103"/>
      <c r="N190" s="103"/>
      <c r="O190" s="103"/>
      <c r="P190" s="103"/>
      <c r="Q190" s="38"/>
      <c r="R190" s="38"/>
      <c r="S190" s="104"/>
    </row>
    <row r="191" customFormat="false" ht="27.75" hidden="false" customHeight="true" outlineLevel="0" collapsed="false">
      <c r="A191" s="36"/>
      <c r="B191" s="37"/>
      <c r="C191" s="37"/>
      <c r="D191" s="37"/>
      <c r="E191" s="38"/>
      <c r="F191" s="37"/>
      <c r="G191" s="38"/>
      <c r="H191" s="38"/>
      <c r="I191" s="37"/>
      <c r="J191" s="37"/>
      <c r="K191" s="36"/>
      <c r="L191" s="37"/>
      <c r="M191" s="103"/>
      <c r="N191" s="103"/>
      <c r="O191" s="103"/>
      <c r="P191" s="103"/>
      <c r="Q191" s="38"/>
      <c r="R191" s="38"/>
      <c r="S191" s="104"/>
    </row>
    <row r="192" customFormat="false" ht="27.75" hidden="false" customHeight="true" outlineLevel="0" collapsed="false">
      <c r="A192" s="36"/>
      <c r="B192" s="37"/>
      <c r="C192" s="37"/>
      <c r="D192" s="37"/>
      <c r="E192" s="38"/>
      <c r="F192" s="37"/>
      <c r="G192" s="38"/>
      <c r="H192" s="38"/>
      <c r="I192" s="37"/>
      <c r="J192" s="37"/>
      <c r="K192" s="36"/>
      <c r="L192" s="37"/>
      <c r="M192" s="103"/>
      <c r="N192" s="103"/>
      <c r="O192" s="103"/>
      <c r="P192" s="103"/>
      <c r="Q192" s="38"/>
      <c r="R192" s="38"/>
      <c r="S192" s="104"/>
    </row>
    <row r="193" customFormat="false" ht="27.75" hidden="false" customHeight="true" outlineLevel="0" collapsed="false">
      <c r="A193" s="36"/>
      <c r="B193" s="37"/>
      <c r="C193" s="37"/>
      <c r="D193" s="37"/>
      <c r="E193" s="38"/>
      <c r="F193" s="37"/>
      <c r="G193" s="38"/>
      <c r="H193" s="38"/>
      <c r="I193" s="37"/>
      <c r="J193" s="37"/>
      <c r="K193" s="36"/>
      <c r="L193" s="37"/>
      <c r="M193" s="103"/>
      <c r="N193" s="103"/>
      <c r="O193" s="103"/>
      <c r="P193" s="103"/>
      <c r="Q193" s="38"/>
      <c r="R193" s="38"/>
      <c r="S193" s="104"/>
    </row>
    <row r="194" customFormat="false" ht="27.75" hidden="false" customHeight="true" outlineLevel="0" collapsed="false">
      <c r="A194" s="36"/>
      <c r="B194" s="37"/>
      <c r="C194" s="37"/>
      <c r="D194" s="37"/>
      <c r="E194" s="38"/>
      <c r="F194" s="37"/>
      <c r="G194" s="38"/>
      <c r="H194" s="38"/>
      <c r="I194" s="37"/>
      <c r="J194" s="37"/>
      <c r="K194" s="36"/>
      <c r="L194" s="37"/>
      <c r="M194" s="103"/>
      <c r="N194" s="103"/>
      <c r="O194" s="103"/>
      <c r="P194" s="103"/>
      <c r="Q194" s="38"/>
      <c r="R194" s="38"/>
      <c r="S194" s="104"/>
    </row>
    <row r="195" customFormat="false" ht="27.75" hidden="false" customHeight="true" outlineLevel="0" collapsed="false">
      <c r="A195" s="36"/>
      <c r="B195" s="37"/>
      <c r="C195" s="37"/>
      <c r="D195" s="37"/>
      <c r="E195" s="38"/>
      <c r="F195" s="37"/>
      <c r="G195" s="38"/>
      <c r="H195" s="38"/>
      <c r="I195" s="37"/>
      <c r="J195" s="37"/>
      <c r="K195" s="36"/>
      <c r="L195" s="37"/>
      <c r="M195" s="103"/>
      <c r="N195" s="103"/>
      <c r="O195" s="103"/>
      <c r="P195" s="103"/>
      <c r="Q195" s="38"/>
      <c r="R195" s="38"/>
      <c r="S195" s="104"/>
    </row>
    <row r="196" customFormat="false" ht="27.75" hidden="false" customHeight="true" outlineLevel="0" collapsed="false">
      <c r="A196" s="36"/>
      <c r="B196" s="37"/>
      <c r="C196" s="37"/>
      <c r="D196" s="37"/>
      <c r="E196" s="38"/>
      <c r="F196" s="37"/>
      <c r="G196" s="38"/>
      <c r="H196" s="38"/>
      <c r="I196" s="37"/>
      <c r="J196" s="37"/>
      <c r="K196" s="36"/>
      <c r="L196" s="37"/>
      <c r="M196" s="103"/>
      <c r="N196" s="103"/>
      <c r="O196" s="103"/>
      <c r="P196" s="103"/>
      <c r="Q196" s="38"/>
      <c r="R196" s="38"/>
      <c r="S196" s="104"/>
    </row>
    <row r="197" customFormat="false" ht="27.75" hidden="false" customHeight="true" outlineLevel="0" collapsed="false">
      <c r="A197" s="36"/>
      <c r="B197" s="37"/>
      <c r="C197" s="37"/>
      <c r="D197" s="37"/>
      <c r="E197" s="38"/>
      <c r="F197" s="37"/>
      <c r="G197" s="38"/>
      <c r="H197" s="38"/>
      <c r="I197" s="37"/>
      <c r="J197" s="37"/>
      <c r="K197" s="36"/>
      <c r="L197" s="37"/>
      <c r="M197" s="103"/>
      <c r="N197" s="103"/>
      <c r="O197" s="103"/>
      <c r="P197" s="103"/>
      <c r="Q197" s="38"/>
      <c r="R197" s="38"/>
      <c r="S197" s="104"/>
    </row>
    <row r="198" customFormat="false" ht="27.75" hidden="false" customHeight="true" outlineLevel="0" collapsed="false">
      <c r="A198" s="36"/>
      <c r="B198" s="37"/>
      <c r="C198" s="37"/>
      <c r="D198" s="37"/>
      <c r="E198" s="38"/>
      <c r="F198" s="37"/>
      <c r="G198" s="38"/>
      <c r="H198" s="38"/>
      <c r="I198" s="37"/>
      <c r="J198" s="37"/>
      <c r="K198" s="36"/>
      <c r="L198" s="37"/>
      <c r="M198" s="103"/>
      <c r="N198" s="103"/>
      <c r="O198" s="103"/>
      <c r="P198" s="103"/>
      <c r="Q198" s="38"/>
      <c r="R198" s="38"/>
      <c r="S198" s="104"/>
    </row>
    <row r="199" customFormat="false" ht="27.75" hidden="false" customHeight="true" outlineLevel="0" collapsed="false">
      <c r="A199" s="36"/>
      <c r="B199" s="37"/>
      <c r="C199" s="37"/>
      <c r="D199" s="37"/>
      <c r="E199" s="38"/>
      <c r="F199" s="37"/>
      <c r="G199" s="38"/>
      <c r="H199" s="38"/>
      <c r="I199" s="37"/>
      <c r="J199" s="37"/>
      <c r="K199" s="36"/>
      <c r="L199" s="37"/>
      <c r="M199" s="103"/>
      <c r="N199" s="103"/>
      <c r="O199" s="103"/>
      <c r="P199" s="103"/>
      <c r="Q199" s="38"/>
      <c r="R199" s="38"/>
      <c r="S199" s="104"/>
    </row>
    <row r="200" customFormat="false" ht="27.75" hidden="false" customHeight="true" outlineLevel="0" collapsed="false">
      <c r="A200" s="36"/>
      <c r="B200" s="37"/>
      <c r="C200" s="37"/>
      <c r="D200" s="37"/>
      <c r="E200" s="38"/>
      <c r="F200" s="37"/>
      <c r="G200" s="38"/>
      <c r="H200" s="38"/>
      <c r="I200" s="37"/>
      <c r="J200" s="37"/>
      <c r="K200" s="36"/>
      <c r="L200" s="37"/>
      <c r="M200" s="103"/>
      <c r="N200" s="103"/>
      <c r="O200" s="103"/>
      <c r="P200" s="103"/>
      <c r="Q200" s="38"/>
      <c r="R200" s="38"/>
      <c r="S200" s="104"/>
    </row>
    <row r="201" customFormat="false" ht="27.75" hidden="false" customHeight="true" outlineLevel="0" collapsed="false">
      <c r="A201" s="36"/>
      <c r="B201" s="37"/>
      <c r="C201" s="37"/>
      <c r="D201" s="37"/>
      <c r="E201" s="38"/>
      <c r="F201" s="37"/>
      <c r="G201" s="38"/>
      <c r="H201" s="38"/>
      <c r="I201" s="37"/>
      <c r="J201" s="37"/>
      <c r="K201" s="36"/>
      <c r="L201" s="37"/>
      <c r="M201" s="103"/>
      <c r="N201" s="103"/>
      <c r="O201" s="103"/>
      <c r="P201" s="103"/>
      <c r="Q201" s="38"/>
      <c r="R201" s="38"/>
      <c r="S201" s="104"/>
    </row>
    <row r="202" customFormat="false" ht="27.75" hidden="false" customHeight="true" outlineLevel="0" collapsed="false">
      <c r="A202" s="36"/>
      <c r="B202" s="37"/>
      <c r="C202" s="37"/>
      <c r="D202" s="37"/>
      <c r="E202" s="38"/>
      <c r="F202" s="37"/>
      <c r="G202" s="38"/>
      <c r="H202" s="38"/>
      <c r="I202" s="37"/>
      <c r="J202" s="37"/>
      <c r="K202" s="36"/>
      <c r="L202" s="37"/>
      <c r="M202" s="103"/>
      <c r="N202" s="103"/>
      <c r="O202" s="103"/>
      <c r="P202" s="103"/>
      <c r="Q202" s="38"/>
      <c r="R202" s="38"/>
      <c r="S202" s="104"/>
    </row>
    <row r="203" customFormat="false" ht="27.75" hidden="false" customHeight="true" outlineLevel="0" collapsed="false">
      <c r="A203" s="36"/>
      <c r="B203" s="37"/>
      <c r="C203" s="37"/>
      <c r="D203" s="37"/>
      <c r="E203" s="38"/>
      <c r="F203" s="37"/>
      <c r="G203" s="38"/>
      <c r="H203" s="38"/>
      <c r="I203" s="37"/>
      <c r="J203" s="37"/>
      <c r="K203" s="36"/>
      <c r="L203" s="37"/>
      <c r="M203" s="103"/>
      <c r="N203" s="103"/>
      <c r="O203" s="103"/>
      <c r="P203" s="103"/>
      <c r="Q203" s="38"/>
      <c r="R203" s="38"/>
      <c r="S203" s="104"/>
    </row>
    <row r="204" customFormat="false" ht="27.75" hidden="false" customHeight="true" outlineLevel="0" collapsed="false">
      <c r="A204" s="36"/>
      <c r="B204" s="37"/>
      <c r="C204" s="37"/>
      <c r="D204" s="37"/>
      <c r="E204" s="38"/>
      <c r="F204" s="37"/>
      <c r="G204" s="38"/>
      <c r="H204" s="38"/>
      <c r="I204" s="37"/>
      <c r="J204" s="37"/>
      <c r="K204" s="36"/>
      <c r="L204" s="37"/>
      <c r="M204" s="103"/>
      <c r="N204" s="103"/>
      <c r="O204" s="103"/>
      <c r="P204" s="103"/>
      <c r="Q204" s="38"/>
      <c r="R204" s="38"/>
      <c r="S204" s="104"/>
    </row>
    <row r="205" customFormat="false" ht="27.75" hidden="false" customHeight="true" outlineLevel="0" collapsed="false">
      <c r="A205" s="36"/>
      <c r="B205" s="37"/>
      <c r="C205" s="37"/>
      <c r="D205" s="37"/>
      <c r="E205" s="38"/>
      <c r="F205" s="37"/>
      <c r="G205" s="38"/>
      <c r="H205" s="38"/>
      <c r="I205" s="37"/>
      <c r="J205" s="37"/>
      <c r="K205" s="36"/>
      <c r="L205" s="37"/>
      <c r="M205" s="103"/>
      <c r="N205" s="103"/>
      <c r="O205" s="103"/>
      <c r="P205" s="103"/>
      <c r="Q205" s="38"/>
      <c r="R205" s="38"/>
      <c r="S205" s="104"/>
    </row>
    <row r="206" customFormat="false" ht="27.75" hidden="false" customHeight="true" outlineLevel="0" collapsed="false">
      <c r="A206" s="36"/>
      <c r="B206" s="37"/>
      <c r="C206" s="37"/>
      <c r="D206" s="37"/>
      <c r="E206" s="38"/>
      <c r="F206" s="37"/>
      <c r="G206" s="38"/>
      <c r="H206" s="38"/>
      <c r="I206" s="37"/>
      <c r="J206" s="37"/>
      <c r="K206" s="36"/>
      <c r="L206" s="37"/>
      <c r="M206" s="103"/>
      <c r="N206" s="103"/>
      <c r="O206" s="103"/>
      <c r="P206" s="103"/>
      <c r="Q206" s="38"/>
      <c r="R206" s="38"/>
      <c r="S206" s="104"/>
    </row>
    <row r="207" customFormat="false" ht="27.75" hidden="false" customHeight="true" outlineLevel="0" collapsed="false">
      <c r="A207" s="36"/>
      <c r="B207" s="37"/>
      <c r="C207" s="37"/>
      <c r="D207" s="37"/>
      <c r="E207" s="38"/>
      <c r="F207" s="37"/>
      <c r="G207" s="38"/>
      <c r="H207" s="38"/>
      <c r="I207" s="37"/>
      <c r="J207" s="37"/>
      <c r="K207" s="36"/>
      <c r="L207" s="37"/>
      <c r="M207" s="103"/>
      <c r="N207" s="103"/>
      <c r="O207" s="103"/>
      <c r="P207" s="103"/>
      <c r="Q207" s="38"/>
      <c r="R207" s="38"/>
      <c r="S207" s="104"/>
    </row>
    <row r="208" customFormat="false" ht="27.75" hidden="false" customHeight="true" outlineLevel="0" collapsed="false">
      <c r="A208" s="36"/>
      <c r="B208" s="37"/>
      <c r="C208" s="37"/>
      <c r="D208" s="37"/>
      <c r="E208" s="38"/>
      <c r="F208" s="37"/>
      <c r="G208" s="38"/>
      <c r="H208" s="38"/>
      <c r="I208" s="37"/>
      <c r="J208" s="37"/>
      <c r="K208" s="36"/>
      <c r="L208" s="37"/>
      <c r="M208" s="103"/>
      <c r="N208" s="103"/>
      <c r="O208" s="103"/>
      <c r="P208" s="103"/>
      <c r="Q208" s="38"/>
      <c r="R208" s="38"/>
      <c r="S208" s="104"/>
    </row>
    <row r="209" customFormat="false" ht="27.75" hidden="false" customHeight="true" outlineLevel="0" collapsed="false">
      <c r="A209" s="36"/>
      <c r="B209" s="37"/>
      <c r="C209" s="37"/>
      <c r="D209" s="37"/>
      <c r="E209" s="38"/>
      <c r="F209" s="37"/>
      <c r="G209" s="38"/>
      <c r="H209" s="38"/>
      <c r="I209" s="37"/>
      <c r="J209" s="37"/>
      <c r="K209" s="36"/>
      <c r="L209" s="37"/>
      <c r="M209" s="103"/>
      <c r="N209" s="103"/>
      <c r="O209" s="103"/>
      <c r="P209" s="103"/>
      <c r="Q209" s="38"/>
      <c r="R209" s="38"/>
      <c r="S209" s="104"/>
    </row>
    <row r="210" customFormat="false" ht="27.75" hidden="false" customHeight="true" outlineLevel="0" collapsed="false">
      <c r="A210" s="36"/>
      <c r="B210" s="37"/>
      <c r="C210" s="37"/>
      <c r="D210" s="37"/>
      <c r="E210" s="38"/>
      <c r="F210" s="37"/>
      <c r="G210" s="38"/>
      <c r="H210" s="38"/>
      <c r="I210" s="37"/>
      <c r="J210" s="37"/>
      <c r="K210" s="36"/>
      <c r="L210" s="37"/>
      <c r="M210" s="103"/>
      <c r="N210" s="103"/>
      <c r="O210" s="103"/>
      <c r="P210" s="103"/>
      <c r="Q210" s="38"/>
      <c r="R210" s="38"/>
      <c r="S210" s="104"/>
    </row>
    <row r="211" customFormat="false" ht="27.75" hidden="false" customHeight="true" outlineLevel="0" collapsed="false">
      <c r="A211" s="36"/>
      <c r="B211" s="37"/>
      <c r="C211" s="37"/>
      <c r="D211" s="37"/>
      <c r="E211" s="38"/>
      <c r="F211" s="37"/>
      <c r="G211" s="38"/>
      <c r="H211" s="38"/>
      <c r="I211" s="37"/>
      <c r="J211" s="37"/>
      <c r="K211" s="36"/>
      <c r="L211" s="37"/>
      <c r="M211" s="103"/>
      <c r="N211" s="103"/>
      <c r="O211" s="103"/>
      <c r="P211" s="103"/>
      <c r="Q211" s="38"/>
      <c r="R211" s="38"/>
      <c r="S211" s="104"/>
    </row>
    <row r="212" customFormat="false" ht="27.75" hidden="false" customHeight="true" outlineLevel="0" collapsed="false">
      <c r="A212" s="36"/>
      <c r="B212" s="37"/>
      <c r="C212" s="37"/>
      <c r="D212" s="37"/>
      <c r="E212" s="38"/>
      <c r="F212" s="37"/>
      <c r="G212" s="38"/>
      <c r="H212" s="38"/>
      <c r="I212" s="37"/>
      <c r="J212" s="37"/>
      <c r="K212" s="36"/>
      <c r="L212" s="37"/>
      <c r="M212" s="103"/>
      <c r="N212" s="103"/>
      <c r="O212" s="103"/>
      <c r="P212" s="103"/>
      <c r="Q212" s="38"/>
      <c r="R212" s="38"/>
      <c r="S212" s="104"/>
    </row>
    <row r="213" customFormat="false" ht="27.75" hidden="false" customHeight="true" outlineLevel="0" collapsed="false">
      <c r="A213" s="36"/>
      <c r="B213" s="37"/>
      <c r="C213" s="37"/>
      <c r="D213" s="37"/>
      <c r="E213" s="38"/>
      <c r="F213" s="37"/>
      <c r="G213" s="38"/>
      <c r="H213" s="38"/>
      <c r="I213" s="37"/>
      <c r="J213" s="37"/>
      <c r="K213" s="36"/>
      <c r="L213" s="37"/>
      <c r="M213" s="103"/>
      <c r="N213" s="103"/>
      <c r="O213" s="103"/>
      <c r="P213" s="103"/>
      <c r="Q213" s="38"/>
      <c r="R213" s="38"/>
      <c r="S213" s="104"/>
    </row>
    <row r="214" customFormat="false" ht="27.75" hidden="false" customHeight="true" outlineLevel="0" collapsed="false">
      <c r="A214" s="36"/>
      <c r="B214" s="37"/>
      <c r="C214" s="37"/>
      <c r="D214" s="37"/>
      <c r="E214" s="38"/>
      <c r="F214" s="37"/>
      <c r="G214" s="38"/>
      <c r="H214" s="38"/>
      <c r="I214" s="37"/>
      <c r="J214" s="37"/>
      <c r="K214" s="36"/>
      <c r="L214" s="37"/>
      <c r="M214" s="103"/>
      <c r="N214" s="103"/>
      <c r="O214" s="103"/>
      <c r="P214" s="103"/>
      <c r="Q214" s="38"/>
      <c r="R214" s="38"/>
      <c r="S214" s="104"/>
    </row>
    <row r="215" customFormat="false" ht="27.75" hidden="false" customHeight="true" outlineLevel="0" collapsed="false">
      <c r="A215" s="36"/>
      <c r="B215" s="37"/>
      <c r="C215" s="37"/>
      <c r="D215" s="37"/>
      <c r="E215" s="38"/>
      <c r="F215" s="37"/>
      <c r="G215" s="38"/>
      <c r="H215" s="38"/>
      <c r="I215" s="37"/>
      <c r="J215" s="37"/>
      <c r="K215" s="36"/>
      <c r="L215" s="37"/>
      <c r="M215" s="103"/>
      <c r="N215" s="103"/>
      <c r="O215" s="103"/>
      <c r="P215" s="103"/>
      <c r="Q215" s="38"/>
      <c r="R215" s="38"/>
      <c r="S215" s="104"/>
    </row>
    <row r="216" customFormat="false" ht="27.75" hidden="false" customHeight="true" outlineLevel="0" collapsed="false">
      <c r="A216" s="36"/>
      <c r="B216" s="37"/>
      <c r="C216" s="37"/>
      <c r="D216" s="37"/>
      <c r="E216" s="38"/>
      <c r="F216" s="37"/>
      <c r="G216" s="38"/>
      <c r="H216" s="38"/>
      <c r="I216" s="37"/>
      <c r="J216" s="37"/>
      <c r="K216" s="36"/>
      <c r="L216" s="37"/>
      <c r="M216" s="103"/>
      <c r="N216" s="103"/>
      <c r="O216" s="103"/>
      <c r="P216" s="103"/>
      <c r="Q216" s="38"/>
      <c r="R216" s="38"/>
      <c r="S216" s="104"/>
    </row>
    <row r="217" customFormat="false" ht="27.75" hidden="false" customHeight="true" outlineLevel="0" collapsed="false">
      <c r="A217" s="36"/>
      <c r="B217" s="37"/>
      <c r="C217" s="37"/>
      <c r="D217" s="37"/>
      <c r="E217" s="38"/>
      <c r="F217" s="37"/>
      <c r="G217" s="38"/>
      <c r="H217" s="38"/>
      <c r="I217" s="37"/>
      <c r="J217" s="37"/>
      <c r="K217" s="36"/>
      <c r="L217" s="37"/>
      <c r="M217" s="103"/>
      <c r="N217" s="103"/>
      <c r="O217" s="103"/>
      <c r="P217" s="103"/>
      <c r="Q217" s="38"/>
      <c r="R217" s="38"/>
      <c r="S217" s="104"/>
    </row>
    <row r="218" customFormat="false" ht="27.75" hidden="false" customHeight="true" outlineLevel="0" collapsed="false">
      <c r="A218" s="36"/>
      <c r="B218" s="37"/>
      <c r="C218" s="37"/>
      <c r="D218" s="37"/>
      <c r="E218" s="38"/>
      <c r="F218" s="37"/>
      <c r="G218" s="38"/>
      <c r="H218" s="38"/>
      <c r="I218" s="37"/>
      <c r="J218" s="37"/>
      <c r="K218" s="36"/>
      <c r="L218" s="37"/>
      <c r="M218" s="103"/>
      <c r="N218" s="103"/>
      <c r="O218" s="103"/>
      <c r="P218" s="103"/>
      <c r="Q218" s="38"/>
      <c r="R218" s="38"/>
      <c r="S218" s="104"/>
    </row>
    <row r="219" customFormat="false" ht="27.75" hidden="false" customHeight="true" outlineLevel="0" collapsed="false">
      <c r="A219" s="36"/>
      <c r="B219" s="37"/>
      <c r="C219" s="37"/>
      <c r="D219" s="37"/>
      <c r="E219" s="38"/>
      <c r="F219" s="37"/>
      <c r="G219" s="38"/>
      <c r="H219" s="38"/>
      <c r="I219" s="37"/>
      <c r="J219" s="37"/>
      <c r="K219" s="36"/>
      <c r="L219" s="37"/>
      <c r="M219" s="103"/>
      <c r="N219" s="103"/>
      <c r="O219" s="103"/>
      <c r="P219" s="103"/>
      <c r="Q219" s="38"/>
      <c r="R219" s="38"/>
      <c r="S219" s="104"/>
    </row>
    <row r="220" customFormat="false" ht="27.75" hidden="false" customHeight="true" outlineLevel="0" collapsed="false">
      <c r="A220" s="36"/>
      <c r="B220" s="37"/>
      <c r="C220" s="37"/>
      <c r="D220" s="37"/>
      <c r="E220" s="38"/>
      <c r="F220" s="37"/>
      <c r="G220" s="38"/>
      <c r="H220" s="38"/>
      <c r="I220" s="37"/>
      <c r="J220" s="37"/>
      <c r="K220" s="36"/>
      <c r="L220" s="37"/>
      <c r="M220" s="103"/>
      <c r="N220" s="103"/>
      <c r="O220" s="103"/>
      <c r="P220" s="103"/>
      <c r="Q220" s="38"/>
      <c r="R220" s="38"/>
      <c r="S220" s="104"/>
    </row>
    <row r="221" customFormat="false" ht="27.75" hidden="false" customHeight="true" outlineLevel="0" collapsed="false">
      <c r="A221" s="36"/>
      <c r="B221" s="37"/>
      <c r="C221" s="37"/>
      <c r="D221" s="37"/>
      <c r="E221" s="38"/>
      <c r="F221" s="37"/>
      <c r="G221" s="38"/>
      <c r="H221" s="38"/>
      <c r="I221" s="37"/>
      <c r="J221" s="37"/>
      <c r="K221" s="36"/>
      <c r="L221" s="37"/>
      <c r="M221" s="103"/>
      <c r="N221" s="103"/>
      <c r="O221" s="103"/>
      <c r="P221" s="103"/>
      <c r="Q221" s="38"/>
      <c r="R221" s="38"/>
      <c r="S221" s="104"/>
    </row>
    <row r="222" customFormat="false" ht="27.75" hidden="false" customHeight="true" outlineLevel="0" collapsed="false">
      <c r="A222" s="36"/>
      <c r="B222" s="37"/>
      <c r="C222" s="37"/>
      <c r="D222" s="37"/>
      <c r="E222" s="38"/>
      <c r="F222" s="37"/>
      <c r="G222" s="38"/>
      <c r="H222" s="38"/>
      <c r="I222" s="37"/>
      <c r="J222" s="37"/>
      <c r="K222" s="36"/>
      <c r="L222" s="37"/>
      <c r="M222" s="103"/>
      <c r="N222" s="103"/>
      <c r="O222" s="103"/>
      <c r="P222" s="103"/>
      <c r="Q222" s="38"/>
      <c r="R222" s="38"/>
      <c r="S222" s="104"/>
    </row>
    <row r="223" customFormat="false" ht="27.75" hidden="false" customHeight="true" outlineLevel="0" collapsed="false">
      <c r="A223" s="36"/>
      <c r="B223" s="37"/>
      <c r="C223" s="37"/>
      <c r="D223" s="37"/>
      <c r="E223" s="38"/>
      <c r="F223" s="37"/>
      <c r="G223" s="38"/>
      <c r="H223" s="38"/>
      <c r="I223" s="37"/>
      <c r="J223" s="37"/>
      <c r="K223" s="36"/>
      <c r="L223" s="37"/>
      <c r="M223" s="103"/>
      <c r="N223" s="103"/>
      <c r="O223" s="103"/>
      <c r="P223" s="103"/>
      <c r="Q223" s="38"/>
      <c r="R223" s="38"/>
      <c r="S223" s="104"/>
    </row>
    <row r="224" customFormat="false" ht="27.75" hidden="false" customHeight="true" outlineLevel="0" collapsed="false">
      <c r="A224" s="36"/>
      <c r="B224" s="37"/>
      <c r="C224" s="37"/>
      <c r="D224" s="37"/>
      <c r="E224" s="38"/>
      <c r="F224" s="37"/>
      <c r="G224" s="38"/>
      <c r="H224" s="38"/>
      <c r="I224" s="37"/>
      <c r="J224" s="37"/>
      <c r="K224" s="36"/>
      <c r="L224" s="37"/>
      <c r="M224" s="103"/>
      <c r="N224" s="103"/>
      <c r="O224" s="103"/>
      <c r="P224" s="103"/>
      <c r="Q224" s="38"/>
      <c r="R224" s="38"/>
      <c r="S224" s="104"/>
    </row>
    <row r="225" customFormat="false" ht="27.75" hidden="false" customHeight="true" outlineLevel="0" collapsed="false">
      <c r="A225" s="36"/>
      <c r="B225" s="37"/>
      <c r="C225" s="37"/>
      <c r="D225" s="37"/>
      <c r="E225" s="38"/>
      <c r="F225" s="37"/>
      <c r="G225" s="38"/>
      <c r="H225" s="38"/>
      <c r="I225" s="37"/>
      <c r="J225" s="37"/>
      <c r="K225" s="36"/>
      <c r="L225" s="37"/>
      <c r="M225" s="103"/>
      <c r="N225" s="103"/>
      <c r="O225" s="103"/>
      <c r="P225" s="103"/>
      <c r="Q225" s="38"/>
      <c r="R225" s="38"/>
      <c r="S225" s="104"/>
    </row>
    <row r="226" customFormat="false" ht="27.75" hidden="false" customHeight="true" outlineLevel="0" collapsed="false">
      <c r="A226" s="36"/>
      <c r="B226" s="37"/>
      <c r="C226" s="37"/>
      <c r="D226" s="37"/>
      <c r="E226" s="38"/>
      <c r="F226" s="37"/>
      <c r="G226" s="38"/>
      <c r="H226" s="38"/>
      <c r="I226" s="37"/>
      <c r="J226" s="37"/>
      <c r="K226" s="36"/>
      <c r="L226" s="37"/>
      <c r="M226" s="103"/>
      <c r="N226" s="103"/>
      <c r="O226" s="103"/>
      <c r="P226" s="103"/>
      <c r="Q226" s="38"/>
      <c r="R226" s="38"/>
      <c r="S226" s="104"/>
    </row>
    <row r="227" customFormat="false" ht="27.75" hidden="false" customHeight="true" outlineLevel="0" collapsed="false">
      <c r="A227" s="36"/>
      <c r="B227" s="37"/>
      <c r="C227" s="37"/>
      <c r="D227" s="37"/>
      <c r="E227" s="38"/>
      <c r="F227" s="37"/>
      <c r="G227" s="38"/>
      <c r="H227" s="38"/>
      <c r="I227" s="37"/>
      <c r="J227" s="37"/>
      <c r="K227" s="36"/>
      <c r="L227" s="37"/>
      <c r="M227" s="103"/>
      <c r="N227" s="103"/>
      <c r="O227" s="103"/>
      <c r="P227" s="103"/>
      <c r="Q227" s="38"/>
      <c r="R227" s="38"/>
      <c r="S227" s="104"/>
    </row>
    <row r="228" customFormat="false" ht="27.75" hidden="false" customHeight="true" outlineLevel="0" collapsed="false">
      <c r="A228" s="36"/>
      <c r="B228" s="37"/>
      <c r="C228" s="37"/>
      <c r="D228" s="37"/>
      <c r="E228" s="38"/>
      <c r="F228" s="37"/>
      <c r="G228" s="38"/>
      <c r="H228" s="38"/>
      <c r="I228" s="37"/>
      <c r="J228" s="37"/>
      <c r="K228" s="36"/>
      <c r="L228" s="37"/>
      <c r="M228" s="103"/>
      <c r="N228" s="103"/>
      <c r="O228" s="103"/>
      <c r="P228" s="103"/>
      <c r="Q228" s="38"/>
      <c r="R228" s="38"/>
      <c r="S228" s="104"/>
    </row>
    <row r="229" customFormat="false" ht="27.75" hidden="false" customHeight="true" outlineLevel="0" collapsed="false">
      <c r="A229" s="36"/>
      <c r="B229" s="37"/>
      <c r="C229" s="37"/>
      <c r="D229" s="37"/>
      <c r="E229" s="38"/>
      <c r="F229" s="37"/>
      <c r="G229" s="38"/>
      <c r="H229" s="38"/>
      <c r="I229" s="37"/>
      <c r="J229" s="37"/>
      <c r="K229" s="36"/>
      <c r="L229" s="37"/>
      <c r="M229" s="103"/>
      <c r="N229" s="103"/>
      <c r="O229" s="103"/>
      <c r="P229" s="103"/>
      <c r="Q229" s="38"/>
      <c r="R229" s="38"/>
      <c r="S229" s="104"/>
    </row>
    <row r="230" customFormat="false" ht="27.75" hidden="false" customHeight="true" outlineLevel="0" collapsed="false">
      <c r="A230" s="36"/>
      <c r="B230" s="37"/>
      <c r="C230" s="37"/>
      <c r="D230" s="37"/>
      <c r="E230" s="38"/>
      <c r="F230" s="37"/>
      <c r="G230" s="38"/>
      <c r="H230" s="38"/>
      <c r="I230" s="37"/>
      <c r="J230" s="37"/>
      <c r="K230" s="36"/>
      <c r="L230" s="37"/>
      <c r="M230" s="103"/>
      <c r="N230" s="103"/>
      <c r="O230" s="103"/>
      <c r="P230" s="103"/>
      <c r="Q230" s="38"/>
      <c r="R230" s="38"/>
      <c r="S230" s="104"/>
    </row>
    <row r="231" customFormat="false" ht="27.75" hidden="false" customHeight="true" outlineLevel="0" collapsed="false">
      <c r="A231" s="36"/>
      <c r="B231" s="37"/>
      <c r="C231" s="37"/>
      <c r="D231" s="37"/>
      <c r="E231" s="38"/>
      <c r="F231" s="37"/>
      <c r="G231" s="38"/>
      <c r="H231" s="38"/>
      <c r="I231" s="37"/>
      <c r="J231" s="37"/>
      <c r="K231" s="36"/>
      <c r="L231" s="37"/>
      <c r="M231" s="103"/>
      <c r="N231" s="103"/>
      <c r="O231" s="103"/>
      <c r="P231" s="103"/>
      <c r="Q231" s="38"/>
      <c r="R231" s="38"/>
      <c r="S231" s="104"/>
    </row>
    <row r="232" customFormat="false" ht="27.75" hidden="false" customHeight="true" outlineLevel="0" collapsed="false">
      <c r="A232" s="36"/>
      <c r="B232" s="37"/>
      <c r="C232" s="37"/>
      <c r="D232" s="37"/>
      <c r="E232" s="38"/>
      <c r="F232" s="37"/>
      <c r="G232" s="38"/>
      <c r="H232" s="38"/>
      <c r="I232" s="37"/>
      <c r="J232" s="37"/>
      <c r="K232" s="36"/>
      <c r="L232" s="37"/>
      <c r="M232" s="103"/>
      <c r="N232" s="103"/>
      <c r="O232" s="103"/>
      <c r="P232" s="103"/>
      <c r="Q232" s="38"/>
      <c r="R232" s="38"/>
      <c r="S232" s="104"/>
    </row>
    <row r="233" customFormat="false" ht="27.75" hidden="false" customHeight="true" outlineLevel="0" collapsed="false">
      <c r="A233" s="36"/>
      <c r="B233" s="37"/>
      <c r="C233" s="37"/>
      <c r="D233" s="37"/>
      <c r="E233" s="38"/>
      <c r="F233" s="37"/>
      <c r="G233" s="38"/>
      <c r="H233" s="38"/>
      <c r="I233" s="37"/>
      <c r="J233" s="37"/>
      <c r="K233" s="36"/>
      <c r="L233" s="37"/>
      <c r="M233" s="103"/>
      <c r="N233" s="103"/>
      <c r="O233" s="103"/>
      <c r="P233" s="103"/>
      <c r="Q233" s="38"/>
      <c r="R233" s="38"/>
      <c r="S233" s="104"/>
    </row>
    <row r="234" customFormat="false" ht="27.75" hidden="false" customHeight="true" outlineLevel="0" collapsed="false">
      <c r="A234" s="36"/>
      <c r="B234" s="37"/>
      <c r="C234" s="37"/>
      <c r="D234" s="37"/>
      <c r="E234" s="38"/>
      <c r="F234" s="37"/>
      <c r="G234" s="38"/>
      <c r="H234" s="38"/>
      <c r="I234" s="37"/>
      <c r="J234" s="37"/>
      <c r="K234" s="36"/>
      <c r="L234" s="37"/>
      <c r="M234" s="103"/>
      <c r="N234" s="103"/>
      <c r="O234" s="103"/>
      <c r="P234" s="103"/>
      <c r="Q234" s="38"/>
      <c r="R234" s="38"/>
      <c r="S234" s="104"/>
    </row>
    <row r="235" customFormat="false" ht="27.75" hidden="false" customHeight="true" outlineLevel="0" collapsed="false">
      <c r="A235" s="36"/>
      <c r="B235" s="37"/>
      <c r="C235" s="37"/>
      <c r="D235" s="37"/>
      <c r="E235" s="38"/>
      <c r="F235" s="37"/>
      <c r="G235" s="38"/>
      <c r="H235" s="38"/>
      <c r="I235" s="37"/>
      <c r="J235" s="37"/>
      <c r="K235" s="36"/>
      <c r="L235" s="37"/>
      <c r="M235" s="103"/>
      <c r="N235" s="103"/>
      <c r="O235" s="103"/>
      <c r="P235" s="103"/>
      <c r="Q235" s="38"/>
      <c r="R235" s="38"/>
      <c r="S235" s="104"/>
    </row>
    <row r="236" customFormat="false" ht="27.75" hidden="false" customHeight="true" outlineLevel="0" collapsed="false">
      <c r="A236" s="36"/>
      <c r="B236" s="37"/>
      <c r="C236" s="37"/>
      <c r="D236" s="37"/>
      <c r="E236" s="38"/>
      <c r="F236" s="37"/>
      <c r="G236" s="38"/>
      <c r="H236" s="38"/>
      <c r="I236" s="37"/>
      <c r="J236" s="37"/>
      <c r="K236" s="36"/>
      <c r="L236" s="37"/>
      <c r="M236" s="103"/>
      <c r="N236" s="103"/>
      <c r="O236" s="103"/>
      <c r="P236" s="103"/>
      <c r="Q236" s="38"/>
      <c r="R236" s="38"/>
      <c r="S236" s="104"/>
    </row>
    <row r="237" customFormat="false" ht="27.75" hidden="false" customHeight="true" outlineLevel="0" collapsed="false">
      <c r="A237" s="36"/>
      <c r="B237" s="37"/>
      <c r="C237" s="37"/>
      <c r="D237" s="37"/>
      <c r="E237" s="38"/>
      <c r="F237" s="37"/>
      <c r="G237" s="38"/>
      <c r="H237" s="38"/>
      <c r="I237" s="37"/>
      <c r="J237" s="37"/>
      <c r="K237" s="36"/>
      <c r="L237" s="37"/>
      <c r="M237" s="103"/>
      <c r="N237" s="103"/>
      <c r="O237" s="103"/>
      <c r="P237" s="103"/>
      <c r="Q237" s="38"/>
      <c r="R237" s="38"/>
      <c r="S237" s="104"/>
    </row>
    <row r="238" customFormat="false" ht="27.75" hidden="false" customHeight="true" outlineLevel="0" collapsed="false">
      <c r="A238" s="36"/>
      <c r="B238" s="37"/>
      <c r="C238" s="37"/>
      <c r="D238" s="37"/>
      <c r="E238" s="38"/>
      <c r="F238" s="37"/>
      <c r="G238" s="38"/>
      <c r="H238" s="38"/>
      <c r="I238" s="37"/>
      <c r="J238" s="37"/>
      <c r="K238" s="36"/>
      <c r="L238" s="37"/>
      <c r="M238" s="103"/>
      <c r="N238" s="103"/>
      <c r="O238" s="103"/>
      <c r="P238" s="103"/>
      <c r="Q238" s="38"/>
      <c r="R238" s="38"/>
      <c r="S238" s="104"/>
    </row>
    <row r="239" customFormat="false" ht="27.75" hidden="false" customHeight="true" outlineLevel="0" collapsed="false">
      <c r="A239" s="36"/>
      <c r="B239" s="37"/>
      <c r="C239" s="37"/>
      <c r="D239" s="37"/>
      <c r="E239" s="38"/>
      <c r="F239" s="37"/>
      <c r="G239" s="38"/>
      <c r="H239" s="38"/>
      <c r="I239" s="37"/>
      <c r="J239" s="37"/>
      <c r="K239" s="36"/>
      <c r="L239" s="37"/>
      <c r="M239" s="103"/>
      <c r="N239" s="103"/>
      <c r="O239" s="103"/>
      <c r="P239" s="103"/>
      <c r="Q239" s="38"/>
      <c r="R239" s="38"/>
      <c r="S239" s="104"/>
    </row>
    <row r="240" customFormat="false" ht="27.75" hidden="false" customHeight="true" outlineLevel="0" collapsed="false">
      <c r="A240" s="36"/>
      <c r="B240" s="37"/>
      <c r="C240" s="37"/>
      <c r="D240" s="37"/>
      <c r="E240" s="38"/>
      <c r="F240" s="37"/>
      <c r="G240" s="38"/>
      <c r="H240" s="38"/>
      <c r="I240" s="37"/>
      <c r="J240" s="37"/>
      <c r="K240" s="36"/>
      <c r="L240" s="37"/>
      <c r="M240" s="103"/>
      <c r="N240" s="103"/>
      <c r="O240" s="103"/>
      <c r="P240" s="103"/>
      <c r="Q240" s="38"/>
      <c r="R240" s="38"/>
      <c r="S240" s="104"/>
    </row>
    <row r="241" customFormat="false" ht="27.75" hidden="false" customHeight="true" outlineLevel="0" collapsed="false">
      <c r="A241" s="36"/>
      <c r="B241" s="37"/>
      <c r="C241" s="37"/>
      <c r="D241" s="37"/>
      <c r="E241" s="38"/>
      <c r="F241" s="37"/>
      <c r="G241" s="38"/>
      <c r="H241" s="38"/>
      <c r="I241" s="37"/>
      <c r="J241" s="37"/>
      <c r="K241" s="36"/>
      <c r="L241" s="37"/>
      <c r="M241" s="103"/>
      <c r="N241" s="103"/>
      <c r="O241" s="103"/>
      <c r="P241" s="103"/>
      <c r="Q241" s="38"/>
      <c r="R241" s="38"/>
      <c r="S241" s="104"/>
    </row>
    <row r="242" customFormat="false" ht="27.75" hidden="false" customHeight="true" outlineLevel="0" collapsed="false">
      <c r="A242" s="36"/>
      <c r="B242" s="37"/>
      <c r="C242" s="37"/>
      <c r="D242" s="37"/>
      <c r="E242" s="38"/>
      <c r="F242" s="37"/>
      <c r="G242" s="38"/>
      <c r="H242" s="38"/>
      <c r="I242" s="37"/>
      <c r="J242" s="37"/>
      <c r="K242" s="36"/>
      <c r="L242" s="37"/>
      <c r="M242" s="103"/>
      <c r="N242" s="103"/>
      <c r="O242" s="103"/>
      <c r="P242" s="103"/>
      <c r="Q242" s="38"/>
      <c r="R242" s="38"/>
      <c r="S242" s="104"/>
    </row>
    <row r="243" customFormat="false" ht="27.75" hidden="false" customHeight="true" outlineLevel="0" collapsed="false">
      <c r="A243" s="36"/>
      <c r="B243" s="37"/>
      <c r="C243" s="37"/>
      <c r="D243" s="37"/>
      <c r="E243" s="38"/>
      <c r="F243" s="37"/>
      <c r="G243" s="38"/>
      <c r="H243" s="38"/>
      <c r="I243" s="37"/>
      <c r="J243" s="37"/>
      <c r="K243" s="36"/>
      <c r="L243" s="37"/>
      <c r="M243" s="103"/>
      <c r="N243" s="103"/>
      <c r="O243" s="103"/>
      <c r="P243" s="103"/>
      <c r="Q243" s="38"/>
      <c r="R243" s="38"/>
      <c r="S243" s="104"/>
    </row>
    <row r="244" customFormat="false" ht="27.75" hidden="false" customHeight="true" outlineLevel="0" collapsed="false">
      <c r="A244" s="36"/>
      <c r="B244" s="37"/>
      <c r="C244" s="37"/>
      <c r="D244" s="37"/>
      <c r="E244" s="38"/>
      <c r="F244" s="37"/>
      <c r="G244" s="38"/>
      <c r="H244" s="38"/>
      <c r="I244" s="37"/>
      <c r="J244" s="37"/>
      <c r="K244" s="36"/>
      <c r="L244" s="37"/>
      <c r="M244" s="103"/>
      <c r="N244" s="103"/>
      <c r="O244" s="103"/>
      <c r="P244" s="103"/>
      <c r="Q244" s="38"/>
      <c r="R244" s="38"/>
      <c r="S244" s="104"/>
    </row>
    <row r="245" customFormat="false" ht="27.75" hidden="false" customHeight="true" outlineLevel="0" collapsed="false">
      <c r="A245" s="36"/>
      <c r="B245" s="37"/>
      <c r="C245" s="37"/>
      <c r="D245" s="37"/>
      <c r="E245" s="38"/>
      <c r="F245" s="37"/>
      <c r="G245" s="38"/>
      <c r="H245" s="38"/>
      <c r="I245" s="37"/>
      <c r="J245" s="37"/>
      <c r="K245" s="36"/>
      <c r="L245" s="37"/>
      <c r="M245" s="103"/>
      <c r="N245" s="103"/>
      <c r="O245" s="103"/>
      <c r="P245" s="103"/>
      <c r="Q245" s="38"/>
      <c r="R245" s="38"/>
      <c r="S245" s="104"/>
    </row>
    <row r="246" customFormat="false" ht="27.75" hidden="false" customHeight="true" outlineLevel="0" collapsed="false">
      <c r="A246" s="36"/>
      <c r="B246" s="37"/>
      <c r="C246" s="37"/>
      <c r="D246" s="37"/>
      <c r="E246" s="38"/>
      <c r="F246" s="37"/>
      <c r="G246" s="38"/>
      <c r="H246" s="38"/>
      <c r="I246" s="37"/>
      <c r="J246" s="37"/>
      <c r="K246" s="36"/>
      <c r="L246" s="37"/>
      <c r="M246" s="103"/>
      <c r="N246" s="103"/>
      <c r="O246" s="103"/>
      <c r="P246" s="103"/>
      <c r="Q246" s="38"/>
      <c r="R246" s="38"/>
      <c r="S246" s="104"/>
    </row>
    <row r="247" customFormat="false" ht="27.75" hidden="false" customHeight="true" outlineLevel="0" collapsed="false">
      <c r="A247" s="36"/>
      <c r="B247" s="37"/>
      <c r="C247" s="37"/>
      <c r="D247" s="37"/>
      <c r="E247" s="38"/>
      <c r="F247" s="37"/>
      <c r="G247" s="38"/>
      <c r="H247" s="38"/>
      <c r="I247" s="37"/>
      <c r="J247" s="37"/>
      <c r="K247" s="36"/>
      <c r="L247" s="37"/>
      <c r="M247" s="103"/>
      <c r="N247" s="103"/>
      <c r="O247" s="103"/>
      <c r="P247" s="103"/>
      <c r="Q247" s="38"/>
      <c r="R247" s="38"/>
      <c r="S247" s="104"/>
    </row>
    <row r="248" customFormat="false" ht="27.75" hidden="false" customHeight="true" outlineLevel="0" collapsed="false">
      <c r="A248" s="36"/>
      <c r="B248" s="37"/>
      <c r="C248" s="37"/>
      <c r="D248" s="37"/>
      <c r="E248" s="38"/>
      <c r="F248" s="37"/>
      <c r="G248" s="38"/>
      <c r="H248" s="38"/>
      <c r="I248" s="37"/>
      <c r="J248" s="37"/>
      <c r="K248" s="36"/>
      <c r="L248" s="37"/>
      <c r="M248" s="103"/>
      <c r="N248" s="103"/>
      <c r="O248" s="103"/>
      <c r="P248" s="103"/>
      <c r="Q248" s="38"/>
      <c r="R248" s="38"/>
      <c r="S248" s="104"/>
    </row>
    <row r="249" customFormat="false" ht="27.75" hidden="false" customHeight="true" outlineLevel="0" collapsed="false">
      <c r="A249" s="36"/>
      <c r="B249" s="37"/>
      <c r="C249" s="37"/>
      <c r="D249" s="37"/>
      <c r="E249" s="38"/>
      <c r="F249" s="37"/>
      <c r="G249" s="38"/>
      <c r="H249" s="38"/>
      <c r="I249" s="37"/>
      <c r="J249" s="37"/>
      <c r="K249" s="36"/>
      <c r="L249" s="37"/>
      <c r="M249" s="103"/>
      <c r="N249" s="103"/>
      <c r="O249" s="103"/>
      <c r="P249" s="103"/>
      <c r="Q249" s="38"/>
      <c r="R249" s="38"/>
      <c r="S249" s="104"/>
    </row>
    <row r="250" customFormat="false" ht="27.75" hidden="false" customHeight="true" outlineLevel="0" collapsed="false">
      <c r="A250" s="36"/>
      <c r="B250" s="37"/>
      <c r="C250" s="37"/>
      <c r="D250" s="37"/>
      <c r="E250" s="38"/>
      <c r="F250" s="37"/>
      <c r="G250" s="38"/>
      <c r="H250" s="38"/>
      <c r="I250" s="37"/>
      <c r="J250" s="37"/>
      <c r="K250" s="36"/>
      <c r="L250" s="37"/>
      <c r="M250" s="103"/>
      <c r="N250" s="103"/>
      <c r="O250" s="103"/>
      <c r="P250" s="103"/>
      <c r="Q250" s="38"/>
      <c r="R250" s="38"/>
      <c r="S250" s="104"/>
    </row>
    <row r="251" customFormat="false" ht="27.75" hidden="false" customHeight="true" outlineLevel="0" collapsed="false">
      <c r="A251" s="36"/>
      <c r="B251" s="37"/>
      <c r="C251" s="37"/>
      <c r="D251" s="37"/>
      <c r="E251" s="38"/>
      <c r="F251" s="37"/>
      <c r="G251" s="38"/>
      <c r="H251" s="38"/>
      <c r="I251" s="37"/>
      <c r="J251" s="37"/>
      <c r="K251" s="36"/>
      <c r="L251" s="37"/>
      <c r="M251" s="103"/>
      <c r="N251" s="103"/>
      <c r="O251" s="103"/>
      <c r="P251" s="103"/>
      <c r="Q251" s="38"/>
      <c r="R251" s="38"/>
      <c r="S251" s="104"/>
    </row>
    <row r="252" customFormat="false" ht="27.75" hidden="false" customHeight="true" outlineLevel="0" collapsed="false">
      <c r="A252" s="36"/>
      <c r="B252" s="37"/>
      <c r="C252" s="37"/>
      <c r="D252" s="37"/>
      <c r="E252" s="38"/>
      <c r="F252" s="37"/>
      <c r="G252" s="38"/>
      <c r="H252" s="38"/>
      <c r="I252" s="37"/>
      <c r="J252" s="37"/>
      <c r="K252" s="36"/>
      <c r="L252" s="37"/>
      <c r="M252" s="103"/>
      <c r="N252" s="103"/>
      <c r="O252" s="103"/>
      <c r="P252" s="103"/>
      <c r="Q252" s="38"/>
      <c r="R252" s="38"/>
      <c r="S252" s="104"/>
    </row>
    <row r="253" customFormat="false" ht="27.75" hidden="false" customHeight="true" outlineLevel="0" collapsed="false">
      <c r="A253" s="36"/>
      <c r="B253" s="37"/>
      <c r="C253" s="37"/>
      <c r="D253" s="37"/>
      <c r="E253" s="38"/>
      <c r="F253" s="37"/>
      <c r="G253" s="38"/>
      <c r="H253" s="38"/>
      <c r="I253" s="37"/>
      <c r="J253" s="37"/>
      <c r="K253" s="36"/>
      <c r="L253" s="37"/>
      <c r="M253" s="103"/>
      <c r="N253" s="103"/>
      <c r="O253" s="103"/>
      <c r="P253" s="103"/>
      <c r="Q253" s="38"/>
      <c r="R253" s="38"/>
      <c r="S253" s="104"/>
    </row>
    <row r="254" customFormat="false" ht="27.75" hidden="false" customHeight="true" outlineLevel="0" collapsed="false">
      <c r="A254" s="36"/>
      <c r="B254" s="37"/>
      <c r="C254" s="37"/>
      <c r="D254" s="37"/>
      <c r="E254" s="38"/>
      <c r="F254" s="37"/>
      <c r="G254" s="38"/>
      <c r="H254" s="38"/>
      <c r="I254" s="37"/>
      <c r="J254" s="37"/>
      <c r="K254" s="36"/>
      <c r="L254" s="37"/>
      <c r="M254" s="103"/>
      <c r="N254" s="103"/>
      <c r="O254" s="103"/>
      <c r="P254" s="103"/>
      <c r="Q254" s="38"/>
      <c r="R254" s="38"/>
      <c r="S254" s="104"/>
    </row>
    <row r="255" customFormat="false" ht="27.75" hidden="false" customHeight="true" outlineLevel="0" collapsed="false">
      <c r="A255" s="36"/>
      <c r="B255" s="37"/>
      <c r="C255" s="37"/>
      <c r="D255" s="37"/>
      <c r="E255" s="38"/>
      <c r="F255" s="37"/>
      <c r="G255" s="38"/>
      <c r="H255" s="38"/>
      <c r="I255" s="37"/>
      <c r="J255" s="37"/>
      <c r="K255" s="36"/>
      <c r="L255" s="37"/>
      <c r="M255" s="103"/>
      <c r="N255" s="103"/>
      <c r="O255" s="103"/>
      <c r="P255" s="103"/>
      <c r="Q255" s="38"/>
      <c r="R255" s="38"/>
      <c r="S255" s="104"/>
    </row>
    <row r="256" customFormat="false" ht="27.75" hidden="false" customHeight="true" outlineLevel="0" collapsed="false">
      <c r="A256" s="36"/>
      <c r="B256" s="37"/>
      <c r="C256" s="37"/>
      <c r="D256" s="37"/>
      <c r="E256" s="38"/>
      <c r="F256" s="37"/>
      <c r="G256" s="38"/>
      <c r="H256" s="38"/>
      <c r="I256" s="37"/>
      <c r="J256" s="37"/>
      <c r="K256" s="36"/>
      <c r="L256" s="37"/>
      <c r="M256" s="103"/>
      <c r="N256" s="103"/>
      <c r="O256" s="103"/>
      <c r="P256" s="103"/>
      <c r="Q256" s="38"/>
      <c r="R256" s="38"/>
      <c r="S256" s="104"/>
    </row>
    <row r="257" customFormat="false" ht="27.75" hidden="false" customHeight="true" outlineLevel="0" collapsed="false">
      <c r="A257" s="36"/>
      <c r="B257" s="37"/>
      <c r="C257" s="37"/>
      <c r="D257" s="37"/>
      <c r="E257" s="38"/>
      <c r="F257" s="37"/>
      <c r="G257" s="38"/>
      <c r="H257" s="38"/>
      <c r="I257" s="37"/>
      <c r="J257" s="37"/>
      <c r="K257" s="36"/>
      <c r="L257" s="37"/>
      <c r="M257" s="103"/>
      <c r="N257" s="103"/>
      <c r="O257" s="103"/>
      <c r="P257" s="103"/>
      <c r="Q257" s="38"/>
      <c r="R257" s="38"/>
      <c r="S257" s="104"/>
    </row>
    <row r="258" customFormat="false" ht="27.75" hidden="false" customHeight="true" outlineLevel="0" collapsed="false">
      <c r="A258" s="36"/>
      <c r="B258" s="37"/>
      <c r="C258" s="37"/>
      <c r="D258" s="37"/>
      <c r="E258" s="38"/>
      <c r="F258" s="37"/>
      <c r="G258" s="38"/>
      <c r="H258" s="38"/>
      <c r="I258" s="37"/>
      <c r="J258" s="37"/>
      <c r="K258" s="36"/>
      <c r="L258" s="37"/>
      <c r="M258" s="103"/>
      <c r="N258" s="103"/>
      <c r="O258" s="103"/>
      <c r="P258" s="103"/>
      <c r="Q258" s="38"/>
      <c r="R258" s="38"/>
      <c r="S258" s="104"/>
    </row>
    <row r="259" customFormat="false" ht="27.75" hidden="false" customHeight="true" outlineLevel="0" collapsed="false">
      <c r="A259" s="36"/>
      <c r="B259" s="37"/>
      <c r="C259" s="37"/>
      <c r="D259" s="37"/>
      <c r="E259" s="38"/>
      <c r="F259" s="37"/>
      <c r="G259" s="38"/>
      <c r="H259" s="38"/>
      <c r="I259" s="37"/>
      <c r="J259" s="37"/>
      <c r="K259" s="36"/>
      <c r="L259" s="37"/>
      <c r="M259" s="103"/>
      <c r="N259" s="103"/>
      <c r="O259" s="103"/>
      <c r="P259" s="103"/>
      <c r="Q259" s="38"/>
      <c r="R259" s="38"/>
      <c r="S259" s="104"/>
    </row>
    <row r="260" customFormat="false" ht="27.75" hidden="false" customHeight="true" outlineLevel="0" collapsed="false">
      <c r="A260" s="36"/>
      <c r="B260" s="37"/>
      <c r="C260" s="37"/>
      <c r="D260" s="37"/>
      <c r="E260" s="38"/>
      <c r="F260" s="37"/>
      <c r="G260" s="38"/>
      <c r="H260" s="38"/>
      <c r="I260" s="37"/>
      <c r="J260" s="37"/>
      <c r="K260" s="36"/>
      <c r="L260" s="37"/>
      <c r="M260" s="103"/>
      <c r="N260" s="103"/>
      <c r="O260" s="103"/>
      <c r="P260" s="103"/>
      <c r="Q260" s="38"/>
      <c r="R260" s="38"/>
      <c r="S260" s="104"/>
    </row>
    <row r="261" customFormat="false" ht="27.75" hidden="false" customHeight="true" outlineLevel="0" collapsed="false">
      <c r="A261" s="36"/>
      <c r="B261" s="37"/>
      <c r="C261" s="37"/>
      <c r="D261" s="37"/>
      <c r="E261" s="38"/>
      <c r="F261" s="37"/>
      <c r="G261" s="38"/>
      <c r="H261" s="38"/>
      <c r="I261" s="37"/>
      <c r="J261" s="37"/>
      <c r="K261" s="36"/>
      <c r="L261" s="37"/>
      <c r="M261" s="103"/>
      <c r="N261" s="103"/>
      <c r="O261" s="103"/>
      <c r="P261" s="103"/>
      <c r="Q261" s="38"/>
      <c r="R261" s="38"/>
      <c r="S261" s="104"/>
    </row>
    <row r="262" customFormat="false" ht="27.75" hidden="false" customHeight="true" outlineLevel="0" collapsed="false">
      <c r="A262" s="36"/>
      <c r="B262" s="37"/>
      <c r="C262" s="37"/>
      <c r="D262" s="37"/>
      <c r="E262" s="38"/>
      <c r="F262" s="37"/>
      <c r="G262" s="38"/>
      <c r="H262" s="38"/>
      <c r="I262" s="37"/>
      <c r="J262" s="37"/>
      <c r="K262" s="36"/>
      <c r="L262" s="37"/>
      <c r="M262" s="103"/>
      <c r="N262" s="103"/>
      <c r="O262" s="103"/>
      <c r="P262" s="103"/>
      <c r="Q262" s="38"/>
      <c r="R262" s="38"/>
      <c r="S262" s="104"/>
    </row>
    <row r="263" customFormat="false" ht="27.75" hidden="false" customHeight="true" outlineLevel="0" collapsed="false">
      <c r="A263" s="36"/>
      <c r="B263" s="37"/>
      <c r="C263" s="37"/>
      <c r="D263" s="37"/>
      <c r="E263" s="38"/>
      <c r="F263" s="37"/>
      <c r="G263" s="38"/>
      <c r="H263" s="38"/>
      <c r="I263" s="37"/>
      <c r="J263" s="37"/>
      <c r="K263" s="36"/>
      <c r="L263" s="37"/>
      <c r="M263" s="103"/>
      <c r="N263" s="103"/>
      <c r="O263" s="103"/>
      <c r="P263" s="103"/>
      <c r="Q263" s="38"/>
      <c r="R263" s="38"/>
      <c r="S263" s="104"/>
    </row>
    <row r="264" customFormat="false" ht="27.75" hidden="false" customHeight="true" outlineLevel="0" collapsed="false">
      <c r="A264" s="36"/>
      <c r="B264" s="37"/>
      <c r="C264" s="37"/>
      <c r="D264" s="37"/>
      <c r="E264" s="38"/>
      <c r="F264" s="37"/>
      <c r="G264" s="38"/>
      <c r="H264" s="38"/>
      <c r="I264" s="37"/>
      <c r="J264" s="37"/>
      <c r="K264" s="36"/>
      <c r="L264" s="37"/>
      <c r="M264" s="103"/>
      <c r="N264" s="103"/>
      <c r="O264" s="103"/>
      <c r="P264" s="103"/>
      <c r="Q264" s="38"/>
      <c r="R264" s="38"/>
      <c r="S264" s="104"/>
    </row>
    <row r="265" customFormat="false" ht="27.75" hidden="false" customHeight="true" outlineLevel="0" collapsed="false">
      <c r="A265" s="36"/>
      <c r="B265" s="37"/>
      <c r="C265" s="37"/>
      <c r="D265" s="37"/>
      <c r="E265" s="38"/>
      <c r="F265" s="37"/>
      <c r="G265" s="38"/>
      <c r="H265" s="38"/>
      <c r="I265" s="37"/>
      <c r="J265" s="37"/>
      <c r="K265" s="36"/>
      <c r="L265" s="37"/>
      <c r="M265" s="103"/>
      <c r="N265" s="103"/>
      <c r="O265" s="103"/>
      <c r="P265" s="103"/>
      <c r="Q265" s="38"/>
      <c r="R265" s="38"/>
      <c r="S265" s="104"/>
    </row>
    <row r="266" customFormat="false" ht="27.75" hidden="false" customHeight="true" outlineLevel="0" collapsed="false">
      <c r="A266" s="36"/>
      <c r="B266" s="37"/>
      <c r="C266" s="37"/>
      <c r="D266" s="37"/>
      <c r="E266" s="38"/>
      <c r="F266" s="37"/>
      <c r="G266" s="38"/>
      <c r="H266" s="38"/>
      <c r="I266" s="37"/>
      <c r="J266" s="37"/>
      <c r="K266" s="36"/>
      <c r="L266" s="37"/>
      <c r="M266" s="103"/>
      <c r="N266" s="103"/>
      <c r="O266" s="103"/>
      <c r="P266" s="103"/>
      <c r="Q266" s="38"/>
      <c r="R266" s="38"/>
      <c r="S266" s="104"/>
    </row>
    <row r="267" customFormat="false" ht="27.75" hidden="false" customHeight="true" outlineLevel="0" collapsed="false">
      <c r="A267" s="36"/>
      <c r="B267" s="37"/>
      <c r="C267" s="37"/>
      <c r="D267" s="37"/>
      <c r="E267" s="38"/>
      <c r="F267" s="37"/>
      <c r="G267" s="38"/>
      <c r="H267" s="38"/>
      <c r="I267" s="37"/>
      <c r="J267" s="37"/>
      <c r="K267" s="36"/>
      <c r="L267" s="37"/>
      <c r="M267" s="103"/>
      <c r="N267" s="103"/>
      <c r="O267" s="103"/>
      <c r="P267" s="103"/>
      <c r="Q267" s="38"/>
      <c r="R267" s="38"/>
      <c r="S267" s="104"/>
    </row>
    <row r="268" customFormat="false" ht="27.75" hidden="false" customHeight="true" outlineLevel="0" collapsed="false">
      <c r="A268" s="36"/>
      <c r="B268" s="37"/>
      <c r="C268" s="37"/>
      <c r="D268" s="37"/>
      <c r="E268" s="38"/>
      <c r="F268" s="37"/>
      <c r="G268" s="38"/>
      <c r="H268" s="38"/>
      <c r="I268" s="37"/>
      <c r="J268" s="37"/>
      <c r="K268" s="36"/>
      <c r="L268" s="37"/>
      <c r="M268" s="103"/>
      <c r="N268" s="103"/>
      <c r="O268" s="103"/>
      <c r="P268" s="103"/>
      <c r="Q268" s="38"/>
      <c r="R268" s="38"/>
      <c r="S268" s="104"/>
    </row>
    <row r="269" customFormat="false" ht="27.75" hidden="false" customHeight="true" outlineLevel="0" collapsed="false">
      <c r="A269" s="36"/>
      <c r="B269" s="37"/>
      <c r="C269" s="37"/>
      <c r="D269" s="37"/>
      <c r="E269" s="38"/>
      <c r="F269" s="37"/>
      <c r="G269" s="38"/>
      <c r="H269" s="38"/>
      <c r="I269" s="37"/>
      <c r="J269" s="37"/>
      <c r="K269" s="36"/>
      <c r="L269" s="37"/>
      <c r="M269" s="103"/>
      <c r="N269" s="103"/>
      <c r="O269" s="103"/>
      <c r="P269" s="103"/>
      <c r="Q269" s="38"/>
      <c r="R269" s="38"/>
      <c r="S269" s="104"/>
    </row>
    <row r="270" customFormat="false" ht="27.75" hidden="false" customHeight="true" outlineLevel="0" collapsed="false">
      <c r="A270" s="36"/>
      <c r="B270" s="37"/>
      <c r="C270" s="37"/>
      <c r="D270" s="37"/>
      <c r="E270" s="38"/>
      <c r="F270" s="37"/>
      <c r="G270" s="38"/>
      <c r="H270" s="38"/>
      <c r="I270" s="37"/>
      <c r="J270" s="37"/>
      <c r="K270" s="36"/>
      <c r="L270" s="37"/>
      <c r="M270" s="103"/>
      <c r="N270" s="103"/>
      <c r="O270" s="103"/>
      <c r="P270" s="103"/>
      <c r="Q270" s="38"/>
      <c r="R270" s="38"/>
      <c r="S270" s="104"/>
    </row>
    <row r="271" customFormat="false" ht="27.75" hidden="false" customHeight="true" outlineLevel="0" collapsed="false">
      <c r="A271" s="36"/>
      <c r="B271" s="37"/>
      <c r="C271" s="37"/>
      <c r="D271" s="37"/>
      <c r="E271" s="38"/>
      <c r="F271" s="37"/>
      <c r="G271" s="38"/>
      <c r="H271" s="38"/>
      <c r="I271" s="37"/>
      <c r="J271" s="37"/>
      <c r="K271" s="36"/>
      <c r="L271" s="37"/>
      <c r="M271" s="103"/>
      <c r="N271" s="103"/>
      <c r="O271" s="103"/>
      <c r="P271" s="103"/>
      <c r="Q271" s="38"/>
      <c r="R271" s="38"/>
      <c r="S271" s="104"/>
    </row>
    <row r="272" customFormat="false" ht="27.75" hidden="false" customHeight="true" outlineLevel="0" collapsed="false">
      <c r="A272" s="36"/>
      <c r="B272" s="37"/>
      <c r="C272" s="37"/>
      <c r="D272" s="37"/>
      <c r="E272" s="38"/>
      <c r="F272" s="37"/>
      <c r="G272" s="38"/>
      <c r="H272" s="38"/>
      <c r="I272" s="37"/>
      <c r="J272" s="37"/>
      <c r="K272" s="36"/>
      <c r="L272" s="37"/>
      <c r="M272" s="103"/>
      <c r="N272" s="103"/>
      <c r="O272" s="103"/>
      <c r="P272" s="103"/>
      <c r="Q272" s="38"/>
      <c r="R272" s="38"/>
      <c r="S272" s="104"/>
    </row>
    <row r="273" customFormat="false" ht="27.75" hidden="false" customHeight="true" outlineLevel="0" collapsed="false">
      <c r="A273" s="36"/>
      <c r="B273" s="37"/>
      <c r="C273" s="37"/>
      <c r="D273" s="37"/>
      <c r="E273" s="38"/>
      <c r="F273" s="37"/>
      <c r="G273" s="38"/>
      <c r="H273" s="38"/>
      <c r="I273" s="37"/>
      <c r="J273" s="37"/>
      <c r="K273" s="36"/>
      <c r="L273" s="37"/>
      <c r="M273" s="103"/>
      <c r="N273" s="103"/>
      <c r="O273" s="103"/>
      <c r="P273" s="103"/>
      <c r="Q273" s="38"/>
      <c r="R273" s="38"/>
      <c r="S273" s="104"/>
    </row>
    <row r="274" customFormat="false" ht="27.75" hidden="false" customHeight="true" outlineLevel="0" collapsed="false">
      <c r="A274" s="36"/>
      <c r="B274" s="37"/>
      <c r="C274" s="37"/>
      <c r="D274" s="37"/>
      <c r="E274" s="38"/>
      <c r="F274" s="37"/>
      <c r="G274" s="38"/>
      <c r="H274" s="38"/>
      <c r="I274" s="37"/>
      <c r="J274" s="37"/>
      <c r="K274" s="36"/>
      <c r="L274" s="37"/>
      <c r="M274" s="103"/>
      <c r="N274" s="103"/>
      <c r="O274" s="103"/>
      <c r="P274" s="103"/>
      <c r="Q274" s="38"/>
      <c r="R274" s="38"/>
      <c r="S274" s="104"/>
    </row>
    <row r="275" customFormat="false" ht="27.75" hidden="false" customHeight="true" outlineLevel="0" collapsed="false">
      <c r="A275" s="36"/>
      <c r="B275" s="37"/>
      <c r="C275" s="37"/>
      <c r="D275" s="37"/>
      <c r="E275" s="38"/>
      <c r="F275" s="37"/>
      <c r="G275" s="38"/>
      <c r="H275" s="38"/>
      <c r="I275" s="37"/>
      <c r="J275" s="37"/>
      <c r="K275" s="36"/>
      <c r="L275" s="37"/>
      <c r="M275" s="103"/>
      <c r="N275" s="103"/>
      <c r="O275" s="103"/>
      <c r="P275" s="103"/>
      <c r="Q275" s="38"/>
      <c r="R275" s="38"/>
      <c r="S275" s="104"/>
    </row>
    <row r="276" customFormat="false" ht="27.75" hidden="false" customHeight="true" outlineLevel="0" collapsed="false">
      <c r="A276" s="36"/>
      <c r="B276" s="37"/>
      <c r="C276" s="37"/>
      <c r="D276" s="37"/>
      <c r="E276" s="38"/>
      <c r="F276" s="37"/>
      <c r="G276" s="38"/>
      <c r="H276" s="38"/>
      <c r="I276" s="37"/>
      <c r="J276" s="37"/>
      <c r="K276" s="36"/>
      <c r="L276" s="37"/>
      <c r="M276" s="103"/>
      <c r="N276" s="103"/>
      <c r="O276" s="103"/>
      <c r="P276" s="103"/>
      <c r="Q276" s="38"/>
      <c r="R276" s="38"/>
      <c r="S276" s="104"/>
    </row>
    <row r="277" customFormat="false" ht="27.75" hidden="false" customHeight="true" outlineLevel="0" collapsed="false">
      <c r="A277" s="36"/>
      <c r="B277" s="37"/>
      <c r="C277" s="37"/>
      <c r="D277" s="37"/>
      <c r="E277" s="38"/>
      <c r="F277" s="37"/>
      <c r="G277" s="38"/>
      <c r="H277" s="38"/>
      <c r="I277" s="37"/>
      <c r="J277" s="37"/>
      <c r="K277" s="36"/>
      <c r="L277" s="37"/>
      <c r="M277" s="103"/>
      <c r="N277" s="103"/>
      <c r="O277" s="103"/>
      <c r="P277" s="103"/>
      <c r="Q277" s="38"/>
      <c r="R277" s="38"/>
      <c r="S277" s="104"/>
    </row>
    <row r="278" customFormat="false" ht="27.75" hidden="false" customHeight="true" outlineLevel="0" collapsed="false">
      <c r="A278" s="36"/>
      <c r="B278" s="37"/>
      <c r="C278" s="37"/>
      <c r="D278" s="37"/>
      <c r="E278" s="38"/>
      <c r="F278" s="37"/>
      <c r="G278" s="38"/>
      <c r="H278" s="38"/>
      <c r="I278" s="37"/>
      <c r="J278" s="37"/>
      <c r="K278" s="36"/>
      <c r="L278" s="37"/>
      <c r="M278" s="103"/>
      <c r="N278" s="103"/>
      <c r="O278" s="103"/>
      <c r="P278" s="103"/>
      <c r="Q278" s="38"/>
      <c r="R278" s="38"/>
      <c r="S278" s="104"/>
    </row>
    <row r="279" customFormat="false" ht="27.75" hidden="false" customHeight="true" outlineLevel="0" collapsed="false">
      <c r="A279" s="36"/>
      <c r="B279" s="37"/>
      <c r="C279" s="37"/>
      <c r="D279" s="37"/>
      <c r="E279" s="38"/>
      <c r="F279" s="37"/>
      <c r="G279" s="38"/>
      <c r="H279" s="38"/>
      <c r="I279" s="37"/>
      <c r="J279" s="37"/>
      <c r="K279" s="36"/>
      <c r="L279" s="37"/>
      <c r="M279" s="103"/>
      <c r="N279" s="103"/>
      <c r="O279" s="103"/>
      <c r="P279" s="103"/>
      <c r="Q279" s="38"/>
      <c r="R279" s="38"/>
      <c r="S279" s="104"/>
    </row>
    <row r="280" customFormat="false" ht="27.75" hidden="false" customHeight="true" outlineLevel="0" collapsed="false">
      <c r="A280" s="36"/>
      <c r="B280" s="37"/>
      <c r="C280" s="37"/>
      <c r="D280" s="37"/>
      <c r="E280" s="38"/>
      <c r="F280" s="37"/>
      <c r="G280" s="38"/>
      <c r="H280" s="38"/>
      <c r="I280" s="37"/>
      <c r="J280" s="37"/>
      <c r="K280" s="36"/>
      <c r="L280" s="37"/>
      <c r="M280" s="103"/>
      <c r="N280" s="103"/>
      <c r="O280" s="103"/>
      <c r="P280" s="103"/>
      <c r="Q280" s="38"/>
      <c r="R280" s="38"/>
      <c r="S280" s="104"/>
    </row>
    <row r="281" customFormat="false" ht="27.75" hidden="false" customHeight="true" outlineLevel="0" collapsed="false">
      <c r="A281" s="36"/>
      <c r="B281" s="37"/>
      <c r="C281" s="37"/>
      <c r="D281" s="37"/>
      <c r="E281" s="38"/>
      <c r="F281" s="37"/>
      <c r="G281" s="38"/>
      <c r="H281" s="38"/>
      <c r="I281" s="37"/>
      <c r="J281" s="37"/>
      <c r="K281" s="36"/>
      <c r="L281" s="37"/>
      <c r="M281" s="103"/>
      <c r="N281" s="103"/>
      <c r="O281" s="103"/>
      <c r="P281" s="103"/>
      <c r="Q281" s="38"/>
      <c r="R281" s="38"/>
      <c r="S281" s="104"/>
    </row>
    <row r="282" customFormat="false" ht="27.75" hidden="false" customHeight="true" outlineLevel="0" collapsed="false">
      <c r="A282" s="36"/>
      <c r="B282" s="37"/>
      <c r="C282" s="37"/>
      <c r="D282" s="37"/>
      <c r="E282" s="38"/>
      <c r="F282" s="37"/>
      <c r="G282" s="38"/>
      <c r="H282" s="38"/>
      <c r="I282" s="37"/>
      <c r="J282" s="37"/>
      <c r="K282" s="36"/>
      <c r="L282" s="37"/>
      <c r="M282" s="103"/>
      <c r="N282" s="103"/>
      <c r="O282" s="103"/>
      <c r="P282" s="103"/>
      <c r="Q282" s="38"/>
      <c r="R282" s="38"/>
      <c r="S282" s="104"/>
    </row>
    <row r="283" customFormat="false" ht="27.75" hidden="false" customHeight="true" outlineLevel="0" collapsed="false">
      <c r="A283" s="36"/>
      <c r="B283" s="37"/>
      <c r="C283" s="37"/>
      <c r="D283" s="37"/>
      <c r="E283" s="38"/>
      <c r="F283" s="37"/>
      <c r="G283" s="38"/>
      <c r="H283" s="38"/>
      <c r="I283" s="37"/>
      <c r="J283" s="37"/>
      <c r="K283" s="36"/>
      <c r="L283" s="37"/>
      <c r="M283" s="103"/>
      <c r="N283" s="103"/>
      <c r="O283" s="103"/>
      <c r="P283" s="103"/>
      <c r="Q283" s="38"/>
      <c r="R283" s="38"/>
      <c r="S283" s="104"/>
    </row>
    <row r="284" customFormat="false" ht="27.75" hidden="false" customHeight="true" outlineLevel="0" collapsed="false">
      <c r="A284" s="36"/>
      <c r="B284" s="37"/>
      <c r="C284" s="37"/>
      <c r="D284" s="37"/>
      <c r="E284" s="38"/>
      <c r="F284" s="37"/>
      <c r="G284" s="38"/>
      <c r="H284" s="38"/>
      <c r="I284" s="37"/>
      <c r="J284" s="37"/>
      <c r="K284" s="36"/>
      <c r="L284" s="37"/>
      <c r="M284" s="103"/>
      <c r="N284" s="103"/>
      <c r="O284" s="103"/>
      <c r="P284" s="103"/>
      <c r="Q284" s="38"/>
      <c r="R284" s="38"/>
      <c r="S284" s="104"/>
    </row>
    <row r="285" customFormat="false" ht="27.75" hidden="false" customHeight="true" outlineLevel="0" collapsed="false">
      <c r="A285" s="36"/>
      <c r="B285" s="37"/>
      <c r="C285" s="37"/>
      <c r="D285" s="37"/>
      <c r="E285" s="38"/>
      <c r="F285" s="37"/>
      <c r="G285" s="38"/>
      <c r="H285" s="38"/>
      <c r="I285" s="37"/>
      <c r="J285" s="37"/>
      <c r="K285" s="36"/>
      <c r="L285" s="37"/>
      <c r="M285" s="103"/>
      <c r="N285" s="103"/>
      <c r="O285" s="103"/>
      <c r="P285" s="103"/>
      <c r="Q285" s="38"/>
      <c r="R285" s="38"/>
      <c r="S285" s="104"/>
    </row>
    <row r="286" customFormat="false" ht="27.75" hidden="false" customHeight="true" outlineLevel="0" collapsed="false">
      <c r="A286" s="36"/>
      <c r="B286" s="37"/>
      <c r="C286" s="37"/>
      <c r="D286" s="37"/>
      <c r="E286" s="38"/>
      <c r="F286" s="37"/>
      <c r="G286" s="38"/>
      <c r="H286" s="38"/>
      <c r="I286" s="37"/>
      <c r="J286" s="37"/>
      <c r="K286" s="36"/>
      <c r="L286" s="37"/>
      <c r="M286" s="103"/>
      <c r="N286" s="103"/>
      <c r="O286" s="103"/>
      <c r="P286" s="103"/>
      <c r="Q286" s="38"/>
      <c r="R286" s="38"/>
      <c r="S286" s="104"/>
    </row>
    <row r="287" customFormat="false" ht="27.75" hidden="false" customHeight="true" outlineLevel="0" collapsed="false">
      <c r="A287" s="36"/>
      <c r="B287" s="37"/>
      <c r="C287" s="37"/>
      <c r="D287" s="37"/>
      <c r="E287" s="38"/>
      <c r="F287" s="37"/>
      <c r="G287" s="38"/>
      <c r="H287" s="38"/>
      <c r="I287" s="37"/>
      <c r="J287" s="37"/>
      <c r="K287" s="36"/>
      <c r="L287" s="37"/>
      <c r="M287" s="103"/>
      <c r="N287" s="103"/>
      <c r="O287" s="103"/>
      <c r="P287" s="103"/>
      <c r="Q287" s="38"/>
      <c r="R287" s="38"/>
      <c r="S287" s="104"/>
    </row>
    <row r="288" customFormat="false" ht="27.75" hidden="false" customHeight="true" outlineLevel="0" collapsed="false">
      <c r="A288" s="36"/>
      <c r="B288" s="37"/>
      <c r="C288" s="37"/>
      <c r="D288" s="37"/>
      <c r="E288" s="38"/>
      <c r="F288" s="37"/>
      <c r="G288" s="38"/>
      <c r="H288" s="38"/>
      <c r="I288" s="37"/>
      <c r="J288" s="37"/>
      <c r="K288" s="36"/>
      <c r="L288" s="37"/>
      <c r="M288" s="103"/>
      <c r="N288" s="103"/>
      <c r="O288" s="103"/>
      <c r="P288" s="103"/>
      <c r="Q288" s="38"/>
      <c r="R288" s="38"/>
      <c r="S288" s="104"/>
    </row>
    <row r="289" customFormat="false" ht="27.75" hidden="false" customHeight="true" outlineLevel="0" collapsed="false">
      <c r="A289" s="36"/>
      <c r="B289" s="37"/>
      <c r="C289" s="37"/>
      <c r="D289" s="37"/>
      <c r="E289" s="38"/>
      <c r="F289" s="37"/>
      <c r="G289" s="38"/>
      <c r="H289" s="38"/>
      <c r="I289" s="37"/>
      <c r="J289" s="37"/>
      <c r="K289" s="36"/>
      <c r="L289" s="37"/>
      <c r="M289" s="103"/>
      <c r="N289" s="103"/>
      <c r="O289" s="103"/>
      <c r="P289" s="103"/>
      <c r="Q289" s="38"/>
      <c r="R289" s="38"/>
      <c r="S289" s="104"/>
    </row>
    <row r="290" customFormat="false" ht="27.75" hidden="false" customHeight="true" outlineLevel="0" collapsed="false">
      <c r="A290" s="36"/>
      <c r="B290" s="37"/>
      <c r="C290" s="37"/>
      <c r="D290" s="37"/>
      <c r="E290" s="38"/>
      <c r="F290" s="37"/>
      <c r="G290" s="38"/>
      <c r="H290" s="38"/>
      <c r="I290" s="37"/>
      <c r="J290" s="37"/>
      <c r="K290" s="36"/>
      <c r="L290" s="37"/>
      <c r="M290" s="103"/>
      <c r="N290" s="103"/>
      <c r="O290" s="103"/>
      <c r="P290" s="103"/>
      <c r="Q290" s="38"/>
      <c r="R290" s="38"/>
      <c r="S290" s="104"/>
    </row>
    <row r="291" customFormat="false" ht="27.75" hidden="false" customHeight="true" outlineLevel="0" collapsed="false">
      <c r="A291" s="36"/>
      <c r="B291" s="37"/>
      <c r="C291" s="37"/>
      <c r="D291" s="37"/>
      <c r="E291" s="38"/>
      <c r="F291" s="37"/>
      <c r="G291" s="38"/>
      <c r="H291" s="38"/>
      <c r="I291" s="37"/>
      <c r="J291" s="37"/>
      <c r="K291" s="36"/>
      <c r="L291" s="37"/>
      <c r="M291" s="103"/>
      <c r="N291" s="103"/>
      <c r="O291" s="103"/>
      <c r="P291" s="103"/>
      <c r="Q291" s="38"/>
      <c r="R291" s="38"/>
      <c r="S291" s="104"/>
    </row>
    <row r="292" customFormat="false" ht="27.75" hidden="false" customHeight="true" outlineLevel="0" collapsed="false">
      <c r="A292" s="36"/>
      <c r="B292" s="37"/>
      <c r="C292" s="37"/>
      <c r="D292" s="37"/>
      <c r="E292" s="38"/>
      <c r="F292" s="37"/>
      <c r="G292" s="38"/>
      <c r="H292" s="38"/>
      <c r="I292" s="37"/>
      <c r="J292" s="37"/>
      <c r="K292" s="36"/>
      <c r="L292" s="37"/>
      <c r="M292" s="103"/>
      <c r="N292" s="103"/>
      <c r="O292" s="103"/>
      <c r="P292" s="103"/>
      <c r="Q292" s="38"/>
      <c r="R292" s="38"/>
      <c r="S292" s="104"/>
    </row>
    <row r="293" customFormat="false" ht="27.75" hidden="false" customHeight="true" outlineLevel="0" collapsed="false">
      <c r="A293" s="36"/>
      <c r="B293" s="37"/>
      <c r="C293" s="37"/>
      <c r="D293" s="37"/>
      <c r="E293" s="38"/>
      <c r="F293" s="37"/>
      <c r="G293" s="38"/>
      <c r="H293" s="38"/>
      <c r="I293" s="37"/>
      <c r="J293" s="37"/>
      <c r="K293" s="36"/>
      <c r="L293" s="37"/>
      <c r="M293" s="103"/>
      <c r="N293" s="103"/>
      <c r="O293" s="103"/>
      <c r="P293" s="103"/>
      <c r="Q293" s="38"/>
      <c r="R293" s="38"/>
      <c r="S293" s="104"/>
    </row>
    <row r="294" customFormat="false" ht="27.75" hidden="false" customHeight="true" outlineLevel="0" collapsed="false">
      <c r="A294" s="36"/>
      <c r="B294" s="37"/>
      <c r="C294" s="37"/>
      <c r="D294" s="37"/>
      <c r="E294" s="38"/>
      <c r="F294" s="37"/>
      <c r="G294" s="38"/>
      <c r="H294" s="38"/>
      <c r="I294" s="37"/>
      <c r="J294" s="37"/>
      <c r="K294" s="36"/>
      <c r="L294" s="37"/>
      <c r="M294" s="103"/>
      <c r="N294" s="103"/>
      <c r="O294" s="103"/>
      <c r="P294" s="103"/>
      <c r="Q294" s="38"/>
      <c r="R294" s="38"/>
      <c r="S294" s="104"/>
    </row>
    <row r="295" customFormat="false" ht="27.75" hidden="false" customHeight="true" outlineLevel="0" collapsed="false">
      <c r="A295" s="36"/>
      <c r="B295" s="37"/>
      <c r="C295" s="37"/>
      <c r="D295" s="37"/>
      <c r="E295" s="38"/>
      <c r="F295" s="37"/>
      <c r="G295" s="38"/>
      <c r="H295" s="38"/>
      <c r="I295" s="37"/>
      <c r="J295" s="37"/>
      <c r="K295" s="36"/>
      <c r="L295" s="37"/>
      <c r="M295" s="103"/>
      <c r="N295" s="103"/>
      <c r="O295" s="103"/>
      <c r="P295" s="103"/>
      <c r="Q295" s="38"/>
      <c r="R295" s="38"/>
      <c r="S295" s="104"/>
    </row>
    <row r="296" customFormat="false" ht="27.75" hidden="false" customHeight="true" outlineLevel="0" collapsed="false">
      <c r="A296" s="36"/>
      <c r="B296" s="37"/>
      <c r="C296" s="37"/>
      <c r="D296" s="37"/>
      <c r="E296" s="38"/>
      <c r="F296" s="37"/>
      <c r="G296" s="38"/>
      <c r="H296" s="38"/>
      <c r="I296" s="37"/>
      <c r="J296" s="37"/>
      <c r="K296" s="36"/>
      <c r="L296" s="37"/>
      <c r="M296" s="103"/>
      <c r="N296" s="103"/>
      <c r="O296" s="103"/>
      <c r="P296" s="103"/>
      <c r="Q296" s="38"/>
      <c r="R296" s="38"/>
      <c r="S296" s="104"/>
    </row>
    <row r="297" customFormat="false" ht="27.75" hidden="false" customHeight="true" outlineLevel="0" collapsed="false">
      <c r="A297" s="36"/>
      <c r="B297" s="37"/>
      <c r="C297" s="37"/>
      <c r="D297" s="37"/>
      <c r="E297" s="38"/>
      <c r="F297" s="37"/>
      <c r="G297" s="38"/>
      <c r="H297" s="38"/>
      <c r="I297" s="37"/>
      <c r="J297" s="37"/>
      <c r="K297" s="36"/>
      <c r="L297" s="37"/>
      <c r="M297" s="103"/>
      <c r="N297" s="103"/>
      <c r="O297" s="103"/>
      <c r="P297" s="103"/>
      <c r="Q297" s="38"/>
      <c r="R297" s="38"/>
      <c r="S297" s="104"/>
    </row>
    <row r="298" customFormat="false" ht="27.75" hidden="false" customHeight="true" outlineLevel="0" collapsed="false">
      <c r="A298" s="36"/>
      <c r="B298" s="37"/>
      <c r="C298" s="37"/>
      <c r="D298" s="37"/>
      <c r="E298" s="38"/>
      <c r="F298" s="37"/>
      <c r="G298" s="38"/>
      <c r="H298" s="38"/>
      <c r="I298" s="37"/>
      <c r="J298" s="37"/>
      <c r="K298" s="36"/>
      <c r="L298" s="37"/>
      <c r="M298" s="103"/>
      <c r="N298" s="103"/>
      <c r="O298" s="103"/>
      <c r="P298" s="103"/>
      <c r="Q298" s="38"/>
      <c r="R298" s="38"/>
      <c r="S298" s="104"/>
    </row>
    <row r="299" customFormat="false" ht="27.75" hidden="false" customHeight="true" outlineLevel="0" collapsed="false">
      <c r="A299" s="36"/>
      <c r="B299" s="37"/>
      <c r="C299" s="37"/>
      <c r="D299" s="37"/>
      <c r="E299" s="38"/>
      <c r="F299" s="37"/>
      <c r="G299" s="38"/>
      <c r="H299" s="38"/>
      <c r="I299" s="37"/>
      <c r="J299" s="37"/>
      <c r="K299" s="36"/>
      <c r="L299" s="37"/>
      <c r="M299" s="103"/>
      <c r="N299" s="103"/>
      <c r="O299" s="103"/>
      <c r="P299" s="103"/>
      <c r="Q299" s="38"/>
      <c r="R299" s="38"/>
      <c r="S299" s="104"/>
    </row>
    <row r="300" customFormat="false" ht="27.75" hidden="false" customHeight="true" outlineLevel="0" collapsed="false">
      <c r="A300" s="36"/>
      <c r="B300" s="37"/>
      <c r="C300" s="37"/>
      <c r="D300" s="37"/>
      <c r="E300" s="38"/>
      <c r="F300" s="37"/>
      <c r="G300" s="38"/>
      <c r="H300" s="38"/>
      <c r="I300" s="37"/>
      <c r="J300" s="37"/>
      <c r="K300" s="36"/>
      <c r="L300" s="37"/>
      <c r="M300" s="103"/>
      <c r="N300" s="103"/>
      <c r="O300" s="103"/>
      <c r="P300" s="103"/>
      <c r="Q300" s="38"/>
      <c r="R300" s="38"/>
      <c r="S300" s="104"/>
    </row>
    <row r="301" customFormat="false" ht="27.75" hidden="false" customHeight="true" outlineLevel="0" collapsed="false">
      <c r="A301" s="36"/>
      <c r="B301" s="37"/>
      <c r="C301" s="37"/>
      <c r="D301" s="37"/>
      <c r="E301" s="38"/>
      <c r="F301" s="37"/>
      <c r="G301" s="38"/>
      <c r="H301" s="38"/>
      <c r="I301" s="37"/>
      <c r="J301" s="37"/>
      <c r="K301" s="36"/>
      <c r="L301" s="37"/>
      <c r="M301" s="103"/>
      <c r="N301" s="103"/>
      <c r="O301" s="103"/>
      <c r="P301" s="103"/>
      <c r="Q301" s="38"/>
      <c r="R301" s="38"/>
      <c r="S301" s="104"/>
    </row>
    <row r="302" customFormat="false" ht="27.75" hidden="false" customHeight="true" outlineLevel="0" collapsed="false">
      <c r="A302" s="36"/>
      <c r="B302" s="37"/>
      <c r="C302" s="37"/>
      <c r="D302" s="37"/>
      <c r="E302" s="38"/>
      <c r="F302" s="37"/>
      <c r="G302" s="38"/>
      <c r="H302" s="38"/>
      <c r="I302" s="37"/>
      <c r="J302" s="37"/>
      <c r="K302" s="36"/>
      <c r="L302" s="37"/>
      <c r="M302" s="103"/>
      <c r="N302" s="103"/>
      <c r="O302" s="103"/>
      <c r="P302" s="103"/>
      <c r="Q302" s="38"/>
      <c r="R302" s="38"/>
      <c r="S302" s="104"/>
    </row>
    <row r="303" customFormat="false" ht="27.75" hidden="false" customHeight="true" outlineLevel="0" collapsed="false">
      <c r="A303" s="36"/>
      <c r="B303" s="37"/>
      <c r="C303" s="37"/>
      <c r="D303" s="37"/>
      <c r="E303" s="38"/>
      <c r="F303" s="37"/>
      <c r="G303" s="38"/>
      <c r="H303" s="38"/>
      <c r="I303" s="37"/>
      <c r="J303" s="37"/>
      <c r="K303" s="36"/>
      <c r="L303" s="37"/>
      <c r="M303" s="103"/>
      <c r="N303" s="103"/>
      <c r="O303" s="103"/>
      <c r="P303" s="103"/>
      <c r="Q303" s="38"/>
      <c r="R303" s="38"/>
      <c r="S303" s="104"/>
    </row>
    <row r="304" customFormat="false" ht="27.75" hidden="false" customHeight="true" outlineLevel="0" collapsed="false">
      <c r="A304" s="36"/>
      <c r="B304" s="37"/>
      <c r="C304" s="37"/>
      <c r="D304" s="37"/>
      <c r="E304" s="38"/>
      <c r="F304" s="37"/>
      <c r="G304" s="38"/>
      <c r="H304" s="38"/>
      <c r="I304" s="37"/>
      <c r="J304" s="37"/>
      <c r="K304" s="36"/>
      <c r="L304" s="37"/>
      <c r="M304" s="103"/>
      <c r="N304" s="103"/>
      <c r="O304" s="103"/>
      <c r="P304" s="103"/>
      <c r="Q304" s="38"/>
      <c r="R304" s="38"/>
      <c r="S304" s="104"/>
    </row>
    <row r="305" customFormat="false" ht="27.75" hidden="false" customHeight="true" outlineLevel="0" collapsed="false">
      <c r="A305" s="36"/>
      <c r="B305" s="37"/>
      <c r="C305" s="37"/>
      <c r="D305" s="37"/>
      <c r="E305" s="38"/>
      <c r="F305" s="37"/>
      <c r="G305" s="38"/>
      <c r="H305" s="38"/>
      <c r="I305" s="37"/>
      <c r="J305" s="37"/>
      <c r="K305" s="36"/>
      <c r="L305" s="37"/>
      <c r="M305" s="103"/>
      <c r="N305" s="103"/>
      <c r="O305" s="103"/>
      <c r="P305" s="103"/>
      <c r="Q305" s="38"/>
      <c r="R305" s="38"/>
      <c r="S305" s="104"/>
    </row>
    <row r="306" customFormat="false" ht="27.75" hidden="false" customHeight="true" outlineLevel="0" collapsed="false">
      <c r="A306" s="36"/>
      <c r="B306" s="37"/>
      <c r="C306" s="37"/>
      <c r="D306" s="37"/>
      <c r="E306" s="38"/>
      <c r="F306" s="37"/>
      <c r="G306" s="38"/>
      <c r="H306" s="38"/>
      <c r="I306" s="37"/>
      <c r="J306" s="37"/>
      <c r="K306" s="36"/>
      <c r="L306" s="37"/>
      <c r="M306" s="103"/>
      <c r="N306" s="103"/>
      <c r="O306" s="103"/>
      <c r="P306" s="103"/>
      <c r="Q306" s="38"/>
      <c r="R306" s="38"/>
      <c r="S306" s="104"/>
    </row>
    <row r="307" customFormat="false" ht="27.75" hidden="false" customHeight="true" outlineLevel="0" collapsed="false">
      <c r="A307" s="36"/>
      <c r="B307" s="37"/>
      <c r="C307" s="37"/>
      <c r="D307" s="37"/>
      <c r="E307" s="38"/>
      <c r="F307" s="37"/>
      <c r="G307" s="38"/>
      <c r="H307" s="38"/>
      <c r="I307" s="37"/>
      <c r="J307" s="37"/>
      <c r="K307" s="36"/>
      <c r="L307" s="37"/>
      <c r="M307" s="103"/>
      <c r="N307" s="103"/>
      <c r="O307" s="103"/>
      <c r="P307" s="103"/>
      <c r="Q307" s="38"/>
      <c r="R307" s="38"/>
      <c r="S307" s="104"/>
    </row>
    <row r="308" customFormat="false" ht="27.75" hidden="false" customHeight="true" outlineLevel="0" collapsed="false">
      <c r="A308" s="36"/>
      <c r="B308" s="37"/>
      <c r="C308" s="37"/>
      <c r="D308" s="37"/>
      <c r="E308" s="38"/>
      <c r="F308" s="37"/>
      <c r="G308" s="38"/>
      <c r="H308" s="38"/>
      <c r="I308" s="37"/>
      <c r="J308" s="37"/>
      <c r="K308" s="36"/>
      <c r="L308" s="37"/>
      <c r="M308" s="103"/>
      <c r="N308" s="103"/>
      <c r="O308" s="103"/>
      <c r="P308" s="103"/>
      <c r="Q308" s="38"/>
      <c r="R308" s="38"/>
      <c r="S308" s="104"/>
    </row>
    <row r="309" customFormat="false" ht="27.75" hidden="false" customHeight="true" outlineLevel="0" collapsed="false">
      <c r="A309" s="36"/>
      <c r="B309" s="37"/>
      <c r="C309" s="37"/>
      <c r="D309" s="37"/>
      <c r="E309" s="38"/>
      <c r="F309" s="37"/>
      <c r="G309" s="38"/>
      <c r="H309" s="38"/>
      <c r="I309" s="37"/>
      <c r="J309" s="37"/>
      <c r="K309" s="36"/>
      <c r="L309" s="37"/>
      <c r="M309" s="103"/>
      <c r="N309" s="103"/>
      <c r="O309" s="103"/>
      <c r="P309" s="103"/>
      <c r="Q309" s="38"/>
      <c r="R309" s="38"/>
      <c r="S309" s="104"/>
    </row>
    <row r="310" customFormat="false" ht="27.75" hidden="false" customHeight="true" outlineLevel="0" collapsed="false">
      <c r="A310" s="36"/>
      <c r="B310" s="37"/>
      <c r="C310" s="37"/>
      <c r="D310" s="37"/>
      <c r="E310" s="38"/>
      <c r="F310" s="37"/>
      <c r="G310" s="38"/>
      <c r="H310" s="38"/>
      <c r="I310" s="37"/>
      <c r="J310" s="37"/>
      <c r="K310" s="36"/>
      <c r="L310" s="37"/>
      <c r="M310" s="103"/>
      <c r="N310" s="103"/>
      <c r="O310" s="103"/>
      <c r="P310" s="103"/>
      <c r="Q310" s="38"/>
      <c r="R310" s="38"/>
      <c r="S310" s="104"/>
    </row>
    <row r="311" customFormat="false" ht="27.75" hidden="false" customHeight="true" outlineLevel="0" collapsed="false">
      <c r="A311" s="36"/>
      <c r="B311" s="37"/>
      <c r="C311" s="37"/>
      <c r="D311" s="37"/>
      <c r="E311" s="38"/>
      <c r="F311" s="37"/>
      <c r="G311" s="38"/>
      <c r="H311" s="38"/>
      <c r="I311" s="37"/>
      <c r="J311" s="37"/>
      <c r="K311" s="36"/>
      <c r="L311" s="37"/>
      <c r="M311" s="103"/>
      <c r="N311" s="103"/>
      <c r="O311" s="103"/>
      <c r="P311" s="103"/>
      <c r="Q311" s="38"/>
      <c r="R311" s="38"/>
      <c r="S311" s="104"/>
    </row>
    <row r="312" customFormat="false" ht="27.75" hidden="false" customHeight="true" outlineLevel="0" collapsed="false">
      <c r="A312" s="36"/>
      <c r="B312" s="37"/>
      <c r="C312" s="37"/>
      <c r="D312" s="37"/>
      <c r="E312" s="38"/>
      <c r="F312" s="37"/>
      <c r="G312" s="38"/>
      <c r="H312" s="38"/>
      <c r="I312" s="37"/>
      <c r="J312" s="37"/>
      <c r="K312" s="36"/>
      <c r="L312" s="37"/>
      <c r="M312" s="103"/>
      <c r="N312" s="103"/>
      <c r="O312" s="103"/>
      <c r="P312" s="103"/>
      <c r="Q312" s="38"/>
      <c r="R312" s="38"/>
      <c r="S312" s="104"/>
    </row>
    <row r="313" customFormat="false" ht="27.75" hidden="false" customHeight="true" outlineLevel="0" collapsed="false">
      <c r="A313" s="36"/>
      <c r="B313" s="37"/>
      <c r="C313" s="37"/>
      <c r="D313" s="37"/>
      <c r="E313" s="38"/>
      <c r="F313" s="37"/>
      <c r="G313" s="38"/>
      <c r="H313" s="38"/>
      <c r="I313" s="37"/>
      <c r="J313" s="37"/>
      <c r="K313" s="36"/>
      <c r="L313" s="37"/>
      <c r="M313" s="103"/>
      <c r="N313" s="103"/>
      <c r="O313" s="103"/>
      <c r="P313" s="103"/>
      <c r="Q313" s="38"/>
      <c r="R313" s="38"/>
      <c r="S313" s="104"/>
    </row>
    <row r="314" customFormat="false" ht="27.75" hidden="false" customHeight="true" outlineLevel="0" collapsed="false">
      <c r="A314" s="36"/>
      <c r="B314" s="37"/>
      <c r="C314" s="37"/>
      <c r="D314" s="37"/>
      <c r="E314" s="38"/>
      <c r="F314" s="37"/>
      <c r="G314" s="38"/>
      <c r="H314" s="38"/>
      <c r="I314" s="37"/>
      <c r="J314" s="37"/>
      <c r="K314" s="36"/>
      <c r="L314" s="37"/>
      <c r="M314" s="103"/>
      <c r="N314" s="103"/>
      <c r="O314" s="103"/>
      <c r="P314" s="103"/>
      <c r="Q314" s="38"/>
      <c r="R314" s="38"/>
      <c r="S314" s="104"/>
    </row>
    <row r="315" customFormat="false" ht="27.75" hidden="false" customHeight="true" outlineLevel="0" collapsed="false">
      <c r="A315" s="36"/>
      <c r="B315" s="37"/>
      <c r="C315" s="37"/>
      <c r="D315" s="37"/>
      <c r="E315" s="38"/>
      <c r="F315" s="37"/>
      <c r="G315" s="38"/>
      <c r="H315" s="38"/>
      <c r="I315" s="37"/>
      <c r="J315" s="37"/>
      <c r="K315" s="36"/>
      <c r="L315" s="37"/>
      <c r="M315" s="103"/>
      <c r="N315" s="103"/>
      <c r="O315" s="103"/>
      <c r="P315" s="103"/>
      <c r="Q315" s="38"/>
      <c r="R315" s="38"/>
      <c r="S315" s="104"/>
    </row>
    <row r="316" customFormat="false" ht="27.75" hidden="false" customHeight="true" outlineLevel="0" collapsed="false">
      <c r="A316" s="36"/>
      <c r="B316" s="37"/>
      <c r="C316" s="37"/>
      <c r="D316" s="37"/>
      <c r="E316" s="38"/>
      <c r="F316" s="37"/>
      <c r="G316" s="38"/>
      <c r="H316" s="38"/>
      <c r="I316" s="37"/>
      <c r="J316" s="37"/>
      <c r="K316" s="36"/>
      <c r="L316" s="37"/>
      <c r="M316" s="103"/>
      <c r="N316" s="103"/>
      <c r="O316" s="103"/>
      <c r="P316" s="103"/>
      <c r="Q316" s="38"/>
      <c r="R316" s="38"/>
      <c r="S316" s="104"/>
    </row>
    <row r="317" customFormat="false" ht="27.75" hidden="false" customHeight="true" outlineLevel="0" collapsed="false">
      <c r="A317" s="36"/>
      <c r="B317" s="37"/>
      <c r="C317" s="37"/>
      <c r="D317" s="37"/>
      <c r="E317" s="38"/>
      <c r="F317" s="37"/>
      <c r="G317" s="38"/>
      <c r="H317" s="38"/>
      <c r="I317" s="37"/>
      <c r="J317" s="37"/>
      <c r="K317" s="36"/>
      <c r="L317" s="37"/>
      <c r="M317" s="103"/>
      <c r="N317" s="103"/>
      <c r="O317" s="103"/>
      <c r="P317" s="103"/>
      <c r="Q317" s="38"/>
      <c r="R317" s="38"/>
      <c r="S317" s="104"/>
    </row>
    <row r="318" customFormat="false" ht="27.75" hidden="false" customHeight="true" outlineLevel="0" collapsed="false">
      <c r="A318" s="36"/>
      <c r="B318" s="37"/>
      <c r="C318" s="37"/>
      <c r="D318" s="37"/>
      <c r="E318" s="38"/>
      <c r="F318" s="37"/>
      <c r="G318" s="38"/>
      <c r="H318" s="38"/>
      <c r="I318" s="37"/>
      <c r="J318" s="37"/>
      <c r="K318" s="36"/>
      <c r="L318" s="37"/>
      <c r="M318" s="103"/>
      <c r="N318" s="103"/>
      <c r="O318" s="103"/>
      <c r="P318" s="103"/>
      <c r="Q318" s="38"/>
      <c r="R318" s="38"/>
      <c r="S318" s="104"/>
    </row>
    <row r="319" customFormat="false" ht="27.75" hidden="false" customHeight="true" outlineLevel="0" collapsed="false">
      <c r="A319" s="36"/>
      <c r="B319" s="37"/>
      <c r="C319" s="37"/>
      <c r="D319" s="37"/>
      <c r="E319" s="38"/>
      <c r="F319" s="37"/>
      <c r="G319" s="38"/>
      <c r="H319" s="38"/>
      <c r="I319" s="37"/>
      <c r="J319" s="37"/>
      <c r="K319" s="36"/>
      <c r="L319" s="37"/>
      <c r="M319" s="103"/>
      <c r="N319" s="103"/>
      <c r="O319" s="103"/>
      <c r="P319" s="103"/>
      <c r="Q319" s="38"/>
      <c r="R319" s="38"/>
      <c r="S319" s="104"/>
    </row>
    <row r="320" customFormat="false" ht="27.75" hidden="false" customHeight="true" outlineLevel="0" collapsed="false">
      <c r="A320" s="36"/>
      <c r="B320" s="37"/>
      <c r="C320" s="37"/>
      <c r="D320" s="37"/>
      <c r="E320" s="38"/>
      <c r="F320" s="37"/>
      <c r="G320" s="38"/>
      <c r="H320" s="38"/>
      <c r="I320" s="37"/>
      <c r="J320" s="37"/>
      <c r="K320" s="36"/>
      <c r="L320" s="37"/>
      <c r="M320" s="103"/>
      <c r="N320" s="103"/>
      <c r="O320" s="103"/>
      <c r="P320" s="103"/>
      <c r="Q320" s="38"/>
      <c r="R320" s="38"/>
      <c r="S320" s="104"/>
    </row>
    <row r="321" customFormat="false" ht="27.75" hidden="false" customHeight="true" outlineLevel="0" collapsed="false">
      <c r="A321" s="36"/>
      <c r="B321" s="37"/>
      <c r="C321" s="37"/>
      <c r="D321" s="37"/>
      <c r="E321" s="38"/>
      <c r="F321" s="37"/>
      <c r="G321" s="38"/>
      <c r="H321" s="38"/>
      <c r="I321" s="37"/>
      <c r="J321" s="37"/>
      <c r="K321" s="36"/>
      <c r="L321" s="37"/>
      <c r="M321" s="103"/>
      <c r="N321" s="103"/>
      <c r="O321" s="103"/>
      <c r="P321" s="103"/>
      <c r="Q321" s="38"/>
      <c r="R321" s="38"/>
      <c r="S321" s="104"/>
    </row>
    <row r="322" customFormat="false" ht="27.75" hidden="false" customHeight="true" outlineLevel="0" collapsed="false">
      <c r="A322" s="36"/>
      <c r="B322" s="37"/>
      <c r="C322" s="37"/>
      <c r="D322" s="37"/>
      <c r="E322" s="38"/>
      <c r="F322" s="37"/>
      <c r="G322" s="38"/>
      <c r="H322" s="38"/>
      <c r="I322" s="37"/>
      <c r="J322" s="37"/>
      <c r="K322" s="36"/>
      <c r="L322" s="37"/>
      <c r="M322" s="103"/>
      <c r="N322" s="103"/>
      <c r="O322" s="103"/>
      <c r="P322" s="103"/>
      <c r="Q322" s="38"/>
      <c r="R322" s="38"/>
      <c r="S322" s="104"/>
    </row>
    <row r="323" customFormat="false" ht="27.75" hidden="false" customHeight="true" outlineLevel="0" collapsed="false">
      <c r="A323" s="36"/>
      <c r="B323" s="37"/>
      <c r="C323" s="37"/>
      <c r="D323" s="37"/>
      <c r="E323" s="38"/>
      <c r="F323" s="37"/>
      <c r="G323" s="38"/>
      <c r="H323" s="38"/>
      <c r="I323" s="37"/>
      <c r="J323" s="37"/>
      <c r="K323" s="36"/>
      <c r="L323" s="37"/>
      <c r="M323" s="103"/>
      <c r="N323" s="103"/>
      <c r="O323" s="103"/>
      <c r="P323" s="103"/>
      <c r="Q323" s="38"/>
      <c r="R323" s="38"/>
      <c r="S323" s="104"/>
    </row>
    <row r="324" customFormat="false" ht="27.75" hidden="false" customHeight="true" outlineLevel="0" collapsed="false">
      <c r="A324" s="36"/>
      <c r="B324" s="37"/>
      <c r="C324" s="37"/>
      <c r="D324" s="37"/>
      <c r="E324" s="38"/>
      <c r="F324" s="37"/>
      <c r="G324" s="38"/>
      <c r="H324" s="38"/>
      <c r="I324" s="37"/>
      <c r="J324" s="37"/>
      <c r="K324" s="36"/>
      <c r="L324" s="37"/>
      <c r="M324" s="103"/>
      <c r="N324" s="103"/>
      <c r="O324" s="103"/>
      <c r="P324" s="103"/>
      <c r="Q324" s="38"/>
      <c r="R324" s="38"/>
      <c r="S324" s="104"/>
    </row>
    <row r="325" customFormat="false" ht="27.75" hidden="false" customHeight="true" outlineLevel="0" collapsed="false">
      <c r="A325" s="36"/>
      <c r="B325" s="37"/>
      <c r="C325" s="37"/>
      <c r="D325" s="37"/>
      <c r="E325" s="38"/>
      <c r="F325" s="37"/>
      <c r="G325" s="38"/>
      <c r="H325" s="38"/>
      <c r="I325" s="37"/>
      <c r="J325" s="37"/>
      <c r="K325" s="36"/>
      <c r="L325" s="37"/>
      <c r="M325" s="103"/>
      <c r="N325" s="103"/>
      <c r="O325" s="103"/>
      <c r="P325" s="103"/>
      <c r="Q325" s="38"/>
      <c r="R325" s="38"/>
      <c r="S325" s="104"/>
    </row>
    <row r="326" customFormat="false" ht="27.75" hidden="false" customHeight="true" outlineLevel="0" collapsed="false">
      <c r="A326" s="36"/>
      <c r="B326" s="37"/>
      <c r="C326" s="37"/>
      <c r="D326" s="37"/>
      <c r="E326" s="38"/>
      <c r="F326" s="37"/>
      <c r="G326" s="38"/>
      <c r="H326" s="38"/>
      <c r="I326" s="37"/>
      <c r="J326" s="37"/>
      <c r="K326" s="36"/>
      <c r="L326" s="37"/>
      <c r="M326" s="103"/>
      <c r="N326" s="103"/>
      <c r="O326" s="103"/>
      <c r="P326" s="103"/>
      <c r="Q326" s="38"/>
      <c r="R326" s="38"/>
      <c r="S326" s="104"/>
    </row>
    <row r="327" customFormat="false" ht="27.75" hidden="false" customHeight="true" outlineLevel="0" collapsed="false">
      <c r="A327" s="36"/>
      <c r="B327" s="37"/>
      <c r="C327" s="37"/>
      <c r="D327" s="37"/>
      <c r="E327" s="38"/>
      <c r="F327" s="37"/>
      <c r="G327" s="38"/>
      <c r="H327" s="38"/>
      <c r="I327" s="37"/>
      <c r="J327" s="37"/>
      <c r="K327" s="36"/>
      <c r="L327" s="37"/>
      <c r="M327" s="103"/>
      <c r="N327" s="103"/>
      <c r="O327" s="103"/>
      <c r="P327" s="103"/>
      <c r="Q327" s="38"/>
      <c r="R327" s="38"/>
      <c r="S327" s="104"/>
    </row>
    <row r="328" customFormat="false" ht="27.75" hidden="false" customHeight="true" outlineLevel="0" collapsed="false">
      <c r="A328" s="36"/>
      <c r="B328" s="37"/>
      <c r="C328" s="37"/>
      <c r="D328" s="37"/>
      <c r="E328" s="38"/>
      <c r="F328" s="37"/>
      <c r="G328" s="38"/>
      <c r="H328" s="38"/>
      <c r="I328" s="37"/>
      <c r="J328" s="37"/>
      <c r="K328" s="36"/>
      <c r="L328" s="37"/>
      <c r="M328" s="103"/>
      <c r="N328" s="103"/>
      <c r="O328" s="103"/>
      <c r="P328" s="103"/>
      <c r="Q328" s="38"/>
      <c r="R328" s="38"/>
      <c r="S328" s="104"/>
    </row>
    <row r="329" customFormat="false" ht="27.75" hidden="false" customHeight="true" outlineLevel="0" collapsed="false">
      <c r="A329" s="36"/>
      <c r="B329" s="37"/>
      <c r="C329" s="37"/>
      <c r="D329" s="37"/>
      <c r="E329" s="38"/>
      <c r="F329" s="37"/>
      <c r="G329" s="38"/>
      <c r="H329" s="38"/>
      <c r="I329" s="37"/>
      <c r="J329" s="37"/>
      <c r="K329" s="36"/>
      <c r="L329" s="37"/>
      <c r="M329" s="103"/>
      <c r="N329" s="103"/>
      <c r="O329" s="103"/>
      <c r="P329" s="103"/>
      <c r="Q329" s="38"/>
      <c r="R329" s="38"/>
      <c r="S329" s="104"/>
    </row>
    <row r="330" customFormat="false" ht="27.75" hidden="false" customHeight="true" outlineLevel="0" collapsed="false">
      <c r="A330" s="36"/>
      <c r="B330" s="37"/>
      <c r="C330" s="37"/>
      <c r="D330" s="37"/>
      <c r="E330" s="38"/>
      <c r="F330" s="37"/>
      <c r="G330" s="38"/>
      <c r="H330" s="38"/>
      <c r="I330" s="37"/>
      <c r="J330" s="37"/>
      <c r="K330" s="36"/>
      <c r="L330" s="37"/>
      <c r="M330" s="103"/>
      <c r="N330" s="103"/>
      <c r="O330" s="103"/>
      <c r="P330" s="103"/>
      <c r="Q330" s="38"/>
      <c r="R330" s="38"/>
      <c r="S330" s="104"/>
    </row>
    <row r="331" customFormat="false" ht="27.75" hidden="false" customHeight="true" outlineLevel="0" collapsed="false">
      <c r="A331" s="36"/>
      <c r="B331" s="37"/>
      <c r="C331" s="37"/>
      <c r="D331" s="37"/>
      <c r="E331" s="38"/>
      <c r="F331" s="37"/>
      <c r="G331" s="38"/>
      <c r="H331" s="38"/>
      <c r="I331" s="37"/>
      <c r="J331" s="37"/>
      <c r="K331" s="36"/>
      <c r="L331" s="37"/>
      <c r="M331" s="103"/>
      <c r="N331" s="103"/>
      <c r="O331" s="103"/>
      <c r="P331" s="103"/>
      <c r="Q331" s="38"/>
      <c r="R331" s="38"/>
      <c r="S331" s="104"/>
    </row>
    <row r="332" customFormat="false" ht="27.75" hidden="false" customHeight="true" outlineLevel="0" collapsed="false">
      <c r="A332" s="36"/>
      <c r="B332" s="37"/>
      <c r="C332" s="37"/>
      <c r="D332" s="37"/>
      <c r="E332" s="38"/>
      <c r="F332" s="37"/>
      <c r="G332" s="38"/>
      <c r="H332" s="38"/>
      <c r="I332" s="37"/>
      <c r="J332" s="37"/>
      <c r="K332" s="36"/>
      <c r="L332" s="37"/>
      <c r="M332" s="103"/>
      <c r="N332" s="103"/>
      <c r="O332" s="103"/>
      <c r="P332" s="103"/>
      <c r="Q332" s="38"/>
      <c r="R332" s="38"/>
      <c r="S332" s="104"/>
    </row>
    <row r="333" customFormat="false" ht="27.75" hidden="false" customHeight="true" outlineLevel="0" collapsed="false">
      <c r="A333" s="36"/>
      <c r="B333" s="37"/>
      <c r="C333" s="37"/>
      <c r="D333" s="37"/>
      <c r="E333" s="38"/>
      <c r="F333" s="37"/>
      <c r="G333" s="38"/>
      <c r="H333" s="38"/>
      <c r="I333" s="37"/>
      <c r="J333" s="37"/>
      <c r="K333" s="36"/>
      <c r="L333" s="37"/>
      <c r="M333" s="103"/>
      <c r="N333" s="103"/>
      <c r="O333" s="103"/>
      <c r="P333" s="103"/>
      <c r="Q333" s="38"/>
      <c r="R333" s="38"/>
      <c r="S333" s="104"/>
    </row>
    <row r="334" customFormat="false" ht="27.75" hidden="false" customHeight="true" outlineLevel="0" collapsed="false">
      <c r="A334" s="36"/>
      <c r="B334" s="37"/>
      <c r="C334" s="37"/>
      <c r="D334" s="37"/>
      <c r="E334" s="38"/>
      <c r="F334" s="37"/>
      <c r="G334" s="38"/>
      <c r="H334" s="38"/>
      <c r="I334" s="37"/>
      <c r="J334" s="37"/>
      <c r="K334" s="36"/>
      <c r="L334" s="37"/>
      <c r="M334" s="103"/>
      <c r="N334" s="103"/>
      <c r="O334" s="103"/>
      <c r="P334" s="103"/>
      <c r="Q334" s="38"/>
      <c r="R334" s="38"/>
      <c r="S334" s="104"/>
    </row>
    <row r="335" customFormat="false" ht="27.75" hidden="false" customHeight="true" outlineLevel="0" collapsed="false">
      <c r="A335" s="36"/>
      <c r="B335" s="37"/>
      <c r="C335" s="37"/>
      <c r="D335" s="37"/>
      <c r="E335" s="38"/>
      <c r="F335" s="37"/>
      <c r="G335" s="38"/>
      <c r="H335" s="38"/>
      <c r="I335" s="37"/>
      <c r="J335" s="37"/>
      <c r="K335" s="36"/>
      <c r="L335" s="37"/>
      <c r="M335" s="103"/>
      <c r="N335" s="103"/>
      <c r="O335" s="103"/>
      <c r="P335" s="103"/>
      <c r="Q335" s="38"/>
      <c r="R335" s="38"/>
      <c r="S335" s="104"/>
    </row>
    <row r="336" customFormat="false" ht="27.75" hidden="false" customHeight="true" outlineLevel="0" collapsed="false">
      <c r="A336" s="36"/>
      <c r="B336" s="37"/>
      <c r="C336" s="37"/>
      <c r="D336" s="37"/>
      <c r="E336" s="38"/>
      <c r="F336" s="37"/>
      <c r="G336" s="38"/>
      <c r="H336" s="38"/>
      <c r="I336" s="37"/>
      <c r="J336" s="37"/>
      <c r="K336" s="36"/>
      <c r="L336" s="37"/>
      <c r="M336" s="103"/>
      <c r="N336" s="103"/>
      <c r="O336" s="103"/>
      <c r="P336" s="103"/>
      <c r="Q336" s="38"/>
      <c r="R336" s="38"/>
      <c r="S336" s="104"/>
    </row>
    <row r="337" customFormat="false" ht="27.75" hidden="false" customHeight="true" outlineLevel="0" collapsed="false">
      <c r="A337" s="36"/>
      <c r="B337" s="37"/>
      <c r="C337" s="37"/>
      <c r="D337" s="37"/>
      <c r="E337" s="38"/>
      <c r="F337" s="37"/>
      <c r="G337" s="38"/>
      <c r="H337" s="38"/>
      <c r="I337" s="37"/>
      <c r="J337" s="37"/>
      <c r="K337" s="36"/>
      <c r="L337" s="37"/>
      <c r="M337" s="103"/>
      <c r="N337" s="103"/>
      <c r="O337" s="103"/>
      <c r="P337" s="103"/>
      <c r="Q337" s="38"/>
      <c r="R337" s="38"/>
      <c r="S337" s="104"/>
    </row>
    <row r="338" customFormat="false" ht="27.75" hidden="false" customHeight="true" outlineLevel="0" collapsed="false">
      <c r="A338" s="36"/>
      <c r="B338" s="37"/>
      <c r="C338" s="37"/>
      <c r="D338" s="37"/>
      <c r="E338" s="38"/>
      <c r="F338" s="37"/>
      <c r="G338" s="38"/>
      <c r="H338" s="38"/>
      <c r="I338" s="37"/>
      <c r="J338" s="37"/>
      <c r="K338" s="36"/>
      <c r="L338" s="37"/>
      <c r="M338" s="103"/>
      <c r="N338" s="103"/>
      <c r="O338" s="103"/>
      <c r="P338" s="103"/>
      <c r="Q338" s="38"/>
      <c r="R338" s="38"/>
      <c r="S338" s="104"/>
    </row>
    <row r="339" customFormat="false" ht="27.75" hidden="false" customHeight="true" outlineLevel="0" collapsed="false">
      <c r="A339" s="36"/>
      <c r="B339" s="37"/>
      <c r="C339" s="37"/>
      <c r="D339" s="37"/>
      <c r="E339" s="38"/>
      <c r="F339" s="37"/>
      <c r="G339" s="38"/>
      <c r="H339" s="38"/>
      <c r="I339" s="37"/>
      <c r="J339" s="37"/>
      <c r="K339" s="36"/>
      <c r="L339" s="37"/>
      <c r="M339" s="103"/>
      <c r="N339" s="103"/>
      <c r="O339" s="103"/>
      <c r="P339" s="103"/>
      <c r="Q339" s="38"/>
      <c r="R339" s="38"/>
      <c r="S339" s="104"/>
    </row>
    <row r="340" customFormat="false" ht="27.75" hidden="false" customHeight="true" outlineLevel="0" collapsed="false">
      <c r="A340" s="36"/>
      <c r="B340" s="37"/>
      <c r="C340" s="37"/>
      <c r="D340" s="37"/>
      <c r="E340" s="38"/>
      <c r="F340" s="37"/>
      <c r="G340" s="38"/>
      <c r="H340" s="38"/>
      <c r="I340" s="37"/>
      <c r="J340" s="37"/>
      <c r="K340" s="36"/>
      <c r="L340" s="37"/>
      <c r="M340" s="103"/>
      <c r="N340" s="103"/>
      <c r="O340" s="103"/>
      <c r="P340" s="103"/>
      <c r="Q340" s="38"/>
      <c r="R340" s="38"/>
      <c r="S340" s="104"/>
    </row>
    <row r="341" customFormat="false" ht="27.75" hidden="false" customHeight="true" outlineLevel="0" collapsed="false">
      <c r="A341" s="36"/>
      <c r="B341" s="37"/>
      <c r="C341" s="37"/>
      <c r="D341" s="37"/>
      <c r="E341" s="38"/>
      <c r="F341" s="37"/>
      <c r="G341" s="38"/>
      <c r="H341" s="38"/>
      <c r="I341" s="37"/>
      <c r="J341" s="37"/>
      <c r="K341" s="36"/>
      <c r="L341" s="37"/>
      <c r="M341" s="103"/>
      <c r="N341" s="103"/>
      <c r="O341" s="103"/>
      <c r="P341" s="103"/>
      <c r="Q341" s="38"/>
      <c r="R341" s="38"/>
      <c r="S341" s="104"/>
    </row>
    <row r="342" customFormat="false" ht="27.75" hidden="false" customHeight="true" outlineLevel="0" collapsed="false">
      <c r="A342" s="36"/>
      <c r="B342" s="37"/>
      <c r="C342" s="37"/>
      <c r="D342" s="37"/>
      <c r="E342" s="38"/>
      <c r="F342" s="37"/>
      <c r="G342" s="38"/>
      <c r="H342" s="38"/>
      <c r="I342" s="37"/>
      <c r="J342" s="37"/>
      <c r="K342" s="36"/>
      <c r="L342" s="37"/>
      <c r="M342" s="103"/>
      <c r="N342" s="103"/>
      <c r="O342" s="103"/>
      <c r="P342" s="103"/>
      <c r="Q342" s="38"/>
      <c r="R342" s="38"/>
      <c r="S342" s="104"/>
    </row>
    <row r="343" customFormat="false" ht="27.75" hidden="false" customHeight="true" outlineLevel="0" collapsed="false">
      <c r="A343" s="36"/>
      <c r="B343" s="37"/>
      <c r="C343" s="37"/>
      <c r="D343" s="37"/>
      <c r="E343" s="38"/>
      <c r="F343" s="37"/>
      <c r="G343" s="38"/>
      <c r="H343" s="38"/>
      <c r="I343" s="37"/>
      <c r="J343" s="37"/>
      <c r="K343" s="36"/>
      <c r="L343" s="37"/>
      <c r="M343" s="103"/>
      <c r="N343" s="103"/>
      <c r="O343" s="103"/>
      <c r="P343" s="103"/>
      <c r="Q343" s="38"/>
      <c r="R343" s="38"/>
      <c r="S343" s="104"/>
    </row>
    <row r="344" customFormat="false" ht="27.75" hidden="false" customHeight="true" outlineLevel="0" collapsed="false">
      <c r="A344" s="36"/>
      <c r="B344" s="37"/>
      <c r="C344" s="37"/>
      <c r="D344" s="37"/>
      <c r="E344" s="38"/>
      <c r="F344" s="37"/>
      <c r="G344" s="38"/>
      <c r="H344" s="38"/>
      <c r="I344" s="37"/>
      <c r="J344" s="37"/>
      <c r="K344" s="36"/>
      <c r="L344" s="37"/>
      <c r="M344" s="103"/>
      <c r="N344" s="103"/>
      <c r="O344" s="103"/>
      <c r="P344" s="103"/>
      <c r="Q344" s="38"/>
      <c r="R344" s="38"/>
      <c r="S344" s="104"/>
    </row>
    <row r="345" customFormat="false" ht="27.75" hidden="false" customHeight="true" outlineLevel="0" collapsed="false">
      <c r="A345" s="36"/>
      <c r="B345" s="37"/>
      <c r="C345" s="37"/>
      <c r="D345" s="37"/>
      <c r="E345" s="38"/>
      <c r="F345" s="37"/>
      <c r="G345" s="38"/>
      <c r="H345" s="38"/>
      <c r="I345" s="37"/>
      <c r="J345" s="37"/>
      <c r="K345" s="36"/>
      <c r="L345" s="37"/>
      <c r="M345" s="103"/>
      <c r="N345" s="103"/>
      <c r="O345" s="103"/>
      <c r="P345" s="103"/>
      <c r="Q345" s="38"/>
      <c r="R345" s="38"/>
      <c r="S345" s="104"/>
    </row>
    <row r="346" customFormat="false" ht="27.75" hidden="false" customHeight="true" outlineLevel="0" collapsed="false">
      <c r="A346" s="36"/>
      <c r="B346" s="37"/>
      <c r="C346" s="37"/>
      <c r="D346" s="37"/>
      <c r="E346" s="38"/>
      <c r="F346" s="37"/>
      <c r="G346" s="38"/>
      <c r="H346" s="38"/>
      <c r="I346" s="37"/>
      <c r="J346" s="37"/>
      <c r="K346" s="36"/>
      <c r="L346" s="37"/>
      <c r="M346" s="103"/>
      <c r="N346" s="103"/>
      <c r="O346" s="103"/>
      <c r="P346" s="103"/>
      <c r="Q346" s="38"/>
      <c r="R346" s="38"/>
      <c r="S346" s="104"/>
    </row>
    <row r="347" customFormat="false" ht="27.75" hidden="false" customHeight="true" outlineLevel="0" collapsed="false">
      <c r="A347" s="36"/>
      <c r="B347" s="37"/>
      <c r="C347" s="37"/>
      <c r="D347" s="37"/>
      <c r="E347" s="38"/>
      <c r="F347" s="37"/>
      <c r="G347" s="38"/>
      <c r="H347" s="38"/>
      <c r="I347" s="37"/>
      <c r="J347" s="37"/>
      <c r="K347" s="36"/>
      <c r="L347" s="37"/>
      <c r="M347" s="103"/>
      <c r="N347" s="103"/>
      <c r="O347" s="103"/>
      <c r="P347" s="103"/>
      <c r="Q347" s="38"/>
      <c r="R347" s="38"/>
      <c r="S347" s="104"/>
    </row>
    <row r="348" customFormat="false" ht="27.75" hidden="false" customHeight="true" outlineLevel="0" collapsed="false">
      <c r="A348" s="36"/>
      <c r="B348" s="37"/>
      <c r="C348" s="37"/>
      <c r="D348" s="37"/>
      <c r="E348" s="38"/>
      <c r="F348" s="37"/>
      <c r="G348" s="38"/>
      <c r="H348" s="38"/>
      <c r="I348" s="37"/>
      <c r="J348" s="37"/>
      <c r="K348" s="36"/>
      <c r="L348" s="37"/>
      <c r="M348" s="103"/>
      <c r="N348" s="103"/>
      <c r="O348" s="103"/>
      <c r="P348" s="103"/>
      <c r="Q348" s="38"/>
      <c r="R348" s="38"/>
      <c r="S348" s="104"/>
    </row>
    <row r="349" customFormat="false" ht="27.75" hidden="false" customHeight="true" outlineLevel="0" collapsed="false">
      <c r="A349" s="36"/>
      <c r="B349" s="37"/>
      <c r="C349" s="37"/>
      <c r="D349" s="37"/>
      <c r="E349" s="38"/>
      <c r="F349" s="37"/>
      <c r="G349" s="38"/>
      <c r="H349" s="38"/>
      <c r="I349" s="37"/>
      <c r="J349" s="37"/>
      <c r="K349" s="36"/>
      <c r="L349" s="37"/>
      <c r="M349" s="103"/>
      <c r="N349" s="103"/>
      <c r="O349" s="103"/>
      <c r="P349" s="103"/>
      <c r="Q349" s="38"/>
      <c r="R349" s="38"/>
      <c r="S349" s="104"/>
    </row>
    <row r="350" customFormat="false" ht="27.75" hidden="false" customHeight="true" outlineLevel="0" collapsed="false">
      <c r="A350" s="36"/>
      <c r="B350" s="37"/>
      <c r="C350" s="37"/>
      <c r="D350" s="37"/>
      <c r="E350" s="38"/>
      <c r="F350" s="37"/>
      <c r="G350" s="38"/>
      <c r="H350" s="38"/>
      <c r="I350" s="37"/>
      <c r="J350" s="37"/>
      <c r="K350" s="36"/>
      <c r="L350" s="37"/>
      <c r="M350" s="103"/>
      <c r="N350" s="103"/>
      <c r="O350" s="103"/>
      <c r="P350" s="103"/>
      <c r="Q350" s="38"/>
      <c r="R350" s="38"/>
      <c r="S350" s="104"/>
    </row>
    <row r="351" customFormat="false" ht="27.75" hidden="false" customHeight="true" outlineLevel="0" collapsed="false">
      <c r="A351" s="36"/>
      <c r="B351" s="37"/>
      <c r="C351" s="37"/>
      <c r="D351" s="37"/>
      <c r="E351" s="38"/>
      <c r="F351" s="37"/>
      <c r="G351" s="38"/>
      <c r="H351" s="38"/>
      <c r="I351" s="37"/>
      <c r="J351" s="37"/>
      <c r="K351" s="36"/>
      <c r="L351" s="37"/>
      <c r="M351" s="103"/>
      <c r="N351" s="103"/>
      <c r="O351" s="103"/>
      <c r="P351" s="103"/>
      <c r="Q351" s="38"/>
      <c r="R351" s="38"/>
      <c r="S351" s="104"/>
    </row>
    <row r="352" customFormat="false" ht="27.75" hidden="false" customHeight="true" outlineLevel="0" collapsed="false">
      <c r="A352" s="36"/>
      <c r="B352" s="37"/>
      <c r="C352" s="37"/>
      <c r="D352" s="37"/>
      <c r="E352" s="38"/>
      <c r="F352" s="37"/>
      <c r="G352" s="38"/>
      <c r="H352" s="38"/>
      <c r="I352" s="37"/>
      <c r="J352" s="37"/>
      <c r="K352" s="36"/>
      <c r="L352" s="37"/>
      <c r="M352" s="103"/>
      <c r="N352" s="103"/>
      <c r="O352" s="103"/>
      <c r="P352" s="103"/>
      <c r="Q352" s="38"/>
      <c r="R352" s="38"/>
      <c r="S352" s="104"/>
    </row>
    <row r="353" customFormat="false" ht="27.75" hidden="false" customHeight="true" outlineLevel="0" collapsed="false">
      <c r="A353" s="36"/>
      <c r="B353" s="37"/>
      <c r="C353" s="37"/>
      <c r="D353" s="37"/>
      <c r="E353" s="38"/>
      <c r="F353" s="37"/>
      <c r="G353" s="38"/>
      <c r="H353" s="38"/>
      <c r="I353" s="37"/>
      <c r="J353" s="37"/>
      <c r="K353" s="36"/>
      <c r="L353" s="37"/>
      <c r="M353" s="103"/>
      <c r="N353" s="103"/>
      <c r="O353" s="103"/>
      <c r="P353" s="103"/>
      <c r="Q353" s="38"/>
      <c r="R353" s="38"/>
      <c r="S353" s="104"/>
    </row>
    <row r="354" customFormat="false" ht="27.75" hidden="false" customHeight="true" outlineLevel="0" collapsed="false">
      <c r="A354" s="36"/>
      <c r="B354" s="37"/>
      <c r="C354" s="37"/>
      <c r="D354" s="37"/>
      <c r="E354" s="38"/>
      <c r="F354" s="37"/>
      <c r="G354" s="38"/>
      <c r="H354" s="38"/>
      <c r="I354" s="37"/>
      <c r="J354" s="37"/>
      <c r="K354" s="36"/>
      <c r="L354" s="37"/>
      <c r="M354" s="103"/>
      <c r="N354" s="103"/>
      <c r="O354" s="103"/>
      <c r="P354" s="103"/>
      <c r="Q354" s="38"/>
      <c r="R354" s="38"/>
      <c r="S354" s="104"/>
    </row>
    <row r="355" customFormat="false" ht="27.75" hidden="false" customHeight="true" outlineLevel="0" collapsed="false">
      <c r="A355" s="36"/>
      <c r="B355" s="37"/>
      <c r="C355" s="37"/>
      <c r="D355" s="37"/>
      <c r="E355" s="38"/>
      <c r="F355" s="37"/>
      <c r="G355" s="38"/>
      <c r="H355" s="38"/>
      <c r="I355" s="37"/>
      <c r="J355" s="37"/>
      <c r="K355" s="36"/>
      <c r="L355" s="37"/>
      <c r="M355" s="103"/>
      <c r="N355" s="103"/>
      <c r="O355" s="103"/>
      <c r="P355" s="103"/>
      <c r="Q355" s="38"/>
      <c r="R355" s="38"/>
      <c r="S355" s="104"/>
    </row>
    <row r="356" customFormat="false" ht="27.75" hidden="false" customHeight="true" outlineLevel="0" collapsed="false">
      <c r="A356" s="36"/>
      <c r="B356" s="37"/>
      <c r="C356" s="37"/>
      <c r="D356" s="37"/>
      <c r="E356" s="38"/>
      <c r="F356" s="37"/>
      <c r="G356" s="38"/>
      <c r="H356" s="38"/>
      <c r="I356" s="37"/>
      <c r="J356" s="37"/>
      <c r="K356" s="36"/>
      <c r="L356" s="37"/>
      <c r="M356" s="103"/>
      <c r="N356" s="103"/>
      <c r="O356" s="103"/>
      <c r="P356" s="103"/>
      <c r="Q356" s="38"/>
      <c r="R356" s="38"/>
      <c r="S356" s="104"/>
    </row>
    <row r="357" customFormat="false" ht="27.75" hidden="false" customHeight="true" outlineLevel="0" collapsed="false">
      <c r="A357" s="36"/>
      <c r="B357" s="37"/>
      <c r="C357" s="37"/>
      <c r="D357" s="37"/>
      <c r="E357" s="38"/>
      <c r="F357" s="37"/>
      <c r="G357" s="38"/>
      <c r="H357" s="38"/>
      <c r="I357" s="37"/>
      <c r="J357" s="37"/>
      <c r="K357" s="36"/>
      <c r="L357" s="37"/>
      <c r="M357" s="103"/>
      <c r="N357" s="103"/>
      <c r="O357" s="103"/>
      <c r="P357" s="103"/>
      <c r="Q357" s="38"/>
      <c r="R357" s="38"/>
      <c r="S357" s="104"/>
    </row>
    <row r="358" customFormat="false" ht="27.75" hidden="false" customHeight="true" outlineLevel="0" collapsed="false">
      <c r="A358" s="36"/>
      <c r="B358" s="37"/>
      <c r="C358" s="37"/>
      <c r="D358" s="37"/>
      <c r="E358" s="38"/>
      <c r="F358" s="37"/>
      <c r="G358" s="38"/>
      <c r="H358" s="38"/>
      <c r="I358" s="37"/>
      <c r="J358" s="37"/>
      <c r="K358" s="36"/>
      <c r="L358" s="37"/>
      <c r="M358" s="103"/>
      <c r="N358" s="103"/>
      <c r="O358" s="103"/>
      <c r="P358" s="103"/>
      <c r="Q358" s="38"/>
      <c r="R358" s="38"/>
      <c r="S358" s="104"/>
    </row>
    <row r="359" customFormat="false" ht="27.75" hidden="false" customHeight="true" outlineLevel="0" collapsed="false">
      <c r="A359" s="36"/>
      <c r="B359" s="37"/>
      <c r="C359" s="37"/>
      <c r="D359" s="37"/>
      <c r="E359" s="38"/>
      <c r="F359" s="37"/>
      <c r="G359" s="38"/>
      <c r="H359" s="38"/>
      <c r="I359" s="37"/>
      <c r="J359" s="37"/>
      <c r="K359" s="36"/>
      <c r="L359" s="37"/>
      <c r="M359" s="103"/>
      <c r="N359" s="103"/>
      <c r="O359" s="103"/>
      <c r="P359" s="103"/>
      <c r="Q359" s="38"/>
      <c r="R359" s="38"/>
      <c r="S359" s="104"/>
    </row>
    <row r="360" customFormat="false" ht="27.75" hidden="false" customHeight="true" outlineLevel="0" collapsed="false">
      <c r="A360" s="36"/>
      <c r="B360" s="37"/>
      <c r="C360" s="37"/>
      <c r="D360" s="37"/>
      <c r="E360" s="38"/>
      <c r="F360" s="37"/>
      <c r="G360" s="38"/>
      <c r="H360" s="38"/>
      <c r="I360" s="37"/>
      <c r="J360" s="37"/>
      <c r="K360" s="36"/>
      <c r="L360" s="37"/>
      <c r="M360" s="103"/>
      <c r="N360" s="103"/>
      <c r="O360" s="103"/>
      <c r="P360" s="103"/>
      <c r="Q360" s="38"/>
      <c r="R360" s="38"/>
      <c r="S360" s="104"/>
    </row>
    <row r="361" customFormat="false" ht="27.75" hidden="false" customHeight="true" outlineLevel="0" collapsed="false">
      <c r="A361" s="36"/>
      <c r="B361" s="37"/>
      <c r="C361" s="37"/>
      <c r="D361" s="37"/>
      <c r="E361" s="38"/>
      <c r="F361" s="37"/>
      <c r="G361" s="38"/>
      <c r="H361" s="38"/>
      <c r="I361" s="37"/>
      <c r="J361" s="37"/>
      <c r="K361" s="36"/>
      <c r="L361" s="37"/>
      <c r="M361" s="103"/>
      <c r="N361" s="103"/>
      <c r="O361" s="103"/>
      <c r="P361" s="103"/>
      <c r="Q361" s="38"/>
      <c r="R361" s="38"/>
      <c r="S361" s="104"/>
    </row>
    <row r="362" customFormat="false" ht="27.75" hidden="false" customHeight="true" outlineLevel="0" collapsed="false">
      <c r="A362" s="36"/>
      <c r="B362" s="37"/>
      <c r="C362" s="37"/>
      <c r="D362" s="37"/>
      <c r="E362" s="38"/>
      <c r="F362" s="37"/>
      <c r="G362" s="38"/>
      <c r="H362" s="38"/>
      <c r="I362" s="37"/>
      <c r="J362" s="37"/>
      <c r="K362" s="36"/>
      <c r="L362" s="37"/>
      <c r="M362" s="103"/>
      <c r="N362" s="103"/>
      <c r="O362" s="103"/>
      <c r="P362" s="103"/>
      <c r="Q362" s="38"/>
      <c r="R362" s="38"/>
      <c r="S362" s="104"/>
    </row>
    <row r="363" customFormat="false" ht="27.75" hidden="false" customHeight="true" outlineLevel="0" collapsed="false">
      <c r="A363" s="36"/>
      <c r="B363" s="37"/>
      <c r="C363" s="37"/>
      <c r="D363" s="37"/>
      <c r="E363" s="38"/>
      <c r="F363" s="37"/>
      <c r="G363" s="38"/>
      <c r="H363" s="38"/>
      <c r="I363" s="37"/>
      <c r="J363" s="37"/>
      <c r="K363" s="36"/>
      <c r="L363" s="37"/>
      <c r="M363" s="103"/>
      <c r="N363" s="103"/>
      <c r="O363" s="103"/>
      <c r="P363" s="103"/>
      <c r="Q363" s="38"/>
      <c r="R363" s="38"/>
      <c r="S363" s="104"/>
    </row>
    <row r="364" customFormat="false" ht="27.75" hidden="false" customHeight="true" outlineLevel="0" collapsed="false">
      <c r="A364" s="36"/>
      <c r="B364" s="37"/>
      <c r="C364" s="37"/>
      <c r="D364" s="37"/>
      <c r="E364" s="38"/>
      <c r="F364" s="37"/>
      <c r="G364" s="38"/>
      <c r="H364" s="38"/>
      <c r="I364" s="37"/>
      <c r="J364" s="37"/>
      <c r="K364" s="36"/>
      <c r="L364" s="37"/>
      <c r="M364" s="103"/>
      <c r="N364" s="103"/>
      <c r="O364" s="103"/>
      <c r="P364" s="103"/>
      <c r="Q364" s="38"/>
      <c r="R364" s="38"/>
      <c r="S364" s="104"/>
    </row>
    <row r="365" customFormat="false" ht="27.75" hidden="false" customHeight="true" outlineLevel="0" collapsed="false">
      <c r="A365" s="36"/>
      <c r="B365" s="37"/>
      <c r="C365" s="37"/>
      <c r="D365" s="37"/>
      <c r="E365" s="38"/>
      <c r="F365" s="37"/>
      <c r="G365" s="38"/>
      <c r="H365" s="38"/>
      <c r="I365" s="37"/>
      <c r="J365" s="37"/>
      <c r="K365" s="36"/>
      <c r="L365" s="37"/>
      <c r="M365" s="103"/>
      <c r="N365" s="103"/>
      <c r="O365" s="103"/>
      <c r="P365" s="103"/>
      <c r="Q365" s="38"/>
      <c r="R365" s="38"/>
      <c r="S365" s="104"/>
    </row>
    <row r="366" customFormat="false" ht="27.75" hidden="false" customHeight="true" outlineLevel="0" collapsed="false">
      <c r="A366" s="36"/>
      <c r="B366" s="37"/>
      <c r="C366" s="37"/>
      <c r="D366" s="37"/>
      <c r="E366" s="38"/>
      <c r="F366" s="37"/>
      <c r="G366" s="38"/>
      <c r="H366" s="38"/>
      <c r="I366" s="37"/>
      <c r="J366" s="37"/>
      <c r="K366" s="36"/>
      <c r="L366" s="37"/>
      <c r="M366" s="103"/>
      <c r="N366" s="103"/>
      <c r="O366" s="103"/>
      <c r="P366" s="103"/>
      <c r="Q366" s="38"/>
      <c r="R366" s="38"/>
      <c r="S366" s="104"/>
    </row>
    <row r="367" customFormat="false" ht="27.75" hidden="false" customHeight="true" outlineLevel="0" collapsed="false">
      <c r="A367" s="36"/>
      <c r="B367" s="37"/>
      <c r="C367" s="37"/>
      <c r="D367" s="37"/>
      <c r="E367" s="38"/>
      <c r="F367" s="37"/>
      <c r="G367" s="38"/>
      <c r="H367" s="38"/>
      <c r="I367" s="37"/>
      <c r="J367" s="37"/>
      <c r="K367" s="36"/>
      <c r="L367" s="37"/>
      <c r="M367" s="103"/>
      <c r="N367" s="103"/>
      <c r="O367" s="103"/>
      <c r="P367" s="103"/>
      <c r="Q367" s="38"/>
      <c r="R367" s="38"/>
      <c r="S367" s="104"/>
    </row>
    <row r="368" customFormat="false" ht="27.75" hidden="false" customHeight="true" outlineLevel="0" collapsed="false">
      <c r="A368" s="36"/>
      <c r="B368" s="37"/>
      <c r="C368" s="37"/>
      <c r="D368" s="37"/>
      <c r="E368" s="38"/>
      <c r="F368" s="37"/>
      <c r="G368" s="38"/>
      <c r="H368" s="38"/>
      <c r="I368" s="37"/>
      <c r="J368" s="37"/>
      <c r="K368" s="36"/>
      <c r="L368" s="37"/>
      <c r="M368" s="103"/>
      <c r="N368" s="103"/>
      <c r="O368" s="103"/>
      <c r="P368" s="103"/>
      <c r="Q368" s="38"/>
      <c r="R368" s="38"/>
      <c r="S368" s="104"/>
    </row>
    <row r="369" customFormat="false" ht="27.75" hidden="false" customHeight="true" outlineLevel="0" collapsed="false">
      <c r="A369" s="36"/>
      <c r="B369" s="37"/>
      <c r="C369" s="37"/>
      <c r="D369" s="37"/>
      <c r="E369" s="38"/>
      <c r="F369" s="37"/>
      <c r="G369" s="38"/>
      <c r="H369" s="38"/>
      <c r="I369" s="37"/>
      <c r="J369" s="37"/>
      <c r="K369" s="36"/>
      <c r="L369" s="37"/>
      <c r="M369" s="103"/>
      <c r="N369" s="103"/>
      <c r="O369" s="103"/>
      <c r="P369" s="103"/>
      <c r="Q369" s="38"/>
      <c r="R369" s="38"/>
      <c r="S369" s="104"/>
    </row>
    <row r="370" customFormat="false" ht="27.75" hidden="false" customHeight="true" outlineLevel="0" collapsed="false">
      <c r="A370" s="36"/>
      <c r="B370" s="37"/>
      <c r="C370" s="37"/>
      <c r="D370" s="37"/>
      <c r="E370" s="38"/>
      <c r="F370" s="37"/>
      <c r="G370" s="38"/>
      <c r="H370" s="38"/>
      <c r="I370" s="37"/>
      <c r="J370" s="37"/>
      <c r="K370" s="36"/>
      <c r="L370" s="37"/>
      <c r="M370" s="103"/>
      <c r="N370" s="103"/>
      <c r="O370" s="103"/>
      <c r="P370" s="103"/>
      <c r="Q370" s="38"/>
      <c r="R370" s="38"/>
      <c r="S370" s="104"/>
    </row>
    <row r="371" customFormat="false" ht="27.75" hidden="false" customHeight="true" outlineLevel="0" collapsed="false">
      <c r="A371" s="36"/>
      <c r="B371" s="37"/>
      <c r="C371" s="37"/>
      <c r="D371" s="37"/>
      <c r="E371" s="38"/>
      <c r="F371" s="37"/>
      <c r="G371" s="38"/>
      <c r="H371" s="38"/>
      <c r="I371" s="37"/>
      <c r="J371" s="37"/>
      <c r="K371" s="36"/>
      <c r="L371" s="37"/>
      <c r="M371" s="103"/>
      <c r="N371" s="103"/>
      <c r="O371" s="103"/>
      <c r="P371" s="103"/>
      <c r="Q371" s="38"/>
      <c r="R371" s="38"/>
      <c r="S371" s="104"/>
    </row>
    <row r="372" customFormat="false" ht="27.75" hidden="false" customHeight="true" outlineLevel="0" collapsed="false">
      <c r="A372" s="36"/>
      <c r="B372" s="37"/>
      <c r="C372" s="37"/>
      <c r="D372" s="37"/>
      <c r="E372" s="38"/>
      <c r="F372" s="37"/>
      <c r="G372" s="38"/>
      <c r="H372" s="38"/>
      <c r="I372" s="37"/>
      <c r="J372" s="37"/>
      <c r="K372" s="36"/>
      <c r="L372" s="37"/>
      <c r="M372" s="103"/>
      <c r="N372" s="103"/>
      <c r="O372" s="103"/>
      <c r="P372" s="103"/>
      <c r="Q372" s="38"/>
      <c r="R372" s="38"/>
      <c r="S372" s="104"/>
    </row>
    <row r="373" customFormat="false" ht="27.75" hidden="false" customHeight="true" outlineLevel="0" collapsed="false">
      <c r="A373" s="36"/>
      <c r="B373" s="37"/>
      <c r="C373" s="37"/>
      <c r="D373" s="37"/>
      <c r="E373" s="38"/>
      <c r="F373" s="37"/>
      <c r="G373" s="38"/>
      <c r="H373" s="38"/>
      <c r="I373" s="37"/>
      <c r="J373" s="37"/>
      <c r="K373" s="36"/>
      <c r="L373" s="37"/>
      <c r="M373" s="103"/>
      <c r="N373" s="103"/>
      <c r="O373" s="103"/>
      <c r="P373" s="103"/>
      <c r="Q373" s="38"/>
      <c r="R373" s="38"/>
      <c r="S373" s="104"/>
    </row>
    <row r="374" customFormat="false" ht="27.75" hidden="false" customHeight="true" outlineLevel="0" collapsed="false">
      <c r="A374" s="36"/>
      <c r="B374" s="37"/>
      <c r="C374" s="37"/>
      <c r="D374" s="37"/>
      <c r="E374" s="38"/>
      <c r="F374" s="37"/>
      <c r="G374" s="38"/>
      <c r="H374" s="38"/>
      <c r="I374" s="37"/>
      <c r="J374" s="37"/>
      <c r="K374" s="36"/>
      <c r="L374" s="37"/>
      <c r="M374" s="103"/>
      <c r="N374" s="103"/>
      <c r="O374" s="103"/>
      <c r="P374" s="103"/>
      <c r="Q374" s="38"/>
      <c r="R374" s="38"/>
      <c r="S374" s="104"/>
    </row>
    <row r="375" customFormat="false" ht="27.75" hidden="false" customHeight="true" outlineLevel="0" collapsed="false">
      <c r="A375" s="36"/>
      <c r="B375" s="37"/>
      <c r="C375" s="37"/>
      <c r="D375" s="37"/>
      <c r="E375" s="38"/>
      <c r="F375" s="37"/>
      <c r="G375" s="38"/>
      <c r="H375" s="38"/>
      <c r="I375" s="37"/>
      <c r="J375" s="37"/>
      <c r="K375" s="36"/>
      <c r="L375" s="37"/>
      <c r="M375" s="103"/>
      <c r="N375" s="103"/>
      <c r="O375" s="103"/>
      <c r="P375" s="103"/>
      <c r="Q375" s="38"/>
      <c r="R375" s="38"/>
      <c r="S375" s="104"/>
    </row>
    <row r="376" customFormat="false" ht="27.75" hidden="false" customHeight="true" outlineLevel="0" collapsed="false">
      <c r="A376" s="36"/>
      <c r="B376" s="37"/>
      <c r="C376" s="37"/>
      <c r="D376" s="37"/>
      <c r="E376" s="38"/>
      <c r="F376" s="37"/>
      <c r="G376" s="38"/>
      <c r="H376" s="38"/>
      <c r="I376" s="37"/>
      <c r="J376" s="37"/>
      <c r="K376" s="36"/>
      <c r="L376" s="37"/>
      <c r="M376" s="103"/>
      <c r="N376" s="103"/>
      <c r="O376" s="103"/>
      <c r="P376" s="103"/>
      <c r="Q376" s="38"/>
      <c r="R376" s="38"/>
      <c r="S376" s="104"/>
    </row>
    <row r="377" customFormat="false" ht="27.75" hidden="false" customHeight="true" outlineLevel="0" collapsed="false">
      <c r="A377" s="36"/>
      <c r="B377" s="37"/>
      <c r="C377" s="37"/>
      <c r="D377" s="37"/>
      <c r="E377" s="38"/>
      <c r="F377" s="37"/>
      <c r="G377" s="38"/>
      <c r="H377" s="38"/>
      <c r="I377" s="37"/>
      <c r="J377" s="37"/>
      <c r="K377" s="36"/>
      <c r="L377" s="37"/>
      <c r="M377" s="103"/>
      <c r="N377" s="103"/>
      <c r="O377" s="103"/>
      <c r="P377" s="103"/>
      <c r="Q377" s="38"/>
      <c r="R377" s="38"/>
      <c r="S377" s="104"/>
    </row>
    <row r="378" customFormat="false" ht="27.75" hidden="false" customHeight="true" outlineLevel="0" collapsed="false">
      <c r="A378" s="36"/>
      <c r="B378" s="37"/>
      <c r="C378" s="37"/>
      <c r="D378" s="37"/>
      <c r="E378" s="38"/>
      <c r="F378" s="37"/>
      <c r="G378" s="38"/>
      <c r="H378" s="38"/>
      <c r="I378" s="37"/>
      <c r="J378" s="37"/>
      <c r="K378" s="36"/>
      <c r="L378" s="37"/>
      <c r="M378" s="103"/>
      <c r="N378" s="103"/>
      <c r="O378" s="103"/>
      <c r="P378" s="103"/>
      <c r="Q378" s="38"/>
      <c r="R378" s="38"/>
      <c r="S378" s="104"/>
    </row>
    <row r="379" customFormat="false" ht="27.75" hidden="false" customHeight="true" outlineLevel="0" collapsed="false">
      <c r="A379" s="36"/>
      <c r="B379" s="37"/>
      <c r="C379" s="37"/>
      <c r="D379" s="37"/>
      <c r="E379" s="38"/>
      <c r="F379" s="37"/>
      <c r="G379" s="38"/>
      <c r="H379" s="38"/>
      <c r="I379" s="37"/>
      <c r="J379" s="37"/>
      <c r="K379" s="36"/>
      <c r="L379" s="37"/>
      <c r="M379" s="103"/>
      <c r="N379" s="103"/>
      <c r="O379" s="103"/>
      <c r="P379" s="103"/>
      <c r="Q379" s="38"/>
      <c r="R379" s="38"/>
      <c r="S379" s="104"/>
    </row>
    <row r="380" customFormat="false" ht="27.75" hidden="false" customHeight="true" outlineLevel="0" collapsed="false">
      <c r="A380" s="36"/>
      <c r="B380" s="37"/>
      <c r="C380" s="37"/>
      <c r="D380" s="37"/>
      <c r="E380" s="38"/>
      <c r="F380" s="37"/>
      <c r="G380" s="38"/>
      <c r="H380" s="38"/>
      <c r="I380" s="37"/>
      <c r="J380" s="37"/>
      <c r="K380" s="36"/>
      <c r="L380" s="37"/>
      <c r="M380" s="103"/>
      <c r="N380" s="103"/>
      <c r="O380" s="103"/>
      <c r="P380" s="103"/>
      <c r="Q380" s="38"/>
      <c r="R380" s="38"/>
      <c r="S380" s="104"/>
    </row>
    <row r="381" customFormat="false" ht="27.75" hidden="false" customHeight="true" outlineLevel="0" collapsed="false">
      <c r="A381" s="36"/>
      <c r="B381" s="37"/>
      <c r="C381" s="37"/>
      <c r="D381" s="37"/>
      <c r="E381" s="38"/>
      <c r="F381" s="37"/>
      <c r="G381" s="38"/>
      <c r="H381" s="38"/>
      <c r="I381" s="37"/>
      <c r="J381" s="37"/>
      <c r="K381" s="36"/>
      <c r="L381" s="37"/>
      <c r="M381" s="103"/>
      <c r="N381" s="103"/>
      <c r="O381" s="103"/>
      <c r="P381" s="103"/>
      <c r="Q381" s="38"/>
      <c r="R381" s="38"/>
      <c r="S381" s="104"/>
    </row>
    <row r="382" customFormat="false" ht="27.75" hidden="false" customHeight="true" outlineLevel="0" collapsed="false">
      <c r="A382" s="36"/>
      <c r="B382" s="37"/>
      <c r="C382" s="37"/>
      <c r="D382" s="37"/>
      <c r="E382" s="38"/>
      <c r="F382" s="37"/>
      <c r="G382" s="38"/>
      <c r="H382" s="38"/>
      <c r="I382" s="37"/>
      <c r="J382" s="37"/>
      <c r="K382" s="36"/>
      <c r="L382" s="37"/>
      <c r="M382" s="103"/>
      <c r="N382" s="103"/>
      <c r="O382" s="103"/>
      <c r="P382" s="103"/>
      <c r="Q382" s="38"/>
      <c r="R382" s="38"/>
      <c r="S382" s="104"/>
    </row>
    <row r="383" customFormat="false" ht="27.75" hidden="false" customHeight="true" outlineLevel="0" collapsed="false">
      <c r="A383" s="36"/>
      <c r="B383" s="37"/>
      <c r="C383" s="37"/>
      <c r="D383" s="37"/>
      <c r="E383" s="38"/>
      <c r="F383" s="37"/>
      <c r="G383" s="38"/>
      <c r="H383" s="38"/>
      <c r="I383" s="37"/>
      <c r="J383" s="37"/>
      <c r="K383" s="36"/>
      <c r="L383" s="37"/>
      <c r="M383" s="103"/>
      <c r="N383" s="103"/>
      <c r="O383" s="103"/>
      <c r="P383" s="103"/>
      <c r="Q383" s="38"/>
      <c r="R383" s="38"/>
      <c r="S383" s="104"/>
    </row>
    <row r="384" customFormat="false" ht="27.75" hidden="false" customHeight="true" outlineLevel="0" collapsed="false">
      <c r="A384" s="36"/>
      <c r="B384" s="37"/>
      <c r="C384" s="37"/>
      <c r="D384" s="37"/>
      <c r="E384" s="38"/>
      <c r="F384" s="37"/>
      <c r="G384" s="38"/>
      <c r="H384" s="38"/>
      <c r="I384" s="37"/>
      <c r="J384" s="37"/>
      <c r="K384" s="36"/>
      <c r="L384" s="37"/>
      <c r="M384" s="103"/>
      <c r="N384" s="103"/>
      <c r="O384" s="103"/>
      <c r="P384" s="103"/>
      <c r="Q384" s="38"/>
      <c r="R384" s="38"/>
      <c r="S384" s="104"/>
    </row>
    <row r="385" customFormat="false" ht="27.75" hidden="false" customHeight="true" outlineLevel="0" collapsed="false">
      <c r="A385" s="36"/>
      <c r="B385" s="37"/>
      <c r="C385" s="37"/>
      <c r="D385" s="37"/>
      <c r="E385" s="38"/>
      <c r="F385" s="37"/>
      <c r="G385" s="38"/>
      <c r="H385" s="38"/>
      <c r="I385" s="37"/>
      <c r="J385" s="37"/>
      <c r="K385" s="36"/>
      <c r="L385" s="37"/>
      <c r="M385" s="103"/>
      <c r="N385" s="103"/>
      <c r="O385" s="103"/>
      <c r="P385" s="103"/>
      <c r="Q385" s="38"/>
      <c r="R385" s="38"/>
      <c r="S385" s="104"/>
    </row>
    <row r="386" customFormat="false" ht="27.75" hidden="false" customHeight="true" outlineLevel="0" collapsed="false">
      <c r="A386" s="36"/>
      <c r="B386" s="37"/>
      <c r="C386" s="37"/>
      <c r="D386" s="37"/>
      <c r="E386" s="38"/>
      <c r="F386" s="37"/>
      <c r="G386" s="38"/>
      <c r="H386" s="38"/>
      <c r="I386" s="37"/>
      <c r="J386" s="37"/>
      <c r="K386" s="36"/>
      <c r="L386" s="37"/>
      <c r="M386" s="103"/>
      <c r="N386" s="103"/>
      <c r="O386" s="103"/>
      <c r="P386" s="103"/>
      <c r="Q386" s="38"/>
      <c r="R386" s="38"/>
      <c r="S386" s="104"/>
    </row>
    <row r="387" customFormat="false" ht="27.75" hidden="false" customHeight="true" outlineLevel="0" collapsed="false">
      <c r="A387" s="36"/>
      <c r="B387" s="37"/>
      <c r="C387" s="37"/>
      <c r="D387" s="37"/>
      <c r="E387" s="38"/>
      <c r="F387" s="37"/>
      <c r="G387" s="38"/>
      <c r="H387" s="38"/>
      <c r="I387" s="37"/>
      <c r="J387" s="37"/>
      <c r="K387" s="36"/>
      <c r="L387" s="37"/>
      <c r="M387" s="103"/>
      <c r="N387" s="103"/>
      <c r="O387" s="103"/>
      <c r="P387" s="103"/>
      <c r="Q387" s="38"/>
      <c r="R387" s="38"/>
      <c r="S387" s="104"/>
    </row>
    <row r="388" customFormat="false" ht="27.75" hidden="false" customHeight="true" outlineLevel="0" collapsed="false">
      <c r="A388" s="36"/>
      <c r="B388" s="37"/>
      <c r="C388" s="37"/>
      <c r="D388" s="37"/>
      <c r="E388" s="38"/>
      <c r="F388" s="37"/>
      <c r="G388" s="38"/>
      <c r="H388" s="38"/>
      <c r="I388" s="37"/>
      <c r="J388" s="37"/>
      <c r="K388" s="36"/>
      <c r="L388" s="37"/>
      <c r="M388" s="103"/>
      <c r="N388" s="103"/>
      <c r="O388" s="103"/>
      <c r="P388" s="103"/>
      <c r="Q388" s="38"/>
      <c r="R388" s="38"/>
      <c r="S388" s="104"/>
    </row>
    <row r="389" customFormat="false" ht="27.75" hidden="false" customHeight="true" outlineLevel="0" collapsed="false">
      <c r="A389" s="36"/>
      <c r="B389" s="37"/>
      <c r="C389" s="37"/>
      <c r="D389" s="37"/>
      <c r="E389" s="38"/>
      <c r="F389" s="37"/>
      <c r="G389" s="38"/>
      <c r="H389" s="38"/>
      <c r="I389" s="37"/>
      <c r="J389" s="37"/>
      <c r="K389" s="36"/>
      <c r="L389" s="37"/>
      <c r="M389" s="103"/>
      <c r="N389" s="103"/>
      <c r="O389" s="103"/>
      <c r="P389" s="103"/>
      <c r="Q389" s="38"/>
      <c r="R389" s="38"/>
      <c r="S389" s="104"/>
    </row>
    <row r="390" customFormat="false" ht="27.75" hidden="false" customHeight="true" outlineLevel="0" collapsed="false">
      <c r="A390" s="36"/>
      <c r="B390" s="37"/>
      <c r="C390" s="37"/>
      <c r="D390" s="37"/>
      <c r="E390" s="38"/>
      <c r="F390" s="37"/>
      <c r="G390" s="38"/>
      <c r="H390" s="38"/>
      <c r="I390" s="37"/>
      <c r="J390" s="37"/>
      <c r="K390" s="36"/>
      <c r="L390" s="37"/>
      <c r="M390" s="103"/>
      <c r="N390" s="103"/>
      <c r="O390" s="103"/>
      <c r="P390" s="103"/>
      <c r="Q390" s="38"/>
      <c r="R390" s="38"/>
      <c r="S390" s="104"/>
    </row>
    <row r="391" customFormat="false" ht="27.75" hidden="false" customHeight="true" outlineLevel="0" collapsed="false">
      <c r="A391" s="36"/>
      <c r="B391" s="37"/>
      <c r="C391" s="37"/>
      <c r="D391" s="37"/>
      <c r="E391" s="38"/>
      <c r="F391" s="37"/>
      <c r="G391" s="38"/>
      <c r="H391" s="38"/>
      <c r="I391" s="37"/>
      <c r="J391" s="37"/>
      <c r="K391" s="36"/>
      <c r="L391" s="37"/>
      <c r="M391" s="103"/>
      <c r="N391" s="103"/>
      <c r="O391" s="103"/>
      <c r="P391" s="103"/>
      <c r="Q391" s="38"/>
      <c r="R391" s="38"/>
      <c r="S391" s="104"/>
    </row>
    <row r="392" customFormat="false" ht="27.75" hidden="false" customHeight="true" outlineLevel="0" collapsed="false">
      <c r="A392" s="36"/>
      <c r="B392" s="37"/>
      <c r="C392" s="37"/>
      <c r="D392" s="37"/>
      <c r="E392" s="38"/>
      <c r="F392" s="37"/>
      <c r="G392" s="38"/>
      <c r="H392" s="38"/>
      <c r="I392" s="37"/>
      <c r="J392" s="37"/>
      <c r="K392" s="36"/>
      <c r="L392" s="37"/>
      <c r="M392" s="103"/>
      <c r="N392" s="103"/>
      <c r="O392" s="103"/>
      <c r="P392" s="103"/>
      <c r="Q392" s="38"/>
      <c r="R392" s="38"/>
      <c r="S392" s="104"/>
    </row>
    <row r="393" customFormat="false" ht="27.75" hidden="false" customHeight="true" outlineLevel="0" collapsed="false">
      <c r="A393" s="36"/>
      <c r="B393" s="37"/>
      <c r="C393" s="37"/>
      <c r="D393" s="37"/>
      <c r="E393" s="38"/>
      <c r="F393" s="37"/>
      <c r="G393" s="38"/>
      <c r="H393" s="38"/>
      <c r="I393" s="37"/>
      <c r="J393" s="37"/>
      <c r="K393" s="36"/>
      <c r="L393" s="37"/>
      <c r="M393" s="103"/>
      <c r="N393" s="103"/>
      <c r="O393" s="103"/>
      <c r="P393" s="103"/>
      <c r="Q393" s="38"/>
      <c r="R393" s="38"/>
      <c r="S393" s="104"/>
    </row>
    <row r="394" customFormat="false" ht="27.75" hidden="false" customHeight="true" outlineLevel="0" collapsed="false">
      <c r="A394" s="36"/>
      <c r="B394" s="37"/>
      <c r="C394" s="37"/>
      <c r="D394" s="37"/>
      <c r="E394" s="38"/>
      <c r="F394" s="37"/>
      <c r="G394" s="38"/>
      <c r="H394" s="38"/>
      <c r="I394" s="37"/>
      <c r="J394" s="37"/>
      <c r="K394" s="36"/>
      <c r="L394" s="37"/>
      <c r="M394" s="103"/>
      <c r="N394" s="103"/>
      <c r="O394" s="103"/>
      <c r="P394" s="103"/>
      <c r="Q394" s="38"/>
      <c r="R394" s="38"/>
      <c r="S394" s="104"/>
    </row>
    <row r="395" customFormat="false" ht="27.75" hidden="false" customHeight="true" outlineLevel="0" collapsed="false">
      <c r="A395" s="36"/>
      <c r="B395" s="37"/>
      <c r="C395" s="37"/>
      <c r="D395" s="37"/>
      <c r="E395" s="38"/>
      <c r="F395" s="37"/>
      <c r="G395" s="38"/>
      <c r="H395" s="38"/>
      <c r="I395" s="37"/>
      <c r="J395" s="37"/>
      <c r="K395" s="36"/>
      <c r="L395" s="37"/>
      <c r="M395" s="103"/>
      <c r="N395" s="103"/>
      <c r="O395" s="103"/>
      <c r="P395" s="103"/>
      <c r="Q395" s="38"/>
      <c r="R395" s="38"/>
      <c r="S395" s="104"/>
    </row>
    <row r="396" customFormat="false" ht="27.75" hidden="false" customHeight="true" outlineLevel="0" collapsed="false">
      <c r="A396" s="36"/>
      <c r="B396" s="37"/>
      <c r="C396" s="37"/>
      <c r="D396" s="37"/>
      <c r="E396" s="38"/>
      <c r="F396" s="37"/>
      <c r="G396" s="38"/>
      <c r="H396" s="38"/>
      <c r="I396" s="37"/>
      <c r="J396" s="37"/>
      <c r="K396" s="36"/>
      <c r="L396" s="37"/>
      <c r="M396" s="103"/>
      <c r="N396" s="103"/>
      <c r="O396" s="103"/>
      <c r="P396" s="103"/>
      <c r="Q396" s="38"/>
      <c r="R396" s="38"/>
      <c r="S396" s="104"/>
    </row>
    <row r="397" customFormat="false" ht="27.75" hidden="false" customHeight="true" outlineLevel="0" collapsed="false">
      <c r="A397" s="36"/>
      <c r="B397" s="37"/>
      <c r="C397" s="37"/>
      <c r="D397" s="37"/>
      <c r="E397" s="38"/>
      <c r="F397" s="37"/>
      <c r="G397" s="38"/>
      <c r="H397" s="38"/>
      <c r="I397" s="37"/>
      <c r="J397" s="37"/>
      <c r="K397" s="36"/>
      <c r="L397" s="37"/>
      <c r="M397" s="103"/>
      <c r="N397" s="103"/>
      <c r="O397" s="103"/>
      <c r="P397" s="103"/>
      <c r="Q397" s="38"/>
      <c r="R397" s="38"/>
      <c r="S397" s="104"/>
    </row>
    <row r="398" customFormat="false" ht="27.75" hidden="false" customHeight="true" outlineLevel="0" collapsed="false">
      <c r="A398" s="36"/>
      <c r="B398" s="37"/>
      <c r="C398" s="37"/>
      <c r="D398" s="37"/>
      <c r="E398" s="38"/>
      <c r="F398" s="37"/>
      <c r="G398" s="38"/>
      <c r="H398" s="38"/>
      <c r="I398" s="37"/>
      <c r="J398" s="37"/>
      <c r="K398" s="36"/>
      <c r="L398" s="37"/>
      <c r="M398" s="103"/>
      <c r="N398" s="103"/>
      <c r="O398" s="103"/>
      <c r="P398" s="103"/>
      <c r="Q398" s="38"/>
      <c r="R398" s="38"/>
      <c r="S398" s="104"/>
    </row>
    <row r="399" customFormat="false" ht="27.75" hidden="false" customHeight="true" outlineLevel="0" collapsed="false">
      <c r="A399" s="36"/>
      <c r="B399" s="37"/>
      <c r="C399" s="37"/>
      <c r="D399" s="37"/>
      <c r="E399" s="38"/>
      <c r="F399" s="37"/>
      <c r="G399" s="38"/>
      <c r="H399" s="38"/>
      <c r="I399" s="37"/>
      <c r="J399" s="37"/>
      <c r="K399" s="36"/>
      <c r="L399" s="37"/>
      <c r="M399" s="103"/>
      <c r="N399" s="103"/>
      <c r="O399" s="103"/>
      <c r="P399" s="103"/>
      <c r="Q399" s="38"/>
      <c r="R399" s="38"/>
      <c r="S399" s="104"/>
    </row>
    <row r="400" customFormat="false" ht="27.75" hidden="false" customHeight="true" outlineLevel="0" collapsed="false">
      <c r="A400" s="36"/>
      <c r="B400" s="37"/>
      <c r="C400" s="37"/>
      <c r="D400" s="37"/>
      <c r="E400" s="38"/>
      <c r="F400" s="37"/>
      <c r="G400" s="38"/>
      <c r="H400" s="38"/>
      <c r="I400" s="37"/>
      <c r="J400" s="37"/>
      <c r="K400" s="36"/>
      <c r="L400" s="37"/>
      <c r="M400" s="103"/>
      <c r="N400" s="103"/>
      <c r="O400" s="103"/>
      <c r="P400" s="103"/>
      <c r="Q400" s="38"/>
      <c r="R400" s="38"/>
      <c r="S400" s="104"/>
    </row>
    <row r="401" customFormat="false" ht="27.75" hidden="false" customHeight="true" outlineLevel="0" collapsed="false">
      <c r="A401" s="36"/>
      <c r="B401" s="37"/>
      <c r="C401" s="37"/>
      <c r="D401" s="37"/>
      <c r="E401" s="38"/>
      <c r="F401" s="37"/>
      <c r="G401" s="38"/>
      <c r="H401" s="38"/>
      <c r="I401" s="37"/>
      <c r="J401" s="37"/>
      <c r="K401" s="36"/>
      <c r="L401" s="37"/>
      <c r="M401" s="103"/>
      <c r="N401" s="103"/>
      <c r="O401" s="103"/>
      <c r="P401" s="103"/>
      <c r="Q401" s="38"/>
      <c r="R401" s="38"/>
      <c r="S401" s="104"/>
    </row>
    <row r="402" customFormat="false" ht="27.75" hidden="false" customHeight="true" outlineLevel="0" collapsed="false">
      <c r="A402" s="36"/>
      <c r="B402" s="37"/>
      <c r="C402" s="37"/>
      <c r="D402" s="37"/>
      <c r="E402" s="38"/>
      <c r="F402" s="37"/>
      <c r="G402" s="38"/>
      <c r="H402" s="38"/>
      <c r="I402" s="37"/>
      <c r="J402" s="37"/>
      <c r="K402" s="36"/>
      <c r="L402" s="37"/>
      <c r="M402" s="103"/>
      <c r="N402" s="103"/>
      <c r="O402" s="103"/>
      <c r="P402" s="103"/>
      <c r="Q402" s="38"/>
      <c r="R402" s="38"/>
      <c r="S402" s="104"/>
    </row>
    <row r="403" customFormat="false" ht="27.75" hidden="false" customHeight="true" outlineLevel="0" collapsed="false">
      <c r="A403" s="36"/>
      <c r="B403" s="37"/>
      <c r="C403" s="37"/>
      <c r="D403" s="37"/>
      <c r="E403" s="38"/>
      <c r="F403" s="37"/>
      <c r="G403" s="38"/>
      <c r="H403" s="38"/>
      <c r="I403" s="37"/>
      <c r="J403" s="37"/>
      <c r="K403" s="36"/>
      <c r="L403" s="37"/>
      <c r="M403" s="103"/>
      <c r="N403" s="103"/>
      <c r="O403" s="103"/>
      <c r="P403" s="103"/>
      <c r="Q403" s="38"/>
      <c r="R403" s="38"/>
      <c r="S403" s="104"/>
    </row>
  </sheetData>
  <autoFilter ref="A3:S403"/>
  <mergeCells count="2">
    <mergeCell ref="A1:R1"/>
    <mergeCell ref="A2:R2"/>
  </mergeCells>
  <conditionalFormatting sqref="J4:J403">
    <cfRule type="cellIs" priority="2" operator="equal" aboveAverage="0" equalAverage="0" bottom="0" percent="0" rank="0" text="" dxfId="7">
      <formula>"Published"</formula>
    </cfRule>
    <cfRule type="cellIs" priority="3" operator="equal" aboveAverage="0" equalAverage="0" bottom="0" percent="0" rank="0" text="" dxfId="9">
      <formula>"Idea"</formula>
    </cfRule>
  </conditionalFormatting>
  <dataValidations count="5">
    <dataValidation allowBlank="true" error="Please choose a value from the dropdown list." errorStyle="stop" errorTitle="Value not in list" operator="between" prompt="Choose from the Platform list" showDropDown="false" showErrorMessage="false" showInputMessage="false" sqref="C4:C403" type="list">
      <formula1>Lists!$J$4:$J$52</formula1>
      <formula2>0</formula2>
    </dataValidation>
    <dataValidation allowBlank="true" error="Please choose a value from the dropdown list." errorStyle="stop" errorTitle="Value not in list" operator="between" prompt="Choose from the Content Type list" showDropDown="false" showErrorMessage="false" showInputMessage="false" sqref="D4:D403" type="list">
      <formula1>Lists!$H$4:$H$17</formula1>
      <formula2>0</formula2>
    </dataValidation>
    <dataValidation allowBlank="true" error="Please choose a value from the dropdown list." errorStyle="stop" errorTitle="Value not in list" operator="between" prompt="Choose from the Content Status list" showDropDown="false" showErrorMessage="false" showInputMessage="false" sqref="J4:J403" type="list">
      <formula1>Lists!$I$4:$I$10</formula1>
      <formula2>0</formula2>
    </dataValidation>
    <dataValidation allowBlank="true" error="Pick a name from the team roster on the START HERE tab." errorStyle="stop" errorTitle="Name not on the roster" operator="between" prompt="Choose the team member" showDropDown="false" showErrorMessage="false" showInputMessage="false" sqref="B4:B403" type="list">
      <formula1>'START HERE'!$B$55:$B$64</formula1>
      <formula2>0</formula2>
    </dataValidation>
    <dataValidation allowBlank="true" error="Please choose a value from the dropdown list." errorStyle="stop" errorTitle="Value not in list" operator="between" prompt="Choose from the Brand list" showDropDown="false" showErrorMessage="false" showInputMessage="false" sqref="S5:S403" type="list">
      <formula1>Lists!$O$4:$O$6</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33C0C"/>
    <pageSetUpPr fitToPage="true"/>
  </sheetPr>
  <dimension ref="A1:S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3"/>
    <col collapsed="false" customWidth="true" hidden="false" outlineLevel="0" max="3" min="3" style="1" width="22"/>
    <col collapsed="false" customWidth="true" hidden="false" outlineLevel="0" max="4" min="4" style="1" width="26"/>
    <col collapsed="false" customWidth="true" hidden="false" outlineLevel="0" max="5" min="5" style="1" width="22"/>
    <col collapsed="false" customWidth="true" hidden="false" outlineLevel="0" max="6" min="6" style="1" width="18"/>
    <col collapsed="false" customWidth="true" hidden="false" outlineLevel="0" max="7" min="7" style="1" width="20"/>
    <col collapsed="false" customWidth="true" hidden="false" outlineLevel="0" max="8" min="8" style="1" width="32"/>
    <col collapsed="false" customWidth="true" hidden="false" outlineLevel="0" max="9" min="9" style="1" width="30"/>
    <col collapsed="false" customWidth="true" hidden="false" outlineLevel="0" max="10" min="10" style="1" width="20"/>
    <col collapsed="false" customWidth="true" hidden="false" outlineLevel="0" max="11" min="11" style="1" width="18"/>
    <col collapsed="false" customWidth="true" hidden="false" outlineLevel="0" max="12" min="12" style="1" width="38"/>
    <col collapsed="false" customWidth="true" hidden="false" outlineLevel="0" max="13" min="13" style="1" width="13"/>
    <col collapsed="false" customWidth="true" hidden="false" outlineLevel="0" max="14" min="14" style="1" width="18"/>
    <col collapsed="false" customWidth="true" hidden="false" outlineLevel="0" max="16" min="15" style="1" width="12"/>
    <col collapsed="false" customWidth="true" hidden="false" outlineLevel="0" max="17" min="17" style="1" width="28"/>
    <col collapsed="false" customWidth="true" hidden="false" outlineLevel="0" max="18" min="18" style="1" width="26"/>
    <col collapsed="false" customWidth="true" hidden="false" outlineLevel="0" max="19" min="19" style="1" width="24"/>
  </cols>
  <sheetData>
    <row r="1" customFormat="false" ht="25.5" hidden="false" customHeight="true" outlineLevel="0" collapsed="false">
      <c r="A1" s="2" t="s">
        <v>1034</v>
      </c>
      <c r="B1" s="2"/>
      <c r="C1" s="2"/>
      <c r="D1" s="2"/>
      <c r="E1" s="2"/>
      <c r="F1" s="2"/>
      <c r="G1" s="2"/>
      <c r="H1" s="2"/>
      <c r="I1" s="2"/>
      <c r="J1" s="2"/>
      <c r="K1" s="2"/>
      <c r="L1" s="2"/>
      <c r="M1" s="2"/>
      <c r="N1" s="2"/>
      <c r="O1" s="2"/>
      <c r="P1" s="2"/>
      <c r="Q1" s="2"/>
      <c r="R1" s="2"/>
      <c r="S1" s="2"/>
    </row>
    <row r="2" customFormat="false" ht="18" hidden="false" customHeight="true" outlineLevel="0" collapsed="false">
      <c r="A2" s="3" t="s">
        <v>1035</v>
      </c>
      <c r="B2" s="3"/>
      <c r="C2" s="3"/>
      <c r="D2" s="3"/>
      <c r="E2" s="3"/>
      <c r="F2" s="3"/>
      <c r="G2" s="3"/>
      <c r="H2" s="3"/>
      <c r="I2" s="3"/>
      <c r="J2" s="3"/>
      <c r="K2" s="3"/>
      <c r="L2" s="3"/>
      <c r="M2" s="3"/>
      <c r="N2" s="3"/>
      <c r="O2" s="3"/>
      <c r="P2" s="3"/>
      <c r="Q2" s="3"/>
      <c r="R2" s="3"/>
      <c r="S2" s="3"/>
    </row>
    <row r="3" customFormat="false" ht="39.75" hidden="false" customHeight="true" outlineLevel="0" collapsed="false">
      <c r="A3" s="31" t="s">
        <v>113</v>
      </c>
      <c r="B3" s="31" t="s">
        <v>140</v>
      </c>
      <c r="C3" s="31" t="s">
        <v>1036</v>
      </c>
      <c r="D3" s="31" t="s">
        <v>1037</v>
      </c>
      <c r="E3" s="31" t="s">
        <v>189</v>
      </c>
      <c r="F3" s="31" t="s">
        <v>190</v>
      </c>
      <c r="G3" s="31" t="s">
        <v>191</v>
      </c>
      <c r="H3" s="31" t="s">
        <v>1038</v>
      </c>
      <c r="I3" s="31" t="s">
        <v>1039</v>
      </c>
      <c r="J3" s="31" t="s">
        <v>1040</v>
      </c>
      <c r="K3" s="31" t="s">
        <v>153</v>
      </c>
      <c r="L3" s="31" t="s">
        <v>1041</v>
      </c>
      <c r="M3" s="31" t="s">
        <v>202</v>
      </c>
      <c r="N3" s="31" t="s">
        <v>157</v>
      </c>
      <c r="O3" s="31" t="s">
        <v>159</v>
      </c>
      <c r="P3" s="31" t="s">
        <v>1042</v>
      </c>
      <c r="Q3" s="31" t="s">
        <v>1043</v>
      </c>
      <c r="R3" s="31" t="s">
        <v>161</v>
      </c>
      <c r="S3" s="31" t="s">
        <v>162</v>
      </c>
    </row>
    <row r="4" customFormat="false" ht="27.75" hidden="false" customHeight="true" outlineLevel="0" collapsed="false">
      <c r="A4" s="32" t="n">
        <v>46251</v>
      </c>
      <c r="B4" s="33" t="s">
        <v>168</v>
      </c>
      <c r="C4" s="33" t="s">
        <v>631</v>
      </c>
      <c r="D4" s="33" t="s">
        <v>1044</v>
      </c>
      <c r="E4" s="33" t="s">
        <v>718</v>
      </c>
      <c r="F4" s="33" t="s">
        <v>517</v>
      </c>
      <c r="G4" s="33" t="s">
        <v>517</v>
      </c>
      <c r="H4" s="33" t="s">
        <v>1045</v>
      </c>
      <c r="I4" s="34" t="s">
        <v>1046</v>
      </c>
      <c r="J4" s="33" t="s">
        <v>1047</v>
      </c>
      <c r="K4" s="33" t="s">
        <v>1048</v>
      </c>
      <c r="L4" s="34" t="s">
        <v>1049</v>
      </c>
      <c r="M4" s="33" t="s">
        <v>230</v>
      </c>
      <c r="N4" s="33" t="s">
        <v>1050</v>
      </c>
      <c r="O4" s="36"/>
      <c r="P4" s="36"/>
      <c r="Q4" s="33" t="s">
        <v>1051</v>
      </c>
      <c r="R4" s="34" t="s">
        <v>1052</v>
      </c>
      <c r="S4" s="34" t="s">
        <v>1033</v>
      </c>
    </row>
    <row r="5" customFormat="false" ht="27.75" hidden="false" customHeight="true" outlineLevel="0" collapsed="false">
      <c r="A5" s="36"/>
      <c r="B5" s="37"/>
      <c r="C5" s="37"/>
      <c r="D5" s="37"/>
      <c r="E5" s="37"/>
      <c r="F5" s="37"/>
      <c r="G5" s="37"/>
      <c r="H5" s="37"/>
      <c r="I5" s="38"/>
      <c r="J5" s="37"/>
      <c r="K5" s="37"/>
      <c r="L5" s="38"/>
      <c r="M5" s="37"/>
      <c r="N5" s="37"/>
      <c r="O5" s="36"/>
      <c r="P5" s="36"/>
      <c r="Q5" s="37"/>
      <c r="R5" s="38"/>
      <c r="S5" s="38"/>
    </row>
    <row r="6" customFormat="false" ht="27.75" hidden="false" customHeight="true" outlineLevel="0" collapsed="false">
      <c r="A6" s="36"/>
      <c r="B6" s="37"/>
      <c r="C6" s="37"/>
      <c r="D6" s="37"/>
      <c r="E6" s="37"/>
      <c r="F6" s="37"/>
      <c r="G6" s="37"/>
      <c r="H6" s="37"/>
      <c r="I6" s="38"/>
      <c r="J6" s="37"/>
      <c r="K6" s="37"/>
      <c r="L6" s="38"/>
      <c r="M6" s="37"/>
      <c r="N6" s="37"/>
      <c r="O6" s="36"/>
      <c r="P6" s="36"/>
      <c r="Q6" s="37"/>
      <c r="R6" s="38"/>
      <c r="S6" s="38"/>
    </row>
    <row r="7" customFormat="false" ht="27.75" hidden="false" customHeight="true" outlineLevel="0" collapsed="false">
      <c r="A7" s="36"/>
      <c r="B7" s="37"/>
      <c r="C7" s="37"/>
      <c r="D7" s="37"/>
      <c r="E7" s="37"/>
      <c r="F7" s="37"/>
      <c r="G7" s="37"/>
      <c r="H7" s="37"/>
      <c r="I7" s="38"/>
      <c r="J7" s="37"/>
      <c r="K7" s="37"/>
      <c r="L7" s="38"/>
      <c r="M7" s="37"/>
      <c r="N7" s="37"/>
      <c r="O7" s="36"/>
      <c r="P7" s="36"/>
      <c r="Q7" s="37"/>
      <c r="R7" s="38"/>
      <c r="S7" s="38"/>
    </row>
    <row r="8" customFormat="false" ht="27.75" hidden="false" customHeight="true" outlineLevel="0" collapsed="false">
      <c r="A8" s="36"/>
      <c r="B8" s="37"/>
      <c r="C8" s="37"/>
      <c r="D8" s="37"/>
      <c r="E8" s="37"/>
      <c r="F8" s="37"/>
      <c r="G8" s="37"/>
      <c r="H8" s="37"/>
      <c r="I8" s="38"/>
      <c r="J8" s="37"/>
      <c r="K8" s="37"/>
      <c r="L8" s="38"/>
      <c r="M8" s="37"/>
      <c r="N8" s="37"/>
      <c r="O8" s="36"/>
      <c r="P8" s="36"/>
      <c r="Q8" s="37"/>
      <c r="R8" s="38"/>
      <c r="S8" s="38"/>
    </row>
    <row r="9" customFormat="false" ht="27.75" hidden="false" customHeight="true" outlineLevel="0" collapsed="false">
      <c r="A9" s="36"/>
      <c r="B9" s="37"/>
      <c r="C9" s="37"/>
      <c r="D9" s="37"/>
      <c r="E9" s="37"/>
      <c r="F9" s="37"/>
      <c r="G9" s="37"/>
      <c r="H9" s="37"/>
      <c r="I9" s="38"/>
      <c r="J9" s="37"/>
      <c r="K9" s="37"/>
      <c r="L9" s="38"/>
      <c r="M9" s="37"/>
      <c r="N9" s="37"/>
      <c r="O9" s="36"/>
      <c r="P9" s="36"/>
      <c r="Q9" s="37"/>
      <c r="R9" s="38"/>
      <c r="S9" s="38"/>
    </row>
    <row r="10" customFormat="false" ht="27.75" hidden="false" customHeight="true" outlineLevel="0" collapsed="false">
      <c r="A10" s="36"/>
      <c r="B10" s="37"/>
      <c r="C10" s="37"/>
      <c r="D10" s="37"/>
      <c r="E10" s="37"/>
      <c r="F10" s="37"/>
      <c r="G10" s="37"/>
      <c r="H10" s="37"/>
      <c r="I10" s="38"/>
      <c r="J10" s="37"/>
      <c r="K10" s="37"/>
      <c r="L10" s="38"/>
      <c r="M10" s="37"/>
      <c r="N10" s="37"/>
      <c r="O10" s="36"/>
      <c r="P10" s="36"/>
      <c r="Q10" s="37"/>
      <c r="R10" s="38"/>
      <c r="S10" s="38"/>
    </row>
    <row r="11" customFormat="false" ht="27.75" hidden="false" customHeight="true" outlineLevel="0" collapsed="false">
      <c r="A11" s="36"/>
      <c r="B11" s="37"/>
      <c r="C11" s="37"/>
      <c r="D11" s="37"/>
      <c r="E11" s="37"/>
      <c r="F11" s="37"/>
      <c r="G11" s="37"/>
      <c r="H11" s="37"/>
      <c r="I11" s="38"/>
      <c r="J11" s="37"/>
      <c r="K11" s="37"/>
      <c r="L11" s="38"/>
      <c r="M11" s="37"/>
      <c r="N11" s="37"/>
      <c r="O11" s="36"/>
      <c r="P11" s="36"/>
      <c r="Q11" s="37"/>
      <c r="R11" s="38"/>
      <c r="S11" s="38"/>
    </row>
    <row r="12" customFormat="false" ht="27.75" hidden="false" customHeight="true" outlineLevel="0" collapsed="false">
      <c r="A12" s="36"/>
      <c r="B12" s="37"/>
      <c r="C12" s="37"/>
      <c r="D12" s="37"/>
      <c r="E12" s="37"/>
      <c r="F12" s="37"/>
      <c r="G12" s="37"/>
      <c r="H12" s="37"/>
      <c r="I12" s="38"/>
      <c r="J12" s="37"/>
      <c r="K12" s="37"/>
      <c r="L12" s="38"/>
      <c r="M12" s="37"/>
      <c r="N12" s="37"/>
      <c r="O12" s="36"/>
      <c r="P12" s="36"/>
      <c r="Q12" s="37"/>
      <c r="R12" s="38"/>
      <c r="S12" s="38"/>
    </row>
    <row r="13" customFormat="false" ht="27.75" hidden="false" customHeight="true" outlineLevel="0" collapsed="false">
      <c r="A13" s="36"/>
      <c r="B13" s="37"/>
      <c r="C13" s="37"/>
      <c r="D13" s="37"/>
      <c r="E13" s="37"/>
      <c r="F13" s="37"/>
      <c r="G13" s="37"/>
      <c r="H13" s="37"/>
      <c r="I13" s="38"/>
      <c r="J13" s="37"/>
      <c r="K13" s="37"/>
      <c r="L13" s="38"/>
      <c r="M13" s="37"/>
      <c r="N13" s="37"/>
      <c r="O13" s="36"/>
      <c r="P13" s="36"/>
      <c r="Q13" s="37"/>
      <c r="R13" s="38"/>
      <c r="S13" s="38"/>
    </row>
    <row r="14" customFormat="false" ht="27.75" hidden="false" customHeight="true" outlineLevel="0" collapsed="false">
      <c r="A14" s="36"/>
      <c r="B14" s="37"/>
      <c r="C14" s="37"/>
      <c r="D14" s="37"/>
      <c r="E14" s="37"/>
      <c r="F14" s="37"/>
      <c r="G14" s="37"/>
      <c r="H14" s="37"/>
      <c r="I14" s="38"/>
      <c r="J14" s="37"/>
      <c r="K14" s="37"/>
      <c r="L14" s="38"/>
      <c r="M14" s="37"/>
      <c r="N14" s="37"/>
      <c r="O14" s="36"/>
      <c r="P14" s="36"/>
      <c r="Q14" s="37"/>
      <c r="R14" s="38"/>
      <c r="S14" s="38"/>
    </row>
    <row r="15" customFormat="false" ht="27.75" hidden="false" customHeight="true" outlineLevel="0" collapsed="false">
      <c r="A15" s="36"/>
      <c r="B15" s="37"/>
      <c r="C15" s="37"/>
      <c r="D15" s="37"/>
      <c r="E15" s="37"/>
      <c r="F15" s="37"/>
      <c r="G15" s="37"/>
      <c r="H15" s="37"/>
      <c r="I15" s="38"/>
      <c r="J15" s="37"/>
      <c r="K15" s="37"/>
      <c r="L15" s="38"/>
      <c r="M15" s="37"/>
      <c r="N15" s="37"/>
      <c r="O15" s="36"/>
      <c r="P15" s="36"/>
      <c r="Q15" s="37"/>
      <c r="R15" s="38"/>
      <c r="S15" s="38"/>
    </row>
    <row r="16" customFormat="false" ht="27.75" hidden="false" customHeight="true" outlineLevel="0" collapsed="false">
      <c r="A16" s="36"/>
      <c r="B16" s="37"/>
      <c r="C16" s="37"/>
      <c r="D16" s="37"/>
      <c r="E16" s="37"/>
      <c r="F16" s="37"/>
      <c r="G16" s="37"/>
      <c r="H16" s="37"/>
      <c r="I16" s="38"/>
      <c r="J16" s="37"/>
      <c r="K16" s="37"/>
      <c r="L16" s="38"/>
      <c r="M16" s="37"/>
      <c r="N16" s="37"/>
      <c r="O16" s="36"/>
      <c r="P16" s="36"/>
      <c r="Q16" s="37"/>
      <c r="R16" s="38"/>
      <c r="S16" s="38"/>
    </row>
    <row r="17" customFormat="false" ht="27.75" hidden="false" customHeight="true" outlineLevel="0" collapsed="false">
      <c r="A17" s="36"/>
      <c r="B17" s="37"/>
      <c r="C17" s="37"/>
      <c r="D17" s="37"/>
      <c r="E17" s="37"/>
      <c r="F17" s="37"/>
      <c r="G17" s="37"/>
      <c r="H17" s="37"/>
      <c r="I17" s="38"/>
      <c r="J17" s="37"/>
      <c r="K17" s="37"/>
      <c r="L17" s="38"/>
      <c r="M17" s="37"/>
      <c r="N17" s="37"/>
      <c r="O17" s="36"/>
      <c r="P17" s="36"/>
      <c r="Q17" s="37"/>
      <c r="R17" s="38"/>
      <c r="S17" s="38"/>
    </row>
    <row r="18" customFormat="false" ht="27.75" hidden="false" customHeight="true" outlineLevel="0" collapsed="false">
      <c r="A18" s="36"/>
      <c r="B18" s="37"/>
      <c r="C18" s="37"/>
      <c r="D18" s="37"/>
      <c r="E18" s="37"/>
      <c r="F18" s="37"/>
      <c r="G18" s="37"/>
      <c r="H18" s="37"/>
      <c r="I18" s="38"/>
      <c r="J18" s="37"/>
      <c r="K18" s="37"/>
      <c r="L18" s="38"/>
      <c r="M18" s="37"/>
      <c r="N18" s="37"/>
      <c r="O18" s="36"/>
      <c r="P18" s="36"/>
      <c r="Q18" s="37"/>
      <c r="R18" s="38"/>
      <c r="S18" s="38"/>
    </row>
    <row r="19" customFormat="false" ht="27.75" hidden="false" customHeight="true" outlineLevel="0" collapsed="false">
      <c r="A19" s="36"/>
      <c r="B19" s="37"/>
      <c r="C19" s="37"/>
      <c r="D19" s="37"/>
      <c r="E19" s="37"/>
      <c r="F19" s="37"/>
      <c r="G19" s="37"/>
      <c r="H19" s="37"/>
      <c r="I19" s="38"/>
      <c r="J19" s="37"/>
      <c r="K19" s="37"/>
      <c r="L19" s="38"/>
      <c r="M19" s="37"/>
      <c r="N19" s="37"/>
      <c r="O19" s="36"/>
      <c r="P19" s="36"/>
      <c r="Q19" s="37"/>
      <c r="R19" s="38"/>
      <c r="S19" s="38"/>
    </row>
    <row r="20" customFormat="false" ht="27.75" hidden="false" customHeight="true" outlineLevel="0" collapsed="false">
      <c r="A20" s="36"/>
      <c r="B20" s="37"/>
      <c r="C20" s="37"/>
      <c r="D20" s="37"/>
      <c r="E20" s="37"/>
      <c r="F20" s="37"/>
      <c r="G20" s="37"/>
      <c r="H20" s="37"/>
      <c r="I20" s="38"/>
      <c r="J20" s="37"/>
      <c r="K20" s="37"/>
      <c r="L20" s="38"/>
      <c r="M20" s="37"/>
      <c r="N20" s="37"/>
      <c r="O20" s="36"/>
      <c r="P20" s="36"/>
      <c r="Q20" s="37"/>
      <c r="R20" s="38"/>
      <c r="S20" s="38"/>
    </row>
    <row r="21" customFormat="false" ht="27.75" hidden="false" customHeight="true" outlineLevel="0" collapsed="false">
      <c r="A21" s="36"/>
      <c r="B21" s="37"/>
      <c r="C21" s="37"/>
      <c r="D21" s="37"/>
      <c r="E21" s="37"/>
      <c r="F21" s="37"/>
      <c r="G21" s="37"/>
      <c r="H21" s="37"/>
      <c r="I21" s="38"/>
      <c r="J21" s="37"/>
      <c r="K21" s="37"/>
      <c r="L21" s="38"/>
      <c r="M21" s="37"/>
      <c r="N21" s="37"/>
      <c r="O21" s="36"/>
      <c r="P21" s="36"/>
      <c r="Q21" s="37"/>
      <c r="R21" s="38"/>
      <c r="S21" s="38"/>
    </row>
    <row r="22" customFormat="false" ht="27.75" hidden="false" customHeight="true" outlineLevel="0" collapsed="false">
      <c r="A22" s="36"/>
      <c r="B22" s="37"/>
      <c r="C22" s="37"/>
      <c r="D22" s="37"/>
      <c r="E22" s="37"/>
      <c r="F22" s="37"/>
      <c r="G22" s="37"/>
      <c r="H22" s="37"/>
      <c r="I22" s="38"/>
      <c r="J22" s="37"/>
      <c r="K22" s="37"/>
      <c r="L22" s="38"/>
      <c r="M22" s="37"/>
      <c r="N22" s="37"/>
      <c r="O22" s="36"/>
      <c r="P22" s="36"/>
      <c r="Q22" s="37"/>
      <c r="R22" s="38"/>
      <c r="S22" s="38"/>
    </row>
    <row r="23" customFormat="false" ht="27.75" hidden="false" customHeight="true" outlineLevel="0" collapsed="false">
      <c r="A23" s="36"/>
      <c r="B23" s="37"/>
      <c r="C23" s="37"/>
      <c r="D23" s="37"/>
      <c r="E23" s="37"/>
      <c r="F23" s="37"/>
      <c r="G23" s="37"/>
      <c r="H23" s="37"/>
      <c r="I23" s="38"/>
      <c r="J23" s="37"/>
      <c r="K23" s="37"/>
      <c r="L23" s="38"/>
      <c r="M23" s="37"/>
      <c r="N23" s="37"/>
      <c r="O23" s="36"/>
      <c r="P23" s="36"/>
      <c r="Q23" s="37"/>
      <c r="R23" s="38"/>
      <c r="S23" s="38"/>
    </row>
    <row r="24" customFormat="false" ht="27.75" hidden="false" customHeight="true" outlineLevel="0" collapsed="false">
      <c r="A24" s="36"/>
      <c r="B24" s="37"/>
      <c r="C24" s="37"/>
      <c r="D24" s="37"/>
      <c r="E24" s="37"/>
      <c r="F24" s="37"/>
      <c r="G24" s="37"/>
      <c r="H24" s="37"/>
      <c r="I24" s="38"/>
      <c r="J24" s="37"/>
      <c r="K24" s="37"/>
      <c r="L24" s="38"/>
      <c r="M24" s="37"/>
      <c r="N24" s="37"/>
      <c r="O24" s="36"/>
      <c r="P24" s="36"/>
      <c r="Q24" s="37"/>
      <c r="R24" s="38"/>
      <c r="S24" s="38"/>
    </row>
    <row r="25" customFormat="false" ht="27.75" hidden="false" customHeight="true" outlineLevel="0" collapsed="false">
      <c r="A25" s="36"/>
      <c r="B25" s="37"/>
      <c r="C25" s="37"/>
      <c r="D25" s="37"/>
      <c r="E25" s="37"/>
      <c r="F25" s="37"/>
      <c r="G25" s="37"/>
      <c r="H25" s="37"/>
      <c r="I25" s="38"/>
      <c r="J25" s="37"/>
      <c r="K25" s="37"/>
      <c r="L25" s="38"/>
      <c r="M25" s="37"/>
      <c r="N25" s="37"/>
      <c r="O25" s="36"/>
      <c r="P25" s="36"/>
      <c r="Q25" s="37"/>
      <c r="R25" s="38"/>
      <c r="S25" s="38"/>
    </row>
    <row r="26" customFormat="false" ht="27.75" hidden="false" customHeight="true" outlineLevel="0" collapsed="false">
      <c r="A26" s="36"/>
      <c r="B26" s="37"/>
      <c r="C26" s="37"/>
      <c r="D26" s="37"/>
      <c r="E26" s="37"/>
      <c r="F26" s="37"/>
      <c r="G26" s="37"/>
      <c r="H26" s="37"/>
      <c r="I26" s="38"/>
      <c r="J26" s="37"/>
      <c r="K26" s="37"/>
      <c r="L26" s="38"/>
      <c r="M26" s="37"/>
      <c r="N26" s="37"/>
      <c r="O26" s="36"/>
      <c r="P26" s="36"/>
      <c r="Q26" s="37"/>
      <c r="R26" s="38"/>
      <c r="S26" s="38"/>
    </row>
    <row r="27" customFormat="false" ht="27.75" hidden="false" customHeight="true" outlineLevel="0" collapsed="false">
      <c r="A27" s="36"/>
      <c r="B27" s="37"/>
      <c r="C27" s="37"/>
      <c r="D27" s="37"/>
      <c r="E27" s="37"/>
      <c r="F27" s="37"/>
      <c r="G27" s="37"/>
      <c r="H27" s="37"/>
      <c r="I27" s="38"/>
      <c r="J27" s="37"/>
      <c r="K27" s="37"/>
      <c r="L27" s="38"/>
      <c r="M27" s="37"/>
      <c r="N27" s="37"/>
      <c r="O27" s="36"/>
      <c r="P27" s="36"/>
      <c r="Q27" s="37"/>
      <c r="R27" s="38"/>
      <c r="S27" s="38"/>
    </row>
    <row r="28" customFormat="false" ht="27.75" hidden="false" customHeight="true" outlineLevel="0" collapsed="false">
      <c r="A28" s="36"/>
      <c r="B28" s="37"/>
      <c r="C28" s="37"/>
      <c r="D28" s="37"/>
      <c r="E28" s="37"/>
      <c r="F28" s="37"/>
      <c r="G28" s="37"/>
      <c r="H28" s="37"/>
      <c r="I28" s="38"/>
      <c r="J28" s="37"/>
      <c r="K28" s="37"/>
      <c r="L28" s="38"/>
      <c r="M28" s="37"/>
      <c r="N28" s="37"/>
      <c r="O28" s="36"/>
      <c r="P28" s="36"/>
      <c r="Q28" s="37"/>
      <c r="R28" s="38"/>
      <c r="S28" s="38"/>
    </row>
    <row r="29" customFormat="false" ht="27.75" hidden="false" customHeight="true" outlineLevel="0" collapsed="false">
      <c r="A29" s="36"/>
      <c r="B29" s="37"/>
      <c r="C29" s="37"/>
      <c r="D29" s="37"/>
      <c r="E29" s="37"/>
      <c r="F29" s="37"/>
      <c r="G29" s="37"/>
      <c r="H29" s="37"/>
      <c r="I29" s="38"/>
      <c r="J29" s="37"/>
      <c r="K29" s="37"/>
      <c r="L29" s="38"/>
      <c r="M29" s="37"/>
      <c r="N29" s="37"/>
      <c r="O29" s="36"/>
      <c r="P29" s="36"/>
      <c r="Q29" s="37"/>
      <c r="R29" s="38"/>
      <c r="S29" s="38"/>
    </row>
    <row r="30" customFormat="false" ht="27.75" hidden="false" customHeight="true" outlineLevel="0" collapsed="false">
      <c r="A30" s="36"/>
      <c r="B30" s="37"/>
      <c r="C30" s="37"/>
      <c r="D30" s="37"/>
      <c r="E30" s="37"/>
      <c r="F30" s="37"/>
      <c r="G30" s="37"/>
      <c r="H30" s="37"/>
      <c r="I30" s="38"/>
      <c r="J30" s="37"/>
      <c r="K30" s="37"/>
      <c r="L30" s="38"/>
      <c r="M30" s="37"/>
      <c r="N30" s="37"/>
      <c r="O30" s="36"/>
      <c r="P30" s="36"/>
      <c r="Q30" s="37"/>
      <c r="R30" s="38"/>
      <c r="S30" s="38"/>
    </row>
    <row r="31" customFormat="false" ht="27.75" hidden="false" customHeight="true" outlineLevel="0" collapsed="false">
      <c r="A31" s="36"/>
      <c r="B31" s="37"/>
      <c r="C31" s="37"/>
      <c r="D31" s="37"/>
      <c r="E31" s="37"/>
      <c r="F31" s="37"/>
      <c r="G31" s="37"/>
      <c r="H31" s="37"/>
      <c r="I31" s="38"/>
      <c r="J31" s="37"/>
      <c r="K31" s="37"/>
      <c r="L31" s="38"/>
      <c r="M31" s="37"/>
      <c r="N31" s="37"/>
      <c r="O31" s="36"/>
      <c r="P31" s="36"/>
      <c r="Q31" s="37"/>
      <c r="R31" s="38"/>
      <c r="S31" s="38"/>
    </row>
    <row r="32" customFormat="false" ht="27.75" hidden="false" customHeight="true" outlineLevel="0" collapsed="false">
      <c r="A32" s="36"/>
      <c r="B32" s="37"/>
      <c r="C32" s="37"/>
      <c r="D32" s="37"/>
      <c r="E32" s="37"/>
      <c r="F32" s="37"/>
      <c r="G32" s="37"/>
      <c r="H32" s="37"/>
      <c r="I32" s="38"/>
      <c r="J32" s="37"/>
      <c r="K32" s="37"/>
      <c r="L32" s="38"/>
      <c r="M32" s="37"/>
      <c r="N32" s="37"/>
      <c r="O32" s="36"/>
      <c r="P32" s="36"/>
      <c r="Q32" s="37"/>
      <c r="R32" s="38"/>
      <c r="S32" s="38"/>
    </row>
    <row r="33" customFormat="false" ht="27.75" hidden="false" customHeight="true" outlineLevel="0" collapsed="false">
      <c r="A33" s="36"/>
      <c r="B33" s="37"/>
      <c r="C33" s="37"/>
      <c r="D33" s="37"/>
      <c r="E33" s="37"/>
      <c r="F33" s="37"/>
      <c r="G33" s="37"/>
      <c r="H33" s="37"/>
      <c r="I33" s="38"/>
      <c r="J33" s="37"/>
      <c r="K33" s="37"/>
      <c r="L33" s="38"/>
      <c r="M33" s="37"/>
      <c r="N33" s="37"/>
      <c r="O33" s="36"/>
      <c r="P33" s="36"/>
      <c r="Q33" s="37"/>
      <c r="R33" s="38"/>
      <c r="S33" s="38"/>
    </row>
    <row r="34" customFormat="false" ht="27.75" hidden="false" customHeight="true" outlineLevel="0" collapsed="false">
      <c r="A34" s="36"/>
      <c r="B34" s="37"/>
      <c r="C34" s="37"/>
      <c r="D34" s="37"/>
      <c r="E34" s="37"/>
      <c r="F34" s="37"/>
      <c r="G34" s="37"/>
      <c r="H34" s="37"/>
      <c r="I34" s="38"/>
      <c r="J34" s="37"/>
      <c r="K34" s="37"/>
      <c r="L34" s="38"/>
      <c r="M34" s="37"/>
      <c r="N34" s="37"/>
      <c r="O34" s="36"/>
      <c r="P34" s="36"/>
      <c r="Q34" s="37"/>
      <c r="R34" s="38"/>
      <c r="S34" s="38"/>
    </row>
    <row r="35" customFormat="false" ht="27.75" hidden="false" customHeight="true" outlineLevel="0" collapsed="false">
      <c r="A35" s="36"/>
      <c r="B35" s="37"/>
      <c r="C35" s="37"/>
      <c r="D35" s="37"/>
      <c r="E35" s="37"/>
      <c r="F35" s="37"/>
      <c r="G35" s="37"/>
      <c r="H35" s="37"/>
      <c r="I35" s="38"/>
      <c r="J35" s="37"/>
      <c r="K35" s="37"/>
      <c r="L35" s="38"/>
      <c r="M35" s="37"/>
      <c r="N35" s="37"/>
      <c r="O35" s="36"/>
      <c r="P35" s="36"/>
      <c r="Q35" s="37"/>
      <c r="R35" s="38"/>
      <c r="S35" s="38"/>
    </row>
    <row r="36" customFormat="false" ht="27.75" hidden="false" customHeight="true" outlineLevel="0" collapsed="false">
      <c r="A36" s="36"/>
      <c r="B36" s="37"/>
      <c r="C36" s="37"/>
      <c r="D36" s="37"/>
      <c r="E36" s="37"/>
      <c r="F36" s="37"/>
      <c r="G36" s="37"/>
      <c r="H36" s="37"/>
      <c r="I36" s="38"/>
      <c r="J36" s="37"/>
      <c r="K36" s="37"/>
      <c r="L36" s="38"/>
      <c r="M36" s="37"/>
      <c r="N36" s="37"/>
      <c r="O36" s="36"/>
      <c r="P36" s="36"/>
      <c r="Q36" s="37"/>
      <c r="R36" s="38"/>
      <c r="S36" s="38"/>
    </row>
    <row r="37" customFormat="false" ht="27.75" hidden="false" customHeight="true" outlineLevel="0" collapsed="false">
      <c r="A37" s="36"/>
      <c r="B37" s="37"/>
      <c r="C37" s="37"/>
      <c r="D37" s="37"/>
      <c r="E37" s="37"/>
      <c r="F37" s="37"/>
      <c r="G37" s="37"/>
      <c r="H37" s="37"/>
      <c r="I37" s="38"/>
      <c r="J37" s="37"/>
      <c r="K37" s="37"/>
      <c r="L37" s="38"/>
      <c r="M37" s="37"/>
      <c r="N37" s="37"/>
      <c r="O37" s="36"/>
      <c r="P37" s="36"/>
      <c r="Q37" s="37"/>
      <c r="R37" s="38"/>
      <c r="S37" s="38"/>
    </row>
    <row r="38" customFormat="false" ht="27.75" hidden="false" customHeight="true" outlineLevel="0" collapsed="false">
      <c r="A38" s="36"/>
      <c r="B38" s="37"/>
      <c r="C38" s="37"/>
      <c r="D38" s="37"/>
      <c r="E38" s="37"/>
      <c r="F38" s="37"/>
      <c r="G38" s="37"/>
      <c r="H38" s="37"/>
      <c r="I38" s="38"/>
      <c r="J38" s="37"/>
      <c r="K38" s="37"/>
      <c r="L38" s="38"/>
      <c r="M38" s="37"/>
      <c r="N38" s="37"/>
      <c r="O38" s="36"/>
      <c r="P38" s="36"/>
      <c r="Q38" s="37"/>
      <c r="R38" s="38"/>
      <c r="S38" s="38"/>
    </row>
    <row r="39" customFormat="false" ht="27.75" hidden="false" customHeight="true" outlineLevel="0" collapsed="false">
      <c r="A39" s="36"/>
      <c r="B39" s="37"/>
      <c r="C39" s="37"/>
      <c r="D39" s="37"/>
      <c r="E39" s="37"/>
      <c r="F39" s="37"/>
      <c r="G39" s="37"/>
      <c r="H39" s="37"/>
      <c r="I39" s="38"/>
      <c r="J39" s="37"/>
      <c r="K39" s="37"/>
      <c r="L39" s="38"/>
      <c r="M39" s="37"/>
      <c r="N39" s="37"/>
      <c r="O39" s="36"/>
      <c r="P39" s="36"/>
      <c r="Q39" s="37"/>
      <c r="R39" s="38"/>
      <c r="S39" s="38"/>
    </row>
    <row r="40" customFormat="false" ht="27.75" hidden="false" customHeight="true" outlineLevel="0" collapsed="false">
      <c r="A40" s="36"/>
      <c r="B40" s="37"/>
      <c r="C40" s="37"/>
      <c r="D40" s="37"/>
      <c r="E40" s="37"/>
      <c r="F40" s="37"/>
      <c r="G40" s="37"/>
      <c r="H40" s="37"/>
      <c r="I40" s="38"/>
      <c r="J40" s="37"/>
      <c r="K40" s="37"/>
      <c r="L40" s="38"/>
      <c r="M40" s="37"/>
      <c r="N40" s="37"/>
      <c r="O40" s="36"/>
      <c r="P40" s="36"/>
      <c r="Q40" s="37"/>
      <c r="R40" s="38"/>
      <c r="S40" s="38"/>
    </row>
    <row r="41" customFormat="false" ht="27.75" hidden="false" customHeight="true" outlineLevel="0" collapsed="false">
      <c r="A41" s="36"/>
      <c r="B41" s="37"/>
      <c r="C41" s="37"/>
      <c r="D41" s="37"/>
      <c r="E41" s="37"/>
      <c r="F41" s="37"/>
      <c r="G41" s="37"/>
      <c r="H41" s="37"/>
      <c r="I41" s="38"/>
      <c r="J41" s="37"/>
      <c r="K41" s="37"/>
      <c r="L41" s="38"/>
      <c r="M41" s="37"/>
      <c r="N41" s="37"/>
      <c r="O41" s="36"/>
      <c r="P41" s="36"/>
      <c r="Q41" s="37"/>
      <c r="R41" s="38"/>
      <c r="S41" s="38"/>
    </row>
    <row r="42" customFormat="false" ht="27.75" hidden="false" customHeight="true" outlineLevel="0" collapsed="false">
      <c r="A42" s="36"/>
      <c r="B42" s="37"/>
      <c r="C42" s="37"/>
      <c r="D42" s="37"/>
      <c r="E42" s="37"/>
      <c r="F42" s="37"/>
      <c r="G42" s="37"/>
      <c r="H42" s="37"/>
      <c r="I42" s="38"/>
      <c r="J42" s="37"/>
      <c r="K42" s="37"/>
      <c r="L42" s="38"/>
      <c r="M42" s="37"/>
      <c r="N42" s="37"/>
      <c r="O42" s="36"/>
      <c r="P42" s="36"/>
      <c r="Q42" s="37"/>
      <c r="R42" s="38"/>
      <c r="S42" s="38"/>
    </row>
    <row r="43" customFormat="false" ht="27.75" hidden="false" customHeight="true" outlineLevel="0" collapsed="false">
      <c r="A43" s="36"/>
      <c r="B43" s="37"/>
      <c r="C43" s="37"/>
      <c r="D43" s="37"/>
      <c r="E43" s="37"/>
      <c r="F43" s="37"/>
      <c r="G43" s="37"/>
      <c r="H43" s="37"/>
      <c r="I43" s="38"/>
      <c r="J43" s="37"/>
      <c r="K43" s="37"/>
      <c r="L43" s="38"/>
      <c r="M43" s="37"/>
      <c r="N43" s="37"/>
      <c r="O43" s="36"/>
      <c r="P43" s="36"/>
      <c r="Q43" s="37"/>
      <c r="R43" s="38"/>
      <c r="S43" s="38"/>
    </row>
    <row r="44" customFormat="false" ht="27.75" hidden="false" customHeight="true" outlineLevel="0" collapsed="false">
      <c r="A44" s="36"/>
      <c r="B44" s="37"/>
      <c r="C44" s="37"/>
      <c r="D44" s="37"/>
      <c r="E44" s="37"/>
      <c r="F44" s="37"/>
      <c r="G44" s="37"/>
      <c r="H44" s="37"/>
      <c r="I44" s="38"/>
      <c r="J44" s="37"/>
      <c r="K44" s="37"/>
      <c r="L44" s="38"/>
      <c r="M44" s="37"/>
      <c r="N44" s="37"/>
      <c r="O44" s="36"/>
      <c r="P44" s="36"/>
      <c r="Q44" s="37"/>
      <c r="R44" s="38"/>
      <c r="S44" s="38"/>
    </row>
    <row r="45" customFormat="false" ht="27.75" hidden="false" customHeight="true" outlineLevel="0" collapsed="false">
      <c r="A45" s="36"/>
      <c r="B45" s="37"/>
      <c r="C45" s="37"/>
      <c r="D45" s="37"/>
      <c r="E45" s="37"/>
      <c r="F45" s="37"/>
      <c r="G45" s="37"/>
      <c r="H45" s="37"/>
      <c r="I45" s="38"/>
      <c r="J45" s="37"/>
      <c r="K45" s="37"/>
      <c r="L45" s="38"/>
      <c r="M45" s="37"/>
      <c r="N45" s="37"/>
      <c r="O45" s="36"/>
      <c r="P45" s="36"/>
      <c r="Q45" s="37"/>
      <c r="R45" s="38"/>
      <c r="S45" s="38"/>
    </row>
    <row r="46" customFormat="false" ht="27.75" hidden="false" customHeight="true" outlineLevel="0" collapsed="false">
      <c r="A46" s="36"/>
      <c r="B46" s="37"/>
      <c r="C46" s="37"/>
      <c r="D46" s="37"/>
      <c r="E46" s="37"/>
      <c r="F46" s="37"/>
      <c r="G46" s="37"/>
      <c r="H46" s="37"/>
      <c r="I46" s="38"/>
      <c r="J46" s="37"/>
      <c r="K46" s="37"/>
      <c r="L46" s="38"/>
      <c r="M46" s="37"/>
      <c r="N46" s="37"/>
      <c r="O46" s="36"/>
      <c r="P46" s="36"/>
      <c r="Q46" s="37"/>
      <c r="R46" s="38"/>
      <c r="S46" s="38"/>
    </row>
    <row r="47" customFormat="false" ht="27.75" hidden="false" customHeight="true" outlineLevel="0" collapsed="false">
      <c r="A47" s="36"/>
      <c r="B47" s="37"/>
      <c r="C47" s="37"/>
      <c r="D47" s="37"/>
      <c r="E47" s="37"/>
      <c r="F47" s="37"/>
      <c r="G47" s="37"/>
      <c r="H47" s="37"/>
      <c r="I47" s="38"/>
      <c r="J47" s="37"/>
      <c r="K47" s="37"/>
      <c r="L47" s="38"/>
      <c r="M47" s="37"/>
      <c r="N47" s="37"/>
      <c r="O47" s="36"/>
      <c r="P47" s="36"/>
      <c r="Q47" s="37"/>
      <c r="R47" s="38"/>
      <c r="S47" s="38"/>
    </row>
    <row r="48" customFormat="false" ht="27.75" hidden="false" customHeight="true" outlineLevel="0" collapsed="false">
      <c r="A48" s="36"/>
      <c r="B48" s="37"/>
      <c r="C48" s="37"/>
      <c r="D48" s="37"/>
      <c r="E48" s="37"/>
      <c r="F48" s="37"/>
      <c r="G48" s="37"/>
      <c r="H48" s="37"/>
      <c r="I48" s="38"/>
      <c r="J48" s="37"/>
      <c r="K48" s="37"/>
      <c r="L48" s="38"/>
      <c r="M48" s="37"/>
      <c r="N48" s="37"/>
      <c r="O48" s="36"/>
      <c r="P48" s="36"/>
      <c r="Q48" s="37"/>
      <c r="R48" s="38"/>
      <c r="S48" s="38"/>
    </row>
    <row r="49" customFormat="false" ht="27.75" hidden="false" customHeight="true" outlineLevel="0" collapsed="false">
      <c r="A49" s="36"/>
      <c r="B49" s="37"/>
      <c r="C49" s="37"/>
      <c r="D49" s="37"/>
      <c r="E49" s="37"/>
      <c r="F49" s="37"/>
      <c r="G49" s="37"/>
      <c r="H49" s="37"/>
      <c r="I49" s="38"/>
      <c r="J49" s="37"/>
      <c r="K49" s="37"/>
      <c r="L49" s="38"/>
      <c r="M49" s="37"/>
      <c r="N49" s="37"/>
      <c r="O49" s="36"/>
      <c r="P49" s="36"/>
      <c r="Q49" s="37"/>
      <c r="R49" s="38"/>
      <c r="S49" s="38"/>
    </row>
    <row r="50" customFormat="false" ht="27.75" hidden="false" customHeight="true" outlineLevel="0" collapsed="false">
      <c r="A50" s="36"/>
      <c r="B50" s="37"/>
      <c r="C50" s="37"/>
      <c r="D50" s="37"/>
      <c r="E50" s="37"/>
      <c r="F50" s="37"/>
      <c r="G50" s="37"/>
      <c r="H50" s="37"/>
      <c r="I50" s="38"/>
      <c r="J50" s="37"/>
      <c r="K50" s="37"/>
      <c r="L50" s="38"/>
      <c r="M50" s="37"/>
      <c r="N50" s="37"/>
      <c r="O50" s="36"/>
      <c r="P50" s="36"/>
      <c r="Q50" s="37"/>
      <c r="R50" s="38"/>
      <c r="S50" s="38"/>
    </row>
    <row r="51" customFormat="false" ht="27.75" hidden="false" customHeight="true" outlineLevel="0" collapsed="false">
      <c r="A51" s="36"/>
      <c r="B51" s="37"/>
      <c r="C51" s="37"/>
      <c r="D51" s="37"/>
      <c r="E51" s="37"/>
      <c r="F51" s="37"/>
      <c r="G51" s="37"/>
      <c r="H51" s="37"/>
      <c r="I51" s="38"/>
      <c r="J51" s="37"/>
      <c r="K51" s="37"/>
      <c r="L51" s="38"/>
      <c r="M51" s="37"/>
      <c r="N51" s="37"/>
      <c r="O51" s="36"/>
      <c r="P51" s="36"/>
      <c r="Q51" s="37"/>
      <c r="R51" s="38"/>
      <c r="S51" s="38"/>
    </row>
    <row r="52" customFormat="false" ht="27.75" hidden="false" customHeight="true" outlineLevel="0" collapsed="false">
      <c r="A52" s="36"/>
      <c r="B52" s="37"/>
      <c r="C52" s="37"/>
      <c r="D52" s="37"/>
      <c r="E52" s="37"/>
      <c r="F52" s="37"/>
      <c r="G52" s="37"/>
      <c r="H52" s="37"/>
      <c r="I52" s="38"/>
      <c r="J52" s="37"/>
      <c r="K52" s="37"/>
      <c r="L52" s="38"/>
      <c r="M52" s="37"/>
      <c r="N52" s="37"/>
      <c r="O52" s="36"/>
      <c r="P52" s="36"/>
      <c r="Q52" s="37"/>
      <c r="R52" s="38"/>
      <c r="S52" s="38"/>
    </row>
    <row r="53" customFormat="false" ht="27.75" hidden="false" customHeight="true" outlineLevel="0" collapsed="false">
      <c r="A53" s="36"/>
      <c r="B53" s="37"/>
      <c r="C53" s="37"/>
      <c r="D53" s="37"/>
      <c r="E53" s="37"/>
      <c r="F53" s="37"/>
      <c r="G53" s="37"/>
      <c r="H53" s="37"/>
      <c r="I53" s="38"/>
      <c r="J53" s="37"/>
      <c r="K53" s="37"/>
      <c r="L53" s="38"/>
      <c r="M53" s="37"/>
      <c r="N53" s="37"/>
      <c r="O53" s="36"/>
      <c r="P53" s="36"/>
      <c r="Q53" s="37"/>
      <c r="R53" s="38"/>
      <c r="S53" s="38"/>
    </row>
    <row r="54" customFormat="false" ht="27.75" hidden="false" customHeight="true" outlineLevel="0" collapsed="false">
      <c r="A54" s="36"/>
      <c r="B54" s="37"/>
      <c r="C54" s="37"/>
      <c r="D54" s="37"/>
      <c r="E54" s="37"/>
      <c r="F54" s="37"/>
      <c r="G54" s="37"/>
      <c r="H54" s="37"/>
      <c r="I54" s="38"/>
      <c r="J54" s="37"/>
      <c r="K54" s="37"/>
      <c r="L54" s="38"/>
      <c r="M54" s="37"/>
      <c r="N54" s="37"/>
      <c r="O54" s="36"/>
      <c r="P54" s="36"/>
      <c r="Q54" s="37"/>
      <c r="R54" s="38"/>
      <c r="S54" s="38"/>
    </row>
    <row r="55" customFormat="false" ht="27.75" hidden="false" customHeight="true" outlineLevel="0" collapsed="false">
      <c r="A55" s="36"/>
      <c r="B55" s="37"/>
      <c r="C55" s="37"/>
      <c r="D55" s="37"/>
      <c r="E55" s="37"/>
      <c r="F55" s="37"/>
      <c r="G55" s="37"/>
      <c r="H55" s="37"/>
      <c r="I55" s="38"/>
      <c r="J55" s="37"/>
      <c r="K55" s="37"/>
      <c r="L55" s="38"/>
      <c r="M55" s="37"/>
      <c r="N55" s="37"/>
      <c r="O55" s="36"/>
      <c r="P55" s="36"/>
      <c r="Q55" s="37"/>
      <c r="R55" s="38"/>
      <c r="S55" s="38"/>
    </row>
    <row r="56" customFormat="false" ht="27.75" hidden="false" customHeight="true" outlineLevel="0" collapsed="false">
      <c r="A56" s="36"/>
      <c r="B56" s="37"/>
      <c r="C56" s="37"/>
      <c r="D56" s="37"/>
      <c r="E56" s="37"/>
      <c r="F56" s="37"/>
      <c r="G56" s="37"/>
      <c r="H56" s="37"/>
      <c r="I56" s="38"/>
      <c r="J56" s="37"/>
      <c r="K56" s="37"/>
      <c r="L56" s="38"/>
      <c r="M56" s="37"/>
      <c r="N56" s="37"/>
      <c r="O56" s="36"/>
      <c r="P56" s="36"/>
      <c r="Q56" s="37"/>
      <c r="R56" s="38"/>
      <c r="S56" s="38"/>
    </row>
    <row r="57" customFormat="false" ht="27.75" hidden="false" customHeight="true" outlineLevel="0" collapsed="false">
      <c r="A57" s="36"/>
      <c r="B57" s="37"/>
      <c r="C57" s="37"/>
      <c r="D57" s="37"/>
      <c r="E57" s="37"/>
      <c r="F57" s="37"/>
      <c r="G57" s="37"/>
      <c r="H57" s="37"/>
      <c r="I57" s="38"/>
      <c r="J57" s="37"/>
      <c r="K57" s="37"/>
      <c r="L57" s="38"/>
      <c r="M57" s="37"/>
      <c r="N57" s="37"/>
      <c r="O57" s="36"/>
      <c r="P57" s="36"/>
      <c r="Q57" s="37"/>
      <c r="R57" s="38"/>
      <c r="S57" s="38"/>
    </row>
    <row r="58" customFormat="false" ht="27.75" hidden="false" customHeight="true" outlineLevel="0" collapsed="false">
      <c r="A58" s="36"/>
      <c r="B58" s="37"/>
      <c r="C58" s="37"/>
      <c r="D58" s="37"/>
      <c r="E58" s="37"/>
      <c r="F58" s="37"/>
      <c r="G58" s="37"/>
      <c r="H58" s="37"/>
      <c r="I58" s="38"/>
      <c r="J58" s="37"/>
      <c r="K58" s="37"/>
      <c r="L58" s="38"/>
      <c r="M58" s="37"/>
      <c r="N58" s="37"/>
      <c r="O58" s="36"/>
      <c r="P58" s="36"/>
      <c r="Q58" s="37"/>
      <c r="R58" s="38"/>
      <c r="S58" s="38"/>
    </row>
    <row r="59" customFormat="false" ht="27.75" hidden="false" customHeight="true" outlineLevel="0" collapsed="false">
      <c r="A59" s="36"/>
      <c r="B59" s="37"/>
      <c r="C59" s="37"/>
      <c r="D59" s="37"/>
      <c r="E59" s="37"/>
      <c r="F59" s="37"/>
      <c r="G59" s="37"/>
      <c r="H59" s="37"/>
      <c r="I59" s="38"/>
      <c r="J59" s="37"/>
      <c r="K59" s="37"/>
      <c r="L59" s="38"/>
      <c r="M59" s="37"/>
      <c r="N59" s="37"/>
      <c r="O59" s="36"/>
      <c r="P59" s="36"/>
      <c r="Q59" s="37"/>
      <c r="R59" s="38"/>
      <c r="S59" s="38"/>
    </row>
    <row r="60" customFormat="false" ht="27.75" hidden="false" customHeight="true" outlineLevel="0" collapsed="false">
      <c r="A60" s="36"/>
      <c r="B60" s="37"/>
      <c r="C60" s="37"/>
      <c r="D60" s="37"/>
      <c r="E60" s="37"/>
      <c r="F60" s="37"/>
      <c r="G60" s="37"/>
      <c r="H60" s="37"/>
      <c r="I60" s="38"/>
      <c r="J60" s="37"/>
      <c r="K60" s="37"/>
      <c r="L60" s="38"/>
      <c r="M60" s="37"/>
      <c r="N60" s="37"/>
      <c r="O60" s="36"/>
      <c r="P60" s="36"/>
      <c r="Q60" s="37"/>
      <c r="R60" s="38"/>
      <c r="S60" s="38"/>
    </row>
    <row r="61" customFormat="false" ht="27.75" hidden="false" customHeight="true" outlineLevel="0" collapsed="false">
      <c r="A61" s="36"/>
      <c r="B61" s="37"/>
      <c r="C61" s="37"/>
      <c r="D61" s="37"/>
      <c r="E61" s="37"/>
      <c r="F61" s="37"/>
      <c r="G61" s="37"/>
      <c r="H61" s="37"/>
      <c r="I61" s="38"/>
      <c r="J61" s="37"/>
      <c r="K61" s="37"/>
      <c r="L61" s="38"/>
      <c r="M61" s="37"/>
      <c r="N61" s="37"/>
      <c r="O61" s="36"/>
      <c r="P61" s="36"/>
      <c r="Q61" s="37"/>
      <c r="R61" s="38"/>
      <c r="S61" s="38"/>
    </row>
    <row r="62" customFormat="false" ht="27.75" hidden="false" customHeight="true" outlineLevel="0" collapsed="false">
      <c r="A62" s="36"/>
      <c r="B62" s="37"/>
      <c r="C62" s="37"/>
      <c r="D62" s="37"/>
      <c r="E62" s="37"/>
      <c r="F62" s="37"/>
      <c r="G62" s="37"/>
      <c r="H62" s="37"/>
      <c r="I62" s="38"/>
      <c r="J62" s="37"/>
      <c r="K62" s="37"/>
      <c r="L62" s="38"/>
      <c r="M62" s="37"/>
      <c r="N62" s="37"/>
      <c r="O62" s="36"/>
      <c r="P62" s="36"/>
      <c r="Q62" s="37"/>
      <c r="R62" s="38"/>
      <c r="S62" s="38"/>
    </row>
    <row r="63" customFormat="false" ht="27.75" hidden="false" customHeight="true" outlineLevel="0" collapsed="false">
      <c r="A63" s="36"/>
      <c r="B63" s="37"/>
      <c r="C63" s="37"/>
      <c r="D63" s="37"/>
      <c r="E63" s="37"/>
      <c r="F63" s="37"/>
      <c r="G63" s="37"/>
      <c r="H63" s="37"/>
      <c r="I63" s="38"/>
      <c r="J63" s="37"/>
      <c r="K63" s="37"/>
      <c r="L63" s="38"/>
      <c r="M63" s="37"/>
      <c r="N63" s="37"/>
      <c r="O63" s="36"/>
      <c r="P63" s="36"/>
      <c r="Q63" s="37"/>
      <c r="R63" s="38"/>
      <c r="S63" s="38"/>
    </row>
    <row r="64" customFormat="false" ht="27.75" hidden="false" customHeight="true" outlineLevel="0" collapsed="false">
      <c r="A64" s="36"/>
      <c r="B64" s="37"/>
      <c r="C64" s="37"/>
      <c r="D64" s="37"/>
      <c r="E64" s="37"/>
      <c r="F64" s="37"/>
      <c r="G64" s="37"/>
      <c r="H64" s="37"/>
      <c r="I64" s="38"/>
      <c r="J64" s="37"/>
      <c r="K64" s="37"/>
      <c r="L64" s="38"/>
      <c r="M64" s="37"/>
      <c r="N64" s="37"/>
      <c r="O64" s="36"/>
      <c r="P64" s="36"/>
      <c r="Q64" s="37"/>
      <c r="R64" s="38"/>
      <c r="S64" s="38"/>
    </row>
    <row r="65" customFormat="false" ht="27.75" hidden="false" customHeight="true" outlineLevel="0" collapsed="false">
      <c r="A65" s="36"/>
      <c r="B65" s="37"/>
      <c r="C65" s="37"/>
      <c r="D65" s="37"/>
      <c r="E65" s="37"/>
      <c r="F65" s="37"/>
      <c r="G65" s="37"/>
      <c r="H65" s="37"/>
      <c r="I65" s="38"/>
      <c r="J65" s="37"/>
      <c r="K65" s="37"/>
      <c r="L65" s="38"/>
      <c r="M65" s="37"/>
      <c r="N65" s="37"/>
      <c r="O65" s="36"/>
      <c r="P65" s="36"/>
      <c r="Q65" s="37"/>
      <c r="R65" s="38"/>
      <c r="S65" s="38"/>
    </row>
    <row r="66" customFormat="false" ht="27.75" hidden="false" customHeight="true" outlineLevel="0" collapsed="false">
      <c r="A66" s="36"/>
      <c r="B66" s="37"/>
      <c r="C66" s="37"/>
      <c r="D66" s="37"/>
      <c r="E66" s="37"/>
      <c r="F66" s="37"/>
      <c r="G66" s="37"/>
      <c r="H66" s="37"/>
      <c r="I66" s="38"/>
      <c r="J66" s="37"/>
      <c r="K66" s="37"/>
      <c r="L66" s="38"/>
      <c r="M66" s="37"/>
      <c r="N66" s="37"/>
      <c r="O66" s="36"/>
      <c r="P66" s="36"/>
      <c r="Q66" s="37"/>
      <c r="R66" s="38"/>
      <c r="S66" s="38"/>
    </row>
    <row r="67" customFormat="false" ht="27.75" hidden="false" customHeight="true" outlineLevel="0" collapsed="false">
      <c r="A67" s="36"/>
      <c r="B67" s="37"/>
      <c r="C67" s="37"/>
      <c r="D67" s="37"/>
      <c r="E67" s="37"/>
      <c r="F67" s="37"/>
      <c r="G67" s="37"/>
      <c r="H67" s="37"/>
      <c r="I67" s="38"/>
      <c r="J67" s="37"/>
      <c r="K67" s="37"/>
      <c r="L67" s="38"/>
      <c r="M67" s="37"/>
      <c r="N67" s="37"/>
      <c r="O67" s="36"/>
      <c r="P67" s="36"/>
      <c r="Q67" s="37"/>
      <c r="R67" s="38"/>
      <c r="S67" s="38"/>
    </row>
    <row r="68" customFormat="false" ht="27.75" hidden="false" customHeight="true" outlineLevel="0" collapsed="false">
      <c r="A68" s="36"/>
      <c r="B68" s="37"/>
      <c r="C68" s="37"/>
      <c r="D68" s="37"/>
      <c r="E68" s="37"/>
      <c r="F68" s="37"/>
      <c r="G68" s="37"/>
      <c r="H68" s="37"/>
      <c r="I68" s="38"/>
      <c r="J68" s="37"/>
      <c r="K68" s="37"/>
      <c r="L68" s="38"/>
      <c r="M68" s="37"/>
      <c r="N68" s="37"/>
      <c r="O68" s="36"/>
      <c r="P68" s="36"/>
      <c r="Q68" s="37"/>
      <c r="R68" s="38"/>
      <c r="S68" s="38"/>
    </row>
    <row r="69" customFormat="false" ht="27.75" hidden="false" customHeight="true" outlineLevel="0" collapsed="false">
      <c r="A69" s="36"/>
      <c r="B69" s="37"/>
      <c r="C69" s="37"/>
      <c r="D69" s="37"/>
      <c r="E69" s="37"/>
      <c r="F69" s="37"/>
      <c r="G69" s="37"/>
      <c r="H69" s="37"/>
      <c r="I69" s="38"/>
      <c r="J69" s="37"/>
      <c r="K69" s="37"/>
      <c r="L69" s="38"/>
      <c r="M69" s="37"/>
      <c r="N69" s="37"/>
      <c r="O69" s="36"/>
      <c r="P69" s="36"/>
      <c r="Q69" s="37"/>
      <c r="R69" s="38"/>
      <c r="S69" s="38"/>
    </row>
    <row r="70" customFormat="false" ht="27.75" hidden="false" customHeight="true" outlineLevel="0" collapsed="false">
      <c r="A70" s="36"/>
      <c r="B70" s="37"/>
      <c r="C70" s="37"/>
      <c r="D70" s="37"/>
      <c r="E70" s="37"/>
      <c r="F70" s="37"/>
      <c r="G70" s="37"/>
      <c r="H70" s="37"/>
      <c r="I70" s="38"/>
      <c r="J70" s="37"/>
      <c r="K70" s="37"/>
      <c r="L70" s="38"/>
      <c r="M70" s="37"/>
      <c r="N70" s="37"/>
      <c r="O70" s="36"/>
      <c r="P70" s="36"/>
      <c r="Q70" s="37"/>
      <c r="R70" s="38"/>
      <c r="S70" s="38"/>
    </row>
    <row r="71" customFormat="false" ht="27.75" hidden="false" customHeight="true" outlineLevel="0" collapsed="false">
      <c r="A71" s="36"/>
      <c r="B71" s="37"/>
      <c r="C71" s="37"/>
      <c r="D71" s="37"/>
      <c r="E71" s="37"/>
      <c r="F71" s="37"/>
      <c r="G71" s="37"/>
      <c r="H71" s="37"/>
      <c r="I71" s="38"/>
      <c r="J71" s="37"/>
      <c r="K71" s="37"/>
      <c r="L71" s="38"/>
      <c r="M71" s="37"/>
      <c r="N71" s="37"/>
      <c r="O71" s="36"/>
      <c r="P71" s="36"/>
      <c r="Q71" s="37"/>
      <c r="R71" s="38"/>
      <c r="S71" s="38"/>
    </row>
    <row r="72" customFormat="false" ht="27.75" hidden="false" customHeight="true" outlineLevel="0" collapsed="false">
      <c r="A72" s="36"/>
      <c r="B72" s="37"/>
      <c r="C72" s="37"/>
      <c r="D72" s="37"/>
      <c r="E72" s="37"/>
      <c r="F72" s="37"/>
      <c r="G72" s="37"/>
      <c r="H72" s="37"/>
      <c r="I72" s="38"/>
      <c r="J72" s="37"/>
      <c r="K72" s="37"/>
      <c r="L72" s="38"/>
      <c r="M72" s="37"/>
      <c r="N72" s="37"/>
      <c r="O72" s="36"/>
      <c r="P72" s="36"/>
      <c r="Q72" s="37"/>
      <c r="R72" s="38"/>
      <c r="S72" s="38"/>
    </row>
    <row r="73" customFormat="false" ht="27.75" hidden="false" customHeight="true" outlineLevel="0" collapsed="false">
      <c r="A73" s="36"/>
      <c r="B73" s="37"/>
      <c r="C73" s="37"/>
      <c r="D73" s="37"/>
      <c r="E73" s="37"/>
      <c r="F73" s="37"/>
      <c r="G73" s="37"/>
      <c r="H73" s="37"/>
      <c r="I73" s="38"/>
      <c r="J73" s="37"/>
      <c r="K73" s="37"/>
      <c r="L73" s="38"/>
      <c r="M73" s="37"/>
      <c r="N73" s="37"/>
      <c r="O73" s="36"/>
      <c r="P73" s="36"/>
      <c r="Q73" s="37"/>
      <c r="R73" s="38"/>
      <c r="S73" s="38"/>
    </row>
    <row r="74" customFormat="false" ht="27.75" hidden="false" customHeight="true" outlineLevel="0" collapsed="false">
      <c r="A74" s="36"/>
      <c r="B74" s="37"/>
      <c r="C74" s="37"/>
      <c r="D74" s="37"/>
      <c r="E74" s="37"/>
      <c r="F74" s="37"/>
      <c r="G74" s="37"/>
      <c r="H74" s="37"/>
      <c r="I74" s="38"/>
      <c r="J74" s="37"/>
      <c r="K74" s="37"/>
      <c r="L74" s="38"/>
      <c r="M74" s="37"/>
      <c r="N74" s="37"/>
      <c r="O74" s="36"/>
      <c r="P74" s="36"/>
      <c r="Q74" s="37"/>
      <c r="R74" s="38"/>
      <c r="S74" s="38"/>
    </row>
    <row r="75" customFormat="false" ht="27.75" hidden="false" customHeight="true" outlineLevel="0" collapsed="false">
      <c r="A75" s="36"/>
      <c r="B75" s="37"/>
      <c r="C75" s="37"/>
      <c r="D75" s="37"/>
      <c r="E75" s="37"/>
      <c r="F75" s="37"/>
      <c r="G75" s="37"/>
      <c r="H75" s="37"/>
      <c r="I75" s="38"/>
      <c r="J75" s="37"/>
      <c r="K75" s="37"/>
      <c r="L75" s="38"/>
      <c r="M75" s="37"/>
      <c r="N75" s="37"/>
      <c r="O75" s="36"/>
      <c r="P75" s="36"/>
      <c r="Q75" s="37"/>
      <c r="R75" s="38"/>
      <c r="S75" s="38"/>
    </row>
    <row r="76" customFormat="false" ht="27.75" hidden="false" customHeight="true" outlineLevel="0" collapsed="false">
      <c r="A76" s="36"/>
      <c r="B76" s="37"/>
      <c r="C76" s="37"/>
      <c r="D76" s="37"/>
      <c r="E76" s="37"/>
      <c r="F76" s="37"/>
      <c r="G76" s="37"/>
      <c r="H76" s="37"/>
      <c r="I76" s="38"/>
      <c r="J76" s="37"/>
      <c r="K76" s="37"/>
      <c r="L76" s="38"/>
      <c r="M76" s="37"/>
      <c r="N76" s="37"/>
      <c r="O76" s="36"/>
      <c r="P76" s="36"/>
      <c r="Q76" s="37"/>
      <c r="R76" s="38"/>
      <c r="S76" s="38"/>
    </row>
    <row r="77" customFormat="false" ht="27.75" hidden="false" customHeight="true" outlineLevel="0" collapsed="false">
      <c r="A77" s="36"/>
      <c r="B77" s="37"/>
      <c r="C77" s="37"/>
      <c r="D77" s="37"/>
      <c r="E77" s="37"/>
      <c r="F77" s="37"/>
      <c r="G77" s="37"/>
      <c r="H77" s="37"/>
      <c r="I77" s="38"/>
      <c r="J77" s="37"/>
      <c r="K77" s="37"/>
      <c r="L77" s="38"/>
      <c r="M77" s="37"/>
      <c r="N77" s="37"/>
      <c r="O77" s="36"/>
      <c r="P77" s="36"/>
      <c r="Q77" s="37"/>
      <c r="R77" s="38"/>
      <c r="S77" s="38"/>
    </row>
    <row r="78" customFormat="false" ht="27.75" hidden="false" customHeight="true" outlineLevel="0" collapsed="false">
      <c r="A78" s="36"/>
      <c r="B78" s="37"/>
      <c r="C78" s="37"/>
      <c r="D78" s="37"/>
      <c r="E78" s="37"/>
      <c r="F78" s="37"/>
      <c r="G78" s="37"/>
      <c r="H78" s="37"/>
      <c r="I78" s="38"/>
      <c r="J78" s="37"/>
      <c r="K78" s="37"/>
      <c r="L78" s="38"/>
      <c r="M78" s="37"/>
      <c r="N78" s="37"/>
      <c r="O78" s="36"/>
      <c r="P78" s="36"/>
      <c r="Q78" s="37"/>
      <c r="R78" s="38"/>
      <c r="S78" s="38"/>
    </row>
    <row r="79" customFormat="false" ht="27.75" hidden="false" customHeight="true" outlineLevel="0" collapsed="false">
      <c r="A79" s="36"/>
      <c r="B79" s="37"/>
      <c r="C79" s="37"/>
      <c r="D79" s="37"/>
      <c r="E79" s="37"/>
      <c r="F79" s="37"/>
      <c r="G79" s="37"/>
      <c r="H79" s="37"/>
      <c r="I79" s="38"/>
      <c r="J79" s="37"/>
      <c r="K79" s="37"/>
      <c r="L79" s="38"/>
      <c r="M79" s="37"/>
      <c r="N79" s="37"/>
      <c r="O79" s="36"/>
      <c r="P79" s="36"/>
      <c r="Q79" s="37"/>
      <c r="R79" s="38"/>
      <c r="S79" s="38"/>
    </row>
    <row r="80" customFormat="false" ht="27.75" hidden="false" customHeight="true" outlineLevel="0" collapsed="false">
      <c r="A80" s="36"/>
      <c r="B80" s="37"/>
      <c r="C80" s="37"/>
      <c r="D80" s="37"/>
      <c r="E80" s="37"/>
      <c r="F80" s="37"/>
      <c r="G80" s="37"/>
      <c r="H80" s="37"/>
      <c r="I80" s="38"/>
      <c r="J80" s="37"/>
      <c r="K80" s="37"/>
      <c r="L80" s="38"/>
      <c r="M80" s="37"/>
      <c r="N80" s="37"/>
      <c r="O80" s="36"/>
      <c r="P80" s="36"/>
      <c r="Q80" s="37"/>
      <c r="R80" s="38"/>
      <c r="S80" s="38"/>
    </row>
    <row r="81" customFormat="false" ht="27.75" hidden="false" customHeight="true" outlineLevel="0" collapsed="false">
      <c r="A81" s="36"/>
      <c r="B81" s="37"/>
      <c r="C81" s="37"/>
      <c r="D81" s="37"/>
      <c r="E81" s="37"/>
      <c r="F81" s="37"/>
      <c r="G81" s="37"/>
      <c r="H81" s="37"/>
      <c r="I81" s="38"/>
      <c r="J81" s="37"/>
      <c r="K81" s="37"/>
      <c r="L81" s="38"/>
      <c r="M81" s="37"/>
      <c r="N81" s="37"/>
      <c r="O81" s="36"/>
      <c r="P81" s="36"/>
      <c r="Q81" s="37"/>
      <c r="R81" s="38"/>
      <c r="S81" s="38"/>
    </row>
    <row r="82" customFormat="false" ht="27.75" hidden="false" customHeight="true" outlineLevel="0" collapsed="false">
      <c r="A82" s="36"/>
      <c r="B82" s="37"/>
      <c r="C82" s="37"/>
      <c r="D82" s="37"/>
      <c r="E82" s="37"/>
      <c r="F82" s="37"/>
      <c r="G82" s="37"/>
      <c r="H82" s="37"/>
      <c r="I82" s="38"/>
      <c r="J82" s="37"/>
      <c r="K82" s="37"/>
      <c r="L82" s="38"/>
      <c r="M82" s="37"/>
      <c r="N82" s="37"/>
      <c r="O82" s="36"/>
      <c r="P82" s="36"/>
      <c r="Q82" s="37"/>
      <c r="R82" s="38"/>
      <c r="S82" s="38"/>
    </row>
    <row r="83" customFormat="false" ht="27.75" hidden="false" customHeight="true" outlineLevel="0" collapsed="false">
      <c r="A83" s="36"/>
      <c r="B83" s="37"/>
      <c r="C83" s="37"/>
      <c r="D83" s="37"/>
      <c r="E83" s="37"/>
      <c r="F83" s="37"/>
      <c r="G83" s="37"/>
      <c r="H83" s="37"/>
      <c r="I83" s="38"/>
      <c r="J83" s="37"/>
      <c r="K83" s="37"/>
      <c r="L83" s="38"/>
      <c r="M83" s="37"/>
      <c r="N83" s="37"/>
      <c r="O83" s="36"/>
      <c r="P83" s="36"/>
      <c r="Q83" s="37"/>
      <c r="R83" s="38"/>
      <c r="S83" s="38"/>
    </row>
    <row r="84" customFormat="false" ht="27.75" hidden="false" customHeight="true" outlineLevel="0" collapsed="false">
      <c r="A84" s="36"/>
      <c r="B84" s="37"/>
      <c r="C84" s="37"/>
      <c r="D84" s="37"/>
      <c r="E84" s="37"/>
      <c r="F84" s="37"/>
      <c r="G84" s="37"/>
      <c r="H84" s="37"/>
      <c r="I84" s="38"/>
      <c r="J84" s="37"/>
      <c r="K84" s="37"/>
      <c r="L84" s="38"/>
      <c r="M84" s="37"/>
      <c r="N84" s="37"/>
      <c r="O84" s="36"/>
      <c r="P84" s="36"/>
      <c r="Q84" s="37"/>
      <c r="R84" s="38"/>
      <c r="S84" s="38"/>
    </row>
    <row r="85" customFormat="false" ht="27.75" hidden="false" customHeight="true" outlineLevel="0" collapsed="false">
      <c r="A85" s="36"/>
      <c r="B85" s="37"/>
      <c r="C85" s="37"/>
      <c r="D85" s="37"/>
      <c r="E85" s="37"/>
      <c r="F85" s="37"/>
      <c r="G85" s="37"/>
      <c r="H85" s="37"/>
      <c r="I85" s="38"/>
      <c r="J85" s="37"/>
      <c r="K85" s="37"/>
      <c r="L85" s="38"/>
      <c r="M85" s="37"/>
      <c r="N85" s="37"/>
      <c r="O85" s="36"/>
      <c r="P85" s="36"/>
      <c r="Q85" s="37"/>
      <c r="R85" s="38"/>
      <c r="S85" s="38"/>
    </row>
    <row r="86" customFormat="false" ht="27.75" hidden="false" customHeight="true" outlineLevel="0" collapsed="false">
      <c r="A86" s="36"/>
      <c r="B86" s="37"/>
      <c r="C86" s="37"/>
      <c r="D86" s="37"/>
      <c r="E86" s="37"/>
      <c r="F86" s="37"/>
      <c r="G86" s="37"/>
      <c r="H86" s="37"/>
      <c r="I86" s="38"/>
      <c r="J86" s="37"/>
      <c r="K86" s="37"/>
      <c r="L86" s="38"/>
      <c r="M86" s="37"/>
      <c r="N86" s="37"/>
      <c r="O86" s="36"/>
      <c r="P86" s="36"/>
      <c r="Q86" s="37"/>
      <c r="R86" s="38"/>
      <c r="S86" s="38"/>
    </row>
    <row r="87" customFormat="false" ht="27.75" hidden="false" customHeight="true" outlineLevel="0" collapsed="false">
      <c r="A87" s="36"/>
      <c r="B87" s="37"/>
      <c r="C87" s="37"/>
      <c r="D87" s="37"/>
      <c r="E87" s="37"/>
      <c r="F87" s="37"/>
      <c r="G87" s="37"/>
      <c r="H87" s="37"/>
      <c r="I87" s="38"/>
      <c r="J87" s="37"/>
      <c r="K87" s="37"/>
      <c r="L87" s="38"/>
      <c r="M87" s="37"/>
      <c r="N87" s="37"/>
      <c r="O87" s="36"/>
      <c r="P87" s="36"/>
      <c r="Q87" s="37"/>
      <c r="R87" s="38"/>
      <c r="S87" s="38"/>
    </row>
    <row r="88" customFormat="false" ht="27.75" hidden="false" customHeight="true" outlineLevel="0" collapsed="false">
      <c r="A88" s="36"/>
      <c r="B88" s="37"/>
      <c r="C88" s="37"/>
      <c r="D88" s="37"/>
      <c r="E88" s="37"/>
      <c r="F88" s="37"/>
      <c r="G88" s="37"/>
      <c r="H88" s="37"/>
      <c r="I88" s="38"/>
      <c r="J88" s="37"/>
      <c r="K88" s="37"/>
      <c r="L88" s="38"/>
      <c r="M88" s="37"/>
      <c r="N88" s="37"/>
      <c r="O88" s="36"/>
      <c r="P88" s="36"/>
      <c r="Q88" s="37"/>
      <c r="R88" s="38"/>
      <c r="S88" s="38"/>
    </row>
    <row r="89" customFormat="false" ht="27.75" hidden="false" customHeight="true" outlineLevel="0" collapsed="false">
      <c r="A89" s="36"/>
      <c r="B89" s="37"/>
      <c r="C89" s="37"/>
      <c r="D89" s="37"/>
      <c r="E89" s="37"/>
      <c r="F89" s="37"/>
      <c r="G89" s="37"/>
      <c r="H89" s="37"/>
      <c r="I89" s="38"/>
      <c r="J89" s="37"/>
      <c r="K89" s="37"/>
      <c r="L89" s="38"/>
      <c r="M89" s="37"/>
      <c r="N89" s="37"/>
      <c r="O89" s="36"/>
      <c r="P89" s="36"/>
      <c r="Q89" s="37"/>
      <c r="R89" s="38"/>
      <c r="S89" s="38"/>
    </row>
    <row r="90" customFormat="false" ht="27.75" hidden="false" customHeight="true" outlineLevel="0" collapsed="false">
      <c r="A90" s="36"/>
      <c r="B90" s="37"/>
      <c r="C90" s="37"/>
      <c r="D90" s="37"/>
      <c r="E90" s="37"/>
      <c r="F90" s="37"/>
      <c r="G90" s="37"/>
      <c r="H90" s="37"/>
      <c r="I90" s="38"/>
      <c r="J90" s="37"/>
      <c r="K90" s="37"/>
      <c r="L90" s="38"/>
      <c r="M90" s="37"/>
      <c r="N90" s="37"/>
      <c r="O90" s="36"/>
      <c r="P90" s="36"/>
      <c r="Q90" s="37"/>
      <c r="R90" s="38"/>
      <c r="S90" s="38"/>
    </row>
    <row r="91" customFormat="false" ht="27.75" hidden="false" customHeight="true" outlineLevel="0" collapsed="false">
      <c r="A91" s="36"/>
      <c r="B91" s="37"/>
      <c r="C91" s="37"/>
      <c r="D91" s="37"/>
      <c r="E91" s="37"/>
      <c r="F91" s="37"/>
      <c r="G91" s="37"/>
      <c r="H91" s="37"/>
      <c r="I91" s="38"/>
      <c r="J91" s="37"/>
      <c r="K91" s="37"/>
      <c r="L91" s="38"/>
      <c r="M91" s="37"/>
      <c r="N91" s="37"/>
      <c r="O91" s="36"/>
      <c r="P91" s="36"/>
      <c r="Q91" s="37"/>
      <c r="R91" s="38"/>
      <c r="S91" s="38"/>
    </row>
    <row r="92" customFormat="false" ht="27.75" hidden="false" customHeight="true" outlineLevel="0" collapsed="false">
      <c r="A92" s="36"/>
      <c r="B92" s="37"/>
      <c r="C92" s="37"/>
      <c r="D92" s="37"/>
      <c r="E92" s="37"/>
      <c r="F92" s="37"/>
      <c r="G92" s="37"/>
      <c r="H92" s="37"/>
      <c r="I92" s="38"/>
      <c r="J92" s="37"/>
      <c r="K92" s="37"/>
      <c r="L92" s="38"/>
      <c r="M92" s="37"/>
      <c r="N92" s="37"/>
      <c r="O92" s="36"/>
      <c r="P92" s="36"/>
      <c r="Q92" s="37"/>
      <c r="R92" s="38"/>
      <c r="S92" s="38"/>
    </row>
    <row r="93" customFormat="false" ht="27.75" hidden="false" customHeight="true" outlineLevel="0" collapsed="false">
      <c r="A93" s="36"/>
      <c r="B93" s="37"/>
      <c r="C93" s="37"/>
      <c r="D93" s="37"/>
      <c r="E93" s="37"/>
      <c r="F93" s="37"/>
      <c r="G93" s="37"/>
      <c r="H93" s="37"/>
      <c r="I93" s="38"/>
      <c r="J93" s="37"/>
      <c r="K93" s="37"/>
      <c r="L93" s="38"/>
      <c r="M93" s="37"/>
      <c r="N93" s="37"/>
      <c r="O93" s="36"/>
      <c r="P93" s="36"/>
      <c r="Q93" s="37"/>
      <c r="R93" s="38"/>
      <c r="S93" s="38"/>
    </row>
    <row r="94" customFormat="false" ht="27.75" hidden="false" customHeight="true" outlineLevel="0" collapsed="false">
      <c r="A94" s="36"/>
      <c r="B94" s="37"/>
      <c r="C94" s="37"/>
      <c r="D94" s="37"/>
      <c r="E94" s="37"/>
      <c r="F94" s="37"/>
      <c r="G94" s="37"/>
      <c r="H94" s="37"/>
      <c r="I94" s="38"/>
      <c r="J94" s="37"/>
      <c r="K94" s="37"/>
      <c r="L94" s="38"/>
      <c r="M94" s="37"/>
      <c r="N94" s="37"/>
      <c r="O94" s="36"/>
      <c r="P94" s="36"/>
      <c r="Q94" s="37"/>
      <c r="R94" s="38"/>
      <c r="S94" s="38"/>
    </row>
    <row r="95" customFormat="false" ht="27.75" hidden="false" customHeight="true" outlineLevel="0" collapsed="false">
      <c r="A95" s="36"/>
      <c r="B95" s="37"/>
      <c r="C95" s="37"/>
      <c r="D95" s="37"/>
      <c r="E95" s="37"/>
      <c r="F95" s="37"/>
      <c r="G95" s="37"/>
      <c r="H95" s="37"/>
      <c r="I95" s="38"/>
      <c r="J95" s="37"/>
      <c r="K95" s="37"/>
      <c r="L95" s="38"/>
      <c r="M95" s="37"/>
      <c r="N95" s="37"/>
      <c r="O95" s="36"/>
      <c r="P95" s="36"/>
      <c r="Q95" s="37"/>
      <c r="R95" s="38"/>
      <c r="S95" s="38"/>
    </row>
    <row r="96" customFormat="false" ht="27.75" hidden="false" customHeight="true" outlineLevel="0" collapsed="false">
      <c r="A96" s="36"/>
      <c r="B96" s="37"/>
      <c r="C96" s="37"/>
      <c r="D96" s="37"/>
      <c r="E96" s="37"/>
      <c r="F96" s="37"/>
      <c r="G96" s="37"/>
      <c r="H96" s="37"/>
      <c r="I96" s="38"/>
      <c r="J96" s="37"/>
      <c r="K96" s="37"/>
      <c r="L96" s="38"/>
      <c r="M96" s="37"/>
      <c r="N96" s="37"/>
      <c r="O96" s="36"/>
      <c r="P96" s="36"/>
      <c r="Q96" s="37"/>
      <c r="R96" s="38"/>
      <c r="S96" s="38"/>
    </row>
    <row r="97" customFormat="false" ht="27.75" hidden="false" customHeight="true" outlineLevel="0" collapsed="false">
      <c r="A97" s="36"/>
      <c r="B97" s="37"/>
      <c r="C97" s="37"/>
      <c r="D97" s="37"/>
      <c r="E97" s="37"/>
      <c r="F97" s="37"/>
      <c r="G97" s="37"/>
      <c r="H97" s="37"/>
      <c r="I97" s="38"/>
      <c r="J97" s="37"/>
      <c r="K97" s="37"/>
      <c r="L97" s="38"/>
      <c r="M97" s="37"/>
      <c r="N97" s="37"/>
      <c r="O97" s="36"/>
      <c r="P97" s="36"/>
      <c r="Q97" s="37"/>
      <c r="R97" s="38"/>
      <c r="S97" s="38"/>
    </row>
    <row r="98" customFormat="false" ht="27.75" hidden="false" customHeight="true" outlineLevel="0" collapsed="false">
      <c r="A98" s="36"/>
      <c r="B98" s="37"/>
      <c r="C98" s="37"/>
      <c r="D98" s="37"/>
      <c r="E98" s="37"/>
      <c r="F98" s="37"/>
      <c r="G98" s="37"/>
      <c r="H98" s="37"/>
      <c r="I98" s="38"/>
      <c r="J98" s="37"/>
      <c r="K98" s="37"/>
      <c r="L98" s="38"/>
      <c r="M98" s="37"/>
      <c r="N98" s="37"/>
      <c r="O98" s="36"/>
      <c r="P98" s="36"/>
      <c r="Q98" s="37"/>
      <c r="R98" s="38"/>
      <c r="S98" s="38"/>
    </row>
    <row r="99" customFormat="false" ht="27.75" hidden="false" customHeight="true" outlineLevel="0" collapsed="false">
      <c r="A99" s="36"/>
      <c r="B99" s="37"/>
      <c r="C99" s="37"/>
      <c r="D99" s="37"/>
      <c r="E99" s="37"/>
      <c r="F99" s="37"/>
      <c r="G99" s="37"/>
      <c r="H99" s="37"/>
      <c r="I99" s="38"/>
      <c r="J99" s="37"/>
      <c r="K99" s="37"/>
      <c r="L99" s="38"/>
      <c r="M99" s="37"/>
      <c r="N99" s="37"/>
      <c r="O99" s="36"/>
      <c r="P99" s="36"/>
      <c r="Q99" s="37"/>
      <c r="R99" s="38"/>
      <c r="S99" s="38"/>
    </row>
    <row r="100" customFormat="false" ht="27.75" hidden="false" customHeight="true" outlineLevel="0" collapsed="false">
      <c r="A100" s="36"/>
      <c r="B100" s="37"/>
      <c r="C100" s="37"/>
      <c r="D100" s="37"/>
      <c r="E100" s="37"/>
      <c r="F100" s="37"/>
      <c r="G100" s="37"/>
      <c r="H100" s="37"/>
      <c r="I100" s="38"/>
      <c r="J100" s="37"/>
      <c r="K100" s="37"/>
      <c r="L100" s="38"/>
      <c r="M100" s="37"/>
      <c r="N100" s="37"/>
      <c r="O100" s="36"/>
      <c r="P100" s="36"/>
      <c r="Q100" s="37"/>
      <c r="R100" s="38"/>
      <c r="S100" s="38"/>
    </row>
    <row r="101" customFormat="false" ht="27.75" hidden="false" customHeight="true" outlineLevel="0" collapsed="false">
      <c r="A101" s="36"/>
      <c r="B101" s="37"/>
      <c r="C101" s="37"/>
      <c r="D101" s="37"/>
      <c r="E101" s="37"/>
      <c r="F101" s="37"/>
      <c r="G101" s="37"/>
      <c r="H101" s="37"/>
      <c r="I101" s="38"/>
      <c r="J101" s="37"/>
      <c r="K101" s="37"/>
      <c r="L101" s="38"/>
      <c r="M101" s="37"/>
      <c r="N101" s="37"/>
      <c r="O101" s="36"/>
      <c r="P101" s="36"/>
      <c r="Q101" s="37"/>
      <c r="R101" s="38"/>
      <c r="S101" s="38"/>
    </row>
    <row r="102" customFormat="false" ht="27.75" hidden="false" customHeight="true" outlineLevel="0" collapsed="false">
      <c r="A102" s="36"/>
      <c r="B102" s="37"/>
      <c r="C102" s="37"/>
      <c r="D102" s="37"/>
      <c r="E102" s="37"/>
      <c r="F102" s="37"/>
      <c r="G102" s="37"/>
      <c r="H102" s="37"/>
      <c r="I102" s="38"/>
      <c r="J102" s="37"/>
      <c r="K102" s="37"/>
      <c r="L102" s="38"/>
      <c r="M102" s="37"/>
      <c r="N102" s="37"/>
      <c r="O102" s="36"/>
      <c r="P102" s="36"/>
      <c r="Q102" s="37"/>
      <c r="R102" s="38"/>
      <c r="S102" s="38"/>
    </row>
    <row r="103" customFormat="false" ht="27.75" hidden="false" customHeight="true" outlineLevel="0" collapsed="false">
      <c r="A103" s="36"/>
      <c r="B103" s="37"/>
      <c r="C103" s="37"/>
      <c r="D103" s="37"/>
      <c r="E103" s="37"/>
      <c r="F103" s="37"/>
      <c r="G103" s="37"/>
      <c r="H103" s="37"/>
      <c r="I103" s="38"/>
      <c r="J103" s="37"/>
      <c r="K103" s="37"/>
      <c r="L103" s="38"/>
      <c r="M103" s="37"/>
      <c r="N103" s="37"/>
      <c r="O103" s="36"/>
      <c r="P103" s="36"/>
      <c r="Q103" s="37"/>
      <c r="R103" s="38"/>
      <c r="S103" s="38"/>
    </row>
    <row r="104" customFormat="false" ht="27.75" hidden="false" customHeight="true" outlineLevel="0" collapsed="false">
      <c r="A104" s="36"/>
      <c r="B104" s="37"/>
      <c r="C104" s="37"/>
      <c r="D104" s="37"/>
      <c r="E104" s="37"/>
      <c r="F104" s="37"/>
      <c r="G104" s="37"/>
      <c r="H104" s="37"/>
      <c r="I104" s="38"/>
      <c r="J104" s="37"/>
      <c r="K104" s="37"/>
      <c r="L104" s="38"/>
      <c r="M104" s="37"/>
      <c r="N104" s="37"/>
      <c r="O104" s="36"/>
      <c r="P104" s="36"/>
      <c r="Q104" s="37"/>
      <c r="R104" s="38"/>
      <c r="S104" s="38"/>
    </row>
    <row r="105" customFormat="false" ht="27.75" hidden="false" customHeight="true" outlineLevel="0" collapsed="false">
      <c r="A105" s="36"/>
      <c r="B105" s="37"/>
      <c r="C105" s="37"/>
      <c r="D105" s="37"/>
      <c r="E105" s="37"/>
      <c r="F105" s="37"/>
      <c r="G105" s="37"/>
      <c r="H105" s="37"/>
      <c r="I105" s="38"/>
      <c r="J105" s="37"/>
      <c r="K105" s="37"/>
      <c r="L105" s="38"/>
      <c r="M105" s="37"/>
      <c r="N105" s="37"/>
      <c r="O105" s="36"/>
      <c r="P105" s="36"/>
      <c r="Q105" s="37"/>
      <c r="R105" s="38"/>
      <c r="S105" s="38"/>
    </row>
    <row r="106" customFormat="false" ht="27.75" hidden="false" customHeight="true" outlineLevel="0" collapsed="false">
      <c r="A106" s="36"/>
      <c r="B106" s="37"/>
      <c r="C106" s="37"/>
      <c r="D106" s="37"/>
      <c r="E106" s="37"/>
      <c r="F106" s="37"/>
      <c r="G106" s="37"/>
      <c r="H106" s="37"/>
      <c r="I106" s="38"/>
      <c r="J106" s="37"/>
      <c r="K106" s="37"/>
      <c r="L106" s="38"/>
      <c r="M106" s="37"/>
      <c r="N106" s="37"/>
      <c r="O106" s="36"/>
      <c r="P106" s="36"/>
      <c r="Q106" s="37"/>
      <c r="R106" s="38"/>
      <c r="S106" s="38"/>
    </row>
    <row r="107" customFormat="false" ht="27.75" hidden="false" customHeight="true" outlineLevel="0" collapsed="false">
      <c r="A107" s="36"/>
      <c r="B107" s="37"/>
      <c r="C107" s="37"/>
      <c r="D107" s="37"/>
      <c r="E107" s="37"/>
      <c r="F107" s="37"/>
      <c r="G107" s="37"/>
      <c r="H107" s="37"/>
      <c r="I107" s="38"/>
      <c r="J107" s="37"/>
      <c r="K107" s="37"/>
      <c r="L107" s="38"/>
      <c r="M107" s="37"/>
      <c r="N107" s="37"/>
      <c r="O107" s="36"/>
      <c r="P107" s="36"/>
      <c r="Q107" s="37"/>
      <c r="R107" s="38"/>
      <c r="S107" s="38"/>
    </row>
    <row r="108" customFormat="false" ht="27.75" hidden="false" customHeight="true" outlineLevel="0" collapsed="false">
      <c r="A108" s="36"/>
      <c r="B108" s="37"/>
      <c r="C108" s="37"/>
      <c r="D108" s="37"/>
      <c r="E108" s="37"/>
      <c r="F108" s="37"/>
      <c r="G108" s="37"/>
      <c r="H108" s="37"/>
      <c r="I108" s="38"/>
      <c r="J108" s="37"/>
      <c r="K108" s="37"/>
      <c r="L108" s="38"/>
      <c r="M108" s="37"/>
      <c r="N108" s="37"/>
      <c r="O108" s="36"/>
      <c r="P108" s="36"/>
      <c r="Q108" s="37"/>
      <c r="R108" s="38"/>
      <c r="S108" s="38"/>
    </row>
    <row r="109" customFormat="false" ht="27.75" hidden="false" customHeight="true" outlineLevel="0" collapsed="false">
      <c r="A109" s="36"/>
      <c r="B109" s="37"/>
      <c r="C109" s="37"/>
      <c r="D109" s="37"/>
      <c r="E109" s="37"/>
      <c r="F109" s="37"/>
      <c r="G109" s="37"/>
      <c r="H109" s="37"/>
      <c r="I109" s="38"/>
      <c r="J109" s="37"/>
      <c r="K109" s="37"/>
      <c r="L109" s="38"/>
      <c r="M109" s="37"/>
      <c r="N109" s="37"/>
      <c r="O109" s="36"/>
      <c r="P109" s="36"/>
      <c r="Q109" s="37"/>
      <c r="R109" s="38"/>
      <c r="S109" s="38"/>
    </row>
    <row r="110" customFormat="false" ht="27.75" hidden="false" customHeight="true" outlineLevel="0" collapsed="false">
      <c r="A110" s="36"/>
      <c r="B110" s="37"/>
      <c r="C110" s="37"/>
      <c r="D110" s="37"/>
      <c r="E110" s="37"/>
      <c r="F110" s="37"/>
      <c r="G110" s="37"/>
      <c r="H110" s="37"/>
      <c r="I110" s="38"/>
      <c r="J110" s="37"/>
      <c r="K110" s="37"/>
      <c r="L110" s="38"/>
      <c r="M110" s="37"/>
      <c r="N110" s="37"/>
      <c r="O110" s="36"/>
      <c r="P110" s="36"/>
      <c r="Q110" s="37"/>
      <c r="R110" s="38"/>
      <c r="S110" s="38"/>
    </row>
    <row r="111" customFormat="false" ht="27.75" hidden="false" customHeight="true" outlineLevel="0" collapsed="false">
      <c r="A111" s="36"/>
      <c r="B111" s="37"/>
      <c r="C111" s="37"/>
      <c r="D111" s="37"/>
      <c r="E111" s="37"/>
      <c r="F111" s="37"/>
      <c r="G111" s="37"/>
      <c r="H111" s="37"/>
      <c r="I111" s="38"/>
      <c r="J111" s="37"/>
      <c r="K111" s="37"/>
      <c r="L111" s="38"/>
      <c r="M111" s="37"/>
      <c r="N111" s="37"/>
      <c r="O111" s="36"/>
      <c r="P111" s="36"/>
      <c r="Q111" s="37"/>
      <c r="R111" s="38"/>
      <c r="S111" s="38"/>
    </row>
    <row r="112" customFormat="false" ht="27.75" hidden="false" customHeight="true" outlineLevel="0" collapsed="false">
      <c r="A112" s="36"/>
      <c r="B112" s="37"/>
      <c r="C112" s="37"/>
      <c r="D112" s="37"/>
      <c r="E112" s="37"/>
      <c r="F112" s="37"/>
      <c r="G112" s="37"/>
      <c r="H112" s="37"/>
      <c r="I112" s="38"/>
      <c r="J112" s="37"/>
      <c r="K112" s="37"/>
      <c r="L112" s="38"/>
      <c r="M112" s="37"/>
      <c r="N112" s="37"/>
      <c r="O112" s="36"/>
      <c r="P112" s="36"/>
      <c r="Q112" s="37"/>
      <c r="R112" s="38"/>
      <c r="S112" s="38"/>
    </row>
    <row r="113" customFormat="false" ht="27.75" hidden="false" customHeight="true" outlineLevel="0" collapsed="false">
      <c r="A113" s="36"/>
      <c r="B113" s="37"/>
      <c r="C113" s="37"/>
      <c r="D113" s="37"/>
      <c r="E113" s="37"/>
      <c r="F113" s="37"/>
      <c r="G113" s="37"/>
      <c r="H113" s="37"/>
      <c r="I113" s="38"/>
      <c r="J113" s="37"/>
      <c r="K113" s="37"/>
      <c r="L113" s="38"/>
      <c r="M113" s="37"/>
      <c r="N113" s="37"/>
      <c r="O113" s="36"/>
      <c r="P113" s="36"/>
      <c r="Q113" s="37"/>
      <c r="R113" s="38"/>
      <c r="S113" s="38"/>
    </row>
    <row r="114" customFormat="false" ht="27.75" hidden="false" customHeight="true" outlineLevel="0" collapsed="false">
      <c r="A114" s="36"/>
      <c r="B114" s="37"/>
      <c r="C114" s="37"/>
      <c r="D114" s="37"/>
      <c r="E114" s="37"/>
      <c r="F114" s="37"/>
      <c r="G114" s="37"/>
      <c r="H114" s="37"/>
      <c r="I114" s="38"/>
      <c r="J114" s="37"/>
      <c r="K114" s="37"/>
      <c r="L114" s="38"/>
      <c r="M114" s="37"/>
      <c r="N114" s="37"/>
      <c r="O114" s="36"/>
      <c r="P114" s="36"/>
      <c r="Q114" s="37"/>
      <c r="R114" s="38"/>
      <c r="S114" s="38"/>
    </row>
    <row r="115" customFormat="false" ht="27.75" hidden="false" customHeight="true" outlineLevel="0" collapsed="false">
      <c r="A115" s="36"/>
      <c r="B115" s="37"/>
      <c r="C115" s="37"/>
      <c r="D115" s="37"/>
      <c r="E115" s="37"/>
      <c r="F115" s="37"/>
      <c r="G115" s="37"/>
      <c r="H115" s="37"/>
      <c r="I115" s="38"/>
      <c r="J115" s="37"/>
      <c r="K115" s="37"/>
      <c r="L115" s="38"/>
      <c r="M115" s="37"/>
      <c r="N115" s="37"/>
      <c r="O115" s="36"/>
      <c r="P115" s="36"/>
      <c r="Q115" s="37"/>
      <c r="R115" s="38"/>
      <c r="S115" s="38"/>
    </row>
    <row r="116" customFormat="false" ht="27.75" hidden="false" customHeight="true" outlineLevel="0" collapsed="false">
      <c r="A116" s="36"/>
      <c r="B116" s="37"/>
      <c r="C116" s="37"/>
      <c r="D116" s="37"/>
      <c r="E116" s="37"/>
      <c r="F116" s="37"/>
      <c r="G116" s="37"/>
      <c r="H116" s="37"/>
      <c r="I116" s="38"/>
      <c r="J116" s="37"/>
      <c r="K116" s="37"/>
      <c r="L116" s="38"/>
      <c r="M116" s="37"/>
      <c r="N116" s="37"/>
      <c r="O116" s="36"/>
      <c r="P116" s="36"/>
      <c r="Q116" s="37"/>
      <c r="R116" s="38"/>
      <c r="S116" s="38"/>
    </row>
    <row r="117" customFormat="false" ht="27.75" hidden="false" customHeight="true" outlineLevel="0" collapsed="false">
      <c r="A117" s="36"/>
      <c r="B117" s="37"/>
      <c r="C117" s="37"/>
      <c r="D117" s="37"/>
      <c r="E117" s="37"/>
      <c r="F117" s="37"/>
      <c r="G117" s="37"/>
      <c r="H117" s="37"/>
      <c r="I117" s="38"/>
      <c r="J117" s="37"/>
      <c r="K117" s="37"/>
      <c r="L117" s="38"/>
      <c r="M117" s="37"/>
      <c r="N117" s="37"/>
      <c r="O117" s="36"/>
      <c r="P117" s="36"/>
      <c r="Q117" s="37"/>
      <c r="R117" s="38"/>
      <c r="S117" s="38"/>
    </row>
    <row r="118" customFormat="false" ht="27.75" hidden="false" customHeight="true" outlineLevel="0" collapsed="false">
      <c r="A118" s="36"/>
      <c r="B118" s="37"/>
      <c r="C118" s="37"/>
      <c r="D118" s="37"/>
      <c r="E118" s="37"/>
      <c r="F118" s="37"/>
      <c r="G118" s="37"/>
      <c r="H118" s="37"/>
      <c r="I118" s="38"/>
      <c r="J118" s="37"/>
      <c r="K118" s="37"/>
      <c r="L118" s="38"/>
      <c r="M118" s="37"/>
      <c r="N118" s="37"/>
      <c r="O118" s="36"/>
      <c r="P118" s="36"/>
      <c r="Q118" s="37"/>
      <c r="R118" s="38"/>
      <c r="S118" s="38"/>
    </row>
    <row r="119" customFormat="false" ht="27.75" hidden="false" customHeight="true" outlineLevel="0" collapsed="false">
      <c r="A119" s="36"/>
      <c r="B119" s="37"/>
      <c r="C119" s="37"/>
      <c r="D119" s="37"/>
      <c r="E119" s="37"/>
      <c r="F119" s="37"/>
      <c r="G119" s="37"/>
      <c r="H119" s="37"/>
      <c r="I119" s="38"/>
      <c r="J119" s="37"/>
      <c r="K119" s="37"/>
      <c r="L119" s="38"/>
      <c r="M119" s="37"/>
      <c r="N119" s="37"/>
      <c r="O119" s="36"/>
      <c r="P119" s="36"/>
      <c r="Q119" s="37"/>
      <c r="R119" s="38"/>
      <c r="S119" s="38"/>
    </row>
    <row r="120" customFormat="false" ht="27.75" hidden="false" customHeight="true" outlineLevel="0" collapsed="false">
      <c r="A120" s="36"/>
      <c r="B120" s="37"/>
      <c r="C120" s="37"/>
      <c r="D120" s="37"/>
      <c r="E120" s="37"/>
      <c r="F120" s="37"/>
      <c r="G120" s="37"/>
      <c r="H120" s="37"/>
      <c r="I120" s="38"/>
      <c r="J120" s="37"/>
      <c r="K120" s="37"/>
      <c r="L120" s="38"/>
      <c r="M120" s="37"/>
      <c r="N120" s="37"/>
      <c r="O120" s="36"/>
      <c r="P120" s="36"/>
      <c r="Q120" s="37"/>
      <c r="R120" s="38"/>
      <c r="S120" s="38"/>
    </row>
    <row r="121" customFormat="false" ht="27.75" hidden="false" customHeight="true" outlineLevel="0" collapsed="false">
      <c r="A121" s="36"/>
      <c r="B121" s="37"/>
      <c r="C121" s="37"/>
      <c r="D121" s="37"/>
      <c r="E121" s="37"/>
      <c r="F121" s="37"/>
      <c r="G121" s="37"/>
      <c r="H121" s="37"/>
      <c r="I121" s="38"/>
      <c r="J121" s="37"/>
      <c r="K121" s="37"/>
      <c r="L121" s="38"/>
      <c r="M121" s="37"/>
      <c r="N121" s="37"/>
      <c r="O121" s="36"/>
      <c r="P121" s="36"/>
      <c r="Q121" s="37"/>
      <c r="R121" s="38"/>
      <c r="S121" s="38"/>
    </row>
    <row r="122" customFormat="false" ht="27.75" hidden="false" customHeight="true" outlineLevel="0" collapsed="false">
      <c r="A122" s="36"/>
      <c r="B122" s="37"/>
      <c r="C122" s="37"/>
      <c r="D122" s="37"/>
      <c r="E122" s="37"/>
      <c r="F122" s="37"/>
      <c r="G122" s="37"/>
      <c r="H122" s="37"/>
      <c r="I122" s="38"/>
      <c r="J122" s="37"/>
      <c r="K122" s="37"/>
      <c r="L122" s="38"/>
      <c r="M122" s="37"/>
      <c r="N122" s="37"/>
      <c r="O122" s="36"/>
      <c r="P122" s="36"/>
      <c r="Q122" s="37"/>
      <c r="R122" s="38"/>
      <c r="S122" s="38"/>
    </row>
    <row r="123" customFormat="false" ht="27.75" hidden="false" customHeight="true" outlineLevel="0" collapsed="false">
      <c r="A123" s="36"/>
      <c r="B123" s="37"/>
      <c r="C123" s="37"/>
      <c r="D123" s="37"/>
      <c r="E123" s="37"/>
      <c r="F123" s="37"/>
      <c r="G123" s="37"/>
      <c r="H123" s="37"/>
      <c r="I123" s="38"/>
      <c r="J123" s="37"/>
      <c r="K123" s="37"/>
      <c r="L123" s="38"/>
      <c r="M123" s="37"/>
      <c r="N123" s="37"/>
      <c r="O123" s="36"/>
      <c r="P123" s="36"/>
      <c r="Q123" s="37"/>
      <c r="R123" s="38"/>
      <c r="S123" s="38"/>
    </row>
    <row r="124" customFormat="false" ht="27.75" hidden="false" customHeight="true" outlineLevel="0" collapsed="false">
      <c r="A124" s="36"/>
      <c r="B124" s="37"/>
      <c r="C124" s="37"/>
      <c r="D124" s="37"/>
      <c r="E124" s="37"/>
      <c r="F124" s="37"/>
      <c r="G124" s="37"/>
      <c r="H124" s="37"/>
      <c r="I124" s="38"/>
      <c r="J124" s="37"/>
      <c r="K124" s="37"/>
      <c r="L124" s="38"/>
      <c r="M124" s="37"/>
      <c r="N124" s="37"/>
      <c r="O124" s="36"/>
      <c r="P124" s="36"/>
      <c r="Q124" s="37"/>
      <c r="R124" s="38"/>
      <c r="S124" s="38"/>
    </row>
    <row r="125" customFormat="false" ht="27.75" hidden="false" customHeight="true" outlineLevel="0" collapsed="false">
      <c r="A125" s="36"/>
      <c r="B125" s="37"/>
      <c r="C125" s="37"/>
      <c r="D125" s="37"/>
      <c r="E125" s="37"/>
      <c r="F125" s="37"/>
      <c r="G125" s="37"/>
      <c r="H125" s="37"/>
      <c r="I125" s="38"/>
      <c r="J125" s="37"/>
      <c r="K125" s="37"/>
      <c r="L125" s="38"/>
      <c r="M125" s="37"/>
      <c r="N125" s="37"/>
      <c r="O125" s="36"/>
      <c r="P125" s="36"/>
      <c r="Q125" s="37"/>
      <c r="R125" s="38"/>
      <c r="S125" s="38"/>
    </row>
    <row r="126" customFormat="false" ht="27.75" hidden="false" customHeight="true" outlineLevel="0" collapsed="false">
      <c r="A126" s="36"/>
      <c r="B126" s="37"/>
      <c r="C126" s="37"/>
      <c r="D126" s="37"/>
      <c r="E126" s="37"/>
      <c r="F126" s="37"/>
      <c r="G126" s="37"/>
      <c r="H126" s="37"/>
      <c r="I126" s="38"/>
      <c r="J126" s="37"/>
      <c r="K126" s="37"/>
      <c r="L126" s="38"/>
      <c r="M126" s="37"/>
      <c r="N126" s="37"/>
      <c r="O126" s="36"/>
      <c r="P126" s="36"/>
      <c r="Q126" s="37"/>
      <c r="R126" s="38"/>
      <c r="S126" s="38"/>
    </row>
    <row r="127" customFormat="false" ht="27.75" hidden="false" customHeight="true" outlineLevel="0" collapsed="false">
      <c r="A127" s="36"/>
      <c r="B127" s="37"/>
      <c r="C127" s="37"/>
      <c r="D127" s="37"/>
      <c r="E127" s="37"/>
      <c r="F127" s="37"/>
      <c r="G127" s="37"/>
      <c r="H127" s="37"/>
      <c r="I127" s="38"/>
      <c r="J127" s="37"/>
      <c r="K127" s="37"/>
      <c r="L127" s="38"/>
      <c r="M127" s="37"/>
      <c r="N127" s="37"/>
      <c r="O127" s="36"/>
      <c r="P127" s="36"/>
      <c r="Q127" s="37"/>
      <c r="R127" s="38"/>
      <c r="S127" s="38"/>
    </row>
    <row r="128" customFormat="false" ht="27.75" hidden="false" customHeight="true" outlineLevel="0" collapsed="false">
      <c r="A128" s="36"/>
      <c r="B128" s="37"/>
      <c r="C128" s="37"/>
      <c r="D128" s="37"/>
      <c r="E128" s="37"/>
      <c r="F128" s="37"/>
      <c r="G128" s="37"/>
      <c r="H128" s="37"/>
      <c r="I128" s="38"/>
      <c r="J128" s="37"/>
      <c r="K128" s="37"/>
      <c r="L128" s="38"/>
      <c r="M128" s="37"/>
      <c r="N128" s="37"/>
      <c r="O128" s="36"/>
      <c r="P128" s="36"/>
      <c r="Q128" s="37"/>
      <c r="R128" s="38"/>
      <c r="S128" s="38"/>
    </row>
    <row r="129" customFormat="false" ht="27.75" hidden="false" customHeight="true" outlineLevel="0" collapsed="false">
      <c r="A129" s="36"/>
      <c r="B129" s="37"/>
      <c r="C129" s="37"/>
      <c r="D129" s="37"/>
      <c r="E129" s="37"/>
      <c r="F129" s="37"/>
      <c r="G129" s="37"/>
      <c r="H129" s="37"/>
      <c r="I129" s="38"/>
      <c r="J129" s="37"/>
      <c r="K129" s="37"/>
      <c r="L129" s="38"/>
      <c r="M129" s="37"/>
      <c r="N129" s="37"/>
      <c r="O129" s="36"/>
      <c r="P129" s="36"/>
      <c r="Q129" s="37"/>
      <c r="R129" s="38"/>
      <c r="S129" s="38"/>
    </row>
    <row r="130" customFormat="false" ht="27.75" hidden="false" customHeight="true" outlineLevel="0" collapsed="false">
      <c r="A130" s="36"/>
      <c r="B130" s="37"/>
      <c r="C130" s="37"/>
      <c r="D130" s="37"/>
      <c r="E130" s="37"/>
      <c r="F130" s="37"/>
      <c r="G130" s="37"/>
      <c r="H130" s="37"/>
      <c r="I130" s="38"/>
      <c r="J130" s="37"/>
      <c r="K130" s="37"/>
      <c r="L130" s="38"/>
      <c r="M130" s="37"/>
      <c r="N130" s="37"/>
      <c r="O130" s="36"/>
      <c r="P130" s="36"/>
      <c r="Q130" s="37"/>
      <c r="R130" s="38"/>
      <c r="S130" s="38"/>
    </row>
    <row r="131" customFormat="false" ht="27.75" hidden="false" customHeight="true" outlineLevel="0" collapsed="false">
      <c r="A131" s="36"/>
      <c r="B131" s="37"/>
      <c r="C131" s="37"/>
      <c r="D131" s="37"/>
      <c r="E131" s="37"/>
      <c r="F131" s="37"/>
      <c r="G131" s="37"/>
      <c r="H131" s="37"/>
      <c r="I131" s="38"/>
      <c r="J131" s="37"/>
      <c r="K131" s="37"/>
      <c r="L131" s="38"/>
      <c r="M131" s="37"/>
      <c r="N131" s="37"/>
      <c r="O131" s="36"/>
      <c r="P131" s="36"/>
      <c r="Q131" s="37"/>
      <c r="R131" s="38"/>
      <c r="S131" s="38"/>
    </row>
    <row r="132" customFormat="false" ht="27.75" hidden="false" customHeight="true" outlineLevel="0" collapsed="false">
      <c r="A132" s="36"/>
      <c r="B132" s="37"/>
      <c r="C132" s="37"/>
      <c r="D132" s="37"/>
      <c r="E132" s="37"/>
      <c r="F132" s="37"/>
      <c r="G132" s="37"/>
      <c r="H132" s="37"/>
      <c r="I132" s="38"/>
      <c r="J132" s="37"/>
      <c r="K132" s="37"/>
      <c r="L132" s="38"/>
      <c r="M132" s="37"/>
      <c r="N132" s="37"/>
      <c r="O132" s="36"/>
      <c r="P132" s="36"/>
      <c r="Q132" s="37"/>
      <c r="R132" s="38"/>
      <c r="S132" s="38"/>
    </row>
    <row r="133" customFormat="false" ht="27.75" hidden="false" customHeight="true" outlineLevel="0" collapsed="false">
      <c r="A133" s="36"/>
      <c r="B133" s="37"/>
      <c r="C133" s="37"/>
      <c r="D133" s="37"/>
      <c r="E133" s="37"/>
      <c r="F133" s="37"/>
      <c r="G133" s="37"/>
      <c r="H133" s="37"/>
      <c r="I133" s="38"/>
      <c r="J133" s="37"/>
      <c r="K133" s="37"/>
      <c r="L133" s="38"/>
      <c r="M133" s="37"/>
      <c r="N133" s="37"/>
      <c r="O133" s="36"/>
      <c r="P133" s="36"/>
      <c r="Q133" s="37"/>
      <c r="R133" s="38"/>
      <c r="S133" s="38"/>
    </row>
    <row r="134" customFormat="false" ht="27.75" hidden="false" customHeight="true" outlineLevel="0" collapsed="false">
      <c r="A134" s="36"/>
      <c r="B134" s="37"/>
      <c r="C134" s="37"/>
      <c r="D134" s="37"/>
      <c r="E134" s="37"/>
      <c r="F134" s="37"/>
      <c r="G134" s="37"/>
      <c r="H134" s="37"/>
      <c r="I134" s="38"/>
      <c r="J134" s="37"/>
      <c r="K134" s="37"/>
      <c r="L134" s="38"/>
      <c r="M134" s="37"/>
      <c r="N134" s="37"/>
      <c r="O134" s="36"/>
      <c r="P134" s="36"/>
      <c r="Q134" s="37"/>
      <c r="R134" s="38"/>
      <c r="S134" s="38"/>
    </row>
    <row r="135" customFormat="false" ht="27.75" hidden="false" customHeight="true" outlineLevel="0" collapsed="false">
      <c r="A135" s="36"/>
      <c r="B135" s="37"/>
      <c r="C135" s="37"/>
      <c r="D135" s="37"/>
      <c r="E135" s="37"/>
      <c r="F135" s="37"/>
      <c r="G135" s="37"/>
      <c r="H135" s="37"/>
      <c r="I135" s="38"/>
      <c r="J135" s="37"/>
      <c r="K135" s="37"/>
      <c r="L135" s="38"/>
      <c r="M135" s="37"/>
      <c r="N135" s="37"/>
      <c r="O135" s="36"/>
      <c r="P135" s="36"/>
      <c r="Q135" s="37"/>
      <c r="R135" s="38"/>
      <c r="S135" s="38"/>
    </row>
    <row r="136" customFormat="false" ht="27.75" hidden="false" customHeight="true" outlineLevel="0" collapsed="false">
      <c r="A136" s="36"/>
      <c r="B136" s="37"/>
      <c r="C136" s="37"/>
      <c r="D136" s="37"/>
      <c r="E136" s="37"/>
      <c r="F136" s="37"/>
      <c r="G136" s="37"/>
      <c r="H136" s="37"/>
      <c r="I136" s="38"/>
      <c r="J136" s="37"/>
      <c r="K136" s="37"/>
      <c r="L136" s="38"/>
      <c r="M136" s="37"/>
      <c r="N136" s="37"/>
      <c r="O136" s="36"/>
      <c r="P136" s="36"/>
      <c r="Q136" s="37"/>
      <c r="R136" s="38"/>
      <c r="S136" s="38"/>
    </row>
    <row r="137" customFormat="false" ht="27.75" hidden="false" customHeight="true" outlineLevel="0" collapsed="false">
      <c r="A137" s="36"/>
      <c r="B137" s="37"/>
      <c r="C137" s="37"/>
      <c r="D137" s="37"/>
      <c r="E137" s="37"/>
      <c r="F137" s="37"/>
      <c r="G137" s="37"/>
      <c r="H137" s="37"/>
      <c r="I137" s="38"/>
      <c r="J137" s="37"/>
      <c r="K137" s="37"/>
      <c r="L137" s="38"/>
      <c r="M137" s="37"/>
      <c r="N137" s="37"/>
      <c r="O137" s="36"/>
      <c r="P137" s="36"/>
      <c r="Q137" s="37"/>
      <c r="R137" s="38"/>
      <c r="S137" s="38"/>
    </row>
    <row r="138" customFormat="false" ht="27.75" hidden="false" customHeight="true" outlineLevel="0" collapsed="false">
      <c r="A138" s="36"/>
      <c r="B138" s="37"/>
      <c r="C138" s="37"/>
      <c r="D138" s="37"/>
      <c r="E138" s="37"/>
      <c r="F138" s="37"/>
      <c r="G138" s="37"/>
      <c r="H138" s="37"/>
      <c r="I138" s="38"/>
      <c r="J138" s="37"/>
      <c r="K138" s="37"/>
      <c r="L138" s="38"/>
      <c r="M138" s="37"/>
      <c r="N138" s="37"/>
      <c r="O138" s="36"/>
      <c r="P138" s="36"/>
      <c r="Q138" s="37"/>
      <c r="R138" s="38"/>
      <c r="S138" s="38"/>
    </row>
    <row r="139" customFormat="false" ht="27.75" hidden="false" customHeight="true" outlineLevel="0" collapsed="false">
      <c r="A139" s="36"/>
      <c r="B139" s="37"/>
      <c r="C139" s="37"/>
      <c r="D139" s="37"/>
      <c r="E139" s="37"/>
      <c r="F139" s="37"/>
      <c r="G139" s="37"/>
      <c r="H139" s="37"/>
      <c r="I139" s="38"/>
      <c r="J139" s="37"/>
      <c r="K139" s="37"/>
      <c r="L139" s="38"/>
      <c r="M139" s="37"/>
      <c r="N139" s="37"/>
      <c r="O139" s="36"/>
      <c r="P139" s="36"/>
      <c r="Q139" s="37"/>
      <c r="R139" s="38"/>
      <c r="S139" s="38"/>
    </row>
    <row r="140" customFormat="false" ht="27.75" hidden="false" customHeight="true" outlineLevel="0" collapsed="false">
      <c r="A140" s="36"/>
      <c r="B140" s="37"/>
      <c r="C140" s="37"/>
      <c r="D140" s="37"/>
      <c r="E140" s="37"/>
      <c r="F140" s="37"/>
      <c r="G140" s="37"/>
      <c r="H140" s="37"/>
      <c r="I140" s="38"/>
      <c r="J140" s="37"/>
      <c r="K140" s="37"/>
      <c r="L140" s="38"/>
      <c r="M140" s="37"/>
      <c r="N140" s="37"/>
      <c r="O140" s="36"/>
      <c r="P140" s="36"/>
      <c r="Q140" s="37"/>
      <c r="R140" s="38"/>
      <c r="S140" s="38"/>
    </row>
    <row r="141" customFormat="false" ht="27.75" hidden="false" customHeight="true" outlineLevel="0" collapsed="false">
      <c r="A141" s="36"/>
      <c r="B141" s="37"/>
      <c r="C141" s="37"/>
      <c r="D141" s="37"/>
      <c r="E141" s="37"/>
      <c r="F141" s="37"/>
      <c r="G141" s="37"/>
      <c r="H141" s="37"/>
      <c r="I141" s="38"/>
      <c r="J141" s="37"/>
      <c r="K141" s="37"/>
      <c r="L141" s="38"/>
      <c r="M141" s="37"/>
      <c r="N141" s="37"/>
      <c r="O141" s="36"/>
      <c r="P141" s="36"/>
      <c r="Q141" s="37"/>
      <c r="R141" s="38"/>
      <c r="S141" s="38"/>
    </row>
    <row r="142" customFormat="false" ht="27.75" hidden="false" customHeight="true" outlineLevel="0" collapsed="false">
      <c r="A142" s="36"/>
      <c r="B142" s="37"/>
      <c r="C142" s="37"/>
      <c r="D142" s="37"/>
      <c r="E142" s="37"/>
      <c r="F142" s="37"/>
      <c r="G142" s="37"/>
      <c r="H142" s="37"/>
      <c r="I142" s="38"/>
      <c r="J142" s="37"/>
      <c r="K142" s="37"/>
      <c r="L142" s="38"/>
      <c r="M142" s="37"/>
      <c r="N142" s="37"/>
      <c r="O142" s="36"/>
      <c r="P142" s="36"/>
      <c r="Q142" s="37"/>
      <c r="R142" s="38"/>
      <c r="S142" s="38"/>
    </row>
    <row r="143" customFormat="false" ht="27.75" hidden="false" customHeight="true" outlineLevel="0" collapsed="false">
      <c r="A143" s="36"/>
      <c r="B143" s="37"/>
      <c r="C143" s="37"/>
      <c r="D143" s="37"/>
      <c r="E143" s="37"/>
      <c r="F143" s="37"/>
      <c r="G143" s="37"/>
      <c r="H143" s="37"/>
      <c r="I143" s="38"/>
      <c r="J143" s="37"/>
      <c r="K143" s="37"/>
      <c r="L143" s="38"/>
      <c r="M143" s="37"/>
      <c r="N143" s="37"/>
      <c r="O143" s="36"/>
      <c r="P143" s="36"/>
      <c r="Q143" s="37"/>
      <c r="R143" s="38"/>
      <c r="S143" s="38"/>
    </row>
    <row r="144" customFormat="false" ht="27.75" hidden="false" customHeight="true" outlineLevel="0" collapsed="false">
      <c r="A144" s="36"/>
      <c r="B144" s="37"/>
      <c r="C144" s="37"/>
      <c r="D144" s="37"/>
      <c r="E144" s="37"/>
      <c r="F144" s="37"/>
      <c r="G144" s="37"/>
      <c r="H144" s="37"/>
      <c r="I144" s="38"/>
      <c r="J144" s="37"/>
      <c r="K144" s="37"/>
      <c r="L144" s="38"/>
      <c r="M144" s="37"/>
      <c r="N144" s="37"/>
      <c r="O144" s="36"/>
      <c r="P144" s="36"/>
      <c r="Q144" s="37"/>
      <c r="R144" s="38"/>
      <c r="S144" s="38"/>
    </row>
    <row r="145" customFormat="false" ht="27.75" hidden="false" customHeight="true" outlineLevel="0" collapsed="false">
      <c r="A145" s="36"/>
      <c r="B145" s="37"/>
      <c r="C145" s="37"/>
      <c r="D145" s="37"/>
      <c r="E145" s="37"/>
      <c r="F145" s="37"/>
      <c r="G145" s="37"/>
      <c r="H145" s="37"/>
      <c r="I145" s="38"/>
      <c r="J145" s="37"/>
      <c r="K145" s="37"/>
      <c r="L145" s="38"/>
      <c r="M145" s="37"/>
      <c r="N145" s="37"/>
      <c r="O145" s="36"/>
      <c r="P145" s="36"/>
      <c r="Q145" s="37"/>
      <c r="R145" s="38"/>
      <c r="S145" s="38"/>
    </row>
    <row r="146" customFormat="false" ht="27.75" hidden="false" customHeight="true" outlineLevel="0" collapsed="false">
      <c r="A146" s="36"/>
      <c r="B146" s="37"/>
      <c r="C146" s="37"/>
      <c r="D146" s="37"/>
      <c r="E146" s="37"/>
      <c r="F146" s="37"/>
      <c r="G146" s="37"/>
      <c r="H146" s="37"/>
      <c r="I146" s="38"/>
      <c r="J146" s="37"/>
      <c r="K146" s="37"/>
      <c r="L146" s="38"/>
      <c r="M146" s="37"/>
      <c r="N146" s="37"/>
      <c r="O146" s="36"/>
      <c r="P146" s="36"/>
      <c r="Q146" s="37"/>
      <c r="R146" s="38"/>
      <c r="S146" s="38"/>
    </row>
    <row r="147" customFormat="false" ht="27.75" hidden="false" customHeight="true" outlineLevel="0" collapsed="false">
      <c r="A147" s="36"/>
      <c r="B147" s="37"/>
      <c r="C147" s="37"/>
      <c r="D147" s="37"/>
      <c r="E147" s="37"/>
      <c r="F147" s="37"/>
      <c r="G147" s="37"/>
      <c r="H147" s="37"/>
      <c r="I147" s="38"/>
      <c r="J147" s="37"/>
      <c r="K147" s="37"/>
      <c r="L147" s="38"/>
      <c r="M147" s="37"/>
      <c r="N147" s="37"/>
      <c r="O147" s="36"/>
      <c r="P147" s="36"/>
      <c r="Q147" s="37"/>
      <c r="R147" s="38"/>
      <c r="S147" s="38"/>
    </row>
    <row r="148" customFormat="false" ht="27.75" hidden="false" customHeight="true" outlineLevel="0" collapsed="false">
      <c r="A148" s="36"/>
      <c r="B148" s="37"/>
      <c r="C148" s="37"/>
      <c r="D148" s="37"/>
      <c r="E148" s="37"/>
      <c r="F148" s="37"/>
      <c r="G148" s="37"/>
      <c r="H148" s="37"/>
      <c r="I148" s="38"/>
      <c r="J148" s="37"/>
      <c r="K148" s="37"/>
      <c r="L148" s="38"/>
      <c r="M148" s="37"/>
      <c r="N148" s="37"/>
      <c r="O148" s="36"/>
      <c r="P148" s="36"/>
      <c r="Q148" s="37"/>
      <c r="R148" s="38"/>
      <c r="S148" s="38"/>
    </row>
    <row r="149" customFormat="false" ht="27.75" hidden="false" customHeight="true" outlineLevel="0" collapsed="false">
      <c r="A149" s="36"/>
      <c r="B149" s="37"/>
      <c r="C149" s="37"/>
      <c r="D149" s="37"/>
      <c r="E149" s="37"/>
      <c r="F149" s="37"/>
      <c r="G149" s="37"/>
      <c r="H149" s="37"/>
      <c r="I149" s="38"/>
      <c r="J149" s="37"/>
      <c r="K149" s="37"/>
      <c r="L149" s="38"/>
      <c r="M149" s="37"/>
      <c r="N149" s="37"/>
      <c r="O149" s="36"/>
      <c r="P149" s="36"/>
      <c r="Q149" s="37"/>
      <c r="R149" s="38"/>
      <c r="S149" s="38"/>
    </row>
    <row r="150" customFormat="false" ht="27.75" hidden="false" customHeight="true" outlineLevel="0" collapsed="false">
      <c r="A150" s="36"/>
      <c r="B150" s="37"/>
      <c r="C150" s="37"/>
      <c r="D150" s="37"/>
      <c r="E150" s="37"/>
      <c r="F150" s="37"/>
      <c r="G150" s="37"/>
      <c r="H150" s="37"/>
      <c r="I150" s="38"/>
      <c r="J150" s="37"/>
      <c r="K150" s="37"/>
      <c r="L150" s="38"/>
      <c r="M150" s="37"/>
      <c r="N150" s="37"/>
      <c r="O150" s="36"/>
      <c r="P150" s="36"/>
      <c r="Q150" s="37"/>
      <c r="R150" s="38"/>
      <c r="S150" s="38"/>
    </row>
    <row r="151" customFormat="false" ht="27.75" hidden="false" customHeight="true" outlineLevel="0" collapsed="false">
      <c r="A151" s="36"/>
      <c r="B151" s="37"/>
      <c r="C151" s="37"/>
      <c r="D151" s="37"/>
      <c r="E151" s="37"/>
      <c r="F151" s="37"/>
      <c r="G151" s="37"/>
      <c r="H151" s="37"/>
      <c r="I151" s="38"/>
      <c r="J151" s="37"/>
      <c r="K151" s="37"/>
      <c r="L151" s="38"/>
      <c r="M151" s="37"/>
      <c r="N151" s="37"/>
      <c r="O151" s="36"/>
      <c r="P151" s="36"/>
      <c r="Q151" s="37"/>
      <c r="R151" s="38"/>
      <c r="S151" s="38"/>
    </row>
    <row r="152" customFormat="false" ht="27.75" hidden="false" customHeight="true" outlineLevel="0" collapsed="false">
      <c r="A152" s="36"/>
      <c r="B152" s="37"/>
      <c r="C152" s="37"/>
      <c r="D152" s="37"/>
      <c r="E152" s="37"/>
      <c r="F152" s="37"/>
      <c r="G152" s="37"/>
      <c r="H152" s="37"/>
      <c r="I152" s="38"/>
      <c r="J152" s="37"/>
      <c r="K152" s="37"/>
      <c r="L152" s="38"/>
      <c r="M152" s="37"/>
      <c r="N152" s="37"/>
      <c r="O152" s="36"/>
      <c r="P152" s="36"/>
      <c r="Q152" s="37"/>
      <c r="R152" s="38"/>
      <c r="S152" s="38"/>
    </row>
    <row r="153" customFormat="false" ht="27.75" hidden="false" customHeight="true" outlineLevel="0" collapsed="false">
      <c r="A153" s="36"/>
      <c r="B153" s="37"/>
      <c r="C153" s="37"/>
      <c r="D153" s="37"/>
      <c r="E153" s="37"/>
      <c r="F153" s="37"/>
      <c r="G153" s="37"/>
      <c r="H153" s="37"/>
      <c r="I153" s="38"/>
      <c r="J153" s="37"/>
      <c r="K153" s="37"/>
      <c r="L153" s="38"/>
      <c r="M153" s="37"/>
      <c r="N153" s="37"/>
      <c r="O153" s="36"/>
      <c r="P153" s="36"/>
      <c r="Q153" s="37"/>
      <c r="R153" s="38"/>
      <c r="S153" s="38"/>
    </row>
    <row r="154" customFormat="false" ht="27.75" hidden="false" customHeight="true" outlineLevel="0" collapsed="false">
      <c r="A154" s="36"/>
      <c r="B154" s="37"/>
      <c r="C154" s="37"/>
      <c r="D154" s="37"/>
      <c r="E154" s="37"/>
      <c r="F154" s="37"/>
      <c r="G154" s="37"/>
      <c r="H154" s="37"/>
      <c r="I154" s="38"/>
      <c r="J154" s="37"/>
      <c r="K154" s="37"/>
      <c r="L154" s="38"/>
      <c r="M154" s="37"/>
      <c r="N154" s="37"/>
      <c r="O154" s="36"/>
      <c r="P154" s="36"/>
      <c r="Q154" s="37"/>
      <c r="R154" s="38"/>
      <c r="S154" s="38"/>
    </row>
    <row r="155" customFormat="false" ht="27.75" hidden="false" customHeight="true" outlineLevel="0" collapsed="false">
      <c r="A155" s="36"/>
      <c r="B155" s="37"/>
      <c r="C155" s="37"/>
      <c r="D155" s="37"/>
      <c r="E155" s="37"/>
      <c r="F155" s="37"/>
      <c r="G155" s="37"/>
      <c r="H155" s="37"/>
      <c r="I155" s="38"/>
      <c r="J155" s="37"/>
      <c r="K155" s="37"/>
      <c r="L155" s="38"/>
      <c r="M155" s="37"/>
      <c r="N155" s="37"/>
      <c r="O155" s="36"/>
      <c r="P155" s="36"/>
      <c r="Q155" s="37"/>
      <c r="R155" s="38"/>
      <c r="S155" s="38"/>
    </row>
    <row r="156" customFormat="false" ht="27.75" hidden="false" customHeight="true" outlineLevel="0" collapsed="false">
      <c r="A156" s="36"/>
      <c r="B156" s="37"/>
      <c r="C156" s="37"/>
      <c r="D156" s="37"/>
      <c r="E156" s="37"/>
      <c r="F156" s="37"/>
      <c r="G156" s="37"/>
      <c r="H156" s="37"/>
      <c r="I156" s="38"/>
      <c r="J156" s="37"/>
      <c r="K156" s="37"/>
      <c r="L156" s="38"/>
      <c r="M156" s="37"/>
      <c r="N156" s="37"/>
      <c r="O156" s="36"/>
      <c r="P156" s="36"/>
      <c r="Q156" s="37"/>
      <c r="R156" s="38"/>
      <c r="S156" s="38"/>
    </row>
    <row r="157" customFormat="false" ht="27.75" hidden="false" customHeight="true" outlineLevel="0" collapsed="false">
      <c r="A157" s="36"/>
      <c r="B157" s="37"/>
      <c r="C157" s="37"/>
      <c r="D157" s="37"/>
      <c r="E157" s="37"/>
      <c r="F157" s="37"/>
      <c r="G157" s="37"/>
      <c r="H157" s="37"/>
      <c r="I157" s="38"/>
      <c r="J157" s="37"/>
      <c r="K157" s="37"/>
      <c r="L157" s="38"/>
      <c r="M157" s="37"/>
      <c r="N157" s="37"/>
      <c r="O157" s="36"/>
      <c r="P157" s="36"/>
      <c r="Q157" s="37"/>
      <c r="R157" s="38"/>
      <c r="S157" s="38"/>
    </row>
    <row r="158" customFormat="false" ht="27.75" hidden="false" customHeight="true" outlineLevel="0" collapsed="false">
      <c r="A158" s="36"/>
      <c r="B158" s="37"/>
      <c r="C158" s="37"/>
      <c r="D158" s="37"/>
      <c r="E158" s="37"/>
      <c r="F158" s="37"/>
      <c r="G158" s="37"/>
      <c r="H158" s="37"/>
      <c r="I158" s="38"/>
      <c r="J158" s="37"/>
      <c r="K158" s="37"/>
      <c r="L158" s="38"/>
      <c r="M158" s="37"/>
      <c r="N158" s="37"/>
      <c r="O158" s="36"/>
      <c r="P158" s="36"/>
      <c r="Q158" s="37"/>
      <c r="R158" s="38"/>
      <c r="S158" s="38"/>
    </row>
    <row r="159" customFormat="false" ht="27.75" hidden="false" customHeight="true" outlineLevel="0" collapsed="false">
      <c r="A159" s="36"/>
      <c r="B159" s="37"/>
      <c r="C159" s="37"/>
      <c r="D159" s="37"/>
      <c r="E159" s="37"/>
      <c r="F159" s="37"/>
      <c r="G159" s="37"/>
      <c r="H159" s="37"/>
      <c r="I159" s="38"/>
      <c r="J159" s="37"/>
      <c r="K159" s="37"/>
      <c r="L159" s="38"/>
      <c r="M159" s="37"/>
      <c r="N159" s="37"/>
      <c r="O159" s="36"/>
      <c r="P159" s="36"/>
      <c r="Q159" s="37"/>
      <c r="R159" s="38"/>
      <c r="S159" s="38"/>
    </row>
    <row r="160" customFormat="false" ht="27.75" hidden="false" customHeight="true" outlineLevel="0" collapsed="false">
      <c r="A160" s="36"/>
      <c r="B160" s="37"/>
      <c r="C160" s="37"/>
      <c r="D160" s="37"/>
      <c r="E160" s="37"/>
      <c r="F160" s="37"/>
      <c r="G160" s="37"/>
      <c r="H160" s="37"/>
      <c r="I160" s="38"/>
      <c r="J160" s="37"/>
      <c r="K160" s="37"/>
      <c r="L160" s="38"/>
      <c r="M160" s="37"/>
      <c r="N160" s="37"/>
      <c r="O160" s="36"/>
      <c r="P160" s="36"/>
      <c r="Q160" s="37"/>
      <c r="R160" s="38"/>
      <c r="S160" s="38"/>
    </row>
    <row r="161" customFormat="false" ht="27.75" hidden="false" customHeight="true" outlineLevel="0" collapsed="false">
      <c r="A161" s="36"/>
      <c r="B161" s="37"/>
      <c r="C161" s="37"/>
      <c r="D161" s="37"/>
      <c r="E161" s="37"/>
      <c r="F161" s="37"/>
      <c r="G161" s="37"/>
      <c r="H161" s="37"/>
      <c r="I161" s="38"/>
      <c r="J161" s="37"/>
      <c r="K161" s="37"/>
      <c r="L161" s="38"/>
      <c r="M161" s="37"/>
      <c r="N161" s="37"/>
      <c r="O161" s="36"/>
      <c r="P161" s="36"/>
      <c r="Q161" s="37"/>
      <c r="R161" s="38"/>
      <c r="S161" s="38"/>
    </row>
    <row r="162" customFormat="false" ht="27.75" hidden="false" customHeight="true" outlineLevel="0" collapsed="false">
      <c r="A162" s="36"/>
      <c r="B162" s="37"/>
      <c r="C162" s="37"/>
      <c r="D162" s="37"/>
      <c r="E162" s="37"/>
      <c r="F162" s="37"/>
      <c r="G162" s="37"/>
      <c r="H162" s="37"/>
      <c r="I162" s="38"/>
      <c r="J162" s="37"/>
      <c r="K162" s="37"/>
      <c r="L162" s="38"/>
      <c r="M162" s="37"/>
      <c r="N162" s="37"/>
      <c r="O162" s="36"/>
      <c r="P162" s="36"/>
      <c r="Q162" s="37"/>
      <c r="R162" s="38"/>
      <c r="S162" s="38"/>
    </row>
    <row r="163" customFormat="false" ht="27.75" hidden="false" customHeight="true" outlineLevel="0" collapsed="false">
      <c r="A163" s="36"/>
      <c r="B163" s="37"/>
      <c r="C163" s="37"/>
      <c r="D163" s="37"/>
      <c r="E163" s="37"/>
      <c r="F163" s="37"/>
      <c r="G163" s="37"/>
      <c r="H163" s="37"/>
      <c r="I163" s="38"/>
      <c r="J163" s="37"/>
      <c r="K163" s="37"/>
      <c r="L163" s="38"/>
      <c r="M163" s="37"/>
      <c r="N163" s="37"/>
      <c r="O163" s="36"/>
      <c r="P163" s="36"/>
      <c r="Q163" s="37"/>
      <c r="R163" s="38"/>
      <c r="S163" s="38"/>
    </row>
    <row r="164" customFormat="false" ht="27.75" hidden="false" customHeight="true" outlineLevel="0" collapsed="false">
      <c r="A164" s="36"/>
      <c r="B164" s="37"/>
      <c r="C164" s="37"/>
      <c r="D164" s="37"/>
      <c r="E164" s="37"/>
      <c r="F164" s="37"/>
      <c r="G164" s="37"/>
      <c r="H164" s="37"/>
      <c r="I164" s="38"/>
      <c r="J164" s="37"/>
      <c r="K164" s="37"/>
      <c r="L164" s="38"/>
      <c r="M164" s="37"/>
      <c r="N164" s="37"/>
      <c r="O164" s="36"/>
      <c r="P164" s="36"/>
      <c r="Q164" s="37"/>
      <c r="R164" s="38"/>
      <c r="S164" s="38"/>
    </row>
    <row r="165" customFormat="false" ht="27.75" hidden="false" customHeight="true" outlineLevel="0" collapsed="false">
      <c r="A165" s="36"/>
      <c r="B165" s="37"/>
      <c r="C165" s="37"/>
      <c r="D165" s="37"/>
      <c r="E165" s="37"/>
      <c r="F165" s="37"/>
      <c r="G165" s="37"/>
      <c r="H165" s="37"/>
      <c r="I165" s="38"/>
      <c r="J165" s="37"/>
      <c r="K165" s="37"/>
      <c r="L165" s="38"/>
      <c r="M165" s="37"/>
      <c r="N165" s="37"/>
      <c r="O165" s="36"/>
      <c r="P165" s="36"/>
      <c r="Q165" s="37"/>
      <c r="R165" s="38"/>
      <c r="S165" s="38"/>
    </row>
    <row r="166" customFormat="false" ht="27.75" hidden="false" customHeight="true" outlineLevel="0" collapsed="false">
      <c r="A166" s="36"/>
      <c r="B166" s="37"/>
      <c r="C166" s="37"/>
      <c r="D166" s="37"/>
      <c r="E166" s="37"/>
      <c r="F166" s="37"/>
      <c r="G166" s="37"/>
      <c r="H166" s="37"/>
      <c r="I166" s="38"/>
      <c r="J166" s="37"/>
      <c r="K166" s="37"/>
      <c r="L166" s="38"/>
      <c r="M166" s="37"/>
      <c r="N166" s="37"/>
      <c r="O166" s="36"/>
      <c r="P166" s="36"/>
      <c r="Q166" s="37"/>
      <c r="R166" s="38"/>
      <c r="S166" s="38"/>
    </row>
    <row r="167" customFormat="false" ht="27.75" hidden="false" customHeight="true" outlineLevel="0" collapsed="false">
      <c r="A167" s="36"/>
      <c r="B167" s="37"/>
      <c r="C167" s="37"/>
      <c r="D167" s="37"/>
      <c r="E167" s="37"/>
      <c r="F167" s="37"/>
      <c r="G167" s="37"/>
      <c r="H167" s="37"/>
      <c r="I167" s="38"/>
      <c r="J167" s="37"/>
      <c r="K167" s="37"/>
      <c r="L167" s="38"/>
      <c r="M167" s="37"/>
      <c r="N167" s="37"/>
      <c r="O167" s="36"/>
      <c r="P167" s="36"/>
      <c r="Q167" s="37"/>
      <c r="R167" s="38"/>
      <c r="S167" s="38"/>
    </row>
    <row r="168" customFormat="false" ht="27.75" hidden="false" customHeight="true" outlineLevel="0" collapsed="false">
      <c r="A168" s="36"/>
      <c r="B168" s="37"/>
      <c r="C168" s="37"/>
      <c r="D168" s="37"/>
      <c r="E168" s="37"/>
      <c r="F168" s="37"/>
      <c r="G168" s="37"/>
      <c r="H168" s="37"/>
      <c r="I168" s="38"/>
      <c r="J168" s="37"/>
      <c r="K168" s="37"/>
      <c r="L168" s="38"/>
      <c r="M168" s="37"/>
      <c r="N168" s="37"/>
      <c r="O168" s="36"/>
      <c r="P168" s="36"/>
      <c r="Q168" s="37"/>
      <c r="R168" s="38"/>
      <c r="S168" s="38"/>
    </row>
    <row r="169" customFormat="false" ht="27.75" hidden="false" customHeight="true" outlineLevel="0" collapsed="false">
      <c r="A169" s="36"/>
      <c r="B169" s="37"/>
      <c r="C169" s="37"/>
      <c r="D169" s="37"/>
      <c r="E169" s="37"/>
      <c r="F169" s="37"/>
      <c r="G169" s="37"/>
      <c r="H169" s="37"/>
      <c r="I169" s="38"/>
      <c r="J169" s="37"/>
      <c r="K169" s="37"/>
      <c r="L169" s="38"/>
      <c r="M169" s="37"/>
      <c r="N169" s="37"/>
      <c r="O169" s="36"/>
      <c r="P169" s="36"/>
      <c r="Q169" s="37"/>
      <c r="R169" s="38"/>
      <c r="S169" s="38"/>
    </row>
    <row r="170" customFormat="false" ht="27.75" hidden="false" customHeight="true" outlineLevel="0" collapsed="false">
      <c r="A170" s="36"/>
      <c r="B170" s="37"/>
      <c r="C170" s="37"/>
      <c r="D170" s="37"/>
      <c r="E170" s="37"/>
      <c r="F170" s="37"/>
      <c r="G170" s="37"/>
      <c r="H170" s="37"/>
      <c r="I170" s="38"/>
      <c r="J170" s="37"/>
      <c r="K170" s="37"/>
      <c r="L170" s="38"/>
      <c r="M170" s="37"/>
      <c r="N170" s="37"/>
      <c r="O170" s="36"/>
      <c r="P170" s="36"/>
      <c r="Q170" s="37"/>
      <c r="R170" s="38"/>
      <c r="S170" s="38"/>
    </row>
    <row r="171" customFormat="false" ht="27.75" hidden="false" customHeight="true" outlineLevel="0" collapsed="false">
      <c r="A171" s="36"/>
      <c r="B171" s="37"/>
      <c r="C171" s="37"/>
      <c r="D171" s="37"/>
      <c r="E171" s="37"/>
      <c r="F171" s="37"/>
      <c r="G171" s="37"/>
      <c r="H171" s="37"/>
      <c r="I171" s="38"/>
      <c r="J171" s="37"/>
      <c r="K171" s="37"/>
      <c r="L171" s="38"/>
      <c r="M171" s="37"/>
      <c r="N171" s="37"/>
      <c r="O171" s="36"/>
      <c r="P171" s="36"/>
      <c r="Q171" s="37"/>
      <c r="R171" s="38"/>
      <c r="S171" s="38"/>
    </row>
    <row r="172" customFormat="false" ht="27.75" hidden="false" customHeight="true" outlineLevel="0" collapsed="false">
      <c r="A172" s="36"/>
      <c r="B172" s="37"/>
      <c r="C172" s="37"/>
      <c r="D172" s="37"/>
      <c r="E172" s="37"/>
      <c r="F172" s="37"/>
      <c r="G172" s="37"/>
      <c r="H172" s="37"/>
      <c r="I172" s="38"/>
      <c r="J172" s="37"/>
      <c r="K172" s="37"/>
      <c r="L172" s="38"/>
      <c r="M172" s="37"/>
      <c r="N172" s="37"/>
      <c r="O172" s="36"/>
      <c r="P172" s="36"/>
      <c r="Q172" s="37"/>
      <c r="R172" s="38"/>
      <c r="S172" s="38"/>
    </row>
    <row r="173" customFormat="false" ht="27.75" hidden="false" customHeight="true" outlineLevel="0" collapsed="false">
      <c r="A173" s="36"/>
      <c r="B173" s="37"/>
      <c r="C173" s="37"/>
      <c r="D173" s="37"/>
      <c r="E173" s="37"/>
      <c r="F173" s="37"/>
      <c r="G173" s="37"/>
      <c r="H173" s="37"/>
      <c r="I173" s="38"/>
      <c r="J173" s="37"/>
      <c r="K173" s="37"/>
      <c r="L173" s="38"/>
      <c r="M173" s="37"/>
      <c r="N173" s="37"/>
      <c r="O173" s="36"/>
      <c r="P173" s="36"/>
      <c r="Q173" s="37"/>
      <c r="R173" s="38"/>
      <c r="S173" s="38"/>
    </row>
    <row r="174" customFormat="false" ht="27.75" hidden="false" customHeight="true" outlineLevel="0" collapsed="false">
      <c r="A174" s="36"/>
      <c r="B174" s="37"/>
      <c r="C174" s="37"/>
      <c r="D174" s="37"/>
      <c r="E174" s="37"/>
      <c r="F174" s="37"/>
      <c r="G174" s="37"/>
      <c r="H174" s="37"/>
      <c r="I174" s="38"/>
      <c r="J174" s="37"/>
      <c r="K174" s="37"/>
      <c r="L174" s="38"/>
      <c r="M174" s="37"/>
      <c r="N174" s="37"/>
      <c r="O174" s="36"/>
      <c r="P174" s="36"/>
      <c r="Q174" s="37"/>
      <c r="R174" s="38"/>
      <c r="S174" s="38"/>
    </row>
    <row r="175" customFormat="false" ht="27.75" hidden="false" customHeight="true" outlineLevel="0" collapsed="false">
      <c r="A175" s="36"/>
      <c r="B175" s="37"/>
      <c r="C175" s="37"/>
      <c r="D175" s="37"/>
      <c r="E175" s="37"/>
      <c r="F175" s="37"/>
      <c r="G175" s="37"/>
      <c r="H175" s="37"/>
      <c r="I175" s="38"/>
      <c r="J175" s="37"/>
      <c r="K175" s="37"/>
      <c r="L175" s="38"/>
      <c r="M175" s="37"/>
      <c r="N175" s="37"/>
      <c r="O175" s="36"/>
      <c r="P175" s="36"/>
      <c r="Q175" s="37"/>
      <c r="R175" s="38"/>
      <c r="S175" s="38"/>
    </row>
    <row r="176" customFormat="false" ht="27.75" hidden="false" customHeight="true" outlineLevel="0" collapsed="false">
      <c r="A176" s="36"/>
      <c r="B176" s="37"/>
      <c r="C176" s="37"/>
      <c r="D176" s="37"/>
      <c r="E176" s="37"/>
      <c r="F176" s="37"/>
      <c r="G176" s="37"/>
      <c r="H176" s="37"/>
      <c r="I176" s="38"/>
      <c r="J176" s="37"/>
      <c r="K176" s="37"/>
      <c r="L176" s="38"/>
      <c r="M176" s="37"/>
      <c r="N176" s="37"/>
      <c r="O176" s="36"/>
      <c r="P176" s="36"/>
      <c r="Q176" s="37"/>
      <c r="R176" s="38"/>
      <c r="S176" s="38"/>
    </row>
    <row r="177" customFormat="false" ht="27.75" hidden="false" customHeight="true" outlineLevel="0" collapsed="false">
      <c r="A177" s="36"/>
      <c r="B177" s="37"/>
      <c r="C177" s="37"/>
      <c r="D177" s="37"/>
      <c r="E177" s="37"/>
      <c r="F177" s="37"/>
      <c r="G177" s="37"/>
      <c r="H177" s="37"/>
      <c r="I177" s="38"/>
      <c r="J177" s="37"/>
      <c r="K177" s="37"/>
      <c r="L177" s="38"/>
      <c r="M177" s="37"/>
      <c r="N177" s="37"/>
      <c r="O177" s="36"/>
      <c r="P177" s="36"/>
      <c r="Q177" s="37"/>
      <c r="R177" s="38"/>
      <c r="S177" s="38"/>
    </row>
    <row r="178" customFormat="false" ht="27.75" hidden="false" customHeight="true" outlineLevel="0" collapsed="false">
      <c r="A178" s="36"/>
      <c r="B178" s="37"/>
      <c r="C178" s="37"/>
      <c r="D178" s="37"/>
      <c r="E178" s="37"/>
      <c r="F178" s="37"/>
      <c r="G178" s="37"/>
      <c r="H178" s="37"/>
      <c r="I178" s="38"/>
      <c r="J178" s="37"/>
      <c r="K178" s="37"/>
      <c r="L178" s="38"/>
      <c r="M178" s="37"/>
      <c r="N178" s="37"/>
      <c r="O178" s="36"/>
      <c r="P178" s="36"/>
      <c r="Q178" s="37"/>
      <c r="R178" s="38"/>
      <c r="S178" s="38"/>
    </row>
    <row r="179" customFormat="false" ht="27.75" hidden="false" customHeight="true" outlineLevel="0" collapsed="false">
      <c r="A179" s="36"/>
      <c r="B179" s="37"/>
      <c r="C179" s="37"/>
      <c r="D179" s="37"/>
      <c r="E179" s="37"/>
      <c r="F179" s="37"/>
      <c r="G179" s="37"/>
      <c r="H179" s="37"/>
      <c r="I179" s="38"/>
      <c r="J179" s="37"/>
      <c r="K179" s="37"/>
      <c r="L179" s="38"/>
      <c r="M179" s="37"/>
      <c r="N179" s="37"/>
      <c r="O179" s="36"/>
      <c r="P179" s="36"/>
      <c r="Q179" s="37"/>
      <c r="R179" s="38"/>
      <c r="S179" s="38"/>
    </row>
    <row r="180" customFormat="false" ht="27.75" hidden="false" customHeight="true" outlineLevel="0" collapsed="false">
      <c r="A180" s="36"/>
      <c r="B180" s="37"/>
      <c r="C180" s="37"/>
      <c r="D180" s="37"/>
      <c r="E180" s="37"/>
      <c r="F180" s="37"/>
      <c r="G180" s="37"/>
      <c r="H180" s="37"/>
      <c r="I180" s="38"/>
      <c r="J180" s="37"/>
      <c r="K180" s="37"/>
      <c r="L180" s="38"/>
      <c r="M180" s="37"/>
      <c r="N180" s="37"/>
      <c r="O180" s="36"/>
      <c r="P180" s="36"/>
      <c r="Q180" s="37"/>
      <c r="R180" s="38"/>
      <c r="S180" s="38"/>
    </row>
    <row r="181" customFormat="false" ht="27.75" hidden="false" customHeight="true" outlineLevel="0" collapsed="false">
      <c r="A181" s="36"/>
      <c r="B181" s="37"/>
      <c r="C181" s="37"/>
      <c r="D181" s="37"/>
      <c r="E181" s="37"/>
      <c r="F181" s="37"/>
      <c r="G181" s="37"/>
      <c r="H181" s="37"/>
      <c r="I181" s="38"/>
      <c r="J181" s="37"/>
      <c r="K181" s="37"/>
      <c r="L181" s="38"/>
      <c r="M181" s="37"/>
      <c r="N181" s="37"/>
      <c r="O181" s="36"/>
      <c r="P181" s="36"/>
      <c r="Q181" s="37"/>
      <c r="R181" s="38"/>
      <c r="S181" s="38"/>
    </row>
    <row r="182" customFormat="false" ht="27.75" hidden="false" customHeight="true" outlineLevel="0" collapsed="false">
      <c r="A182" s="36"/>
      <c r="B182" s="37"/>
      <c r="C182" s="37"/>
      <c r="D182" s="37"/>
      <c r="E182" s="37"/>
      <c r="F182" s="37"/>
      <c r="G182" s="37"/>
      <c r="H182" s="37"/>
      <c r="I182" s="38"/>
      <c r="J182" s="37"/>
      <c r="K182" s="37"/>
      <c r="L182" s="38"/>
      <c r="M182" s="37"/>
      <c r="N182" s="37"/>
      <c r="O182" s="36"/>
      <c r="P182" s="36"/>
      <c r="Q182" s="37"/>
      <c r="R182" s="38"/>
      <c r="S182" s="38"/>
    </row>
    <row r="183" customFormat="false" ht="27.75" hidden="false" customHeight="true" outlineLevel="0" collapsed="false">
      <c r="A183" s="36"/>
      <c r="B183" s="37"/>
      <c r="C183" s="37"/>
      <c r="D183" s="37"/>
      <c r="E183" s="37"/>
      <c r="F183" s="37"/>
      <c r="G183" s="37"/>
      <c r="H183" s="37"/>
      <c r="I183" s="38"/>
      <c r="J183" s="37"/>
      <c r="K183" s="37"/>
      <c r="L183" s="38"/>
      <c r="M183" s="37"/>
      <c r="N183" s="37"/>
      <c r="O183" s="36"/>
      <c r="P183" s="36"/>
      <c r="Q183" s="37"/>
      <c r="R183" s="38"/>
      <c r="S183" s="38"/>
    </row>
    <row r="184" customFormat="false" ht="27.75" hidden="false" customHeight="true" outlineLevel="0" collapsed="false">
      <c r="A184" s="36"/>
      <c r="B184" s="37"/>
      <c r="C184" s="37"/>
      <c r="D184" s="37"/>
      <c r="E184" s="37"/>
      <c r="F184" s="37"/>
      <c r="G184" s="37"/>
      <c r="H184" s="37"/>
      <c r="I184" s="38"/>
      <c r="J184" s="37"/>
      <c r="K184" s="37"/>
      <c r="L184" s="38"/>
      <c r="M184" s="37"/>
      <c r="N184" s="37"/>
      <c r="O184" s="36"/>
      <c r="P184" s="36"/>
      <c r="Q184" s="37"/>
      <c r="R184" s="38"/>
      <c r="S184" s="38"/>
    </row>
    <row r="185" customFormat="false" ht="27.75" hidden="false" customHeight="true" outlineLevel="0" collapsed="false">
      <c r="A185" s="36"/>
      <c r="B185" s="37"/>
      <c r="C185" s="37"/>
      <c r="D185" s="37"/>
      <c r="E185" s="37"/>
      <c r="F185" s="37"/>
      <c r="G185" s="37"/>
      <c r="H185" s="37"/>
      <c r="I185" s="38"/>
      <c r="J185" s="37"/>
      <c r="K185" s="37"/>
      <c r="L185" s="38"/>
      <c r="M185" s="37"/>
      <c r="N185" s="37"/>
      <c r="O185" s="36"/>
      <c r="P185" s="36"/>
      <c r="Q185" s="37"/>
      <c r="R185" s="38"/>
      <c r="S185" s="38"/>
    </row>
    <row r="186" customFormat="false" ht="27.75" hidden="false" customHeight="true" outlineLevel="0" collapsed="false">
      <c r="A186" s="36"/>
      <c r="B186" s="37"/>
      <c r="C186" s="37"/>
      <c r="D186" s="37"/>
      <c r="E186" s="37"/>
      <c r="F186" s="37"/>
      <c r="G186" s="37"/>
      <c r="H186" s="37"/>
      <c r="I186" s="38"/>
      <c r="J186" s="37"/>
      <c r="K186" s="37"/>
      <c r="L186" s="38"/>
      <c r="M186" s="37"/>
      <c r="N186" s="37"/>
      <c r="O186" s="36"/>
      <c r="P186" s="36"/>
      <c r="Q186" s="37"/>
      <c r="R186" s="38"/>
      <c r="S186" s="38"/>
    </row>
    <row r="187" customFormat="false" ht="27.75" hidden="false" customHeight="true" outlineLevel="0" collapsed="false">
      <c r="A187" s="36"/>
      <c r="B187" s="37"/>
      <c r="C187" s="37"/>
      <c r="D187" s="37"/>
      <c r="E187" s="37"/>
      <c r="F187" s="37"/>
      <c r="G187" s="37"/>
      <c r="H187" s="37"/>
      <c r="I187" s="38"/>
      <c r="J187" s="37"/>
      <c r="K187" s="37"/>
      <c r="L187" s="38"/>
      <c r="M187" s="37"/>
      <c r="N187" s="37"/>
      <c r="O187" s="36"/>
      <c r="P187" s="36"/>
      <c r="Q187" s="37"/>
      <c r="R187" s="38"/>
      <c r="S187" s="38"/>
    </row>
    <row r="188" customFormat="false" ht="27.75" hidden="false" customHeight="true" outlineLevel="0" collapsed="false">
      <c r="A188" s="36"/>
      <c r="B188" s="37"/>
      <c r="C188" s="37"/>
      <c r="D188" s="37"/>
      <c r="E188" s="37"/>
      <c r="F188" s="37"/>
      <c r="G188" s="37"/>
      <c r="H188" s="37"/>
      <c r="I188" s="38"/>
      <c r="J188" s="37"/>
      <c r="K188" s="37"/>
      <c r="L188" s="38"/>
      <c r="M188" s="37"/>
      <c r="N188" s="37"/>
      <c r="O188" s="36"/>
      <c r="P188" s="36"/>
      <c r="Q188" s="37"/>
      <c r="R188" s="38"/>
      <c r="S188" s="38"/>
    </row>
    <row r="189" customFormat="false" ht="27.75" hidden="false" customHeight="true" outlineLevel="0" collapsed="false">
      <c r="A189" s="36"/>
      <c r="B189" s="37"/>
      <c r="C189" s="37"/>
      <c r="D189" s="37"/>
      <c r="E189" s="37"/>
      <c r="F189" s="37"/>
      <c r="G189" s="37"/>
      <c r="H189" s="37"/>
      <c r="I189" s="38"/>
      <c r="J189" s="37"/>
      <c r="K189" s="37"/>
      <c r="L189" s="38"/>
      <c r="M189" s="37"/>
      <c r="N189" s="37"/>
      <c r="O189" s="36"/>
      <c r="P189" s="36"/>
      <c r="Q189" s="37"/>
      <c r="R189" s="38"/>
      <c r="S189" s="38"/>
    </row>
    <row r="190" customFormat="false" ht="27.75" hidden="false" customHeight="true" outlineLevel="0" collapsed="false">
      <c r="A190" s="36"/>
      <c r="B190" s="37"/>
      <c r="C190" s="37"/>
      <c r="D190" s="37"/>
      <c r="E190" s="37"/>
      <c r="F190" s="37"/>
      <c r="G190" s="37"/>
      <c r="H190" s="37"/>
      <c r="I190" s="38"/>
      <c r="J190" s="37"/>
      <c r="K190" s="37"/>
      <c r="L190" s="38"/>
      <c r="M190" s="37"/>
      <c r="N190" s="37"/>
      <c r="O190" s="36"/>
      <c r="P190" s="36"/>
      <c r="Q190" s="37"/>
      <c r="R190" s="38"/>
      <c r="S190" s="38"/>
    </row>
    <row r="191" customFormat="false" ht="27.75" hidden="false" customHeight="true" outlineLevel="0" collapsed="false">
      <c r="A191" s="36"/>
      <c r="B191" s="37"/>
      <c r="C191" s="37"/>
      <c r="D191" s="37"/>
      <c r="E191" s="37"/>
      <c r="F191" s="37"/>
      <c r="G191" s="37"/>
      <c r="H191" s="37"/>
      <c r="I191" s="38"/>
      <c r="J191" s="37"/>
      <c r="K191" s="37"/>
      <c r="L191" s="38"/>
      <c r="M191" s="37"/>
      <c r="N191" s="37"/>
      <c r="O191" s="36"/>
      <c r="P191" s="36"/>
      <c r="Q191" s="37"/>
      <c r="R191" s="38"/>
      <c r="S191" s="38"/>
    </row>
    <row r="192" customFormat="false" ht="27.75" hidden="false" customHeight="true" outlineLevel="0" collapsed="false">
      <c r="A192" s="36"/>
      <c r="B192" s="37"/>
      <c r="C192" s="37"/>
      <c r="D192" s="37"/>
      <c r="E192" s="37"/>
      <c r="F192" s="37"/>
      <c r="G192" s="37"/>
      <c r="H192" s="37"/>
      <c r="I192" s="38"/>
      <c r="J192" s="37"/>
      <c r="K192" s="37"/>
      <c r="L192" s="38"/>
      <c r="M192" s="37"/>
      <c r="N192" s="37"/>
      <c r="O192" s="36"/>
      <c r="P192" s="36"/>
      <c r="Q192" s="37"/>
      <c r="R192" s="38"/>
      <c r="S192" s="38"/>
    </row>
    <row r="193" customFormat="false" ht="27.75" hidden="false" customHeight="true" outlineLevel="0" collapsed="false">
      <c r="A193" s="36"/>
      <c r="B193" s="37"/>
      <c r="C193" s="37"/>
      <c r="D193" s="37"/>
      <c r="E193" s="37"/>
      <c r="F193" s="37"/>
      <c r="G193" s="37"/>
      <c r="H193" s="37"/>
      <c r="I193" s="38"/>
      <c r="J193" s="37"/>
      <c r="K193" s="37"/>
      <c r="L193" s="38"/>
      <c r="M193" s="37"/>
      <c r="N193" s="37"/>
      <c r="O193" s="36"/>
      <c r="P193" s="36"/>
      <c r="Q193" s="37"/>
      <c r="R193" s="38"/>
      <c r="S193" s="38"/>
    </row>
    <row r="194" customFormat="false" ht="27.75" hidden="false" customHeight="true" outlineLevel="0" collapsed="false">
      <c r="A194" s="36"/>
      <c r="B194" s="37"/>
      <c r="C194" s="37"/>
      <c r="D194" s="37"/>
      <c r="E194" s="37"/>
      <c r="F194" s="37"/>
      <c r="G194" s="37"/>
      <c r="H194" s="37"/>
      <c r="I194" s="38"/>
      <c r="J194" s="37"/>
      <c r="K194" s="37"/>
      <c r="L194" s="38"/>
      <c r="M194" s="37"/>
      <c r="N194" s="37"/>
      <c r="O194" s="36"/>
      <c r="P194" s="36"/>
      <c r="Q194" s="37"/>
      <c r="R194" s="38"/>
      <c r="S194" s="38"/>
    </row>
    <row r="195" customFormat="false" ht="27.75" hidden="false" customHeight="true" outlineLevel="0" collapsed="false">
      <c r="A195" s="36"/>
      <c r="B195" s="37"/>
      <c r="C195" s="37"/>
      <c r="D195" s="37"/>
      <c r="E195" s="37"/>
      <c r="F195" s="37"/>
      <c r="G195" s="37"/>
      <c r="H195" s="37"/>
      <c r="I195" s="38"/>
      <c r="J195" s="37"/>
      <c r="K195" s="37"/>
      <c r="L195" s="38"/>
      <c r="M195" s="37"/>
      <c r="N195" s="37"/>
      <c r="O195" s="36"/>
      <c r="P195" s="36"/>
      <c r="Q195" s="37"/>
      <c r="R195" s="38"/>
      <c r="S195" s="38"/>
    </row>
    <row r="196" customFormat="false" ht="27.75" hidden="false" customHeight="true" outlineLevel="0" collapsed="false">
      <c r="A196" s="36"/>
      <c r="B196" s="37"/>
      <c r="C196" s="37"/>
      <c r="D196" s="37"/>
      <c r="E196" s="37"/>
      <c r="F196" s="37"/>
      <c r="G196" s="37"/>
      <c r="H196" s="37"/>
      <c r="I196" s="38"/>
      <c r="J196" s="37"/>
      <c r="K196" s="37"/>
      <c r="L196" s="38"/>
      <c r="M196" s="37"/>
      <c r="N196" s="37"/>
      <c r="O196" s="36"/>
      <c r="P196" s="36"/>
      <c r="Q196" s="37"/>
      <c r="R196" s="38"/>
      <c r="S196" s="38"/>
    </row>
    <row r="197" customFormat="false" ht="27.75" hidden="false" customHeight="true" outlineLevel="0" collapsed="false">
      <c r="A197" s="36"/>
      <c r="B197" s="37"/>
      <c r="C197" s="37"/>
      <c r="D197" s="37"/>
      <c r="E197" s="37"/>
      <c r="F197" s="37"/>
      <c r="G197" s="37"/>
      <c r="H197" s="37"/>
      <c r="I197" s="38"/>
      <c r="J197" s="37"/>
      <c r="K197" s="37"/>
      <c r="L197" s="38"/>
      <c r="M197" s="37"/>
      <c r="N197" s="37"/>
      <c r="O197" s="36"/>
      <c r="P197" s="36"/>
      <c r="Q197" s="37"/>
      <c r="R197" s="38"/>
      <c r="S197" s="38"/>
    </row>
    <row r="198" customFormat="false" ht="27.75" hidden="false" customHeight="true" outlineLevel="0" collapsed="false">
      <c r="A198" s="36"/>
      <c r="B198" s="37"/>
      <c r="C198" s="37"/>
      <c r="D198" s="37"/>
      <c r="E198" s="37"/>
      <c r="F198" s="37"/>
      <c r="G198" s="37"/>
      <c r="H198" s="37"/>
      <c r="I198" s="38"/>
      <c r="J198" s="37"/>
      <c r="K198" s="37"/>
      <c r="L198" s="38"/>
      <c r="M198" s="37"/>
      <c r="N198" s="37"/>
      <c r="O198" s="36"/>
      <c r="P198" s="36"/>
      <c r="Q198" s="37"/>
      <c r="R198" s="38"/>
      <c r="S198" s="38"/>
    </row>
    <row r="199" customFormat="false" ht="27.75" hidden="false" customHeight="true" outlineLevel="0" collapsed="false">
      <c r="A199" s="36"/>
      <c r="B199" s="37"/>
      <c r="C199" s="37"/>
      <c r="D199" s="37"/>
      <c r="E199" s="37"/>
      <c r="F199" s="37"/>
      <c r="G199" s="37"/>
      <c r="H199" s="37"/>
      <c r="I199" s="38"/>
      <c r="J199" s="37"/>
      <c r="K199" s="37"/>
      <c r="L199" s="38"/>
      <c r="M199" s="37"/>
      <c r="N199" s="37"/>
      <c r="O199" s="36"/>
      <c r="P199" s="36"/>
      <c r="Q199" s="37"/>
      <c r="R199" s="38"/>
      <c r="S199" s="38"/>
    </row>
    <row r="200" customFormat="false" ht="27.75" hidden="false" customHeight="true" outlineLevel="0" collapsed="false">
      <c r="A200" s="36"/>
      <c r="B200" s="37"/>
      <c r="C200" s="37"/>
      <c r="D200" s="37"/>
      <c r="E200" s="37"/>
      <c r="F200" s="37"/>
      <c r="G200" s="37"/>
      <c r="H200" s="37"/>
      <c r="I200" s="38"/>
      <c r="J200" s="37"/>
      <c r="K200" s="37"/>
      <c r="L200" s="38"/>
      <c r="M200" s="37"/>
      <c r="N200" s="37"/>
      <c r="O200" s="36"/>
      <c r="P200" s="36"/>
      <c r="Q200" s="37"/>
      <c r="R200" s="38"/>
      <c r="S200" s="38"/>
    </row>
    <row r="201" customFormat="false" ht="27.75" hidden="false" customHeight="true" outlineLevel="0" collapsed="false">
      <c r="A201" s="36"/>
      <c r="B201" s="37"/>
      <c r="C201" s="37"/>
      <c r="D201" s="37"/>
      <c r="E201" s="37"/>
      <c r="F201" s="37"/>
      <c r="G201" s="37"/>
      <c r="H201" s="37"/>
      <c r="I201" s="38"/>
      <c r="J201" s="37"/>
      <c r="K201" s="37"/>
      <c r="L201" s="38"/>
      <c r="M201" s="37"/>
      <c r="N201" s="37"/>
      <c r="O201" s="36"/>
      <c r="P201" s="36"/>
      <c r="Q201" s="37"/>
      <c r="R201" s="38"/>
      <c r="S201" s="38"/>
    </row>
    <row r="202" customFormat="false" ht="27.75" hidden="false" customHeight="true" outlineLevel="0" collapsed="false">
      <c r="A202" s="36"/>
      <c r="B202" s="37"/>
      <c r="C202" s="37"/>
      <c r="D202" s="37"/>
      <c r="E202" s="37"/>
      <c r="F202" s="37"/>
      <c r="G202" s="37"/>
      <c r="H202" s="37"/>
      <c r="I202" s="38"/>
      <c r="J202" s="37"/>
      <c r="K202" s="37"/>
      <c r="L202" s="38"/>
      <c r="M202" s="37"/>
      <c r="N202" s="37"/>
      <c r="O202" s="36"/>
      <c r="P202" s="36"/>
      <c r="Q202" s="37"/>
      <c r="R202" s="38"/>
      <c r="S202" s="38"/>
    </row>
    <row r="203" customFormat="false" ht="27.75" hidden="false" customHeight="true" outlineLevel="0" collapsed="false">
      <c r="A203" s="36"/>
      <c r="B203" s="37"/>
      <c r="C203" s="37"/>
      <c r="D203" s="37"/>
      <c r="E203" s="37"/>
      <c r="F203" s="37"/>
      <c r="G203" s="37"/>
      <c r="H203" s="37"/>
      <c r="I203" s="38"/>
      <c r="J203" s="37"/>
      <c r="K203" s="37"/>
      <c r="L203" s="38"/>
      <c r="M203" s="37"/>
      <c r="N203" s="37"/>
      <c r="O203" s="36"/>
      <c r="P203" s="36"/>
      <c r="Q203" s="37"/>
      <c r="R203" s="38"/>
      <c r="S203" s="38"/>
    </row>
    <row r="204" customFormat="false" ht="27.75" hidden="false" customHeight="true" outlineLevel="0" collapsed="false">
      <c r="A204" s="36"/>
      <c r="B204" s="37"/>
      <c r="C204" s="37"/>
      <c r="D204" s="37"/>
      <c r="E204" s="37"/>
      <c r="F204" s="37"/>
      <c r="G204" s="37"/>
      <c r="H204" s="37"/>
      <c r="I204" s="38"/>
      <c r="J204" s="37"/>
      <c r="K204" s="37"/>
      <c r="L204" s="38"/>
      <c r="M204" s="37"/>
      <c r="N204" s="37"/>
      <c r="O204" s="36"/>
      <c r="P204" s="36"/>
      <c r="Q204" s="37"/>
      <c r="R204" s="38"/>
      <c r="S204" s="38"/>
    </row>
    <row r="205" customFormat="false" ht="27.75" hidden="false" customHeight="true" outlineLevel="0" collapsed="false">
      <c r="A205" s="36"/>
      <c r="B205" s="37"/>
      <c r="C205" s="37"/>
      <c r="D205" s="37"/>
      <c r="E205" s="37"/>
      <c r="F205" s="37"/>
      <c r="G205" s="37"/>
      <c r="H205" s="37"/>
      <c r="I205" s="38"/>
      <c r="J205" s="37"/>
      <c r="K205" s="37"/>
      <c r="L205" s="38"/>
      <c r="M205" s="37"/>
      <c r="N205" s="37"/>
      <c r="O205" s="36"/>
      <c r="P205" s="36"/>
      <c r="Q205" s="37"/>
      <c r="R205" s="38"/>
      <c r="S205" s="38"/>
    </row>
    <row r="206" customFormat="false" ht="27.75" hidden="false" customHeight="true" outlineLevel="0" collapsed="false">
      <c r="A206" s="36"/>
      <c r="B206" s="37"/>
      <c r="C206" s="37"/>
      <c r="D206" s="37"/>
      <c r="E206" s="37"/>
      <c r="F206" s="37"/>
      <c r="G206" s="37"/>
      <c r="H206" s="37"/>
      <c r="I206" s="38"/>
      <c r="J206" s="37"/>
      <c r="K206" s="37"/>
      <c r="L206" s="38"/>
      <c r="M206" s="37"/>
      <c r="N206" s="37"/>
      <c r="O206" s="36"/>
      <c r="P206" s="36"/>
      <c r="Q206" s="37"/>
      <c r="R206" s="38"/>
      <c r="S206" s="38"/>
    </row>
    <row r="207" customFormat="false" ht="27.75" hidden="false" customHeight="true" outlineLevel="0" collapsed="false">
      <c r="A207" s="36"/>
      <c r="B207" s="37"/>
      <c r="C207" s="37"/>
      <c r="D207" s="37"/>
      <c r="E207" s="37"/>
      <c r="F207" s="37"/>
      <c r="G207" s="37"/>
      <c r="H207" s="37"/>
      <c r="I207" s="38"/>
      <c r="J207" s="37"/>
      <c r="K207" s="37"/>
      <c r="L207" s="38"/>
      <c r="M207" s="37"/>
      <c r="N207" s="37"/>
      <c r="O207" s="36"/>
      <c r="P207" s="36"/>
      <c r="Q207" s="37"/>
      <c r="R207" s="38"/>
      <c r="S207" s="38"/>
    </row>
    <row r="208" customFormat="false" ht="27.75" hidden="false" customHeight="true" outlineLevel="0" collapsed="false">
      <c r="A208" s="36"/>
      <c r="B208" s="37"/>
      <c r="C208" s="37"/>
      <c r="D208" s="37"/>
      <c r="E208" s="37"/>
      <c r="F208" s="37"/>
      <c r="G208" s="37"/>
      <c r="H208" s="37"/>
      <c r="I208" s="38"/>
      <c r="J208" s="37"/>
      <c r="K208" s="37"/>
      <c r="L208" s="38"/>
      <c r="M208" s="37"/>
      <c r="N208" s="37"/>
      <c r="O208" s="36"/>
      <c r="P208" s="36"/>
      <c r="Q208" s="37"/>
      <c r="R208" s="38"/>
      <c r="S208" s="38"/>
    </row>
    <row r="209" customFormat="false" ht="27.75" hidden="false" customHeight="true" outlineLevel="0" collapsed="false">
      <c r="A209" s="36"/>
      <c r="B209" s="37"/>
      <c r="C209" s="37"/>
      <c r="D209" s="37"/>
      <c r="E209" s="37"/>
      <c r="F209" s="37"/>
      <c r="G209" s="37"/>
      <c r="H209" s="37"/>
      <c r="I209" s="38"/>
      <c r="J209" s="37"/>
      <c r="K209" s="37"/>
      <c r="L209" s="38"/>
      <c r="M209" s="37"/>
      <c r="N209" s="37"/>
      <c r="O209" s="36"/>
      <c r="P209" s="36"/>
      <c r="Q209" s="37"/>
      <c r="R209" s="38"/>
      <c r="S209" s="38"/>
    </row>
    <row r="210" customFormat="false" ht="27.75" hidden="false" customHeight="true" outlineLevel="0" collapsed="false">
      <c r="A210" s="36"/>
      <c r="B210" s="37"/>
      <c r="C210" s="37"/>
      <c r="D210" s="37"/>
      <c r="E210" s="37"/>
      <c r="F210" s="37"/>
      <c r="G210" s="37"/>
      <c r="H210" s="37"/>
      <c r="I210" s="38"/>
      <c r="J210" s="37"/>
      <c r="K210" s="37"/>
      <c r="L210" s="38"/>
      <c r="M210" s="37"/>
      <c r="N210" s="37"/>
      <c r="O210" s="36"/>
      <c r="P210" s="36"/>
      <c r="Q210" s="37"/>
      <c r="R210" s="38"/>
      <c r="S210" s="38"/>
    </row>
    <row r="211" customFormat="false" ht="27.75" hidden="false" customHeight="true" outlineLevel="0" collapsed="false">
      <c r="A211" s="36"/>
      <c r="B211" s="37"/>
      <c r="C211" s="37"/>
      <c r="D211" s="37"/>
      <c r="E211" s="37"/>
      <c r="F211" s="37"/>
      <c r="G211" s="37"/>
      <c r="H211" s="37"/>
      <c r="I211" s="38"/>
      <c r="J211" s="37"/>
      <c r="K211" s="37"/>
      <c r="L211" s="38"/>
      <c r="M211" s="37"/>
      <c r="N211" s="37"/>
      <c r="O211" s="36"/>
      <c r="P211" s="36"/>
      <c r="Q211" s="37"/>
      <c r="R211" s="38"/>
      <c r="S211" s="38"/>
    </row>
    <row r="212" customFormat="false" ht="27.75" hidden="false" customHeight="true" outlineLevel="0" collapsed="false">
      <c r="A212" s="36"/>
      <c r="B212" s="37"/>
      <c r="C212" s="37"/>
      <c r="D212" s="37"/>
      <c r="E212" s="37"/>
      <c r="F212" s="37"/>
      <c r="G212" s="37"/>
      <c r="H212" s="37"/>
      <c r="I212" s="38"/>
      <c r="J212" s="37"/>
      <c r="K212" s="37"/>
      <c r="L212" s="38"/>
      <c r="M212" s="37"/>
      <c r="N212" s="37"/>
      <c r="O212" s="36"/>
      <c r="P212" s="36"/>
      <c r="Q212" s="37"/>
      <c r="R212" s="38"/>
      <c r="S212" s="38"/>
    </row>
    <row r="213" customFormat="false" ht="27.75" hidden="false" customHeight="true" outlineLevel="0" collapsed="false">
      <c r="A213" s="36"/>
      <c r="B213" s="37"/>
      <c r="C213" s="37"/>
      <c r="D213" s="37"/>
      <c r="E213" s="37"/>
      <c r="F213" s="37"/>
      <c r="G213" s="37"/>
      <c r="H213" s="37"/>
      <c r="I213" s="38"/>
      <c r="J213" s="37"/>
      <c r="K213" s="37"/>
      <c r="L213" s="38"/>
      <c r="M213" s="37"/>
      <c r="N213" s="37"/>
      <c r="O213" s="36"/>
      <c r="P213" s="36"/>
      <c r="Q213" s="37"/>
      <c r="R213" s="38"/>
      <c r="S213" s="38"/>
    </row>
    <row r="214" customFormat="false" ht="27.75" hidden="false" customHeight="true" outlineLevel="0" collapsed="false">
      <c r="A214" s="36"/>
      <c r="B214" s="37"/>
      <c r="C214" s="37"/>
      <c r="D214" s="37"/>
      <c r="E214" s="37"/>
      <c r="F214" s="37"/>
      <c r="G214" s="37"/>
      <c r="H214" s="37"/>
      <c r="I214" s="38"/>
      <c r="J214" s="37"/>
      <c r="K214" s="37"/>
      <c r="L214" s="38"/>
      <c r="M214" s="37"/>
      <c r="N214" s="37"/>
      <c r="O214" s="36"/>
      <c r="P214" s="36"/>
      <c r="Q214" s="37"/>
      <c r="R214" s="38"/>
      <c r="S214" s="38"/>
    </row>
    <row r="215" customFormat="false" ht="27.75" hidden="false" customHeight="true" outlineLevel="0" collapsed="false">
      <c r="A215" s="36"/>
      <c r="B215" s="37"/>
      <c r="C215" s="37"/>
      <c r="D215" s="37"/>
      <c r="E215" s="37"/>
      <c r="F215" s="37"/>
      <c r="G215" s="37"/>
      <c r="H215" s="37"/>
      <c r="I215" s="38"/>
      <c r="J215" s="37"/>
      <c r="K215" s="37"/>
      <c r="L215" s="38"/>
      <c r="M215" s="37"/>
      <c r="N215" s="37"/>
      <c r="O215" s="36"/>
      <c r="P215" s="36"/>
      <c r="Q215" s="37"/>
      <c r="R215" s="38"/>
      <c r="S215" s="38"/>
    </row>
    <row r="216" customFormat="false" ht="27.75" hidden="false" customHeight="true" outlineLevel="0" collapsed="false">
      <c r="A216" s="36"/>
      <c r="B216" s="37"/>
      <c r="C216" s="37"/>
      <c r="D216" s="37"/>
      <c r="E216" s="37"/>
      <c r="F216" s="37"/>
      <c r="G216" s="37"/>
      <c r="H216" s="37"/>
      <c r="I216" s="38"/>
      <c r="J216" s="37"/>
      <c r="K216" s="37"/>
      <c r="L216" s="38"/>
      <c r="M216" s="37"/>
      <c r="N216" s="37"/>
      <c r="O216" s="36"/>
      <c r="P216" s="36"/>
      <c r="Q216" s="37"/>
      <c r="R216" s="38"/>
      <c r="S216" s="38"/>
    </row>
    <row r="217" customFormat="false" ht="27.75" hidden="false" customHeight="true" outlineLevel="0" collapsed="false">
      <c r="A217" s="36"/>
      <c r="B217" s="37"/>
      <c r="C217" s="37"/>
      <c r="D217" s="37"/>
      <c r="E217" s="37"/>
      <c r="F217" s="37"/>
      <c r="G217" s="37"/>
      <c r="H217" s="37"/>
      <c r="I217" s="38"/>
      <c r="J217" s="37"/>
      <c r="K217" s="37"/>
      <c r="L217" s="38"/>
      <c r="M217" s="37"/>
      <c r="N217" s="37"/>
      <c r="O217" s="36"/>
      <c r="P217" s="36"/>
      <c r="Q217" s="37"/>
      <c r="R217" s="38"/>
      <c r="S217" s="38"/>
    </row>
    <row r="218" customFormat="false" ht="27.75" hidden="false" customHeight="true" outlineLevel="0" collapsed="false">
      <c r="A218" s="36"/>
      <c r="B218" s="37"/>
      <c r="C218" s="37"/>
      <c r="D218" s="37"/>
      <c r="E218" s="37"/>
      <c r="F218" s="37"/>
      <c r="G218" s="37"/>
      <c r="H218" s="37"/>
      <c r="I218" s="38"/>
      <c r="J218" s="37"/>
      <c r="K218" s="37"/>
      <c r="L218" s="38"/>
      <c r="M218" s="37"/>
      <c r="N218" s="37"/>
      <c r="O218" s="36"/>
      <c r="P218" s="36"/>
      <c r="Q218" s="37"/>
      <c r="R218" s="38"/>
      <c r="S218" s="38"/>
    </row>
    <row r="219" customFormat="false" ht="27.75" hidden="false" customHeight="true" outlineLevel="0" collapsed="false">
      <c r="A219" s="36"/>
      <c r="B219" s="37"/>
      <c r="C219" s="37"/>
      <c r="D219" s="37"/>
      <c r="E219" s="37"/>
      <c r="F219" s="37"/>
      <c r="G219" s="37"/>
      <c r="H219" s="37"/>
      <c r="I219" s="38"/>
      <c r="J219" s="37"/>
      <c r="K219" s="37"/>
      <c r="L219" s="38"/>
      <c r="M219" s="37"/>
      <c r="N219" s="37"/>
      <c r="O219" s="36"/>
      <c r="P219" s="36"/>
      <c r="Q219" s="37"/>
      <c r="R219" s="38"/>
      <c r="S219" s="38"/>
    </row>
    <row r="220" customFormat="false" ht="27.75" hidden="false" customHeight="true" outlineLevel="0" collapsed="false">
      <c r="A220" s="36"/>
      <c r="B220" s="37"/>
      <c r="C220" s="37"/>
      <c r="D220" s="37"/>
      <c r="E220" s="37"/>
      <c r="F220" s="37"/>
      <c r="G220" s="37"/>
      <c r="H220" s="37"/>
      <c r="I220" s="38"/>
      <c r="J220" s="37"/>
      <c r="K220" s="37"/>
      <c r="L220" s="38"/>
      <c r="M220" s="37"/>
      <c r="N220" s="37"/>
      <c r="O220" s="36"/>
      <c r="P220" s="36"/>
      <c r="Q220" s="37"/>
      <c r="R220" s="38"/>
      <c r="S220" s="38"/>
    </row>
    <row r="221" customFormat="false" ht="27.75" hidden="false" customHeight="true" outlineLevel="0" collapsed="false">
      <c r="A221" s="36"/>
      <c r="B221" s="37"/>
      <c r="C221" s="37"/>
      <c r="D221" s="37"/>
      <c r="E221" s="37"/>
      <c r="F221" s="37"/>
      <c r="G221" s="37"/>
      <c r="H221" s="37"/>
      <c r="I221" s="38"/>
      <c r="J221" s="37"/>
      <c r="K221" s="37"/>
      <c r="L221" s="38"/>
      <c r="M221" s="37"/>
      <c r="N221" s="37"/>
      <c r="O221" s="36"/>
      <c r="P221" s="36"/>
      <c r="Q221" s="37"/>
      <c r="R221" s="38"/>
      <c r="S221" s="38"/>
    </row>
    <row r="222" customFormat="false" ht="27.75" hidden="false" customHeight="true" outlineLevel="0" collapsed="false">
      <c r="A222" s="36"/>
      <c r="B222" s="37"/>
      <c r="C222" s="37"/>
      <c r="D222" s="37"/>
      <c r="E222" s="37"/>
      <c r="F222" s="37"/>
      <c r="G222" s="37"/>
      <c r="H222" s="37"/>
      <c r="I222" s="38"/>
      <c r="J222" s="37"/>
      <c r="K222" s="37"/>
      <c r="L222" s="38"/>
      <c r="M222" s="37"/>
      <c r="N222" s="37"/>
      <c r="O222" s="36"/>
      <c r="P222" s="36"/>
      <c r="Q222" s="37"/>
      <c r="R222" s="38"/>
      <c r="S222" s="38"/>
    </row>
    <row r="223" customFormat="false" ht="27.75" hidden="false" customHeight="true" outlineLevel="0" collapsed="false">
      <c r="A223" s="36"/>
      <c r="B223" s="37"/>
      <c r="C223" s="37"/>
      <c r="D223" s="37"/>
      <c r="E223" s="37"/>
      <c r="F223" s="37"/>
      <c r="G223" s="37"/>
      <c r="H223" s="37"/>
      <c r="I223" s="38"/>
      <c r="J223" s="37"/>
      <c r="K223" s="37"/>
      <c r="L223" s="38"/>
      <c r="M223" s="37"/>
      <c r="N223" s="37"/>
      <c r="O223" s="36"/>
      <c r="P223" s="36"/>
      <c r="Q223" s="37"/>
      <c r="R223" s="38"/>
      <c r="S223" s="38"/>
    </row>
    <row r="224" customFormat="false" ht="27.75" hidden="false" customHeight="true" outlineLevel="0" collapsed="false">
      <c r="A224" s="36"/>
      <c r="B224" s="37"/>
      <c r="C224" s="37"/>
      <c r="D224" s="37"/>
      <c r="E224" s="37"/>
      <c r="F224" s="37"/>
      <c r="G224" s="37"/>
      <c r="H224" s="37"/>
      <c r="I224" s="38"/>
      <c r="J224" s="37"/>
      <c r="K224" s="37"/>
      <c r="L224" s="38"/>
      <c r="M224" s="37"/>
      <c r="N224" s="37"/>
      <c r="O224" s="36"/>
      <c r="P224" s="36"/>
      <c r="Q224" s="37"/>
      <c r="R224" s="38"/>
      <c r="S224" s="38"/>
    </row>
    <row r="225" customFormat="false" ht="27.75" hidden="false" customHeight="true" outlineLevel="0" collapsed="false">
      <c r="A225" s="36"/>
      <c r="B225" s="37"/>
      <c r="C225" s="37"/>
      <c r="D225" s="37"/>
      <c r="E225" s="37"/>
      <c r="F225" s="37"/>
      <c r="G225" s="37"/>
      <c r="H225" s="37"/>
      <c r="I225" s="38"/>
      <c r="J225" s="37"/>
      <c r="K225" s="37"/>
      <c r="L225" s="38"/>
      <c r="M225" s="37"/>
      <c r="N225" s="37"/>
      <c r="O225" s="36"/>
      <c r="P225" s="36"/>
      <c r="Q225" s="37"/>
      <c r="R225" s="38"/>
      <c r="S225" s="38"/>
    </row>
    <row r="226" customFormat="false" ht="27.75" hidden="false" customHeight="true" outlineLevel="0" collapsed="false">
      <c r="A226" s="36"/>
      <c r="B226" s="37"/>
      <c r="C226" s="37"/>
      <c r="D226" s="37"/>
      <c r="E226" s="37"/>
      <c r="F226" s="37"/>
      <c r="G226" s="37"/>
      <c r="H226" s="37"/>
      <c r="I226" s="38"/>
      <c r="J226" s="37"/>
      <c r="K226" s="37"/>
      <c r="L226" s="38"/>
      <c r="M226" s="37"/>
      <c r="N226" s="37"/>
      <c r="O226" s="36"/>
      <c r="P226" s="36"/>
      <c r="Q226" s="37"/>
      <c r="R226" s="38"/>
      <c r="S226" s="38"/>
    </row>
    <row r="227" customFormat="false" ht="27.75" hidden="false" customHeight="true" outlineLevel="0" collapsed="false">
      <c r="A227" s="36"/>
      <c r="B227" s="37"/>
      <c r="C227" s="37"/>
      <c r="D227" s="37"/>
      <c r="E227" s="37"/>
      <c r="F227" s="37"/>
      <c r="G227" s="37"/>
      <c r="H227" s="37"/>
      <c r="I227" s="38"/>
      <c r="J227" s="37"/>
      <c r="K227" s="37"/>
      <c r="L227" s="38"/>
      <c r="M227" s="37"/>
      <c r="N227" s="37"/>
      <c r="O227" s="36"/>
      <c r="P227" s="36"/>
      <c r="Q227" s="37"/>
      <c r="R227" s="38"/>
      <c r="S227" s="38"/>
    </row>
    <row r="228" customFormat="false" ht="27.75" hidden="false" customHeight="true" outlineLevel="0" collapsed="false">
      <c r="A228" s="36"/>
      <c r="B228" s="37"/>
      <c r="C228" s="37"/>
      <c r="D228" s="37"/>
      <c r="E228" s="37"/>
      <c r="F228" s="37"/>
      <c r="G228" s="37"/>
      <c r="H228" s="37"/>
      <c r="I228" s="38"/>
      <c r="J228" s="37"/>
      <c r="K228" s="37"/>
      <c r="L228" s="38"/>
      <c r="M228" s="37"/>
      <c r="N228" s="37"/>
      <c r="O228" s="36"/>
      <c r="P228" s="36"/>
      <c r="Q228" s="37"/>
      <c r="R228" s="38"/>
      <c r="S228" s="38"/>
    </row>
    <row r="229" customFormat="false" ht="27.75" hidden="false" customHeight="true" outlineLevel="0" collapsed="false">
      <c r="A229" s="36"/>
      <c r="B229" s="37"/>
      <c r="C229" s="37"/>
      <c r="D229" s="37"/>
      <c r="E229" s="37"/>
      <c r="F229" s="37"/>
      <c r="G229" s="37"/>
      <c r="H229" s="37"/>
      <c r="I229" s="38"/>
      <c r="J229" s="37"/>
      <c r="K229" s="37"/>
      <c r="L229" s="38"/>
      <c r="M229" s="37"/>
      <c r="N229" s="37"/>
      <c r="O229" s="36"/>
      <c r="P229" s="36"/>
      <c r="Q229" s="37"/>
      <c r="R229" s="38"/>
      <c r="S229" s="38"/>
    </row>
    <row r="230" customFormat="false" ht="27.75" hidden="false" customHeight="true" outlineLevel="0" collapsed="false">
      <c r="A230" s="36"/>
      <c r="B230" s="37"/>
      <c r="C230" s="37"/>
      <c r="D230" s="37"/>
      <c r="E230" s="37"/>
      <c r="F230" s="37"/>
      <c r="G230" s="37"/>
      <c r="H230" s="37"/>
      <c r="I230" s="38"/>
      <c r="J230" s="37"/>
      <c r="K230" s="37"/>
      <c r="L230" s="38"/>
      <c r="M230" s="37"/>
      <c r="N230" s="37"/>
      <c r="O230" s="36"/>
      <c r="P230" s="36"/>
      <c r="Q230" s="37"/>
      <c r="R230" s="38"/>
      <c r="S230" s="38"/>
    </row>
    <row r="231" customFormat="false" ht="27.75" hidden="false" customHeight="true" outlineLevel="0" collapsed="false">
      <c r="A231" s="36"/>
      <c r="B231" s="37"/>
      <c r="C231" s="37"/>
      <c r="D231" s="37"/>
      <c r="E231" s="37"/>
      <c r="F231" s="37"/>
      <c r="G231" s="37"/>
      <c r="H231" s="37"/>
      <c r="I231" s="38"/>
      <c r="J231" s="37"/>
      <c r="K231" s="37"/>
      <c r="L231" s="38"/>
      <c r="M231" s="37"/>
      <c r="N231" s="37"/>
      <c r="O231" s="36"/>
      <c r="P231" s="36"/>
      <c r="Q231" s="37"/>
      <c r="R231" s="38"/>
      <c r="S231" s="38"/>
    </row>
    <row r="232" customFormat="false" ht="27.75" hidden="false" customHeight="true" outlineLevel="0" collapsed="false">
      <c r="A232" s="36"/>
      <c r="B232" s="37"/>
      <c r="C232" s="37"/>
      <c r="D232" s="37"/>
      <c r="E232" s="37"/>
      <c r="F232" s="37"/>
      <c r="G232" s="37"/>
      <c r="H232" s="37"/>
      <c r="I232" s="38"/>
      <c r="J232" s="37"/>
      <c r="K232" s="37"/>
      <c r="L232" s="38"/>
      <c r="M232" s="37"/>
      <c r="N232" s="37"/>
      <c r="O232" s="36"/>
      <c r="P232" s="36"/>
      <c r="Q232" s="37"/>
      <c r="R232" s="38"/>
      <c r="S232" s="38"/>
    </row>
    <row r="233" customFormat="false" ht="27.75" hidden="false" customHeight="true" outlineLevel="0" collapsed="false">
      <c r="A233" s="36"/>
      <c r="B233" s="37"/>
      <c r="C233" s="37"/>
      <c r="D233" s="37"/>
      <c r="E233" s="37"/>
      <c r="F233" s="37"/>
      <c r="G233" s="37"/>
      <c r="H233" s="37"/>
      <c r="I233" s="38"/>
      <c r="J233" s="37"/>
      <c r="K233" s="37"/>
      <c r="L233" s="38"/>
      <c r="M233" s="37"/>
      <c r="N233" s="37"/>
      <c r="O233" s="36"/>
      <c r="P233" s="36"/>
      <c r="Q233" s="37"/>
      <c r="R233" s="38"/>
      <c r="S233" s="38"/>
    </row>
    <row r="234" customFormat="false" ht="27.75" hidden="false" customHeight="true" outlineLevel="0" collapsed="false">
      <c r="A234" s="36"/>
      <c r="B234" s="37"/>
      <c r="C234" s="37"/>
      <c r="D234" s="37"/>
      <c r="E234" s="37"/>
      <c r="F234" s="37"/>
      <c r="G234" s="37"/>
      <c r="H234" s="37"/>
      <c r="I234" s="38"/>
      <c r="J234" s="37"/>
      <c r="K234" s="37"/>
      <c r="L234" s="38"/>
      <c r="M234" s="37"/>
      <c r="N234" s="37"/>
      <c r="O234" s="36"/>
      <c r="P234" s="36"/>
      <c r="Q234" s="37"/>
      <c r="R234" s="38"/>
      <c r="S234" s="38"/>
    </row>
    <row r="235" customFormat="false" ht="27.75" hidden="false" customHeight="true" outlineLevel="0" collapsed="false">
      <c r="A235" s="36"/>
      <c r="B235" s="37"/>
      <c r="C235" s="37"/>
      <c r="D235" s="37"/>
      <c r="E235" s="37"/>
      <c r="F235" s="37"/>
      <c r="G235" s="37"/>
      <c r="H235" s="37"/>
      <c r="I235" s="38"/>
      <c r="J235" s="37"/>
      <c r="K235" s="37"/>
      <c r="L235" s="38"/>
      <c r="M235" s="37"/>
      <c r="N235" s="37"/>
      <c r="O235" s="36"/>
      <c r="P235" s="36"/>
      <c r="Q235" s="37"/>
      <c r="R235" s="38"/>
      <c r="S235" s="38"/>
    </row>
    <row r="236" customFormat="false" ht="27.75" hidden="false" customHeight="true" outlineLevel="0" collapsed="false">
      <c r="A236" s="36"/>
      <c r="B236" s="37"/>
      <c r="C236" s="37"/>
      <c r="D236" s="37"/>
      <c r="E236" s="37"/>
      <c r="F236" s="37"/>
      <c r="G236" s="37"/>
      <c r="H236" s="37"/>
      <c r="I236" s="38"/>
      <c r="J236" s="37"/>
      <c r="K236" s="37"/>
      <c r="L236" s="38"/>
      <c r="M236" s="37"/>
      <c r="N236" s="37"/>
      <c r="O236" s="36"/>
      <c r="P236" s="36"/>
      <c r="Q236" s="37"/>
      <c r="R236" s="38"/>
      <c r="S236" s="38"/>
    </row>
    <row r="237" customFormat="false" ht="27.75" hidden="false" customHeight="true" outlineLevel="0" collapsed="false">
      <c r="A237" s="36"/>
      <c r="B237" s="37"/>
      <c r="C237" s="37"/>
      <c r="D237" s="37"/>
      <c r="E237" s="37"/>
      <c r="F237" s="37"/>
      <c r="G237" s="37"/>
      <c r="H237" s="37"/>
      <c r="I237" s="38"/>
      <c r="J237" s="37"/>
      <c r="K237" s="37"/>
      <c r="L237" s="38"/>
      <c r="M237" s="37"/>
      <c r="N237" s="37"/>
      <c r="O237" s="36"/>
      <c r="P237" s="36"/>
      <c r="Q237" s="37"/>
      <c r="R237" s="38"/>
      <c r="S237" s="38"/>
    </row>
    <row r="238" customFormat="false" ht="27.75" hidden="false" customHeight="true" outlineLevel="0" collapsed="false">
      <c r="A238" s="36"/>
      <c r="B238" s="37"/>
      <c r="C238" s="37"/>
      <c r="D238" s="37"/>
      <c r="E238" s="37"/>
      <c r="F238" s="37"/>
      <c r="G238" s="37"/>
      <c r="H238" s="37"/>
      <c r="I238" s="38"/>
      <c r="J238" s="37"/>
      <c r="K238" s="37"/>
      <c r="L238" s="38"/>
      <c r="M238" s="37"/>
      <c r="N238" s="37"/>
      <c r="O238" s="36"/>
      <c r="P238" s="36"/>
      <c r="Q238" s="37"/>
      <c r="R238" s="38"/>
      <c r="S238" s="38"/>
    </row>
    <row r="239" customFormat="false" ht="27.75" hidden="false" customHeight="true" outlineLevel="0" collapsed="false">
      <c r="A239" s="36"/>
      <c r="B239" s="37"/>
      <c r="C239" s="37"/>
      <c r="D239" s="37"/>
      <c r="E239" s="37"/>
      <c r="F239" s="37"/>
      <c r="G239" s="37"/>
      <c r="H239" s="37"/>
      <c r="I239" s="38"/>
      <c r="J239" s="37"/>
      <c r="K239" s="37"/>
      <c r="L239" s="38"/>
      <c r="M239" s="37"/>
      <c r="N239" s="37"/>
      <c r="O239" s="36"/>
      <c r="P239" s="36"/>
      <c r="Q239" s="37"/>
      <c r="R239" s="38"/>
      <c r="S239" s="38"/>
    </row>
    <row r="240" customFormat="false" ht="27.75" hidden="false" customHeight="true" outlineLevel="0" collapsed="false">
      <c r="A240" s="36"/>
      <c r="B240" s="37"/>
      <c r="C240" s="37"/>
      <c r="D240" s="37"/>
      <c r="E240" s="37"/>
      <c r="F240" s="37"/>
      <c r="G240" s="37"/>
      <c r="H240" s="37"/>
      <c r="I240" s="38"/>
      <c r="J240" s="37"/>
      <c r="K240" s="37"/>
      <c r="L240" s="38"/>
      <c r="M240" s="37"/>
      <c r="N240" s="37"/>
      <c r="O240" s="36"/>
      <c r="P240" s="36"/>
      <c r="Q240" s="37"/>
      <c r="R240" s="38"/>
      <c r="S240" s="38"/>
    </row>
    <row r="241" customFormat="false" ht="27.75" hidden="false" customHeight="true" outlineLevel="0" collapsed="false">
      <c r="A241" s="36"/>
      <c r="B241" s="37"/>
      <c r="C241" s="37"/>
      <c r="D241" s="37"/>
      <c r="E241" s="37"/>
      <c r="F241" s="37"/>
      <c r="G241" s="37"/>
      <c r="H241" s="37"/>
      <c r="I241" s="38"/>
      <c r="J241" s="37"/>
      <c r="K241" s="37"/>
      <c r="L241" s="38"/>
      <c r="M241" s="37"/>
      <c r="N241" s="37"/>
      <c r="O241" s="36"/>
      <c r="P241" s="36"/>
      <c r="Q241" s="37"/>
      <c r="R241" s="38"/>
      <c r="S241" s="38"/>
    </row>
    <row r="242" customFormat="false" ht="27.75" hidden="false" customHeight="true" outlineLevel="0" collapsed="false">
      <c r="A242" s="36"/>
      <c r="B242" s="37"/>
      <c r="C242" s="37"/>
      <c r="D242" s="37"/>
      <c r="E242" s="37"/>
      <c r="F242" s="37"/>
      <c r="G242" s="37"/>
      <c r="H242" s="37"/>
      <c r="I242" s="38"/>
      <c r="J242" s="37"/>
      <c r="K242" s="37"/>
      <c r="L242" s="38"/>
      <c r="M242" s="37"/>
      <c r="N242" s="37"/>
      <c r="O242" s="36"/>
      <c r="P242" s="36"/>
      <c r="Q242" s="37"/>
      <c r="R242" s="38"/>
      <c r="S242" s="38"/>
    </row>
    <row r="243" customFormat="false" ht="27.75" hidden="false" customHeight="true" outlineLevel="0" collapsed="false">
      <c r="A243" s="36"/>
      <c r="B243" s="37"/>
      <c r="C243" s="37"/>
      <c r="D243" s="37"/>
      <c r="E243" s="37"/>
      <c r="F243" s="37"/>
      <c r="G243" s="37"/>
      <c r="H243" s="37"/>
      <c r="I243" s="38"/>
      <c r="J243" s="37"/>
      <c r="K243" s="37"/>
      <c r="L243" s="38"/>
      <c r="M243" s="37"/>
      <c r="N243" s="37"/>
      <c r="O243" s="36"/>
      <c r="P243" s="36"/>
      <c r="Q243" s="37"/>
      <c r="R243" s="38"/>
      <c r="S243" s="38"/>
    </row>
    <row r="244" customFormat="false" ht="27.75" hidden="false" customHeight="true" outlineLevel="0" collapsed="false">
      <c r="A244" s="36"/>
      <c r="B244" s="37"/>
      <c r="C244" s="37"/>
      <c r="D244" s="37"/>
      <c r="E244" s="37"/>
      <c r="F244" s="37"/>
      <c r="G244" s="37"/>
      <c r="H244" s="37"/>
      <c r="I244" s="38"/>
      <c r="J244" s="37"/>
      <c r="K244" s="37"/>
      <c r="L244" s="38"/>
      <c r="M244" s="37"/>
      <c r="N244" s="37"/>
      <c r="O244" s="36"/>
      <c r="P244" s="36"/>
      <c r="Q244" s="37"/>
      <c r="R244" s="38"/>
      <c r="S244" s="38"/>
    </row>
    <row r="245" customFormat="false" ht="27.75" hidden="false" customHeight="true" outlineLevel="0" collapsed="false">
      <c r="A245" s="36"/>
      <c r="B245" s="37"/>
      <c r="C245" s="37"/>
      <c r="D245" s="37"/>
      <c r="E245" s="37"/>
      <c r="F245" s="37"/>
      <c r="G245" s="37"/>
      <c r="H245" s="37"/>
      <c r="I245" s="38"/>
      <c r="J245" s="37"/>
      <c r="K245" s="37"/>
      <c r="L245" s="38"/>
      <c r="M245" s="37"/>
      <c r="N245" s="37"/>
      <c r="O245" s="36"/>
      <c r="P245" s="36"/>
      <c r="Q245" s="37"/>
      <c r="R245" s="38"/>
      <c r="S245" s="38"/>
    </row>
    <row r="246" customFormat="false" ht="27.75" hidden="false" customHeight="true" outlineLevel="0" collapsed="false">
      <c r="A246" s="36"/>
      <c r="B246" s="37"/>
      <c r="C246" s="37"/>
      <c r="D246" s="37"/>
      <c r="E246" s="37"/>
      <c r="F246" s="37"/>
      <c r="G246" s="37"/>
      <c r="H246" s="37"/>
      <c r="I246" s="38"/>
      <c r="J246" s="37"/>
      <c r="K246" s="37"/>
      <c r="L246" s="38"/>
      <c r="M246" s="37"/>
      <c r="N246" s="37"/>
      <c r="O246" s="36"/>
      <c r="P246" s="36"/>
      <c r="Q246" s="37"/>
      <c r="R246" s="38"/>
      <c r="S246" s="38"/>
    </row>
    <row r="247" customFormat="false" ht="27.75" hidden="false" customHeight="true" outlineLevel="0" collapsed="false">
      <c r="A247" s="36"/>
      <c r="B247" s="37"/>
      <c r="C247" s="37"/>
      <c r="D247" s="37"/>
      <c r="E247" s="37"/>
      <c r="F247" s="37"/>
      <c r="G247" s="37"/>
      <c r="H247" s="37"/>
      <c r="I247" s="38"/>
      <c r="J247" s="37"/>
      <c r="K247" s="37"/>
      <c r="L247" s="38"/>
      <c r="M247" s="37"/>
      <c r="N247" s="37"/>
      <c r="O247" s="36"/>
      <c r="P247" s="36"/>
      <c r="Q247" s="37"/>
      <c r="R247" s="38"/>
      <c r="S247" s="38"/>
    </row>
    <row r="248" customFormat="false" ht="27.75" hidden="false" customHeight="true" outlineLevel="0" collapsed="false">
      <c r="A248" s="36"/>
      <c r="B248" s="37"/>
      <c r="C248" s="37"/>
      <c r="D248" s="37"/>
      <c r="E248" s="37"/>
      <c r="F248" s="37"/>
      <c r="G248" s="37"/>
      <c r="H248" s="37"/>
      <c r="I248" s="38"/>
      <c r="J248" s="37"/>
      <c r="K248" s="37"/>
      <c r="L248" s="38"/>
      <c r="M248" s="37"/>
      <c r="N248" s="37"/>
      <c r="O248" s="36"/>
      <c r="P248" s="36"/>
      <c r="Q248" s="37"/>
      <c r="R248" s="38"/>
      <c r="S248" s="38"/>
    </row>
    <row r="249" customFormat="false" ht="27.75" hidden="false" customHeight="true" outlineLevel="0" collapsed="false">
      <c r="A249" s="36"/>
      <c r="B249" s="37"/>
      <c r="C249" s="37"/>
      <c r="D249" s="37"/>
      <c r="E249" s="37"/>
      <c r="F249" s="37"/>
      <c r="G249" s="37"/>
      <c r="H249" s="37"/>
      <c r="I249" s="38"/>
      <c r="J249" s="37"/>
      <c r="K249" s="37"/>
      <c r="L249" s="38"/>
      <c r="M249" s="37"/>
      <c r="N249" s="37"/>
      <c r="O249" s="36"/>
      <c r="P249" s="36"/>
      <c r="Q249" s="37"/>
      <c r="R249" s="38"/>
      <c r="S249" s="38"/>
    </row>
    <row r="250" customFormat="false" ht="27.75" hidden="false" customHeight="true" outlineLevel="0" collapsed="false">
      <c r="A250" s="36"/>
      <c r="B250" s="37"/>
      <c r="C250" s="37"/>
      <c r="D250" s="37"/>
      <c r="E250" s="37"/>
      <c r="F250" s="37"/>
      <c r="G250" s="37"/>
      <c r="H250" s="37"/>
      <c r="I250" s="38"/>
      <c r="J250" s="37"/>
      <c r="K250" s="37"/>
      <c r="L250" s="38"/>
      <c r="M250" s="37"/>
      <c r="N250" s="37"/>
      <c r="O250" s="36"/>
      <c r="P250" s="36"/>
      <c r="Q250" s="37"/>
      <c r="R250" s="38"/>
      <c r="S250" s="38"/>
    </row>
    <row r="251" customFormat="false" ht="27.75" hidden="false" customHeight="true" outlineLevel="0" collapsed="false">
      <c r="A251" s="36"/>
      <c r="B251" s="37"/>
      <c r="C251" s="37"/>
      <c r="D251" s="37"/>
      <c r="E251" s="37"/>
      <c r="F251" s="37"/>
      <c r="G251" s="37"/>
      <c r="H251" s="37"/>
      <c r="I251" s="38"/>
      <c r="J251" s="37"/>
      <c r="K251" s="37"/>
      <c r="L251" s="38"/>
      <c r="M251" s="37"/>
      <c r="N251" s="37"/>
      <c r="O251" s="36"/>
      <c r="P251" s="36"/>
      <c r="Q251" s="37"/>
      <c r="R251" s="38"/>
      <c r="S251" s="38"/>
    </row>
    <row r="252" customFormat="false" ht="27.75" hidden="false" customHeight="true" outlineLevel="0" collapsed="false">
      <c r="A252" s="36"/>
      <c r="B252" s="37"/>
      <c r="C252" s="37"/>
      <c r="D252" s="37"/>
      <c r="E252" s="37"/>
      <c r="F252" s="37"/>
      <c r="G252" s="37"/>
      <c r="H252" s="37"/>
      <c r="I252" s="38"/>
      <c r="J252" s="37"/>
      <c r="K252" s="37"/>
      <c r="L252" s="38"/>
      <c r="M252" s="37"/>
      <c r="N252" s="37"/>
      <c r="O252" s="36"/>
      <c r="P252" s="36"/>
      <c r="Q252" s="37"/>
      <c r="R252" s="38"/>
      <c r="S252" s="38"/>
    </row>
    <row r="253" customFormat="false" ht="27.75" hidden="false" customHeight="true" outlineLevel="0" collapsed="false">
      <c r="A253" s="36"/>
      <c r="B253" s="37"/>
      <c r="C253" s="37"/>
      <c r="D253" s="37"/>
      <c r="E253" s="37"/>
      <c r="F253" s="37"/>
      <c r="G253" s="37"/>
      <c r="H253" s="37"/>
      <c r="I253" s="38"/>
      <c r="J253" s="37"/>
      <c r="K253" s="37"/>
      <c r="L253" s="38"/>
      <c r="M253" s="37"/>
      <c r="N253" s="37"/>
      <c r="O253" s="36"/>
      <c r="P253" s="36"/>
      <c r="Q253" s="37"/>
      <c r="R253" s="38"/>
      <c r="S253" s="38"/>
    </row>
    <row r="254" customFormat="false" ht="27.75" hidden="false" customHeight="true" outlineLevel="0" collapsed="false">
      <c r="A254" s="36"/>
      <c r="B254" s="37"/>
      <c r="C254" s="37"/>
      <c r="D254" s="37"/>
      <c r="E254" s="37"/>
      <c r="F254" s="37"/>
      <c r="G254" s="37"/>
      <c r="H254" s="37"/>
      <c r="I254" s="38"/>
      <c r="J254" s="37"/>
      <c r="K254" s="37"/>
      <c r="L254" s="38"/>
      <c r="M254" s="37"/>
      <c r="N254" s="37"/>
      <c r="O254" s="36"/>
      <c r="P254" s="36"/>
      <c r="Q254" s="37"/>
      <c r="R254" s="38"/>
      <c r="S254" s="38"/>
    </row>
    <row r="255" customFormat="false" ht="27.75" hidden="false" customHeight="true" outlineLevel="0" collapsed="false">
      <c r="A255" s="36"/>
      <c r="B255" s="37"/>
      <c r="C255" s="37"/>
      <c r="D255" s="37"/>
      <c r="E255" s="37"/>
      <c r="F255" s="37"/>
      <c r="G255" s="37"/>
      <c r="H255" s="37"/>
      <c r="I255" s="38"/>
      <c r="J255" s="37"/>
      <c r="K255" s="37"/>
      <c r="L255" s="38"/>
      <c r="M255" s="37"/>
      <c r="N255" s="37"/>
      <c r="O255" s="36"/>
      <c r="P255" s="36"/>
      <c r="Q255" s="37"/>
      <c r="R255" s="38"/>
      <c r="S255" s="38"/>
    </row>
    <row r="256" customFormat="false" ht="27.75" hidden="false" customHeight="true" outlineLevel="0" collapsed="false">
      <c r="A256" s="36"/>
      <c r="B256" s="37"/>
      <c r="C256" s="37"/>
      <c r="D256" s="37"/>
      <c r="E256" s="37"/>
      <c r="F256" s="37"/>
      <c r="G256" s="37"/>
      <c r="H256" s="37"/>
      <c r="I256" s="38"/>
      <c r="J256" s="37"/>
      <c r="K256" s="37"/>
      <c r="L256" s="38"/>
      <c r="M256" s="37"/>
      <c r="N256" s="37"/>
      <c r="O256" s="36"/>
      <c r="P256" s="36"/>
      <c r="Q256" s="37"/>
      <c r="R256" s="38"/>
      <c r="S256" s="38"/>
    </row>
    <row r="257" customFormat="false" ht="27.75" hidden="false" customHeight="true" outlineLevel="0" collapsed="false">
      <c r="A257" s="36"/>
      <c r="B257" s="37"/>
      <c r="C257" s="37"/>
      <c r="D257" s="37"/>
      <c r="E257" s="37"/>
      <c r="F257" s="37"/>
      <c r="G257" s="37"/>
      <c r="H257" s="37"/>
      <c r="I257" s="38"/>
      <c r="J257" s="37"/>
      <c r="K257" s="37"/>
      <c r="L257" s="38"/>
      <c r="M257" s="37"/>
      <c r="N257" s="37"/>
      <c r="O257" s="36"/>
      <c r="P257" s="36"/>
      <c r="Q257" s="37"/>
      <c r="R257" s="38"/>
      <c r="S257" s="38"/>
    </row>
    <row r="258" customFormat="false" ht="27.75" hidden="false" customHeight="true" outlineLevel="0" collapsed="false">
      <c r="A258" s="36"/>
      <c r="B258" s="37"/>
      <c r="C258" s="37"/>
      <c r="D258" s="37"/>
      <c r="E258" s="37"/>
      <c r="F258" s="37"/>
      <c r="G258" s="37"/>
      <c r="H258" s="37"/>
      <c r="I258" s="38"/>
      <c r="J258" s="37"/>
      <c r="K258" s="37"/>
      <c r="L258" s="38"/>
      <c r="M258" s="37"/>
      <c r="N258" s="37"/>
      <c r="O258" s="36"/>
      <c r="P258" s="36"/>
      <c r="Q258" s="37"/>
      <c r="R258" s="38"/>
      <c r="S258" s="38"/>
    </row>
    <row r="259" customFormat="false" ht="27.75" hidden="false" customHeight="true" outlineLevel="0" collapsed="false">
      <c r="A259" s="36"/>
      <c r="B259" s="37"/>
      <c r="C259" s="37"/>
      <c r="D259" s="37"/>
      <c r="E259" s="37"/>
      <c r="F259" s="37"/>
      <c r="G259" s="37"/>
      <c r="H259" s="37"/>
      <c r="I259" s="38"/>
      <c r="J259" s="37"/>
      <c r="K259" s="37"/>
      <c r="L259" s="38"/>
      <c r="M259" s="37"/>
      <c r="N259" s="37"/>
      <c r="O259" s="36"/>
      <c r="P259" s="36"/>
      <c r="Q259" s="37"/>
      <c r="R259" s="38"/>
      <c r="S259" s="38"/>
    </row>
    <row r="260" customFormat="false" ht="27.75" hidden="false" customHeight="true" outlineLevel="0" collapsed="false">
      <c r="A260" s="36"/>
      <c r="B260" s="37"/>
      <c r="C260" s="37"/>
      <c r="D260" s="37"/>
      <c r="E260" s="37"/>
      <c r="F260" s="37"/>
      <c r="G260" s="37"/>
      <c r="H260" s="37"/>
      <c r="I260" s="38"/>
      <c r="J260" s="37"/>
      <c r="K260" s="37"/>
      <c r="L260" s="38"/>
      <c r="M260" s="37"/>
      <c r="N260" s="37"/>
      <c r="O260" s="36"/>
      <c r="P260" s="36"/>
      <c r="Q260" s="37"/>
      <c r="R260" s="38"/>
      <c r="S260" s="38"/>
    </row>
    <row r="261" customFormat="false" ht="27.75" hidden="false" customHeight="true" outlineLevel="0" collapsed="false">
      <c r="A261" s="36"/>
      <c r="B261" s="37"/>
      <c r="C261" s="37"/>
      <c r="D261" s="37"/>
      <c r="E261" s="37"/>
      <c r="F261" s="37"/>
      <c r="G261" s="37"/>
      <c r="H261" s="37"/>
      <c r="I261" s="38"/>
      <c r="J261" s="37"/>
      <c r="K261" s="37"/>
      <c r="L261" s="38"/>
      <c r="M261" s="37"/>
      <c r="N261" s="37"/>
      <c r="O261" s="36"/>
      <c r="P261" s="36"/>
      <c r="Q261" s="37"/>
      <c r="R261" s="38"/>
      <c r="S261" s="38"/>
    </row>
    <row r="262" customFormat="false" ht="27.75" hidden="false" customHeight="true" outlineLevel="0" collapsed="false">
      <c r="A262" s="36"/>
      <c r="B262" s="37"/>
      <c r="C262" s="37"/>
      <c r="D262" s="37"/>
      <c r="E262" s="37"/>
      <c r="F262" s="37"/>
      <c r="G262" s="37"/>
      <c r="H262" s="37"/>
      <c r="I262" s="38"/>
      <c r="J262" s="37"/>
      <c r="K262" s="37"/>
      <c r="L262" s="38"/>
      <c r="M262" s="37"/>
      <c r="N262" s="37"/>
      <c r="O262" s="36"/>
      <c r="P262" s="36"/>
      <c r="Q262" s="37"/>
      <c r="R262" s="38"/>
      <c r="S262" s="38"/>
    </row>
    <row r="263" customFormat="false" ht="27.75" hidden="false" customHeight="true" outlineLevel="0" collapsed="false">
      <c r="A263" s="36"/>
      <c r="B263" s="37"/>
      <c r="C263" s="37"/>
      <c r="D263" s="37"/>
      <c r="E263" s="37"/>
      <c r="F263" s="37"/>
      <c r="G263" s="37"/>
      <c r="H263" s="37"/>
      <c r="I263" s="38"/>
      <c r="J263" s="37"/>
      <c r="K263" s="37"/>
      <c r="L263" s="38"/>
      <c r="M263" s="37"/>
      <c r="N263" s="37"/>
      <c r="O263" s="36"/>
      <c r="P263" s="36"/>
      <c r="Q263" s="37"/>
      <c r="R263" s="38"/>
      <c r="S263" s="38"/>
    </row>
    <row r="264" customFormat="false" ht="27.75" hidden="false" customHeight="true" outlineLevel="0" collapsed="false">
      <c r="A264" s="36"/>
      <c r="B264" s="37"/>
      <c r="C264" s="37"/>
      <c r="D264" s="37"/>
      <c r="E264" s="37"/>
      <c r="F264" s="37"/>
      <c r="G264" s="37"/>
      <c r="H264" s="37"/>
      <c r="I264" s="38"/>
      <c r="J264" s="37"/>
      <c r="K264" s="37"/>
      <c r="L264" s="38"/>
      <c r="M264" s="37"/>
      <c r="N264" s="37"/>
      <c r="O264" s="36"/>
      <c r="P264" s="36"/>
      <c r="Q264" s="37"/>
      <c r="R264" s="38"/>
      <c r="S264" s="38"/>
    </row>
    <row r="265" customFormat="false" ht="27.75" hidden="false" customHeight="true" outlineLevel="0" collapsed="false">
      <c r="A265" s="36"/>
      <c r="B265" s="37"/>
      <c r="C265" s="37"/>
      <c r="D265" s="37"/>
      <c r="E265" s="37"/>
      <c r="F265" s="37"/>
      <c r="G265" s="37"/>
      <c r="H265" s="37"/>
      <c r="I265" s="38"/>
      <c r="J265" s="37"/>
      <c r="K265" s="37"/>
      <c r="L265" s="38"/>
      <c r="M265" s="37"/>
      <c r="N265" s="37"/>
      <c r="O265" s="36"/>
      <c r="P265" s="36"/>
      <c r="Q265" s="37"/>
      <c r="R265" s="38"/>
      <c r="S265" s="38"/>
    </row>
    <row r="266" customFormat="false" ht="27.75" hidden="false" customHeight="true" outlineLevel="0" collapsed="false">
      <c r="A266" s="36"/>
      <c r="B266" s="37"/>
      <c r="C266" s="37"/>
      <c r="D266" s="37"/>
      <c r="E266" s="37"/>
      <c r="F266" s="37"/>
      <c r="G266" s="37"/>
      <c r="H266" s="37"/>
      <c r="I266" s="38"/>
      <c r="J266" s="37"/>
      <c r="K266" s="37"/>
      <c r="L266" s="38"/>
      <c r="M266" s="37"/>
      <c r="N266" s="37"/>
      <c r="O266" s="36"/>
      <c r="P266" s="36"/>
      <c r="Q266" s="37"/>
      <c r="R266" s="38"/>
      <c r="S266" s="38"/>
    </row>
    <row r="267" customFormat="false" ht="27.75" hidden="false" customHeight="true" outlineLevel="0" collapsed="false">
      <c r="A267" s="36"/>
      <c r="B267" s="37"/>
      <c r="C267" s="37"/>
      <c r="D267" s="37"/>
      <c r="E267" s="37"/>
      <c r="F267" s="37"/>
      <c r="G267" s="37"/>
      <c r="H267" s="37"/>
      <c r="I267" s="38"/>
      <c r="J267" s="37"/>
      <c r="K267" s="37"/>
      <c r="L267" s="38"/>
      <c r="M267" s="37"/>
      <c r="N267" s="37"/>
      <c r="O267" s="36"/>
      <c r="P267" s="36"/>
      <c r="Q267" s="37"/>
      <c r="R267" s="38"/>
      <c r="S267" s="38"/>
    </row>
    <row r="268" customFormat="false" ht="27.75" hidden="false" customHeight="true" outlineLevel="0" collapsed="false">
      <c r="A268" s="36"/>
      <c r="B268" s="37"/>
      <c r="C268" s="37"/>
      <c r="D268" s="37"/>
      <c r="E268" s="37"/>
      <c r="F268" s="37"/>
      <c r="G268" s="37"/>
      <c r="H268" s="37"/>
      <c r="I268" s="38"/>
      <c r="J268" s="37"/>
      <c r="K268" s="37"/>
      <c r="L268" s="38"/>
      <c r="M268" s="37"/>
      <c r="N268" s="37"/>
      <c r="O268" s="36"/>
      <c r="P268" s="36"/>
      <c r="Q268" s="37"/>
      <c r="R268" s="38"/>
      <c r="S268" s="38"/>
    </row>
    <row r="269" customFormat="false" ht="27.75" hidden="false" customHeight="true" outlineLevel="0" collapsed="false">
      <c r="A269" s="36"/>
      <c r="B269" s="37"/>
      <c r="C269" s="37"/>
      <c r="D269" s="37"/>
      <c r="E269" s="37"/>
      <c r="F269" s="37"/>
      <c r="G269" s="37"/>
      <c r="H269" s="37"/>
      <c r="I269" s="38"/>
      <c r="J269" s="37"/>
      <c r="K269" s="37"/>
      <c r="L269" s="38"/>
      <c r="M269" s="37"/>
      <c r="N269" s="37"/>
      <c r="O269" s="36"/>
      <c r="P269" s="36"/>
      <c r="Q269" s="37"/>
      <c r="R269" s="38"/>
      <c r="S269" s="38"/>
    </row>
    <row r="270" customFormat="false" ht="27.75" hidden="false" customHeight="true" outlineLevel="0" collapsed="false">
      <c r="A270" s="36"/>
      <c r="B270" s="37"/>
      <c r="C270" s="37"/>
      <c r="D270" s="37"/>
      <c r="E270" s="37"/>
      <c r="F270" s="37"/>
      <c r="G270" s="37"/>
      <c r="H270" s="37"/>
      <c r="I270" s="38"/>
      <c r="J270" s="37"/>
      <c r="K270" s="37"/>
      <c r="L270" s="38"/>
      <c r="M270" s="37"/>
      <c r="N270" s="37"/>
      <c r="O270" s="36"/>
      <c r="P270" s="36"/>
      <c r="Q270" s="37"/>
      <c r="R270" s="38"/>
      <c r="S270" s="38"/>
    </row>
    <row r="271" customFormat="false" ht="27.75" hidden="false" customHeight="true" outlineLevel="0" collapsed="false">
      <c r="A271" s="36"/>
      <c r="B271" s="37"/>
      <c r="C271" s="37"/>
      <c r="D271" s="37"/>
      <c r="E271" s="37"/>
      <c r="F271" s="37"/>
      <c r="G271" s="37"/>
      <c r="H271" s="37"/>
      <c r="I271" s="38"/>
      <c r="J271" s="37"/>
      <c r="K271" s="37"/>
      <c r="L271" s="38"/>
      <c r="M271" s="37"/>
      <c r="N271" s="37"/>
      <c r="O271" s="36"/>
      <c r="P271" s="36"/>
      <c r="Q271" s="37"/>
      <c r="R271" s="38"/>
      <c r="S271" s="38"/>
    </row>
    <row r="272" customFormat="false" ht="27.75" hidden="false" customHeight="true" outlineLevel="0" collapsed="false">
      <c r="A272" s="36"/>
      <c r="B272" s="37"/>
      <c r="C272" s="37"/>
      <c r="D272" s="37"/>
      <c r="E272" s="37"/>
      <c r="F272" s="37"/>
      <c r="G272" s="37"/>
      <c r="H272" s="37"/>
      <c r="I272" s="38"/>
      <c r="J272" s="37"/>
      <c r="K272" s="37"/>
      <c r="L272" s="38"/>
      <c r="M272" s="37"/>
      <c r="N272" s="37"/>
      <c r="O272" s="36"/>
      <c r="P272" s="36"/>
      <c r="Q272" s="37"/>
      <c r="R272" s="38"/>
      <c r="S272" s="38"/>
    </row>
    <row r="273" customFormat="false" ht="27.75" hidden="false" customHeight="true" outlineLevel="0" collapsed="false">
      <c r="A273" s="36"/>
      <c r="B273" s="37"/>
      <c r="C273" s="37"/>
      <c r="D273" s="37"/>
      <c r="E273" s="37"/>
      <c r="F273" s="37"/>
      <c r="G273" s="37"/>
      <c r="H273" s="37"/>
      <c r="I273" s="38"/>
      <c r="J273" s="37"/>
      <c r="K273" s="37"/>
      <c r="L273" s="38"/>
      <c r="M273" s="37"/>
      <c r="N273" s="37"/>
      <c r="O273" s="36"/>
      <c r="P273" s="36"/>
      <c r="Q273" s="37"/>
      <c r="R273" s="38"/>
      <c r="S273" s="38"/>
    </row>
    <row r="274" customFormat="false" ht="27.75" hidden="false" customHeight="true" outlineLevel="0" collapsed="false">
      <c r="A274" s="36"/>
      <c r="B274" s="37"/>
      <c r="C274" s="37"/>
      <c r="D274" s="37"/>
      <c r="E274" s="37"/>
      <c r="F274" s="37"/>
      <c r="G274" s="37"/>
      <c r="H274" s="37"/>
      <c r="I274" s="38"/>
      <c r="J274" s="37"/>
      <c r="K274" s="37"/>
      <c r="L274" s="38"/>
      <c r="M274" s="37"/>
      <c r="N274" s="37"/>
      <c r="O274" s="36"/>
      <c r="P274" s="36"/>
      <c r="Q274" s="37"/>
      <c r="R274" s="38"/>
      <c r="S274" s="38"/>
    </row>
    <row r="275" customFormat="false" ht="27.75" hidden="false" customHeight="true" outlineLevel="0" collapsed="false">
      <c r="A275" s="36"/>
      <c r="B275" s="37"/>
      <c r="C275" s="37"/>
      <c r="D275" s="37"/>
      <c r="E275" s="37"/>
      <c r="F275" s="37"/>
      <c r="G275" s="37"/>
      <c r="H275" s="37"/>
      <c r="I275" s="38"/>
      <c r="J275" s="37"/>
      <c r="K275" s="37"/>
      <c r="L275" s="38"/>
      <c r="M275" s="37"/>
      <c r="N275" s="37"/>
      <c r="O275" s="36"/>
      <c r="P275" s="36"/>
      <c r="Q275" s="37"/>
      <c r="R275" s="38"/>
      <c r="S275" s="38"/>
    </row>
    <row r="276" customFormat="false" ht="27.75" hidden="false" customHeight="true" outlineLevel="0" collapsed="false">
      <c r="A276" s="36"/>
      <c r="B276" s="37"/>
      <c r="C276" s="37"/>
      <c r="D276" s="37"/>
      <c r="E276" s="37"/>
      <c r="F276" s="37"/>
      <c r="G276" s="37"/>
      <c r="H276" s="37"/>
      <c r="I276" s="38"/>
      <c r="J276" s="37"/>
      <c r="K276" s="37"/>
      <c r="L276" s="38"/>
      <c r="M276" s="37"/>
      <c r="N276" s="37"/>
      <c r="O276" s="36"/>
      <c r="P276" s="36"/>
      <c r="Q276" s="37"/>
      <c r="R276" s="38"/>
      <c r="S276" s="38"/>
    </row>
    <row r="277" customFormat="false" ht="27.75" hidden="false" customHeight="true" outlineLevel="0" collapsed="false">
      <c r="A277" s="36"/>
      <c r="B277" s="37"/>
      <c r="C277" s="37"/>
      <c r="D277" s="37"/>
      <c r="E277" s="37"/>
      <c r="F277" s="37"/>
      <c r="G277" s="37"/>
      <c r="H277" s="37"/>
      <c r="I277" s="38"/>
      <c r="J277" s="37"/>
      <c r="K277" s="37"/>
      <c r="L277" s="38"/>
      <c r="M277" s="37"/>
      <c r="N277" s="37"/>
      <c r="O277" s="36"/>
      <c r="P277" s="36"/>
      <c r="Q277" s="37"/>
      <c r="R277" s="38"/>
      <c r="S277" s="38"/>
    </row>
    <row r="278" customFormat="false" ht="27.75" hidden="false" customHeight="true" outlineLevel="0" collapsed="false">
      <c r="A278" s="36"/>
      <c r="B278" s="37"/>
      <c r="C278" s="37"/>
      <c r="D278" s="37"/>
      <c r="E278" s="37"/>
      <c r="F278" s="37"/>
      <c r="G278" s="37"/>
      <c r="H278" s="37"/>
      <c r="I278" s="38"/>
      <c r="J278" s="37"/>
      <c r="K278" s="37"/>
      <c r="L278" s="38"/>
      <c r="M278" s="37"/>
      <c r="N278" s="37"/>
      <c r="O278" s="36"/>
      <c r="P278" s="36"/>
      <c r="Q278" s="37"/>
      <c r="R278" s="38"/>
      <c r="S278" s="38"/>
    </row>
    <row r="279" customFormat="false" ht="27.75" hidden="false" customHeight="true" outlineLevel="0" collapsed="false">
      <c r="A279" s="36"/>
      <c r="B279" s="37"/>
      <c r="C279" s="37"/>
      <c r="D279" s="37"/>
      <c r="E279" s="37"/>
      <c r="F279" s="37"/>
      <c r="G279" s="37"/>
      <c r="H279" s="37"/>
      <c r="I279" s="38"/>
      <c r="J279" s="37"/>
      <c r="K279" s="37"/>
      <c r="L279" s="38"/>
      <c r="M279" s="37"/>
      <c r="N279" s="37"/>
      <c r="O279" s="36"/>
      <c r="P279" s="36"/>
      <c r="Q279" s="37"/>
      <c r="R279" s="38"/>
      <c r="S279" s="38"/>
    </row>
    <row r="280" customFormat="false" ht="27.75" hidden="false" customHeight="true" outlineLevel="0" collapsed="false">
      <c r="A280" s="36"/>
      <c r="B280" s="37"/>
      <c r="C280" s="37"/>
      <c r="D280" s="37"/>
      <c r="E280" s="37"/>
      <c r="F280" s="37"/>
      <c r="G280" s="37"/>
      <c r="H280" s="37"/>
      <c r="I280" s="38"/>
      <c r="J280" s="37"/>
      <c r="K280" s="37"/>
      <c r="L280" s="38"/>
      <c r="M280" s="37"/>
      <c r="N280" s="37"/>
      <c r="O280" s="36"/>
      <c r="P280" s="36"/>
      <c r="Q280" s="37"/>
      <c r="R280" s="38"/>
      <c r="S280" s="38"/>
    </row>
    <row r="281" customFormat="false" ht="27.75" hidden="false" customHeight="true" outlineLevel="0" collapsed="false">
      <c r="A281" s="36"/>
      <c r="B281" s="37"/>
      <c r="C281" s="37"/>
      <c r="D281" s="37"/>
      <c r="E281" s="37"/>
      <c r="F281" s="37"/>
      <c r="G281" s="37"/>
      <c r="H281" s="37"/>
      <c r="I281" s="38"/>
      <c r="J281" s="37"/>
      <c r="K281" s="37"/>
      <c r="L281" s="38"/>
      <c r="M281" s="37"/>
      <c r="N281" s="37"/>
      <c r="O281" s="36"/>
      <c r="P281" s="36"/>
      <c r="Q281" s="37"/>
      <c r="R281" s="38"/>
      <c r="S281" s="38"/>
    </row>
    <row r="282" customFormat="false" ht="27.75" hidden="false" customHeight="true" outlineLevel="0" collapsed="false">
      <c r="A282" s="36"/>
      <c r="B282" s="37"/>
      <c r="C282" s="37"/>
      <c r="D282" s="37"/>
      <c r="E282" s="37"/>
      <c r="F282" s="37"/>
      <c r="G282" s="37"/>
      <c r="H282" s="37"/>
      <c r="I282" s="38"/>
      <c r="J282" s="37"/>
      <c r="K282" s="37"/>
      <c r="L282" s="38"/>
      <c r="M282" s="37"/>
      <c r="N282" s="37"/>
      <c r="O282" s="36"/>
      <c r="P282" s="36"/>
      <c r="Q282" s="37"/>
      <c r="R282" s="38"/>
      <c r="S282" s="38"/>
    </row>
    <row r="283" customFormat="false" ht="27.75" hidden="false" customHeight="true" outlineLevel="0" collapsed="false">
      <c r="A283" s="36"/>
      <c r="B283" s="37"/>
      <c r="C283" s="37"/>
      <c r="D283" s="37"/>
      <c r="E283" s="37"/>
      <c r="F283" s="37"/>
      <c r="G283" s="37"/>
      <c r="H283" s="37"/>
      <c r="I283" s="38"/>
      <c r="J283" s="37"/>
      <c r="K283" s="37"/>
      <c r="L283" s="38"/>
      <c r="M283" s="37"/>
      <c r="N283" s="37"/>
      <c r="O283" s="36"/>
      <c r="P283" s="36"/>
      <c r="Q283" s="37"/>
      <c r="R283" s="38"/>
      <c r="S283" s="38"/>
    </row>
    <row r="284" customFormat="false" ht="27.75" hidden="false" customHeight="true" outlineLevel="0" collapsed="false">
      <c r="A284" s="36"/>
      <c r="B284" s="37"/>
      <c r="C284" s="37"/>
      <c r="D284" s="37"/>
      <c r="E284" s="37"/>
      <c r="F284" s="37"/>
      <c r="G284" s="37"/>
      <c r="H284" s="37"/>
      <c r="I284" s="38"/>
      <c r="J284" s="37"/>
      <c r="K284" s="37"/>
      <c r="L284" s="38"/>
      <c r="M284" s="37"/>
      <c r="N284" s="37"/>
      <c r="O284" s="36"/>
      <c r="P284" s="36"/>
      <c r="Q284" s="37"/>
      <c r="R284" s="38"/>
      <c r="S284" s="38"/>
    </row>
    <row r="285" customFormat="false" ht="27.75" hidden="false" customHeight="true" outlineLevel="0" collapsed="false">
      <c r="A285" s="36"/>
      <c r="B285" s="37"/>
      <c r="C285" s="37"/>
      <c r="D285" s="37"/>
      <c r="E285" s="37"/>
      <c r="F285" s="37"/>
      <c r="G285" s="37"/>
      <c r="H285" s="37"/>
      <c r="I285" s="38"/>
      <c r="J285" s="37"/>
      <c r="K285" s="37"/>
      <c r="L285" s="38"/>
      <c r="M285" s="37"/>
      <c r="N285" s="37"/>
      <c r="O285" s="36"/>
      <c r="P285" s="36"/>
      <c r="Q285" s="37"/>
      <c r="R285" s="38"/>
      <c r="S285" s="38"/>
    </row>
    <row r="286" customFormat="false" ht="27.75" hidden="false" customHeight="true" outlineLevel="0" collapsed="false">
      <c r="A286" s="36"/>
      <c r="B286" s="37"/>
      <c r="C286" s="37"/>
      <c r="D286" s="37"/>
      <c r="E286" s="37"/>
      <c r="F286" s="37"/>
      <c r="G286" s="37"/>
      <c r="H286" s="37"/>
      <c r="I286" s="38"/>
      <c r="J286" s="37"/>
      <c r="K286" s="37"/>
      <c r="L286" s="38"/>
      <c r="M286" s="37"/>
      <c r="N286" s="37"/>
      <c r="O286" s="36"/>
      <c r="P286" s="36"/>
      <c r="Q286" s="37"/>
      <c r="R286" s="38"/>
      <c r="S286" s="38"/>
    </row>
    <row r="287" customFormat="false" ht="27.75" hidden="false" customHeight="true" outlineLevel="0" collapsed="false">
      <c r="A287" s="36"/>
      <c r="B287" s="37"/>
      <c r="C287" s="37"/>
      <c r="D287" s="37"/>
      <c r="E287" s="37"/>
      <c r="F287" s="37"/>
      <c r="G287" s="37"/>
      <c r="H287" s="37"/>
      <c r="I287" s="38"/>
      <c r="J287" s="37"/>
      <c r="K287" s="37"/>
      <c r="L287" s="38"/>
      <c r="M287" s="37"/>
      <c r="N287" s="37"/>
      <c r="O287" s="36"/>
      <c r="P287" s="36"/>
      <c r="Q287" s="37"/>
      <c r="R287" s="38"/>
      <c r="S287" s="38"/>
    </row>
    <row r="288" customFormat="false" ht="27.75" hidden="false" customHeight="true" outlineLevel="0" collapsed="false">
      <c r="A288" s="36"/>
      <c r="B288" s="37"/>
      <c r="C288" s="37"/>
      <c r="D288" s="37"/>
      <c r="E288" s="37"/>
      <c r="F288" s="37"/>
      <c r="G288" s="37"/>
      <c r="H288" s="37"/>
      <c r="I288" s="38"/>
      <c r="J288" s="37"/>
      <c r="K288" s="37"/>
      <c r="L288" s="38"/>
      <c r="M288" s="37"/>
      <c r="N288" s="37"/>
      <c r="O288" s="36"/>
      <c r="P288" s="36"/>
      <c r="Q288" s="37"/>
      <c r="R288" s="38"/>
      <c r="S288" s="38"/>
    </row>
    <row r="289" customFormat="false" ht="27.75" hidden="false" customHeight="true" outlineLevel="0" collapsed="false">
      <c r="A289" s="36"/>
      <c r="B289" s="37"/>
      <c r="C289" s="37"/>
      <c r="D289" s="37"/>
      <c r="E289" s="37"/>
      <c r="F289" s="37"/>
      <c r="G289" s="37"/>
      <c r="H289" s="37"/>
      <c r="I289" s="38"/>
      <c r="J289" s="37"/>
      <c r="K289" s="37"/>
      <c r="L289" s="38"/>
      <c r="M289" s="37"/>
      <c r="N289" s="37"/>
      <c r="O289" s="36"/>
      <c r="P289" s="36"/>
      <c r="Q289" s="37"/>
      <c r="R289" s="38"/>
      <c r="S289" s="38"/>
    </row>
    <row r="290" customFormat="false" ht="27.75" hidden="false" customHeight="true" outlineLevel="0" collapsed="false">
      <c r="A290" s="36"/>
      <c r="B290" s="37"/>
      <c r="C290" s="37"/>
      <c r="D290" s="37"/>
      <c r="E290" s="37"/>
      <c r="F290" s="37"/>
      <c r="G290" s="37"/>
      <c r="H290" s="37"/>
      <c r="I290" s="38"/>
      <c r="J290" s="37"/>
      <c r="K290" s="37"/>
      <c r="L290" s="38"/>
      <c r="M290" s="37"/>
      <c r="N290" s="37"/>
      <c r="O290" s="36"/>
      <c r="P290" s="36"/>
      <c r="Q290" s="37"/>
      <c r="R290" s="38"/>
      <c r="S290" s="38"/>
    </row>
    <row r="291" customFormat="false" ht="27.75" hidden="false" customHeight="true" outlineLevel="0" collapsed="false">
      <c r="A291" s="36"/>
      <c r="B291" s="37"/>
      <c r="C291" s="37"/>
      <c r="D291" s="37"/>
      <c r="E291" s="37"/>
      <c r="F291" s="37"/>
      <c r="G291" s="37"/>
      <c r="H291" s="37"/>
      <c r="I291" s="38"/>
      <c r="J291" s="37"/>
      <c r="K291" s="37"/>
      <c r="L291" s="38"/>
      <c r="M291" s="37"/>
      <c r="N291" s="37"/>
      <c r="O291" s="36"/>
      <c r="P291" s="36"/>
      <c r="Q291" s="37"/>
      <c r="R291" s="38"/>
      <c r="S291" s="38"/>
    </row>
    <row r="292" customFormat="false" ht="27.75" hidden="false" customHeight="true" outlineLevel="0" collapsed="false">
      <c r="A292" s="36"/>
      <c r="B292" s="37"/>
      <c r="C292" s="37"/>
      <c r="D292" s="37"/>
      <c r="E292" s="37"/>
      <c r="F292" s="37"/>
      <c r="G292" s="37"/>
      <c r="H292" s="37"/>
      <c r="I292" s="38"/>
      <c r="J292" s="37"/>
      <c r="K292" s="37"/>
      <c r="L292" s="38"/>
      <c r="M292" s="37"/>
      <c r="N292" s="37"/>
      <c r="O292" s="36"/>
      <c r="P292" s="36"/>
      <c r="Q292" s="37"/>
      <c r="R292" s="38"/>
      <c r="S292" s="38"/>
    </row>
    <row r="293" customFormat="false" ht="27.75" hidden="false" customHeight="true" outlineLevel="0" collapsed="false">
      <c r="A293" s="36"/>
      <c r="B293" s="37"/>
      <c r="C293" s="37"/>
      <c r="D293" s="37"/>
      <c r="E293" s="37"/>
      <c r="F293" s="37"/>
      <c r="G293" s="37"/>
      <c r="H293" s="37"/>
      <c r="I293" s="38"/>
      <c r="J293" s="37"/>
      <c r="K293" s="37"/>
      <c r="L293" s="38"/>
      <c r="M293" s="37"/>
      <c r="N293" s="37"/>
      <c r="O293" s="36"/>
      <c r="P293" s="36"/>
      <c r="Q293" s="37"/>
      <c r="R293" s="38"/>
      <c r="S293" s="38"/>
    </row>
    <row r="294" customFormat="false" ht="27.75" hidden="false" customHeight="true" outlineLevel="0" collapsed="false">
      <c r="A294" s="36"/>
      <c r="B294" s="37"/>
      <c r="C294" s="37"/>
      <c r="D294" s="37"/>
      <c r="E294" s="37"/>
      <c r="F294" s="37"/>
      <c r="G294" s="37"/>
      <c r="H294" s="37"/>
      <c r="I294" s="38"/>
      <c r="J294" s="37"/>
      <c r="K294" s="37"/>
      <c r="L294" s="38"/>
      <c r="M294" s="37"/>
      <c r="N294" s="37"/>
      <c r="O294" s="36"/>
      <c r="P294" s="36"/>
      <c r="Q294" s="37"/>
      <c r="R294" s="38"/>
      <c r="S294" s="38"/>
    </row>
    <row r="295" customFormat="false" ht="27.75" hidden="false" customHeight="true" outlineLevel="0" collapsed="false">
      <c r="A295" s="36"/>
      <c r="B295" s="37"/>
      <c r="C295" s="37"/>
      <c r="D295" s="37"/>
      <c r="E295" s="37"/>
      <c r="F295" s="37"/>
      <c r="G295" s="37"/>
      <c r="H295" s="37"/>
      <c r="I295" s="38"/>
      <c r="J295" s="37"/>
      <c r="K295" s="37"/>
      <c r="L295" s="38"/>
      <c r="M295" s="37"/>
      <c r="N295" s="37"/>
      <c r="O295" s="36"/>
      <c r="P295" s="36"/>
      <c r="Q295" s="37"/>
      <c r="R295" s="38"/>
      <c r="S295" s="38"/>
    </row>
    <row r="296" customFormat="false" ht="27.75" hidden="false" customHeight="true" outlineLevel="0" collapsed="false">
      <c r="A296" s="36"/>
      <c r="B296" s="37"/>
      <c r="C296" s="37"/>
      <c r="D296" s="37"/>
      <c r="E296" s="37"/>
      <c r="F296" s="37"/>
      <c r="G296" s="37"/>
      <c r="H296" s="37"/>
      <c r="I296" s="38"/>
      <c r="J296" s="37"/>
      <c r="K296" s="37"/>
      <c r="L296" s="38"/>
      <c r="M296" s="37"/>
      <c r="N296" s="37"/>
      <c r="O296" s="36"/>
      <c r="P296" s="36"/>
      <c r="Q296" s="37"/>
      <c r="R296" s="38"/>
      <c r="S296" s="38"/>
    </row>
    <row r="297" customFormat="false" ht="27.75" hidden="false" customHeight="true" outlineLevel="0" collapsed="false">
      <c r="A297" s="36"/>
      <c r="B297" s="37"/>
      <c r="C297" s="37"/>
      <c r="D297" s="37"/>
      <c r="E297" s="37"/>
      <c r="F297" s="37"/>
      <c r="G297" s="37"/>
      <c r="H297" s="37"/>
      <c r="I297" s="38"/>
      <c r="J297" s="37"/>
      <c r="K297" s="37"/>
      <c r="L297" s="38"/>
      <c r="M297" s="37"/>
      <c r="N297" s="37"/>
      <c r="O297" s="36"/>
      <c r="P297" s="36"/>
      <c r="Q297" s="37"/>
      <c r="R297" s="38"/>
      <c r="S297" s="38"/>
    </row>
    <row r="298" customFormat="false" ht="27.75" hidden="false" customHeight="true" outlineLevel="0" collapsed="false">
      <c r="A298" s="36"/>
      <c r="B298" s="37"/>
      <c r="C298" s="37"/>
      <c r="D298" s="37"/>
      <c r="E298" s="37"/>
      <c r="F298" s="37"/>
      <c r="G298" s="37"/>
      <c r="H298" s="37"/>
      <c r="I298" s="38"/>
      <c r="J298" s="37"/>
      <c r="K298" s="37"/>
      <c r="L298" s="38"/>
      <c r="M298" s="37"/>
      <c r="N298" s="37"/>
      <c r="O298" s="36"/>
      <c r="P298" s="36"/>
      <c r="Q298" s="37"/>
      <c r="R298" s="38"/>
      <c r="S298" s="38"/>
    </row>
    <row r="299" customFormat="false" ht="27.75" hidden="false" customHeight="true" outlineLevel="0" collapsed="false">
      <c r="A299" s="36"/>
      <c r="B299" s="37"/>
      <c r="C299" s="37"/>
      <c r="D299" s="37"/>
      <c r="E299" s="37"/>
      <c r="F299" s="37"/>
      <c r="G299" s="37"/>
      <c r="H299" s="37"/>
      <c r="I299" s="38"/>
      <c r="J299" s="37"/>
      <c r="K299" s="37"/>
      <c r="L299" s="38"/>
      <c r="M299" s="37"/>
      <c r="N299" s="37"/>
      <c r="O299" s="36"/>
      <c r="P299" s="36"/>
      <c r="Q299" s="37"/>
      <c r="R299" s="38"/>
      <c r="S299" s="38"/>
    </row>
    <row r="300" customFormat="false" ht="27.75" hidden="false" customHeight="true" outlineLevel="0" collapsed="false">
      <c r="A300" s="36"/>
      <c r="B300" s="37"/>
      <c r="C300" s="37"/>
      <c r="D300" s="37"/>
      <c r="E300" s="37"/>
      <c r="F300" s="37"/>
      <c r="G300" s="37"/>
      <c r="H300" s="37"/>
      <c r="I300" s="38"/>
      <c r="J300" s="37"/>
      <c r="K300" s="37"/>
      <c r="L300" s="38"/>
      <c r="M300" s="37"/>
      <c r="N300" s="37"/>
      <c r="O300" s="36"/>
      <c r="P300" s="36"/>
      <c r="Q300" s="37"/>
      <c r="R300" s="38"/>
      <c r="S300" s="38"/>
    </row>
    <row r="301" customFormat="false" ht="27.75" hidden="false" customHeight="true" outlineLevel="0" collapsed="false">
      <c r="A301" s="36"/>
      <c r="B301" s="37"/>
      <c r="C301" s="37"/>
      <c r="D301" s="37"/>
      <c r="E301" s="37"/>
      <c r="F301" s="37"/>
      <c r="G301" s="37"/>
      <c r="H301" s="37"/>
      <c r="I301" s="38"/>
      <c r="J301" s="37"/>
      <c r="K301" s="37"/>
      <c r="L301" s="38"/>
      <c r="M301" s="37"/>
      <c r="N301" s="37"/>
      <c r="O301" s="36"/>
      <c r="P301" s="36"/>
      <c r="Q301" s="37"/>
      <c r="R301" s="38"/>
      <c r="S301" s="38"/>
    </row>
    <row r="302" customFormat="false" ht="27.75" hidden="false" customHeight="true" outlineLevel="0" collapsed="false">
      <c r="A302" s="36"/>
      <c r="B302" s="37"/>
      <c r="C302" s="37"/>
      <c r="D302" s="37"/>
      <c r="E302" s="37"/>
      <c r="F302" s="37"/>
      <c r="G302" s="37"/>
      <c r="H302" s="37"/>
      <c r="I302" s="38"/>
      <c r="J302" s="37"/>
      <c r="K302" s="37"/>
      <c r="L302" s="38"/>
      <c r="M302" s="37"/>
      <c r="N302" s="37"/>
      <c r="O302" s="36"/>
      <c r="P302" s="36"/>
      <c r="Q302" s="37"/>
      <c r="R302" s="38"/>
      <c r="S302" s="38"/>
    </row>
    <row r="303" customFormat="false" ht="27.75" hidden="false" customHeight="true" outlineLevel="0" collapsed="false">
      <c r="A303" s="36"/>
      <c r="B303" s="37"/>
      <c r="C303" s="37"/>
      <c r="D303" s="37"/>
      <c r="E303" s="37"/>
      <c r="F303" s="37"/>
      <c r="G303" s="37"/>
      <c r="H303" s="37"/>
      <c r="I303" s="38"/>
      <c r="J303" s="37"/>
      <c r="K303" s="37"/>
      <c r="L303" s="38"/>
      <c r="M303" s="37"/>
      <c r="N303" s="37"/>
      <c r="O303" s="36"/>
      <c r="P303" s="36"/>
      <c r="Q303" s="37"/>
      <c r="R303" s="38"/>
      <c r="S303" s="38"/>
    </row>
    <row r="304" customFormat="false" ht="27.75" hidden="false" customHeight="true" outlineLevel="0" collapsed="false">
      <c r="A304" s="36"/>
      <c r="B304" s="37"/>
      <c r="C304" s="37"/>
      <c r="D304" s="37"/>
      <c r="E304" s="37"/>
      <c r="F304" s="37"/>
      <c r="G304" s="37"/>
      <c r="H304" s="37"/>
      <c r="I304" s="38"/>
      <c r="J304" s="37"/>
      <c r="K304" s="37"/>
      <c r="L304" s="38"/>
      <c r="M304" s="37"/>
      <c r="N304" s="37"/>
      <c r="O304" s="36"/>
      <c r="P304" s="36"/>
      <c r="Q304" s="37"/>
      <c r="R304" s="38"/>
      <c r="S304" s="38"/>
    </row>
    <row r="305" customFormat="false" ht="27.75" hidden="false" customHeight="true" outlineLevel="0" collapsed="false">
      <c r="A305" s="36"/>
      <c r="B305" s="37"/>
      <c r="C305" s="37"/>
      <c r="D305" s="37"/>
      <c r="E305" s="37"/>
      <c r="F305" s="37"/>
      <c r="G305" s="37"/>
      <c r="H305" s="37"/>
      <c r="I305" s="38"/>
      <c r="J305" s="37"/>
      <c r="K305" s="37"/>
      <c r="L305" s="38"/>
      <c r="M305" s="37"/>
      <c r="N305" s="37"/>
      <c r="O305" s="36"/>
      <c r="P305" s="36"/>
      <c r="Q305" s="37"/>
      <c r="R305" s="38"/>
      <c r="S305" s="38"/>
    </row>
    <row r="306" customFormat="false" ht="27.75" hidden="false" customHeight="true" outlineLevel="0" collapsed="false">
      <c r="A306" s="36"/>
      <c r="B306" s="37"/>
      <c r="C306" s="37"/>
      <c r="D306" s="37"/>
      <c r="E306" s="37"/>
      <c r="F306" s="37"/>
      <c r="G306" s="37"/>
      <c r="H306" s="37"/>
      <c r="I306" s="38"/>
      <c r="J306" s="37"/>
      <c r="K306" s="37"/>
      <c r="L306" s="38"/>
      <c r="M306" s="37"/>
      <c r="N306" s="37"/>
      <c r="O306" s="36"/>
      <c r="P306" s="36"/>
      <c r="Q306" s="37"/>
      <c r="R306" s="38"/>
      <c r="S306" s="38"/>
    </row>
    <row r="307" customFormat="false" ht="27.75" hidden="false" customHeight="true" outlineLevel="0" collapsed="false">
      <c r="A307" s="36"/>
      <c r="B307" s="37"/>
      <c r="C307" s="37"/>
      <c r="D307" s="37"/>
      <c r="E307" s="37"/>
      <c r="F307" s="37"/>
      <c r="G307" s="37"/>
      <c r="H307" s="37"/>
      <c r="I307" s="38"/>
      <c r="J307" s="37"/>
      <c r="K307" s="37"/>
      <c r="L307" s="38"/>
      <c r="M307" s="37"/>
      <c r="N307" s="37"/>
      <c r="O307" s="36"/>
      <c r="P307" s="36"/>
      <c r="Q307" s="37"/>
      <c r="R307" s="38"/>
      <c r="S307" s="38"/>
    </row>
    <row r="308" customFormat="false" ht="27.75" hidden="false" customHeight="true" outlineLevel="0" collapsed="false">
      <c r="A308" s="36"/>
      <c r="B308" s="37"/>
      <c r="C308" s="37"/>
      <c r="D308" s="37"/>
      <c r="E308" s="37"/>
      <c r="F308" s="37"/>
      <c r="G308" s="37"/>
      <c r="H308" s="37"/>
      <c r="I308" s="38"/>
      <c r="J308" s="37"/>
      <c r="K308" s="37"/>
      <c r="L308" s="38"/>
      <c r="M308" s="37"/>
      <c r="N308" s="37"/>
      <c r="O308" s="36"/>
      <c r="P308" s="36"/>
      <c r="Q308" s="37"/>
      <c r="R308" s="38"/>
      <c r="S308" s="38"/>
    </row>
    <row r="309" customFormat="false" ht="27.75" hidden="false" customHeight="true" outlineLevel="0" collapsed="false">
      <c r="A309" s="36"/>
      <c r="B309" s="37"/>
      <c r="C309" s="37"/>
      <c r="D309" s="37"/>
      <c r="E309" s="37"/>
      <c r="F309" s="37"/>
      <c r="G309" s="37"/>
      <c r="H309" s="37"/>
      <c r="I309" s="38"/>
      <c r="J309" s="37"/>
      <c r="K309" s="37"/>
      <c r="L309" s="38"/>
      <c r="M309" s="37"/>
      <c r="N309" s="37"/>
      <c r="O309" s="36"/>
      <c r="P309" s="36"/>
      <c r="Q309" s="37"/>
      <c r="R309" s="38"/>
      <c r="S309" s="38"/>
    </row>
    <row r="310" customFormat="false" ht="27.75" hidden="false" customHeight="true" outlineLevel="0" collapsed="false">
      <c r="A310" s="36"/>
      <c r="B310" s="37"/>
      <c r="C310" s="37"/>
      <c r="D310" s="37"/>
      <c r="E310" s="37"/>
      <c r="F310" s="37"/>
      <c r="G310" s="37"/>
      <c r="H310" s="37"/>
      <c r="I310" s="38"/>
      <c r="J310" s="37"/>
      <c r="K310" s="37"/>
      <c r="L310" s="38"/>
      <c r="M310" s="37"/>
      <c r="N310" s="37"/>
      <c r="O310" s="36"/>
      <c r="P310" s="36"/>
      <c r="Q310" s="37"/>
      <c r="R310" s="38"/>
      <c r="S310" s="38"/>
    </row>
    <row r="311" customFormat="false" ht="27.75" hidden="false" customHeight="true" outlineLevel="0" collapsed="false">
      <c r="A311" s="36"/>
      <c r="B311" s="37"/>
      <c r="C311" s="37"/>
      <c r="D311" s="37"/>
      <c r="E311" s="37"/>
      <c r="F311" s="37"/>
      <c r="G311" s="37"/>
      <c r="H311" s="37"/>
      <c r="I311" s="38"/>
      <c r="J311" s="37"/>
      <c r="K311" s="37"/>
      <c r="L311" s="38"/>
      <c r="M311" s="37"/>
      <c r="N311" s="37"/>
      <c r="O311" s="36"/>
      <c r="P311" s="36"/>
      <c r="Q311" s="37"/>
      <c r="R311" s="38"/>
      <c r="S311" s="38"/>
    </row>
    <row r="312" customFormat="false" ht="27.75" hidden="false" customHeight="true" outlineLevel="0" collapsed="false">
      <c r="A312" s="36"/>
      <c r="B312" s="37"/>
      <c r="C312" s="37"/>
      <c r="D312" s="37"/>
      <c r="E312" s="37"/>
      <c r="F312" s="37"/>
      <c r="G312" s="37"/>
      <c r="H312" s="37"/>
      <c r="I312" s="38"/>
      <c r="J312" s="37"/>
      <c r="K312" s="37"/>
      <c r="L312" s="38"/>
      <c r="M312" s="37"/>
      <c r="N312" s="37"/>
      <c r="O312" s="36"/>
      <c r="P312" s="36"/>
      <c r="Q312" s="37"/>
      <c r="R312" s="38"/>
      <c r="S312" s="38"/>
    </row>
    <row r="313" customFormat="false" ht="27.75" hidden="false" customHeight="true" outlineLevel="0" collapsed="false">
      <c r="A313" s="36"/>
      <c r="B313" s="37"/>
      <c r="C313" s="37"/>
      <c r="D313" s="37"/>
      <c r="E313" s="37"/>
      <c r="F313" s="37"/>
      <c r="G313" s="37"/>
      <c r="H313" s="37"/>
      <c r="I313" s="38"/>
      <c r="J313" s="37"/>
      <c r="K313" s="37"/>
      <c r="L313" s="38"/>
      <c r="M313" s="37"/>
      <c r="N313" s="37"/>
      <c r="O313" s="36"/>
      <c r="P313" s="36"/>
      <c r="Q313" s="37"/>
      <c r="R313" s="38"/>
      <c r="S313" s="38"/>
    </row>
    <row r="314" customFormat="false" ht="27.75" hidden="false" customHeight="true" outlineLevel="0" collapsed="false">
      <c r="A314" s="36"/>
      <c r="B314" s="37"/>
      <c r="C314" s="37"/>
      <c r="D314" s="37"/>
      <c r="E314" s="37"/>
      <c r="F314" s="37"/>
      <c r="G314" s="37"/>
      <c r="H314" s="37"/>
      <c r="I314" s="38"/>
      <c r="J314" s="37"/>
      <c r="K314" s="37"/>
      <c r="L314" s="38"/>
      <c r="M314" s="37"/>
      <c r="N314" s="37"/>
      <c r="O314" s="36"/>
      <c r="P314" s="36"/>
      <c r="Q314" s="37"/>
      <c r="R314" s="38"/>
      <c r="S314" s="38"/>
    </row>
    <row r="315" customFormat="false" ht="27.75" hidden="false" customHeight="true" outlineLevel="0" collapsed="false">
      <c r="A315" s="36"/>
      <c r="B315" s="37"/>
      <c r="C315" s="37"/>
      <c r="D315" s="37"/>
      <c r="E315" s="37"/>
      <c r="F315" s="37"/>
      <c r="G315" s="37"/>
      <c r="H315" s="37"/>
      <c r="I315" s="38"/>
      <c r="J315" s="37"/>
      <c r="K315" s="37"/>
      <c r="L315" s="38"/>
      <c r="M315" s="37"/>
      <c r="N315" s="37"/>
      <c r="O315" s="36"/>
      <c r="P315" s="36"/>
      <c r="Q315" s="37"/>
      <c r="R315" s="38"/>
      <c r="S315" s="38"/>
    </row>
    <row r="316" customFormat="false" ht="27.75" hidden="false" customHeight="true" outlineLevel="0" collapsed="false">
      <c r="A316" s="36"/>
      <c r="B316" s="37"/>
      <c r="C316" s="37"/>
      <c r="D316" s="37"/>
      <c r="E316" s="37"/>
      <c r="F316" s="37"/>
      <c r="G316" s="37"/>
      <c r="H316" s="37"/>
      <c r="I316" s="38"/>
      <c r="J316" s="37"/>
      <c r="K316" s="37"/>
      <c r="L316" s="38"/>
      <c r="M316" s="37"/>
      <c r="N316" s="37"/>
      <c r="O316" s="36"/>
      <c r="P316" s="36"/>
      <c r="Q316" s="37"/>
      <c r="R316" s="38"/>
      <c r="S316" s="38"/>
    </row>
    <row r="317" customFormat="false" ht="27.75" hidden="false" customHeight="true" outlineLevel="0" collapsed="false">
      <c r="A317" s="36"/>
      <c r="B317" s="37"/>
      <c r="C317" s="37"/>
      <c r="D317" s="37"/>
      <c r="E317" s="37"/>
      <c r="F317" s="37"/>
      <c r="G317" s="37"/>
      <c r="H317" s="37"/>
      <c r="I317" s="38"/>
      <c r="J317" s="37"/>
      <c r="K317" s="37"/>
      <c r="L317" s="38"/>
      <c r="M317" s="37"/>
      <c r="N317" s="37"/>
      <c r="O317" s="36"/>
      <c r="P317" s="36"/>
      <c r="Q317" s="37"/>
      <c r="R317" s="38"/>
      <c r="S317" s="38"/>
    </row>
    <row r="318" customFormat="false" ht="27.75" hidden="false" customHeight="true" outlineLevel="0" collapsed="false">
      <c r="A318" s="36"/>
      <c r="B318" s="37"/>
      <c r="C318" s="37"/>
      <c r="D318" s="37"/>
      <c r="E318" s="37"/>
      <c r="F318" s="37"/>
      <c r="G318" s="37"/>
      <c r="H318" s="37"/>
      <c r="I318" s="38"/>
      <c r="J318" s="37"/>
      <c r="K318" s="37"/>
      <c r="L318" s="38"/>
      <c r="M318" s="37"/>
      <c r="N318" s="37"/>
      <c r="O318" s="36"/>
      <c r="P318" s="36"/>
      <c r="Q318" s="37"/>
      <c r="R318" s="38"/>
      <c r="S318" s="38"/>
    </row>
    <row r="319" customFormat="false" ht="27.75" hidden="false" customHeight="true" outlineLevel="0" collapsed="false">
      <c r="A319" s="36"/>
      <c r="B319" s="37"/>
      <c r="C319" s="37"/>
      <c r="D319" s="37"/>
      <c r="E319" s="37"/>
      <c r="F319" s="37"/>
      <c r="G319" s="37"/>
      <c r="H319" s="37"/>
      <c r="I319" s="38"/>
      <c r="J319" s="37"/>
      <c r="K319" s="37"/>
      <c r="L319" s="38"/>
      <c r="M319" s="37"/>
      <c r="N319" s="37"/>
      <c r="O319" s="36"/>
      <c r="P319" s="36"/>
      <c r="Q319" s="37"/>
      <c r="R319" s="38"/>
      <c r="S319" s="38"/>
    </row>
    <row r="320" customFormat="false" ht="27.75" hidden="false" customHeight="true" outlineLevel="0" collapsed="false">
      <c r="A320" s="36"/>
      <c r="B320" s="37"/>
      <c r="C320" s="37"/>
      <c r="D320" s="37"/>
      <c r="E320" s="37"/>
      <c r="F320" s="37"/>
      <c r="G320" s="37"/>
      <c r="H320" s="37"/>
      <c r="I320" s="38"/>
      <c r="J320" s="37"/>
      <c r="K320" s="37"/>
      <c r="L320" s="38"/>
      <c r="M320" s="37"/>
      <c r="N320" s="37"/>
      <c r="O320" s="36"/>
      <c r="P320" s="36"/>
      <c r="Q320" s="37"/>
      <c r="R320" s="38"/>
      <c r="S320" s="38"/>
    </row>
    <row r="321" customFormat="false" ht="27.75" hidden="false" customHeight="true" outlineLevel="0" collapsed="false">
      <c r="A321" s="36"/>
      <c r="B321" s="37"/>
      <c r="C321" s="37"/>
      <c r="D321" s="37"/>
      <c r="E321" s="37"/>
      <c r="F321" s="37"/>
      <c r="G321" s="37"/>
      <c r="H321" s="37"/>
      <c r="I321" s="38"/>
      <c r="J321" s="37"/>
      <c r="K321" s="37"/>
      <c r="L321" s="38"/>
      <c r="M321" s="37"/>
      <c r="N321" s="37"/>
      <c r="O321" s="36"/>
      <c r="P321" s="36"/>
      <c r="Q321" s="37"/>
      <c r="R321" s="38"/>
      <c r="S321" s="38"/>
    </row>
    <row r="322" customFormat="false" ht="27.75" hidden="false" customHeight="true" outlineLevel="0" collapsed="false">
      <c r="A322" s="36"/>
      <c r="B322" s="37"/>
      <c r="C322" s="37"/>
      <c r="D322" s="37"/>
      <c r="E322" s="37"/>
      <c r="F322" s="37"/>
      <c r="G322" s="37"/>
      <c r="H322" s="37"/>
      <c r="I322" s="38"/>
      <c r="J322" s="37"/>
      <c r="K322" s="37"/>
      <c r="L322" s="38"/>
      <c r="M322" s="37"/>
      <c r="N322" s="37"/>
      <c r="O322" s="36"/>
      <c r="P322" s="36"/>
      <c r="Q322" s="37"/>
      <c r="R322" s="38"/>
      <c r="S322" s="38"/>
    </row>
    <row r="323" customFormat="false" ht="27.75" hidden="false" customHeight="true" outlineLevel="0" collapsed="false">
      <c r="A323" s="36"/>
      <c r="B323" s="37"/>
      <c r="C323" s="37"/>
      <c r="D323" s="37"/>
      <c r="E323" s="37"/>
      <c r="F323" s="37"/>
      <c r="G323" s="37"/>
      <c r="H323" s="37"/>
      <c r="I323" s="38"/>
      <c r="J323" s="37"/>
      <c r="K323" s="37"/>
      <c r="L323" s="38"/>
      <c r="M323" s="37"/>
      <c r="N323" s="37"/>
      <c r="O323" s="36"/>
      <c r="P323" s="36"/>
      <c r="Q323" s="37"/>
      <c r="R323" s="38"/>
      <c r="S323" s="38"/>
    </row>
    <row r="324" customFormat="false" ht="27.75" hidden="false" customHeight="true" outlineLevel="0" collapsed="false">
      <c r="A324" s="36"/>
      <c r="B324" s="37"/>
      <c r="C324" s="37"/>
      <c r="D324" s="37"/>
      <c r="E324" s="37"/>
      <c r="F324" s="37"/>
      <c r="G324" s="37"/>
      <c r="H324" s="37"/>
      <c r="I324" s="38"/>
      <c r="J324" s="37"/>
      <c r="K324" s="37"/>
      <c r="L324" s="38"/>
      <c r="M324" s="37"/>
      <c r="N324" s="37"/>
      <c r="O324" s="36"/>
      <c r="P324" s="36"/>
      <c r="Q324" s="37"/>
      <c r="R324" s="38"/>
      <c r="S324" s="38"/>
    </row>
    <row r="325" customFormat="false" ht="27.75" hidden="false" customHeight="true" outlineLevel="0" collapsed="false">
      <c r="A325" s="36"/>
      <c r="B325" s="37"/>
      <c r="C325" s="37"/>
      <c r="D325" s="37"/>
      <c r="E325" s="37"/>
      <c r="F325" s="37"/>
      <c r="G325" s="37"/>
      <c r="H325" s="37"/>
      <c r="I325" s="38"/>
      <c r="J325" s="37"/>
      <c r="K325" s="37"/>
      <c r="L325" s="38"/>
      <c r="M325" s="37"/>
      <c r="N325" s="37"/>
      <c r="O325" s="36"/>
      <c r="P325" s="36"/>
      <c r="Q325" s="37"/>
      <c r="R325" s="38"/>
      <c r="S325" s="38"/>
    </row>
    <row r="326" customFormat="false" ht="27.75" hidden="false" customHeight="true" outlineLevel="0" collapsed="false">
      <c r="A326" s="36"/>
      <c r="B326" s="37"/>
      <c r="C326" s="37"/>
      <c r="D326" s="37"/>
      <c r="E326" s="37"/>
      <c r="F326" s="37"/>
      <c r="G326" s="37"/>
      <c r="H326" s="37"/>
      <c r="I326" s="38"/>
      <c r="J326" s="37"/>
      <c r="K326" s="37"/>
      <c r="L326" s="38"/>
      <c r="M326" s="37"/>
      <c r="N326" s="37"/>
      <c r="O326" s="36"/>
      <c r="P326" s="36"/>
      <c r="Q326" s="37"/>
      <c r="R326" s="38"/>
      <c r="S326" s="38"/>
    </row>
    <row r="327" customFormat="false" ht="27.75" hidden="false" customHeight="true" outlineLevel="0" collapsed="false">
      <c r="A327" s="36"/>
      <c r="B327" s="37"/>
      <c r="C327" s="37"/>
      <c r="D327" s="37"/>
      <c r="E327" s="37"/>
      <c r="F327" s="37"/>
      <c r="G327" s="37"/>
      <c r="H327" s="37"/>
      <c r="I327" s="38"/>
      <c r="J327" s="37"/>
      <c r="K327" s="37"/>
      <c r="L327" s="38"/>
      <c r="M327" s="37"/>
      <c r="N327" s="37"/>
      <c r="O327" s="36"/>
      <c r="P327" s="36"/>
      <c r="Q327" s="37"/>
      <c r="R327" s="38"/>
      <c r="S327" s="38"/>
    </row>
    <row r="328" customFormat="false" ht="27.75" hidden="false" customHeight="true" outlineLevel="0" collapsed="false">
      <c r="A328" s="36"/>
      <c r="B328" s="37"/>
      <c r="C328" s="37"/>
      <c r="D328" s="37"/>
      <c r="E328" s="37"/>
      <c r="F328" s="37"/>
      <c r="G328" s="37"/>
      <c r="H328" s="37"/>
      <c r="I328" s="38"/>
      <c r="J328" s="37"/>
      <c r="K328" s="37"/>
      <c r="L328" s="38"/>
      <c r="M328" s="37"/>
      <c r="N328" s="37"/>
      <c r="O328" s="36"/>
      <c r="P328" s="36"/>
      <c r="Q328" s="37"/>
      <c r="R328" s="38"/>
      <c r="S328" s="38"/>
    </row>
    <row r="329" customFormat="false" ht="27.75" hidden="false" customHeight="true" outlineLevel="0" collapsed="false">
      <c r="A329" s="36"/>
      <c r="B329" s="37"/>
      <c r="C329" s="37"/>
      <c r="D329" s="37"/>
      <c r="E329" s="37"/>
      <c r="F329" s="37"/>
      <c r="G329" s="37"/>
      <c r="H329" s="37"/>
      <c r="I329" s="38"/>
      <c r="J329" s="37"/>
      <c r="K329" s="37"/>
      <c r="L329" s="38"/>
      <c r="M329" s="37"/>
      <c r="N329" s="37"/>
      <c r="O329" s="36"/>
      <c r="P329" s="36"/>
      <c r="Q329" s="37"/>
      <c r="R329" s="38"/>
      <c r="S329" s="38"/>
    </row>
    <row r="330" customFormat="false" ht="27.75" hidden="false" customHeight="true" outlineLevel="0" collapsed="false">
      <c r="A330" s="36"/>
      <c r="B330" s="37"/>
      <c r="C330" s="37"/>
      <c r="D330" s="37"/>
      <c r="E330" s="37"/>
      <c r="F330" s="37"/>
      <c r="G330" s="37"/>
      <c r="H330" s="37"/>
      <c r="I330" s="38"/>
      <c r="J330" s="37"/>
      <c r="K330" s="37"/>
      <c r="L330" s="38"/>
      <c r="M330" s="37"/>
      <c r="N330" s="37"/>
      <c r="O330" s="36"/>
      <c r="P330" s="36"/>
      <c r="Q330" s="37"/>
      <c r="R330" s="38"/>
      <c r="S330" s="38"/>
    </row>
    <row r="331" customFormat="false" ht="27.75" hidden="false" customHeight="true" outlineLevel="0" collapsed="false">
      <c r="A331" s="36"/>
      <c r="B331" s="37"/>
      <c r="C331" s="37"/>
      <c r="D331" s="37"/>
      <c r="E331" s="37"/>
      <c r="F331" s="37"/>
      <c r="G331" s="37"/>
      <c r="H331" s="37"/>
      <c r="I331" s="38"/>
      <c r="J331" s="37"/>
      <c r="K331" s="37"/>
      <c r="L331" s="38"/>
      <c r="M331" s="37"/>
      <c r="N331" s="37"/>
      <c r="O331" s="36"/>
      <c r="P331" s="36"/>
      <c r="Q331" s="37"/>
      <c r="R331" s="38"/>
      <c r="S331" s="38"/>
    </row>
    <row r="332" customFormat="false" ht="27.75" hidden="false" customHeight="true" outlineLevel="0" collapsed="false">
      <c r="A332" s="36"/>
      <c r="B332" s="37"/>
      <c r="C332" s="37"/>
      <c r="D332" s="37"/>
      <c r="E332" s="37"/>
      <c r="F332" s="37"/>
      <c r="G332" s="37"/>
      <c r="H332" s="37"/>
      <c r="I332" s="38"/>
      <c r="J332" s="37"/>
      <c r="K332" s="37"/>
      <c r="L332" s="38"/>
      <c r="M332" s="37"/>
      <c r="N332" s="37"/>
      <c r="O332" s="36"/>
      <c r="P332" s="36"/>
      <c r="Q332" s="37"/>
      <c r="R332" s="38"/>
      <c r="S332" s="38"/>
    </row>
    <row r="333" customFormat="false" ht="27.75" hidden="false" customHeight="true" outlineLevel="0" collapsed="false">
      <c r="A333" s="36"/>
      <c r="B333" s="37"/>
      <c r="C333" s="37"/>
      <c r="D333" s="37"/>
      <c r="E333" s="37"/>
      <c r="F333" s="37"/>
      <c r="G333" s="37"/>
      <c r="H333" s="37"/>
      <c r="I333" s="38"/>
      <c r="J333" s="37"/>
      <c r="K333" s="37"/>
      <c r="L333" s="38"/>
      <c r="M333" s="37"/>
      <c r="N333" s="37"/>
      <c r="O333" s="36"/>
      <c r="P333" s="36"/>
      <c r="Q333" s="37"/>
      <c r="R333" s="38"/>
      <c r="S333" s="38"/>
    </row>
    <row r="334" customFormat="false" ht="27.75" hidden="false" customHeight="true" outlineLevel="0" collapsed="false">
      <c r="A334" s="36"/>
      <c r="B334" s="37"/>
      <c r="C334" s="37"/>
      <c r="D334" s="37"/>
      <c r="E334" s="37"/>
      <c r="F334" s="37"/>
      <c r="G334" s="37"/>
      <c r="H334" s="37"/>
      <c r="I334" s="38"/>
      <c r="J334" s="37"/>
      <c r="K334" s="37"/>
      <c r="L334" s="38"/>
      <c r="M334" s="37"/>
      <c r="N334" s="37"/>
      <c r="O334" s="36"/>
      <c r="P334" s="36"/>
      <c r="Q334" s="37"/>
      <c r="R334" s="38"/>
      <c r="S334" s="38"/>
    </row>
    <row r="335" customFormat="false" ht="27.75" hidden="false" customHeight="true" outlineLevel="0" collapsed="false">
      <c r="A335" s="36"/>
      <c r="B335" s="37"/>
      <c r="C335" s="37"/>
      <c r="D335" s="37"/>
      <c r="E335" s="37"/>
      <c r="F335" s="37"/>
      <c r="G335" s="37"/>
      <c r="H335" s="37"/>
      <c r="I335" s="38"/>
      <c r="J335" s="37"/>
      <c r="K335" s="37"/>
      <c r="L335" s="38"/>
      <c r="M335" s="37"/>
      <c r="N335" s="37"/>
      <c r="O335" s="36"/>
      <c r="P335" s="36"/>
      <c r="Q335" s="37"/>
      <c r="R335" s="38"/>
      <c r="S335" s="38"/>
    </row>
    <row r="336" customFormat="false" ht="27.75" hidden="false" customHeight="true" outlineLevel="0" collapsed="false">
      <c r="A336" s="36"/>
      <c r="B336" s="37"/>
      <c r="C336" s="37"/>
      <c r="D336" s="37"/>
      <c r="E336" s="37"/>
      <c r="F336" s="37"/>
      <c r="G336" s="37"/>
      <c r="H336" s="37"/>
      <c r="I336" s="38"/>
      <c r="J336" s="37"/>
      <c r="K336" s="37"/>
      <c r="L336" s="38"/>
      <c r="M336" s="37"/>
      <c r="N336" s="37"/>
      <c r="O336" s="36"/>
      <c r="P336" s="36"/>
      <c r="Q336" s="37"/>
      <c r="R336" s="38"/>
      <c r="S336" s="38"/>
    </row>
    <row r="337" customFormat="false" ht="27.75" hidden="false" customHeight="true" outlineLevel="0" collapsed="false">
      <c r="A337" s="36"/>
      <c r="B337" s="37"/>
      <c r="C337" s="37"/>
      <c r="D337" s="37"/>
      <c r="E337" s="37"/>
      <c r="F337" s="37"/>
      <c r="G337" s="37"/>
      <c r="H337" s="37"/>
      <c r="I337" s="38"/>
      <c r="J337" s="37"/>
      <c r="K337" s="37"/>
      <c r="L337" s="38"/>
      <c r="M337" s="37"/>
      <c r="N337" s="37"/>
      <c r="O337" s="36"/>
      <c r="P337" s="36"/>
      <c r="Q337" s="37"/>
      <c r="R337" s="38"/>
      <c r="S337" s="38"/>
    </row>
    <row r="338" customFormat="false" ht="27.75" hidden="false" customHeight="true" outlineLevel="0" collapsed="false">
      <c r="A338" s="36"/>
      <c r="B338" s="37"/>
      <c r="C338" s="37"/>
      <c r="D338" s="37"/>
      <c r="E338" s="37"/>
      <c r="F338" s="37"/>
      <c r="G338" s="37"/>
      <c r="H338" s="37"/>
      <c r="I338" s="38"/>
      <c r="J338" s="37"/>
      <c r="K338" s="37"/>
      <c r="L338" s="38"/>
      <c r="M338" s="37"/>
      <c r="N338" s="37"/>
      <c r="O338" s="36"/>
      <c r="P338" s="36"/>
      <c r="Q338" s="37"/>
      <c r="R338" s="38"/>
      <c r="S338" s="38"/>
    </row>
    <row r="339" customFormat="false" ht="27.75" hidden="false" customHeight="true" outlineLevel="0" collapsed="false">
      <c r="A339" s="36"/>
      <c r="B339" s="37"/>
      <c r="C339" s="37"/>
      <c r="D339" s="37"/>
      <c r="E339" s="37"/>
      <c r="F339" s="37"/>
      <c r="G339" s="37"/>
      <c r="H339" s="37"/>
      <c r="I339" s="38"/>
      <c r="J339" s="37"/>
      <c r="K339" s="37"/>
      <c r="L339" s="38"/>
      <c r="M339" s="37"/>
      <c r="N339" s="37"/>
      <c r="O339" s="36"/>
      <c r="P339" s="36"/>
      <c r="Q339" s="37"/>
      <c r="R339" s="38"/>
      <c r="S339" s="38"/>
    </row>
    <row r="340" customFormat="false" ht="27.75" hidden="false" customHeight="true" outlineLevel="0" collapsed="false">
      <c r="A340" s="36"/>
      <c r="B340" s="37"/>
      <c r="C340" s="37"/>
      <c r="D340" s="37"/>
      <c r="E340" s="37"/>
      <c r="F340" s="37"/>
      <c r="G340" s="37"/>
      <c r="H340" s="37"/>
      <c r="I340" s="38"/>
      <c r="J340" s="37"/>
      <c r="K340" s="37"/>
      <c r="L340" s="38"/>
      <c r="M340" s="37"/>
      <c r="N340" s="37"/>
      <c r="O340" s="36"/>
      <c r="P340" s="36"/>
      <c r="Q340" s="37"/>
      <c r="R340" s="38"/>
      <c r="S340" s="38"/>
    </row>
    <row r="341" customFormat="false" ht="27.75" hidden="false" customHeight="true" outlineLevel="0" collapsed="false">
      <c r="A341" s="36"/>
      <c r="B341" s="37"/>
      <c r="C341" s="37"/>
      <c r="D341" s="37"/>
      <c r="E341" s="37"/>
      <c r="F341" s="37"/>
      <c r="G341" s="37"/>
      <c r="H341" s="37"/>
      <c r="I341" s="38"/>
      <c r="J341" s="37"/>
      <c r="K341" s="37"/>
      <c r="L341" s="38"/>
      <c r="M341" s="37"/>
      <c r="N341" s="37"/>
      <c r="O341" s="36"/>
      <c r="P341" s="36"/>
      <c r="Q341" s="37"/>
      <c r="R341" s="38"/>
      <c r="S341" s="38"/>
    </row>
    <row r="342" customFormat="false" ht="27.75" hidden="false" customHeight="true" outlineLevel="0" collapsed="false">
      <c r="A342" s="36"/>
      <c r="B342" s="37"/>
      <c r="C342" s="37"/>
      <c r="D342" s="37"/>
      <c r="E342" s="37"/>
      <c r="F342" s="37"/>
      <c r="G342" s="37"/>
      <c r="H342" s="37"/>
      <c r="I342" s="38"/>
      <c r="J342" s="37"/>
      <c r="K342" s="37"/>
      <c r="L342" s="38"/>
      <c r="M342" s="37"/>
      <c r="N342" s="37"/>
      <c r="O342" s="36"/>
      <c r="P342" s="36"/>
      <c r="Q342" s="37"/>
      <c r="R342" s="38"/>
      <c r="S342" s="38"/>
    </row>
    <row r="343" customFormat="false" ht="27.75" hidden="false" customHeight="true" outlineLevel="0" collapsed="false">
      <c r="A343" s="36"/>
      <c r="B343" s="37"/>
      <c r="C343" s="37"/>
      <c r="D343" s="37"/>
      <c r="E343" s="37"/>
      <c r="F343" s="37"/>
      <c r="G343" s="37"/>
      <c r="H343" s="37"/>
      <c r="I343" s="38"/>
      <c r="J343" s="37"/>
      <c r="K343" s="37"/>
      <c r="L343" s="38"/>
      <c r="M343" s="37"/>
      <c r="N343" s="37"/>
      <c r="O343" s="36"/>
      <c r="P343" s="36"/>
      <c r="Q343" s="37"/>
      <c r="R343" s="38"/>
      <c r="S343" s="38"/>
    </row>
    <row r="344" customFormat="false" ht="27.75" hidden="false" customHeight="true" outlineLevel="0" collapsed="false">
      <c r="A344" s="36"/>
      <c r="B344" s="37"/>
      <c r="C344" s="37"/>
      <c r="D344" s="37"/>
      <c r="E344" s="37"/>
      <c r="F344" s="37"/>
      <c r="G344" s="37"/>
      <c r="H344" s="37"/>
      <c r="I344" s="38"/>
      <c r="J344" s="37"/>
      <c r="K344" s="37"/>
      <c r="L344" s="38"/>
      <c r="M344" s="37"/>
      <c r="N344" s="37"/>
      <c r="O344" s="36"/>
      <c r="P344" s="36"/>
      <c r="Q344" s="37"/>
      <c r="R344" s="38"/>
      <c r="S344" s="38"/>
    </row>
    <row r="345" customFormat="false" ht="27.75" hidden="false" customHeight="true" outlineLevel="0" collapsed="false">
      <c r="A345" s="36"/>
      <c r="B345" s="37"/>
      <c r="C345" s="37"/>
      <c r="D345" s="37"/>
      <c r="E345" s="37"/>
      <c r="F345" s="37"/>
      <c r="G345" s="37"/>
      <c r="H345" s="37"/>
      <c r="I345" s="38"/>
      <c r="J345" s="37"/>
      <c r="K345" s="37"/>
      <c r="L345" s="38"/>
      <c r="M345" s="37"/>
      <c r="N345" s="37"/>
      <c r="O345" s="36"/>
      <c r="P345" s="36"/>
      <c r="Q345" s="37"/>
      <c r="R345" s="38"/>
      <c r="S345" s="38"/>
    </row>
    <row r="346" customFormat="false" ht="27.75" hidden="false" customHeight="true" outlineLevel="0" collapsed="false">
      <c r="A346" s="36"/>
      <c r="B346" s="37"/>
      <c r="C346" s="37"/>
      <c r="D346" s="37"/>
      <c r="E346" s="37"/>
      <c r="F346" s="37"/>
      <c r="G346" s="37"/>
      <c r="H346" s="37"/>
      <c r="I346" s="38"/>
      <c r="J346" s="37"/>
      <c r="K346" s="37"/>
      <c r="L346" s="38"/>
      <c r="M346" s="37"/>
      <c r="N346" s="37"/>
      <c r="O346" s="36"/>
      <c r="P346" s="36"/>
      <c r="Q346" s="37"/>
      <c r="R346" s="38"/>
      <c r="S346" s="38"/>
    </row>
    <row r="347" customFormat="false" ht="27.75" hidden="false" customHeight="true" outlineLevel="0" collapsed="false">
      <c r="A347" s="36"/>
      <c r="B347" s="37"/>
      <c r="C347" s="37"/>
      <c r="D347" s="37"/>
      <c r="E347" s="37"/>
      <c r="F347" s="37"/>
      <c r="G347" s="37"/>
      <c r="H347" s="37"/>
      <c r="I347" s="38"/>
      <c r="J347" s="37"/>
      <c r="K347" s="37"/>
      <c r="L347" s="38"/>
      <c r="M347" s="37"/>
      <c r="N347" s="37"/>
      <c r="O347" s="36"/>
      <c r="P347" s="36"/>
      <c r="Q347" s="37"/>
      <c r="R347" s="38"/>
      <c r="S347" s="38"/>
    </row>
    <row r="348" customFormat="false" ht="27.75" hidden="false" customHeight="true" outlineLevel="0" collapsed="false">
      <c r="A348" s="36"/>
      <c r="B348" s="37"/>
      <c r="C348" s="37"/>
      <c r="D348" s="37"/>
      <c r="E348" s="37"/>
      <c r="F348" s="37"/>
      <c r="G348" s="37"/>
      <c r="H348" s="37"/>
      <c r="I348" s="38"/>
      <c r="J348" s="37"/>
      <c r="K348" s="37"/>
      <c r="L348" s="38"/>
      <c r="M348" s="37"/>
      <c r="N348" s="37"/>
      <c r="O348" s="36"/>
      <c r="P348" s="36"/>
      <c r="Q348" s="37"/>
      <c r="R348" s="38"/>
      <c r="S348" s="38"/>
    </row>
    <row r="349" customFormat="false" ht="27.75" hidden="false" customHeight="true" outlineLevel="0" collapsed="false">
      <c r="A349" s="36"/>
      <c r="B349" s="37"/>
      <c r="C349" s="37"/>
      <c r="D349" s="37"/>
      <c r="E349" s="37"/>
      <c r="F349" s="37"/>
      <c r="G349" s="37"/>
      <c r="H349" s="37"/>
      <c r="I349" s="38"/>
      <c r="J349" s="37"/>
      <c r="K349" s="37"/>
      <c r="L349" s="38"/>
      <c r="M349" s="37"/>
      <c r="N349" s="37"/>
      <c r="O349" s="36"/>
      <c r="P349" s="36"/>
      <c r="Q349" s="37"/>
      <c r="R349" s="38"/>
      <c r="S349" s="38"/>
    </row>
    <row r="350" customFormat="false" ht="27.75" hidden="false" customHeight="true" outlineLevel="0" collapsed="false">
      <c r="A350" s="36"/>
      <c r="B350" s="37"/>
      <c r="C350" s="37"/>
      <c r="D350" s="37"/>
      <c r="E350" s="37"/>
      <c r="F350" s="37"/>
      <c r="G350" s="37"/>
      <c r="H350" s="37"/>
      <c r="I350" s="38"/>
      <c r="J350" s="37"/>
      <c r="K350" s="37"/>
      <c r="L350" s="38"/>
      <c r="M350" s="37"/>
      <c r="N350" s="37"/>
      <c r="O350" s="36"/>
      <c r="P350" s="36"/>
      <c r="Q350" s="37"/>
      <c r="R350" s="38"/>
      <c r="S350" s="38"/>
    </row>
    <row r="351" customFormat="false" ht="27.75" hidden="false" customHeight="true" outlineLevel="0" collapsed="false">
      <c r="A351" s="36"/>
      <c r="B351" s="37"/>
      <c r="C351" s="37"/>
      <c r="D351" s="37"/>
      <c r="E351" s="37"/>
      <c r="F351" s="37"/>
      <c r="G351" s="37"/>
      <c r="H351" s="37"/>
      <c r="I351" s="38"/>
      <c r="J351" s="37"/>
      <c r="K351" s="37"/>
      <c r="L351" s="38"/>
      <c r="M351" s="37"/>
      <c r="N351" s="37"/>
      <c r="O351" s="36"/>
      <c r="P351" s="36"/>
      <c r="Q351" s="37"/>
      <c r="R351" s="38"/>
      <c r="S351" s="38"/>
    </row>
    <row r="352" customFormat="false" ht="27.75" hidden="false" customHeight="true" outlineLevel="0" collapsed="false">
      <c r="A352" s="36"/>
      <c r="B352" s="37"/>
      <c r="C352" s="37"/>
      <c r="D352" s="37"/>
      <c r="E352" s="37"/>
      <c r="F352" s="37"/>
      <c r="G352" s="37"/>
      <c r="H352" s="37"/>
      <c r="I352" s="38"/>
      <c r="J352" s="37"/>
      <c r="K352" s="37"/>
      <c r="L352" s="38"/>
      <c r="M352" s="37"/>
      <c r="N352" s="37"/>
      <c r="O352" s="36"/>
      <c r="P352" s="36"/>
      <c r="Q352" s="37"/>
      <c r="R352" s="38"/>
      <c r="S352" s="38"/>
    </row>
    <row r="353" customFormat="false" ht="27.75" hidden="false" customHeight="true" outlineLevel="0" collapsed="false">
      <c r="A353" s="36"/>
      <c r="B353" s="37"/>
      <c r="C353" s="37"/>
      <c r="D353" s="37"/>
      <c r="E353" s="37"/>
      <c r="F353" s="37"/>
      <c r="G353" s="37"/>
      <c r="H353" s="37"/>
      <c r="I353" s="38"/>
      <c r="J353" s="37"/>
      <c r="K353" s="37"/>
      <c r="L353" s="38"/>
      <c r="M353" s="37"/>
      <c r="N353" s="37"/>
      <c r="O353" s="36"/>
      <c r="P353" s="36"/>
      <c r="Q353" s="37"/>
      <c r="R353" s="38"/>
      <c r="S353" s="38"/>
    </row>
    <row r="354" customFormat="false" ht="27.75" hidden="false" customHeight="true" outlineLevel="0" collapsed="false">
      <c r="A354" s="36"/>
      <c r="B354" s="37"/>
      <c r="C354" s="37"/>
      <c r="D354" s="37"/>
      <c r="E354" s="37"/>
      <c r="F354" s="37"/>
      <c r="G354" s="37"/>
      <c r="H354" s="37"/>
      <c r="I354" s="38"/>
      <c r="J354" s="37"/>
      <c r="K354" s="37"/>
      <c r="L354" s="38"/>
      <c r="M354" s="37"/>
      <c r="N354" s="37"/>
      <c r="O354" s="36"/>
      <c r="P354" s="36"/>
      <c r="Q354" s="37"/>
      <c r="R354" s="38"/>
      <c r="S354" s="38"/>
    </row>
    <row r="355" customFormat="false" ht="27.75" hidden="false" customHeight="true" outlineLevel="0" collapsed="false">
      <c r="A355" s="36"/>
      <c r="B355" s="37"/>
      <c r="C355" s="37"/>
      <c r="D355" s="37"/>
      <c r="E355" s="37"/>
      <c r="F355" s="37"/>
      <c r="G355" s="37"/>
      <c r="H355" s="37"/>
      <c r="I355" s="38"/>
      <c r="J355" s="37"/>
      <c r="K355" s="37"/>
      <c r="L355" s="38"/>
      <c r="M355" s="37"/>
      <c r="N355" s="37"/>
      <c r="O355" s="36"/>
      <c r="P355" s="36"/>
      <c r="Q355" s="37"/>
      <c r="R355" s="38"/>
      <c r="S355" s="38"/>
    </row>
    <row r="356" customFormat="false" ht="27.75" hidden="false" customHeight="true" outlineLevel="0" collapsed="false">
      <c r="A356" s="36"/>
      <c r="B356" s="37"/>
      <c r="C356" s="37"/>
      <c r="D356" s="37"/>
      <c r="E356" s="37"/>
      <c r="F356" s="37"/>
      <c r="G356" s="37"/>
      <c r="H356" s="37"/>
      <c r="I356" s="38"/>
      <c r="J356" s="37"/>
      <c r="K356" s="37"/>
      <c r="L356" s="38"/>
      <c r="M356" s="37"/>
      <c r="N356" s="37"/>
      <c r="O356" s="36"/>
      <c r="P356" s="36"/>
      <c r="Q356" s="37"/>
      <c r="R356" s="38"/>
      <c r="S356" s="38"/>
    </row>
    <row r="357" customFormat="false" ht="27.75" hidden="false" customHeight="true" outlineLevel="0" collapsed="false">
      <c r="A357" s="36"/>
      <c r="B357" s="37"/>
      <c r="C357" s="37"/>
      <c r="D357" s="37"/>
      <c r="E357" s="37"/>
      <c r="F357" s="37"/>
      <c r="G357" s="37"/>
      <c r="H357" s="37"/>
      <c r="I357" s="38"/>
      <c r="J357" s="37"/>
      <c r="K357" s="37"/>
      <c r="L357" s="38"/>
      <c r="M357" s="37"/>
      <c r="N357" s="37"/>
      <c r="O357" s="36"/>
      <c r="P357" s="36"/>
      <c r="Q357" s="37"/>
      <c r="R357" s="38"/>
      <c r="S357" s="38"/>
    </row>
    <row r="358" customFormat="false" ht="27.75" hidden="false" customHeight="true" outlineLevel="0" collapsed="false">
      <c r="A358" s="36"/>
      <c r="B358" s="37"/>
      <c r="C358" s="37"/>
      <c r="D358" s="37"/>
      <c r="E358" s="37"/>
      <c r="F358" s="37"/>
      <c r="G358" s="37"/>
      <c r="H358" s="37"/>
      <c r="I358" s="38"/>
      <c r="J358" s="37"/>
      <c r="K358" s="37"/>
      <c r="L358" s="38"/>
      <c r="M358" s="37"/>
      <c r="N358" s="37"/>
      <c r="O358" s="36"/>
      <c r="P358" s="36"/>
      <c r="Q358" s="37"/>
      <c r="R358" s="38"/>
      <c r="S358" s="38"/>
    </row>
    <row r="359" customFormat="false" ht="27.75" hidden="false" customHeight="true" outlineLevel="0" collapsed="false">
      <c r="A359" s="36"/>
      <c r="B359" s="37"/>
      <c r="C359" s="37"/>
      <c r="D359" s="37"/>
      <c r="E359" s="37"/>
      <c r="F359" s="37"/>
      <c r="G359" s="37"/>
      <c r="H359" s="37"/>
      <c r="I359" s="38"/>
      <c r="J359" s="37"/>
      <c r="K359" s="37"/>
      <c r="L359" s="38"/>
      <c r="M359" s="37"/>
      <c r="N359" s="37"/>
      <c r="O359" s="36"/>
      <c r="P359" s="36"/>
      <c r="Q359" s="37"/>
      <c r="R359" s="38"/>
      <c r="S359" s="38"/>
    </row>
    <row r="360" customFormat="false" ht="27.75" hidden="false" customHeight="true" outlineLevel="0" collapsed="false">
      <c r="A360" s="36"/>
      <c r="B360" s="37"/>
      <c r="C360" s="37"/>
      <c r="D360" s="37"/>
      <c r="E360" s="37"/>
      <c r="F360" s="37"/>
      <c r="G360" s="37"/>
      <c r="H360" s="37"/>
      <c r="I360" s="38"/>
      <c r="J360" s="37"/>
      <c r="K360" s="37"/>
      <c r="L360" s="38"/>
      <c r="M360" s="37"/>
      <c r="N360" s="37"/>
      <c r="O360" s="36"/>
      <c r="P360" s="36"/>
      <c r="Q360" s="37"/>
      <c r="R360" s="38"/>
      <c r="S360" s="38"/>
    </row>
    <row r="361" customFormat="false" ht="27.75" hidden="false" customHeight="true" outlineLevel="0" collapsed="false">
      <c r="A361" s="36"/>
      <c r="B361" s="37"/>
      <c r="C361" s="37"/>
      <c r="D361" s="37"/>
      <c r="E361" s="37"/>
      <c r="F361" s="37"/>
      <c r="G361" s="37"/>
      <c r="H361" s="37"/>
      <c r="I361" s="38"/>
      <c r="J361" s="37"/>
      <c r="K361" s="37"/>
      <c r="L361" s="38"/>
      <c r="M361" s="37"/>
      <c r="N361" s="37"/>
      <c r="O361" s="36"/>
      <c r="P361" s="36"/>
      <c r="Q361" s="37"/>
      <c r="R361" s="38"/>
      <c r="S361" s="38"/>
    </row>
    <row r="362" customFormat="false" ht="27.75" hidden="false" customHeight="true" outlineLevel="0" collapsed="false">
      <c r="A362" s="36"/>
      <c r="B362" s="37"/>
      <c r="C362" s="37"/>
      <c r="D362" s="37"/>
      <c r="E362" s="37"/>
      <c r="F362" s="37"/>
      <c r="G362" s="37"/>
      <c r="H362" s="37"/>
      <c r="I362" s="38"/>
      <c r="J362" s="37"/>
      <c r="K362" s="37"/>
      <c r="L362" s="38"/>
      <c r="M362" s="37"/>
      <c r="N362" s="37"/>
      <c r="O362" s="36"/>
      <c r="P362" s="36"/>
      <c r="Q362" s="37"/>
      <c r="R362" s="38"/>
      <c r="S362" s="38"/>
    </row>
    <row r="363" customFormat="false" ht="27.75" hidden="false" customHeight="true" outlineLevel="0" collapsed="false">
      <c r="A363" s="36"/>
      <c r="B363" s="37"/>
      <c r="C363" s="37"/>
      <c r="D363" s="37"/>
      <c r="E363" s="37"/>
      <c r="F363" s="37"/>
      <c r="G363" s="37"/>
      <c r="H363" s="37"/>
      <c r="I363" s="38"/>
      <c r="J363" s="37"/>
      <c r="K363" s="37"/>
      <c r="L363" s="38"/>
      <c r="M363" s="37"/>
      <c r="N363" s="37"/>
      <c r="O363" s="36"/>
      <c r="P363" s="36"/>
      <c r="Q363" s="37"/>
      <c r="R363" s="38"/>
      <c r="S363" s="38"/>
    </row>
    <row r="364" customFormat="false" ht="27.75" hidden="false" customHeight="true" outlineLevel="0" collapsed="false">
      <c r="A364" s="36"/>
      <c r="B364" s="37"/>
      <c r="C364" s="37"/>
      <c r="D364" s="37"/>
      <c r="E364" s="37"/>
      <c r="F364" s="37"/>
      <c r="G364" s="37"/>
      <c r="H364" s="37"/>
      <c r="I364" s="38"/>
      <c r="J364" s="37"/>
      <c r="K364" s="37"/>
      <c r="L364" s="38"/>
      <c r="M364" s="37"/>
      <c r="N364" s="37"/>
      <c r="O364" s="36"/>
      <c r="P364" s="36"/>
      <c r="Q364" s="37"/>
      <c r="R364" s="38"/>
      <c r="S364" s="38"/>
    </row>
    <row r="365" customFormat="false" ht="27.75" hidden="false" customHeight="true" outlineLevel="0" collapsed="false">
      <c r="A365" s="36"/>
      <c r="B365" s="37"/>
      <c r="C365" s="37"/>
      <c r="D365" s="37"/>
      <c r="E365" s="37"/>
      <c r="F365" s="37"/>
      <c r="G365" s="37"/>
      <c r="H365" s="37"/>
      <c r="I365" s="38"/>
      <c r="J365" s="37"/>
      <c r="K365" s="37"/>
      <c r="L365" s="38"/>
      <c r="M365" s="37"/>
      <c r="N365" s="37"/>
      <c r="O365" s="36"/>
      <c r="P365" s="36"/>
      <c r="Q365" s="37"/>
      <c r="R365" s="38"/>
      <c r="S365" s="38"/>
    </row>
    <row r="366" customFormat="false" ht="27.75" hidden="false" customHeight="true" outlineLevel="0" collapsed="false">
      <c r="A366" s="36"/>
      <c r="B366" s="37"/>
      <c r="C366" s="37"/>
      <c r="D366" s="37"/>
      <c r="E366" s="37"/>
      <c r="F366" s="37"/>
      <c r="G366" s="37"/>
      <c r="H366" s="37"/>
      <c r="I366" s="38"/>
      <c r="J366" s="37"/>
      <c r="K366" s="37"/>
      <c r="L366" s="38"/>
      <c r="M366" s="37"/>
      <c r="N366" s="37"/>
      <c r="O366" s="36"/>
      <c r="P366" s="36"/>
      <c r="Q366" s="37"/>
      <c r="R366" s="38"/>
      <c r="S366" s="38"/>
    </row>
    <row r="367" customFormat="false" ht="27.75" hidden="false" customHeight="true" outlineLevel="0" collapsed="false">
      <c r="A367" s="36"/>
      <c r="B367" s="37"/>
      <c r="C367" s="37"/>
      <c r="D367" s="37"/>
      <c r="E367" s="37"/>
      <c r="F367" s="37"/>
      <c r="G367" s="37"/>
      <c r="H367" s="37"/>
      <c r="I367" s="38"/>
      <c r="J367" s="37"/>
      <c r="K367" s="37"/>
      <c r="L367" s="38"/>
      <c r="M367" s="37"/>
      <c r="N367" s="37"/>
      <c r="O367" s="36"/>
      <c r="P367" s="36"/>
      <c r="Q367" s="37"/>
      <c r="R367" s="38"/>
      <c r="S367" s="38"/>
    </row>
    <row r="368" customFormat="false" ht="27.75" hidden="false" customHeight="true" outlineLevel="0" collapsed="false">
      <c r="A368" s="36"/>
      <c r="B368" s="37"/>
      <c r="C368" s="37"/>
      <c r="D368" s="37"/>
      <c r="E368" s="37"/>
      <c r="F368" s="37"/>
      <c r="G368" s="37"/>
      <c r="H368" s="37"/>
      <c r="I368" s="38"/>
      <c r="J368" s="37"/>
      <c r="K368" s="37"/>
      <c r="L368" s="38"/>
      <c r="M368" s="37"/>
      <c r="N368" s="37"/>
      <c r="O368" s="36"/>
      <c r="P368" s="36"/>
      <c r="Q368" s="37"/>
      <c r="R368" s="38"/>
      <c r="S368" s="38"/>
    </row>
    <row r="369" customFormat="false" ht="27.75" hidden="false" customHeight="true" outlineLevel="0" collapsed="false">
      <c r="A369" s="36"/>
      <c r="B369" s="37"/>
      <c r="C369" s="37"/>
      <c r="D369" s="37"/>
      <c r="E369" s="37"/>
      <c r="F369" s="37"/>
      <c r="G369" s="37"/>
      <c r="H369" s="37"/>
      <c r="I369" s="38"/>
      <c r="J369" s="37"/>
      <c r="K369" s="37"/>
      <c r="L369" s="38"/>
      <c r="M369" s="37"/>
      <c r="N369" s="37"/>
      <c r="O369" s="36"/>
      <c r="P369" s="36"/>
      <c r="Q369" s="37"/>
      <c r="R369" s="38"/>
      <c r="S369" s="38"/>
    </row>
    <row r="370" customFormat="false" ht="27.75" hidden="false" customHeight="true" outlineLevel="0" collapsed="false">
      <c r="A370" s="36"/>
      <c r="B370" s="37"/>
      <c r="C370" s="37"/>
      <c r="D370" s="37"/>
      <c r="E370" s="37"/>
      <c r="F370" s="37"/>
      <c r="G370" s="37"/>
      <c r="H370" s="37"/>
      <c r="I370" s="38"/>
      <c r="J370" s="37"/>
      <c r="K370" s="37"/>
      <c r="L370" s="38"/>
      <c r="M370" s="37"/>
      <c r="N370" s="37"/>
      <c r="O370" s="36"/>
      <c r="P370" s="36"/>
      <c r="Q370" s="37"/>
      <c r="R370" s="38"/>
      <c r="S370" s="38"/>
    </row>
    <row r="371" customFormat="false" ht="27.75" hidden="false" customHeight="true" outlineLevel="0" collapsed="false">
      <c r="A371" s="36"/>
      <c r="B371" s="37"/>
      <c r="C371" s="37"/>
      <c r="D371" s="37"/>
      <c r="E371" s="37"/>
      <c r="F371" s="37"/>
      <c r="G371" s="37"/>
      <c r="H371" s="37"/>
      <c r="I371" s="38"/>
      <c r="J371" s="37"/>
      <c r="K371" s="37"/>
      <c r="L371" s="38"/>
      <c r="M371" s="37"/>
      <c r="N371" s="37"/>
      <c r="O371" s="36"/>
      <c r="P371" s="36"/>
      <c r="Q371" s="37"/>
      <c r="R371" s="38"/>
      <c r="S371" s="38"/>
    </row>
    <row r="372" customFormat="false" ht="27.75" hidden="false" customHeight="true" outlineLevel="0" collapsed="false">
      <c r="A372" s="36"/>
      <c r="B372" s="37"/>
      <c r="C372" s="37"/>
      <c r="D372" s="37"/>
      <c r="E372" s="37"/>
      <c r="F372" s="37"/>
      <c r="G372" s="37"/>
      <c r="H372" s="37"/>
      <c r="I372" s="38"/>
      <c r="J372" s="37"/>
      <c r="K372" s="37"/>
      <c r="L372" s="38"/>
      <c r="M372" s="37"/>
      <c r="N372" s="37"/>
      <c r="O372" s="36"/>
      <c r="P372" s="36"/>
      <c r="Q372" s="37"/>
      <c r="R372" s="38"/>
      <c r="S372" s="38"/>
    </row>
    <row r="373" customFormat="false" ht="27.75" hidden="false" customHeight="true" outlineLevel="0" collapsed="false">
      <c r="A373" s="36"/>
      <c r="B373" s="37"/>
      <c r="C373" s="37"/>
      <c r="D373" s="37"/>
      <c r="E373" s="37"/>
      <c r="F373" s="37"/>
      <c r="G373" s="37"/>
      <c r="H373" s="37"/>
      <c r="I373" s="38"/>
      <c r="J373" s="37"/>
      <c r="K373" s="37"/>
      <c r="L373" s="38"/>
      <c r="M373" s="37"/>
      <c r="N373" s="37"/>
      <c r="O373" s="36"/>
      <c r="P373" s="36"/>
      <c r="Q373" s="37"/>
      <c r="R373" s="38"/>
      <c r="S373" s="38"/>
    </row>
    <row r="374" customFormat="false" ht="27.75" hidden="false" customHeight="true" outlineLevel="0" collapsed="false">
      <c r="A374" s="36"/>
      <c r="B374" s="37"/>
      <c r="C374" s="37"/>
      <c r="D374" s="37"/>
      <c r="E374" s="37"/>
      <c r="F374" s="37"/>
      <c r="G374" s="37"/>
      <c r="H374" s="37"/>
      <c r="I374" s="38"/>
      <c r="J374" s="37"/>
      <c r="K374" s="37"/>
      <c r="L374" s="38"/>
      <c r="M374" s="37"/>
      <c r="N374" s="37"/>
      <c r="O374" s="36"/>
      <c r="P374" s="36"/>
      <c r="Q374" s="37"/>
      <c r="R374" s="38"/>
      <c r="S374" s="38"/>
    </row>
    <row r="375" customFormat="false" ht="27.75" hidden="false" customHeight="true" outlineLevel="0" collapsed="false">
      <c r="A375" s="36"/>
      <c r="B375" s="37"/>
      <c r="C375" s="37"/>
      <c r="D375" s="37"/>
      <c r="E375" s="37"/>
      <c r="F375" s="37"/>
      <c r="G375" s="37"/>
      <c r="H375" s="37"/>
      <c r="I375" s="38"/>
      <c r="J375" s="37"/>
      <c r="K375" s="37"/>
      <c r="L375" s="38"/>
      <c r="M375" s="37"/>
      <c r="N375" s="37"/>
      <c r="O375" s="36"/>
      <c r="P375" s="36"/>
      <c r="Q375" s="37"/>
      <c r="R375" s="38"/>
      <c r="S375" s="38"/>
    </row>
    <row r="376" customFormat="false" ht="27.75" hidden="false" customHeight="true" outlineLevel="0" collapsed="false">
      <c r="A376" s="36"/>
      <c r="B376" s="37"/>
      <c r="C376" s="37"/>
      <c r="D376" s="37"/>
      <c r="E376" s="37"/>
      <c r="F376" s="37"/>
      <c r="G376" s="37"/>
      <c r="H376" s="37"/>
      <c r="I376" s="38"/>
      <c r="J376" s="37"/>
      <c r="K376" s="37"/>
      <c r="L376" s="38"/>
      <c r="M376" s="37"/>
      <c r="N376" s="37"/>
      <c r="O376" s="36"/>
      <c r="P376" s="36"/>
      <c r="Q376" s="37"/>
      <c r="R376" s="38"/>
      <c r="S376" s="38"/>
    </row>
    <row r="377" customFormat="false" ht="27.75" hidden="false" customHeight="true" outlineLevel="0" collapsed="false">
      <c r="A377" s="36"/>
      <c r="B377" s="37"/>
      <c r="C377" s="37"/>
      <c r="D377" s="37"/>
      <c r="E377" s="37"/>
      <c r="F377" s="37"/>
      <c r="G377" s="37"/>
      <c r="H377" s="37"/>
      <c r="I377" s="38"/>
      <c r="J377" s="37"/>
      <c r="K377" s="37"/>
      <c r="L377" s="38"/>
      <c r="M377" s="37"/>
      <c r="N377" s="37"/>
      <c r="O377" s="36"/>
      <c r="P377" s="36"/>
      <c r="Q377" s="37"/>
      <c r="R377" s="38"/>
      <c r="S377" s="38"/>
    </row>
    <row r="378" customFormat="false" ht="27.75" hidden="false" customHeight="true" outlineLevel="0" collapsed="false">
      <c r="A378" s="36"/>
      <c r="B378" s="37"/>
      <c r="C378" s="37"/>
      <c r="D378" s="37"/>
      <c r="E378" s="37"/>
      <c r="F378" s="37"/>
      <c r="G378" s="37"/>
      <c r="H378" s="37"/>
      <c r="I378" s="38"/>
      <c r="J378" s="37"/>
      <c r="K378" s="37"/>
      <c r="L378" s="38"/>
      <c r="M378" s="37"/>
      <c r="N378" s="37"/>
      <c r="O378" s="36"/>
      <c r="P378" s="36"/>
      <c r="Q378" s="37"/>
      <c r="R378" s="38"/>
      <c r="S378" s="38"/>
    </row>
    <row r="379" customFormat="false" ht="27.75" hidden="false" customHeight="true" outlineLevel="0" collapsed="false">
      <c r="A379" s="36"/>
      <c r="B379" s="37"/>
      <c r="C379" s="37"/>
      <c r="D379" s="37"/>
      <c r="E379" s="37"/>
      <c r="F379" s="37"/>
      <c r="G379" s="37"/>
      <c r="H379" s="37"/>
      <c r="I379" s="38"/>
      <c r="J379" s="37"/>
      <c r="K379" s="37"/>
      <c r="L379" s="38"/>
      <c r="M379" s="37"/>
      <c r="N379" s="37"/>
      <c r="O379" s="36"/>
      <c r="P379" s="36"/>
      <c r="Q379" s="37"/>
      <c r="R379" s="38"/>
      <c r="S379" s="38"/>
    </row>
    <row r="380" customFormat="false" ht="27.75" hidden="false" customHeight="true" outlineLevel="0" collapsed="false">
      <c r="A380" s="36"/>
      <c r="B380" s="37"/>
      <c r="C380" s="37"/>
      <c r="D380" s="37"/>
      <c r="E380" s="37"/>
      <c r="F380" s="37"/>
      <c r="G380" s="37"/>
      <c r="H380" s="37"/>
      <c r="I380" s="38"/>
      <c r="J380" s="37"/>
      <c r="K380" s="37"/>
      <c r="L380" s="38"/>
      <c r="M380" s="37"/>
      <c r="N380" s="37"/>
      <c r="O380" s="36"/>
      <c r="P380" s="36"/>
      <c r="Q380" s="37"/>
      <c r="R380" s="38"/>
      <c r="S380" s="38"/>
    </row>
    <row r="381" customFormat="false" ht="27.75" hidden="false" customHeight="true" outlineLevel="0" collapsed="false">
      <c r="A381" s="36"/>
      <c r="B381" s="37"/>
      <c r="C381" s="37"/>
      <c r="D381" s="37"/>
      <c r="E381" s="37"/>
      <c r="F381" s="37"/>
      <c r="G381" s="37"/>
      <c r="H381" s="37"/>
      <c r="I381" s="38"/>
      <c r="J381" s="37"/>
      <c r="K381" s="37"/>
      <c r="L381" s="38"/>
      <c r="M381" s="37"/>
      <c r="N381" s="37"/>
      <c r="O381" s="36"/>
      <c r="P381" s="36"/>
      <c r="Q381" s="37"/>
      <c r="R381" s="38"/>
      <c r="S381" s="38"/>
    </row>
    <row r="382" customFormat="false" ht="27.75" hidden="false" customHeight="true" outlineLevel="0" collapsed="false">
      <c r="A382" s="36"/>
      <c r="B382" s="37"/>
      <c r="C382" s="37"/>
      <c r="D382" s="37"/>
      <c r="E382" s="37"/>
      <c r="F382" s="37"/>
      <c r="G382" s="37"/>
      <c r="H382" s="37"/>
      <c r="I382" s="38"/>
      <c r="J382" s="37"/>
      <c r="K382" s="37"/>
      <c r="L382" s="38"/>
      <c r="M382" s="37"/>
      <c r="N382" s="37"/>
      <c r="O382" s="36"/>
      <c r="P382" s="36"/>
      <c r="Q382" s="37"/>
      <c r="R382" s="38"/>
      <c r="S382" s="38"/>
    </row>
    <row r="383" customFormat="false" ht="27.75" hidden="false" customHeight="true" outlineLevel="0" collapsed="false">
      <c r="A383" s="36"/>
      <c r="B383" s="37"/>
      <c r="C383" s="37"/>
      <c r="D383" s="37"/>
      <c r="E383" s="37"/>
      <c r="F383" s="37"/>
      <c r="G383" s="37"/>
      <c r="H383" s="37"/>
      <c r="I383" s="38"/>
      <c r="J383" s="37"/>
      <c r="K383" s="37"/>
      <c r="L383" s="38"/>
      <c r="M383" s="37"/>
      <c r="N383" s="37"/>
      <c r="O383" s="36"/>
      <c r="P383" s="36"/>
      <c r="Q383" s="37"/>
      <c r="R383" s="38"/>
      <c r="S383" s="38"/>
    </row>
    <row r="384" customFormat="false" ht="27.75" hidden="false" customHeight="true" outlineLevel="0" collapsed="false">
      <c r="A384" s="36"/>
      <c r="B384" s="37"/>
      <c r="C384" s="37"/>
      <c r="D384" s="37"/>
      <c r="E384" s="37"/>
      <c r="F384" s="37"/>
      <c r="G384" s="37"/>
      <c r="H384" s="37"/>
      <c r="I384" s="38"/>
      <c r="J384" s="37"/>
      <c r="K384" s="37"/>
      <c r="L384" s="38"/>
      <c r="M384" s="37"/>
      <c r="N384" s="37"/>
      <c r="O384" s="36"/>
      <c r="P384" s="36"/>
      <c r="Q384" s="37"/>
      <c r="R384" s="38"/>
      <c r="S384" s="38"/>
    </row>
    <row r="385" customFormat="false" ht="27.75" hidden="false" customHeight="true" outlineLevel="0" collapsed="false">
      <c r="A385" s="36"/>
      <c r="B385" s="37"/>
      <c r="C385" s="37"/>
      <c r="D385" s="37"/>
      <c r="E385" s="37"/>
      <c r="F385" s="37"/>
      <c r="G385" s="37"/>
      <c r="H385" s="37"/>
      <c r="I385" s="38"/>
      <c r="J385" s="37"/>
      <c r="K385" s="37"/>
      <c r="L385" s="38"/>
      <c r="M385" s="37"/>
      <c r="N385" s="37"/>
      <c r="O385" s="36"/>
      <c r="P385" s="36"/>
      <c r="Q385" s="37"/>
      <c r="R385" s="38"/>
      <c r="S385" s="38"/>
    </row>
    <row r="386" customFormat="false" ht="27.75" hidden="false" customHeight="true" outlineLevel="0" collapsed="false">
      <c r="A386" s="36"/>
      <c r="B386" s="37"/>
      <c r="C386" s="37"/>
      <c r="D386" s="37"/>
      <c r="E386" s="37"/>
      <c r="F386" s="37"/>
      <c r="G386" s="37"/>
      <c r="H386" s="37"/>
      <c r="I386" s="38"/>
      <c r="J386" s="37"/>
      <c r="K386" s="37"/>
      <c r="L386" s="38"/>
      <c r="M386" s="37"/>
      <c r="N386" s="37"/>
      <c r="O386" s="36"/>
      <c r="P386" s="36"/>
      <c r="Q386" s="37"/>
      <c r="R386" s="38"/>
      <c r="S386" s="38"/>
    </row>
    <row r="387" customFormat="false" ht="27.75" hidden="false" customHeight="true" outlineLevel="0" collapsed="false">
      <c r="A387" s="36"/>
      <c r="B387" s="37"/>
      <c r="C387" s="37"/>
      <c r="D387" s="37"/>
      <c r="E387" s="37"/>
      <c r="F387" s="37"/>
      <c r="G387" s="37"/>
      <c r="H387" s="37"/>
      <c r="I387" s="38"/>
      <c r="J387" s="37"/>
      <c r="K387" s="37"/>
      <c r="L387" s="38"/>
      <c r="M387" s="37"/>
      <c r="N387" s="37"/>
      <c r="O387" s="36"/>
      <c r="P387" s="36"/>
      <c r="Q387" s="37"/>
      <c r="R387" s="38"/>
      <c r="S387" s="38"/>
    </row>
    <row r="388" customFormat="false" ht="27.75" hidden="false" customHeight="true" outlineLevel="0" collapsed="false">
      <c r="A388" s="36"/>
      <c r="B388" s="37"/>
      <c r="C388" s="37"/>
      <c r="D388" s="37"/>
      <c r="E388" s="37"/>
      <c r="F388" s="37"/>
      <c r="G388" s="37"/>
      <c r="H388" s="37"/>
      <c r="I388" s="38"/>
      <c r="J388" s="37"/>
      <c r="K388" s="37"/>
      <c r="L388" s="38"/>
      <c r="M388" s="37"/>
      <c r="N388" s="37"/>
      <c r="O388" s="36"/>
      <c r="P388" s="36"/>
      <c r="Q388" s="37"/>
      <c r="R388" s="38"/>
      <c r="S388" s="38"/>
    </row>
    <row r="389" customFormat="false" ht="27.75" hidden="false" customHeight="true" outlineLevel="0" collapsed="false">
      <c r="A389" s="36"/>
      <c r="B389" s="37"/>
      <c r="C389" s="37"/>
      <c r="D389" s="37"/>
      <c r="E389" s="37"/>
      <c r="F389" s="37"/>
      <c r="G389" s="37"/>
      <c r="H389" s="37"/>
      <c r="I389" s="38"/>
      <c r="J389" s="37"/>
      <c r="K389" s="37"/>
      <c r="L389" s="38"/>
      <c r="M389" s="37"/>
      <c r="N389" s="37"/>
      <c r="O389" s="36"/>
      <c r="P389" s="36"/>
      <c r="Q389" s="37"/>
      <c r="R389" s="38"/>
      <c r="S389" s="38"/>
    </row>
    <row r="390" customFormat="false" ht="27.75" hidden="false" customHeight="true" outlineLevel="0" collapsed="false">
      <c r="A390" s="36"/>
      <c r="B390" s="37"/>
      <c r="C390" s="37"/>
      <c r="D390" s="37"/>
      <c r="E390" s="37"/>
      <c r="F390" s="37"/>
      <c r="G390" s="37"/>
      <c r="H390" s="37"/>
      <c r="I390" s="38"/>
      <c r="J390" s="37"/>
      <c r="K390" s="37"/>
      <c r="L390" s="38"/>
      <c r="M390" s="37"/>
      <c r="N390" s="37"/>
      <c r="O390" s="36"/>
      <c r="P390" s="36"/>
      <c r="Q390" s="37"/>
      <c r="R390" s="38"/>
      <c r="S390" s="38"/>
    </row>
    <row r="391" customFormat="false" ht="27.75" hidden="false" customHeight="true" outlineLevel="0" collapsed="false">
      <c r="A391" s="36"/>
      <c r="B391" s="37"/>
      <c r="C391" s="37"/>
      <c r="D391" s="37"/>
      <c r="E391" s="37"/>
      <c r="F391" s="37"/>
      <c r="G391" s="37"/>
      <c r="H391" s="37"/>
      <c r="I391" s="38"/>
      <c r="J391" s="37"/>
      <c r="K391" s="37"/>
      <c r="L391" s="38"/>
      <c r="M391" s="37"/>
      <c r="N391" s="37"/>
      <c r="O391" s="36"/>
      <c r="P391" s="36"/>
      <c r="Q391" s="37"/>
      <c r="R391" s="38"/>
      <c r="S391" s="38"/>
    </row>
    <row r="392" customFormat="false" ht="27.75" hidden="false" customHeight="true" outlineLevel="0" collapsed="false">
      <c r="A392" s="36"/>
      <c r="B392" s="37"/>
      <c r="C392" s="37"/>
      <c r="D392" s="37"/>
      <c r="E392" s="37"/>
      <c r="F392" s="37"/>
      <c r="G392" s="37"/>
      <c r="H392" s="37"/>
      <c r="I392" s="38"/>
      <c r="J392" s="37"/>
      <c r="K392" s="37"/>
      <c r="L392" s="38"/>
      <c r="M392" s="37"/>
      <c r="N392" s="37"/>
      <c r="O392" s="36"/>
      <c r="P392" s="36"/>
      <c r="Q392" s="37"/>
      <c r="R392" s="38"/>
      <c r="S392" s="38"/>
    </row>
    <row r="393" customFormat="false" ht="27.75" hidden="false" customHeight="true" outlineLevel="0" collapsed="false">
      <c r="A393" s="36"/>
      <c r="B393" s="37"/>
      <c r="C393" s="37"/>
      <c r="D393" s="37"/>
      <c r="E393" s="37"/>
      <c r="F393" s="37"/>
      <c r="G393" s="37"/>
      <c r="H393" s="37"/>
      <c r="I393" s="38"/>
      <c r="J393" s="37"/>
      <c r="K393" s="37"/>
      <c r="L393" s="38"/>
      <c r="M393" s="37"/>
      <c r="N393" s="37"/>
      <c r="O393" s="36"/>
      <c r="P393" s="36"/>
      <c r="Q393" s="37"/>
      <c r="R393" s="38"/>
      <c r="S393" s="38"/>
    </row>
    <row r="394" customFormat="false" ht="27.75" hidden="false" customHeight="true" outlineLevel="0" collapsed="false">
      <c r="A394" s="36"/>
      <c r="B394" s="37"/>
      <c r="C394" s="37"/>
      <c r="D394" s="37"/>
      <c r="E394" s="37"/>
      <c r="F394" s="37"/>
      <c r="G394" s="37"/>
      <c r="H394" s="37"/>
      <c r="I394" s="38"/>
      <c r="J394" s="37"/>
      <c r="K394" s="37"/>
      <c r="L394" s="38"/>
      <c r="M394" s="37"/>
      <c r="N394" s="37"/>
      <c r="O394" s="36"/>
      <c r="P394" s="36"/>
      <c r="Q394" s="37"/>
      <c r="R394" s="38"/>
      <c r="S394" s="38"/>
    </row>
    <row r="395" customFormat="false" ht="27.75" hidden="false" customHeight="true" outlineLevel="0" collapsed="false">
      <c r="A395" s="36"/>
      <c r="B395" s="37"/>
      <c r="C395" s="37"/>
      <c r="D395" s="37"/>
      <c r="E395" s="37"/>
      <c r="F395" s="37"/>
      <c r="G395" s="37"/>
      <c r="H395" s="37"/>
      <c r="I395" s="38"/>
      <c r="J395" s="37"/>
      <c r="K395" s="37"/>
      <c r="L395" s="38"/>
      <c r="M395" s="37"/>
      <c r="N395" s="37"/>
      <c r="O395" s="36"/>
      <c r="P395" s="36"/>
      <c r="Q395" s="37"/>
      <c r="R395" s="38"/>
      <c r="S395" s="38"/>
    </row>
    <row r="396" customFormat="false" ht="27.75" hidden="false" customHeight="true" outlineLevel="0" collapsed="false">
      <c r="A396" s="36"/>
      <c r="B396" s="37"/>
      <c r="C396" s="37"/>
      <c r="D396" s="37"/>
      <c r="E396" s="37"/>
      <c r="F396" s="37"/>
      <c r="G396" s="37"/>
      <c r="H396" s="37"/>
      <c r="I396" s="38"/>
      <c r="J396" s="37"/>
      <c r="K396" s="37"/>
      <c r="L396" s="38"/>
      <c r="M396" s="37"/>
      <c r="N396" s="37"/>
      <c r="O396" s="36"/>
      <c r="P396" s="36"/>
      <c r="Q396" s="37"/>
      <c r="R396" s="38"/>
      <c r="S396" s="38"/>
    </row>
    <row r="397" customFormat="false" ht="27.75" hidden="false" customHeight="true" outlineLevel="0" collapsed="false">
      <c r="A397" s="36"/>
      <c r="B397" s="37"/>
      <c r="C397" s="37"/>
      <c r="D397" s="37"/>
      <c r="E397" s="37"/>
      <c r="F397" s="37"/>
      <c r="G397" s="37"/>
      <c r="H397" s="37"/>
      <c r="I397" s="38"/>
      <c r="J397" s="37"/>
      <c r="K397" s="37"/>
      <c r="L397" s="38"/>
      <c r="M397" s="37"/>
      <c r="N397" s="37"/>
      <c r="O397" s="36"/>
      <c r="P397" s="36"/>
      <c r="Q397" s="37"/>
      <c r="R397" s="38"/>
      <c r="S397" s="38"/>
    </row>
    <row r="398" customFormat="false" ht="27.75" hidden="false" customHeight="true" outlineLevel="0" collapsed="false">
      <c r="A398" s="36"/>
      <c r="B398" s="37"/>
      <c r="C398" s="37"/>
      <c r="D398" s="37"/>
      <c r="E398" s="37"/>
      <c r="F398" s="37"/>
      <c r="G398" s="37"/>
      <c r="H398" s="37"/>
      <c r="I398" s="38"/>
      <c r="J398" s="37"/>
      <c r="K398" s="37"/>
      <c r="L398" s="38"/>
      <c r="M398" s="37"/>
      <c r="N398" s="37"/>
      <c r="O398" s="36"/>
      <c r="P398" s="36"/>
      <c r="Q398" s="37"/>
      <c r="R398" s="38"/>
      <c r="S398" s="38"/>
    </row>
    <row r="399" customFormat="false" ht="27.75" hidden="false" customHeight="true" outlineLevel="0" collapsed="false">
      <c r="A399" s="36"/>
      <c r="B399" s="37"/>
      <c r="C399" s="37"/>
      <c r="D399" s="37"/>
      <c r="E399" s="37"/>
      <c r="F399" s="37"/>
      <c r="G399" s="37"/>
      <c r="H399" s="37"/>
      <c r="I399" s="38"/>
      <c r="J399" s="37"/>
      <c r="K399" s="37"/>
      <c r="L399" s="38"/>
      <c r="M399" s="37"/>
      <c r="N399" s="37"/>
      <c r="O399" s="36"/>
      <c r="P399" s="36"/>
      <c r="Q399" s="37"/>
      <c r="R399" s="38"/>
      <c r="S399" s="38"/>
    </row>
    <row r="400" customFormat="false" ht="27.75" hidden="false" customHeight="true" outlineLevel="0" collapsed="false">
      <c r="A400" s="36"/>
      <c r="B400" s="37"/>
      <c r="C400" s="37"/>
      <c r="D400" s="37"/>
      <c r="E400" s="37"/>
      <c r="F400" s="37"/>
      <c r="G400" s="37"/>
      <c r="H400" s="37"/>
      <c r="I400" s="38"/>
      <c r="J400" s="37"/>
      <c r="K400" s="37"/>
      <c r="L400" s="38"/>
      <c r="M400" s="37"/>
      <c r="N400" s="37"/>
      <c r="O400" s="36"/>
      <c r="P400" s="36"/>
      <c r="Q400" s="37"/>
      <c r="R400" s="38"/>
      <c r="S400" s="38"/>
    </row>
    <row r="401" customFormat="false" ht="27.75" hidden="false" customHeight="true" outlineLevel="0" collapsed="false">
      <c r="A401" s="36"/>
      <c r="B401" s="37"/>
      <c r="C401" s="37"/>
      <c r="D401" s="37"/>
      <c r="E401" s="37"/>
      <c r="F401" s="37"/>
      <c r="G401" s="37"/>
      <c r="H401" s="37"/>
      <c r="I401" s="38"/>
      <c r="J401" s="37"/>
      <c r="K401" s="37"/>
      <c r="L401" s="38"/>
      <c r="M401" s="37"/>
      <c r="N401" s="37"/>
      <c r="O401" s="36"/>
      <c r="P401" s="36"/>
      <c r="Q401" s="37"/>
      <c r="R401" s="38"/>
      <c r="S401" s="38"/>
    </row>
    <row r="402" customFormat="false" ht="27.75" hidden="false" customHeight="true" outlineLevel="0" collapsed="false">
      <c r="A402" s="36"/>
      <c r="B402" s="37"/>
      <c r="C402" s="37"/>
      <c r="D402" s="37"/>
      <c r="E402" s="37"/>
      <c r="F402" s="37"/>
      <c r="G402" s="37"/>
      <c r="H402" s="37"/>
      <c r="I402" s="38"/>
      <c r="J402" s="37"/>
      <c r="K402" s="37"/>
      <c r="L402" s="38"/>
      <c r="M402" s="37"/>
      <c r="N402" s="37"/>
      <c r="O402" s="36"/>
      <c r="P402" s="36"/>
      <c r="Q402" s="37"/>
      <c r="R402" s="38"/>
      <c r="S402" s="38"/>
    </row>
    <row r="403" customFormat="false" ht="27.75" hidden="false" customHeight="true" outlineLevel="0" collapsed="false">
      <c r="A403" s="36"/>
      <c r="B403" s="37"/>
      <c r="C403" s="37"/>
      <c r="D403" s="37"/>
      <c r="E403" s="37"/>
      <c r="F403" s="37"/>
      <c r="G403" s="37"/>
      <c r="H403" s="37"/>
      <c r="I403" s="38"/>
      <c r="J403" s="37"/>
      <c r="K403" s="37"/>
      <c r="L403" s="38"/>
      <c r="M403" s="37"/>
      <c r="N403" s="37"/>
      <c r="O403" s="36"/>
      <c r="P403" s="36"/>
      <c r="Q403" s="37"/>
      <c r="R403" s="38"/>
      <c r="S403" s="38"/>
    </row>
  </sheetData>
  <autoFilter ref="A3:S403"/>
  <mergeCells count="2">
    <mergeCell ref="A1:S1"/>
    <mergeCell ref="A2:S2"/>
  </mergeCells>
  <conditionalFormatting sqref="N4:N403">
    <cfRule type="cellIs" priority="2" operator="equal" aboveAverage="0" equalAverage="0" bottom="0" percent="0" rank="0" text="" dxfId="7">
      <formula>"Meeting Booked"</formula>
    </cfRule>
    <cfRule type="cellIs" priority="3" operator="equal" aboveAverage="0" equalAverage="0" bottom="0" percent="0" rank="0" text="" dxfId="6">
      <formula>"Declined"</formula>
    </cfRule>
  </conditionalFormatting>
  <dataValidations count="7">
    <dataValidation allowBlank="true" error="Please choose a value from the dropdown list." errorStyle="stop" errorTitle="Value not in list" operator="between" prompt="Choose from the Platform list" showDropDown="false" showErrorMessage="false" showInputMessage="false" sqref="C4:C403" type="list">
      <formula1>Lists!$J$4:$J$52</formula1>
      <formula2>0</formula2>
    </dataValidation>
    <dataValidation allowBlank="true" error="Please choose a value from the dropdown list." errorStyle="stop" errorTitle="Value not in list" operator="between" prompt="Choose from the Org Type list" showDropDown="false" showErrorMessage="false" showInputMessage="false" sqref="E4:E403" type="list">
      <formula1>Lists!$K$4:$K$14</formula1>
      <formula2>0</formula2>
    </dataValidation>
    <dataValidation allowBlank="true" error="Please choose a value from the dropdown list." errorStyle="stop" errorTitle="Value not in list" operator="between" prompt="Choose from the Action list" showDropDown="false" showErrorMessage="false" showInputMessage="false" sqref="J4:J403" type="list">
      <formula1>Lists!$L$4:$L$16</formula1>
      <formula2>0</formula2>
    </dataValidation>
    <dataValidation allowBlank="true" error="Please choose a value from the dropdown list." errorStyle="stop" errorTitle="Value not in list" operator="between" prompt="Choose from the Template Used list" showDropDown="false" showErrorMessage="false" showInputMessage="false" sqref="K4:K403" type="list">
      <formula1>Lists!$M$4:$M$19</formula1>
      <formula2>0</formula2>
    </dataValidation>
    <dataValidation allowBlank="true" error="Please choose a value from the dropdown list." errorStyle="stop" errorTitle="Value not in list" operator="between" prompt="Choose from the Status list" showDropDown="false" showErrorMessage="false" showInputMessage="false" sqref="M4:M403" type="list">
      <formula1>Lists!$A$4:$A$9</formula1>
      <formula2>0</formula2>
    </dataValidation>
    <dataValidation allowBlank="true" error="Please choose a value from the dropdown list." errorStyle="stop" errorTitle="Value not in list" operator="between" prompt="Choose from the Outcome list" showDropDown="false" showErrorMessage="false" showInputMessage="false" sqref="N4:N403" type="list">
      <formula1>Lists!$F$4:$F$13</formula1>
      <formula2>0</formula2>
    </dataValidation>
    <dataValidation allowBlank="true" error="Pick a name from the team roster on the START HERE tab." errorStyle="stop" errorTitle="Name not on the roster" operator="between" prompt="Choose the team member" showDropDown="false" showErrorMessage="false" showInputMessage="false" sqref="B4:B403" type="list">
      <formula1>'START HERE'!$B$55:$B$64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S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16"/>
    <col collapsed="false" customWidth="true" hidden="false" outlineLevel="0" max="4" min="4" style="1" width="22"/>
    <col collapsed="false" customWidth="true" hidden="false" outlineLevel="0" max="5" min="5" style="1" width="40"/>
    <col collapsed="false" customWidth="true" hidden="false" outlineLevel="0" max="7" min="6" style="1" width="30"/>
    <col collapsed="false" customWidth="true" hidden="false" outlineLevel="0" max="8" min="8" style="1" width="24"/>
    <col collapsed="false" customWidth="true" hidden="false" outlineLevel="0" max="10" min="9" style="1" width="10"/>
    <col collapsed="false" customWidth="true" hidden="false" outlineLevel="0" max="11" min="11" style="1" width="9"/>
    <col collapsed="false" customWidth="true" hidden="false" outlineLevel="0" max="13" min="12" style="1" width="10"/>
    <col collapsed="false" customWidth="true" hidden="false" outlineLevel="0" max="14" min="14" style="1" width="9"/>
    <col collapsed="false" customWidth="true" hidden="false" outlineLevel="0" max="15" min="15" style="1" width="10"/>
    <col collapsed="false" customWidth="true" hidden="false" outlineLevel="0" max="17" min="16" style="1" width="22"/>
    <col collapsed="false" customWidth="true" hidden="false" outlineLevel="0" max="18" min="18" style="1" width="34"/>
    <col collapsed="false" customWidth="true" hidden="false" outlineLevel="0" max="19" min="19" style="1" width="14"/>
  </cols>
  <sheetData>
    <row r="1" customFormat="false" ht="25.5" hidden="false" customHeight="true" outlineLevel="0" collapsed="false">
      <c r="A1" s="2" t="s">
        <v>1053</v>
      </c>
      <c r="B1" s="2"/>
      <c r="C1" s="2"/>
      <c r="D1" s="2"/>
      <c r="E1" s="2"/>
      <c r="F1" s="2"/>
      <c r="G1" s="2"/>
      <c r="H1" s="2"/>
      <c r="I1" s="2"/>
      <c r="J1" s="2"/>
      <c r="K1" s="2"/>
      <c r="L1" s="2"/>
      <c r="M1" s="2"/>
      <c r="N1" s="2"/>
      <c r="O1" s="2"/>
      <c r="P1" s="2"/>
      <c r="Q1" s="2"/>
      <c r="R1" s="2"/>
      <c r="S1" s="2"/>
    </row>
    <row r="2" customFormat="false" ht="18" hidden="false" customHeight="true" outlineLevel="0" collapsed="false">
      <c r="A2" s="3" t="s">
        <v>1054</v>
      </c>
      <c r="B2" s="3"/>
      <c r="C2" s="3"/>
      <c r="D2" s="3"/>
      <c r="E2" s="3"/>
      <c r="F2" s="3"/>
      <c r="G2" s="3"/>
      <c r="H2" s="3"/>
      <c r="I2" s="3"/>
      <c r="J2" s="3"/>
      <c r="K2" s="3"/>
      <c r="L2" s="3"/>
      <c r="M2" s="3"/>
      <c r="N2" s="3"/>
      <c r="O2" s="3"/>
      <c r="P2" s="3"/>
      <c r="Q2" s="3"/>
      <c r="R2" s="3"/>
      <c r="S2" s="3"/>
    </row>
    <row r="3" customFormat="false" ht="43.5" hidden="false" customHeight="true" outlineLevel="0" collapsed="false">
      <c r="A3" s="31" t="s">
        <v>1055</v>
      </c>
      <c r="B3" s="31" t="s">
        <v>1056</v>
      </c>
      <c r="C3" s="31" t="s">
        <v>187</v>
      </c>
      <c r="D3" s="31" t="s">
        <v>1057</v>
      </c>
      <c r="E3" s="31" t="s">
        <v>1058</v>
      </c>
      <c r="F3" s="31" t="s">
        <v>1059</v>
      </c>
      <c r="G3" s="31" t="s">
        <v>1060</v>
      </c>
      <c r="H3" s="31" t="s">
        <v>1061</v>
      </c>
      <c r="I3" s="31" t="s">
        <v>1062</v>
      </c>
      <c r="J3" s="31" t="s">
        <v>1063</v>
      </c>
      <c r="K3" s="31" t="s">
        <v>1064</v>
      </c>
      <c r="L3" s="31" t="s">
        <v>1065</v>
      </c>
      <c r="M3" s="31" t="s">
        <v>1066</v>
      </c>
      <c r="N3" s="31" t="s">
        <v>1067</v>
      </c>
      <c r="O3" s="31" t="s">
        <v>1068</v>
      </c>
      <c r="P3" s="31" t="s">
        <v>1069</v>
      </c>
      <c r="Q3" s="31" t="s">
        <v>202</v>
      </c>
      <c r="R3" s="31" t="s">
        <v>1070</v>
      </c>
      <c r="S3" s="31" t="s">
        <v>1071</v>
      </c>
    </row>
    <row r="4" customFormat="false" ht="39.75" hidden="false" customHeight="true" outlineLevel="0" collapsed="false">
      <c r="A4" s="78" t="str">
        <f aca="false">IF($E4="","","EXP-"&amp;TEXT(1,"000"))</f>
        <v>EXP-001</v>
      </c>
      <c r="B4" s="32" t="n">
        <v>46251</v>
      </c>
      <c r="C4" s="33" t="s">
        <v>68</v>
      </c>
      <c r="D4" s="33" t="s">
        <v>129</v>
      </c>
      <c r="E4" s="34" t="s">
        <v>1072</v>
      </c>
      <c r="F4" s="34" t="s">
        <v>1073</v>
      </c>
      <c r="G4" s="34" t="s">
        <v>1074</v>
      </c>
      <c r="H4" s="33" t="s">
        <v>266</v>
      </c>
      <c r="I4" s="48" t="n">
        <v>100</v>
      </c>
      <c r="J4" s="48" t="n">
        <v>24</v>
      </c>
      <c r="K4" s="70" t="n">
        <f aca="false">IFERROR(J4/I4,"")</f>
        <v>0.24</v>
      </c>
      <c r="L4" s="48" t="n">
        <v>100</v>
      </c>
      <c r="M4" s="48" t="n">
        <v>38</v>
      </c>
      <c r="N4" s="70" t="n">
        <f aca="false">IFERROR(M4/L4,"")</f>
        <v>0.38</v>
      </c>
      <c r="O4" s="70" t="n">
        <f aca="false">IFERROR(N4-K4,"")</f>
        <v>0.14</v>
      </c>
      <c r="P4" s="95" t="str">
        <f aca="false">IF(OR($I4="",$L4=""),"",IF(MIN($I4,$L4)&lt;30,"No - fewer than 30 in a group, this is noise",IF(ABS($O4)&lt;0.05,"No - the gap is too small to trust",IF(MIN($I4,$L4)&lt;100,"Maybe - directional only, keep running","Yes - act on it"))))</f>
        <v>Yes - act on it</v>
      </c>
      <c r="Q4" s="33" t="s">
        <v>1075</v>
      </c>
      <c r="R4" s="34"/>
      <c r="S4" s="33" t="s">
        <v>747</v>
      </c>
    </row>
    <row r="5" customFormat="false" ht="39.75" hidden="false" customHeight="true" outlineLevel="0" collapsed="false">
      <c r="A5" s="78" t="str">
        <f aca="false">IF($E5="","","EXP-"&amp;TEXT(2,"000"))</f>
        <v/>
      </c>
      <c r="B5" s="36"/>
      <c r="C5" s="37"/>
      <c r="D5" s="37"/>
      <c r="E5" s="38"/>
      <c r="F5" s="38"/>
      <c r="G5" s="38"/>
      <c r="H5" s="37"/>
      <c r="I5" s="44"/>
      <c r="J5" s="44"/>
      <c r="K5" s="70" t="str">
        <f aca="false">IFERROR(J5/I5,"")</f>
        <v/>
      </c>
      <c r="L5" s="44"/>
      <c r="M5" s="44"/>
      <c r="N5" s="70" t="str">
        <f aca="false">IFERROR(M5/L5,"")</f>
        <v/>
      </c>
      <c r="O5" s="70" t="str">
        <f aca="false">IFERROR(N5-K5,"")</f>
        <v/>
      </c>
      <c r="P5" s="95" t="str">
        <f aca="false">IF(OR($I5="",$L5=""),"",IF(MIN($I5,$L5)&lt;30,"No - fewer than 30 in a group, this is noise",IF(ABS($O5)&lt;0.05,"No - the gap is too small to trust",IF(MIN($I5,$L5)&lt;100,"Maybe - directional only, keep running","Yes - act on it"))))</f>
        <v/>
      </c>
      <c r="Q5" s="37"/>
      <c r="R5" s="38"/>
      <c r="S5" s="37"/>
    </row>
    <row r="6" customFormat="false" ht="39.75" hidden="false" customHeight="true" outlineLevel="0" collapsed="false">
      <c r="A6" s="78" t="str">
        <f aca="false">IF($E6="","","EXP-"&amp;TEXT(3,"000"))</f>
        <v/>
      </c>
      <c r="B6" s="36"/>
      <c r="C6" s="37"/>
      <c r="D6" s="37"/>
      <c r="E6" s="38"/>
      <c r="F6" s="38"/>
      <c r="G6" s="38"/>
      <c r="H6" s="37"/>
      <c r="I6" s="44"/>
      <c r="J6" s="44"/>
      <c r="K6" s="70" t="str">
        <f aca="false">IFERROR(J6/I6,"")</f>
        <v/>
      </c>
      <c r="L6" s="44"/>
      <c r="M6" s="44"/>
      <c r="N6" s="70" t="str">
        <f aca="false">IFERROR(M6/L6,"")</f>
        <v/>
      </c>
      <c r="O6" s="70" t="str">
        <f aca="false">IFERROR(N6-K6,"")</f>
        <v/>
      </c>
      <c r="P6" s="95" t="str">
        <f aca="false">IF(OR($I6="",$L6=""),"",IF(MIN($I6,$L6)&lt;30,"No - fewer than 30 in a group, this is noise",IF(ABS($O6)&lt;0.05,"No - the gap is too small to trust",IF(MIN($I6,$L6)&lt;100,"Maybe - directional only, keep running","Yes - act on it"))))</f>
        <v/>
      </c>
      <c r="Q6" s="37"/>
      <c r="R6" s="38"/>
      <c r="S6" s="37"/>
    </row>
    <row r="7" customFormat="false" ht="39.75" hidden="false" customHeight="true" outlineLevel="0" collapsed="false">
      <c r="A7" s="78" t="str">
        <f aca="false">IF($E7="","","EXP-"&amp;TEXT(4,"000"))</f>
        <v/>
      </c>
      <c r="B7" s="36"/>
      <c r="C7" s="37"/>
      <c r="D7" s="37"/>
      <c r="E7" s="38"/>
      <c r="F7" s="38"/>
      <c r="G7" s="38"/>
      <c r="H7" s="37"/>
      <c r="I7" s="44"/>
      <c r="J7" s="44"/>
      <c r="K7" s="70" t="str">
        <f aca="false">IFERROR(J7/I7,"")</f>
        <v/>
      </c>
      <c r="L7" s="44"/>
      <c r="M7" s="44"/>
      <c r="N7" s="70" t="str">
        <f aca="false">IFERROR(M7/L7,"")</f>
        <v/>
      </c>
      <c r="O7" s="70" t="str">
        <f aca="false">IFERROR(N7-K7,"")</f>
        <v/>
      </c>
      <c r="P7" s="95" t="str">
        <f aca="false">IF(OR($I7="",$L7=""),"",IF(MIN($I7,$L7)&lt;30,"No - fewer than 30 in a group, this is noise",IF(ABS($O7)&lt;0.05,"No - the gap is too small to trust",IF(MIN($I7,$L7)&lt;100,"Maybe - directional only, keep running","Yes - act on it"))))</f>
        <v/>
      </c>
      <c r="Q7" s="37"/>
      <c r="R7" s="38"/>
      <c r="S7" s="37"/>
    </row>
    <row r="8" customFormat="false" ht="39.75" hidden="false" customHeight="true" outlineLevel="0" collapsed="false">
      <c r="A8" s="78" t="str">
        <f aca="false">IF($E8="","","EXP-"&amp;TEXT(5,"000"))</f>
        <v/>
      </c>
      <c r="B8" s="36"/>
      <c r="C8" s="37"/>
      <c r="D8" s="37"/>
      <c r="E8" s="38"/>
      <c r="F8" s="38"/>
      <c r="G8" s="38"/>
      <c r="H8" s="37"/>
      <c r="I8" s="44"/>
      <c r="J8" s="44"/>
      <c r="K8" s="70" t="str">
        <f aca="false">IFERROR(J8/I8,"")</f>
        <v/>
      </c>
      <c r="L8" s="44"/>
      <c r="M8" s="44"/>
      <c r="N8" s="70" t="str">
        <f aca="false">IFERROR(M8/L8,"")</f>
        <v/>
      </c>
      <c r="O8" s="70" t="str">
        <f aca="false">IFERROR(N8-K8,"")</f>
        <v/>
      </c>
      <c r="P8" s="95" t="str">
        <f aca="false">IF(OR($I8="",$L8=""),"",IF(MIN($I8,$L8)&lt;30,"No - fewer than 30 in a group, this is noise",IF(ABS($O8)&lt;0.05,"No - the gap is too small to trust",IF(MIN($I8,$L8)&lt;100,"Maybe - directional only, keep running","Yes - act on it"))))</f>
        <v/>
      </c>
      <c r="Q8" s="37"/>
      <c r="R8" s="38"/>
      <c r="S8" s="37"/>
    </row>
    <row r="9" customFormat="false" ht="39.75" hidden="false" customHeight="true" outlineLevel="0" collapsed="false">
      <c r="A9" s="78" t="str">
        <f aca="false">IF($E9="","","EXP-"&amp;TEXT(6,"000"))</f>
        <v/>
      </c>
      <c r="B9" s="36"/>
      <c r="C9" s="37"/>
      <c r="D9" s="37"/>
      <c r="E9" s="38"/>
      <c r="F9" s="38"/>
      <c r="G9" s="38"/>
      <c r="H9" s="37"/>
      <c r="I9" s="44"/>
      <c r="J9" s="44"/>
      <c r="K9" s="70" t="str">
        <f aca="false">IFERROR(J9/I9,"")</f>
        <v/>
      </c>
      <c r="L9" s="44"/>
      <c r="M9" s="44"/>
      <c r="N9" s="70" t="str">
        <f aca="false">IFERROR(M9/L9,"")</f>
        <v/>
      </c>
      <c r="O9" s="70" t="str">
        <f aca="false">IFERROR(N9-K9,"")</f>
        <v/>
      </c>
      <c r="P9" s="95" t="str">
        <f aca="false">IF(OR($I9="",$L9=""),"",IF(MIN($I9,$L9)&lt;30,"No - fewer than 30 in a group, this is noise",IF(ABS($O9)&lt;0.05,"No - the gap is too small to trust",IF(MIN($I9,$L9)&lt;100,"Maybe - directional only, keep running","Yes - act on it"))))</f>
        <v/>
      </c>
      <c r="Q9" s="37"/>
      <c r="R9" s="38"/>
      <c r="S9" s="37"/>
    </row>
    <row r="10" customFormat="false" ht="39.75" hidden="false" customHeight="true" outlineLevel="0" collapsed="false">
      <c r="A10" s="78" t="str">
        <f aca="false">IF($E10="","","EXP-"&amp;TEXT(7,"000"))</f>
        <v/>
      </c>
      <c r="B10" s="36"/>
      <c r="C10" s="37"/>
      <c r="D10" s="37"/>
      <c r="E10" s="38"/>
      <c r="F10" s="38"/>
      <c r="G10" s="38"/>
      <c r="H10" s="37"/>
      <c r="I10" s="44"/>
      <c r="J10" s="44"/>
      <c r="K10" s="70" t="str">
        <f aca="false">IFERROR(J10/I10,"")</f>
        <v/>
      </c>
      <c r="L10" s="44"/>
      <c r="M10" s="44"/>
      <c r="N10" s="70" t="str">
        <f aca="false">IFERROR(M10/L10,"")</f>
        <v/>
      </c>
      <c r="O10" s="70" t="str">
        <f aca="false">IFERROR(N10-K10,"")</f>
        <v/>
      </c>
      <c r="P10" s="95" t="str">
        <f aca="false">IF(OR($I10="",$L10=""),"",IF(MIN($I10,$L10)&lt;30,"No - fewer than 30 in a group, this is noise",IF(ABS($O10)&lt;0.05,"No - the gap is too small to trust",IF(MIN($I10,$L10)&lt;100,"Maybe - directional only, keep running","Yes - act on it"))))</f>
        <v/>
      </c>
      <c r="Q10" s="37"/>
      <c r="R10" s="38"/>
      <c r="S10" s="37"/>
    </row>
    <row r="11" customFormat="false" ht="39.75" hidden="false" customHeight="true" outlineLevel="0" collapsed="false">
      <c r="A11" s="78" t="str">
        <f aca="false">IF($E11="","","EXP-"&amp;TEXT(8,"000"))</f>
        <v/>
      </c>
      <c r="B11" s="36"/>
      <c r="C11" s="37"/>
      <c r="D11" s="37"/>
      <c r="E11" s="38"/>
      <c r="F11" s="38"/>
      <c r="G11" s="38"/>
      <c r="H11" s="37"/>
      <c r="I11" s="44"/>
      <c r="J11" s="44"/>
      <c r="K11" s="70" t="str">
        <f aca="false">IFERROR(J11/I11,"")</f>
        <v/>
      </c>
      <c r="L11" s="44"/>
      <c r="M11" s="44"/>
      <c r="N11" s="70" t="str">
        <f aca="false">IFERROR(M11/L11,"")</f>
        <v/>
      </c>
      <c r="O11" s="70" t="str">
        <f aca="false">IFERROR(N11-K11,"")</f>
        <v/>
      </c>
      <c r="P11" s="95" t="str">
        <f aca="false">IF(OR($I11="",$L11=""),"",IF(MIN($I11,$L11)&lt;30,"No - fewer than 30 in a group, this is noise",IF(ABS($O11)&lt;0.05,"No - the gap is too small to trust",IF(MIN($I11,$L11)&lt;100,"Maybe - directional only, keep running","Yes - act on it"))))</f>
        <v/>
      </c>
      <c r="Q11" s="37"/>
      <c r="R11" s="38"/>
      <c r="S11" s="37"/>
    </row>
    <row r="12" customFormat="false" ht="39.75" hidden="false" customHeight="true" outlineLevel="0" collapsed="false">
      <c r="A12" s="78" t="str">
        <f aca="false">IF($E12="","","EXP-"&amp;TEXT(9,"000"))</f>
        <v/>
      </c>
      <c r="B12" s="36"/>
      <c r="C12" s="37"/>
      <c r="D12" s="37"/>
      <c r="E12" s="38"/>
      <c r="F12" s="38"/>
      <c r="G12" s="38"/>
      <c r="H12" s="37"/>
      <c r="I12" s="44"/>
      <c r="J12" s="44"/>
      <c r="K12" s="70" t="str">
        <f aca="false">IFERROR(J12/I12,"")</f>
        <v/>
      </c>
      <c r="L12" s="44"/>
      <c r="M12" s="44"/>
      <c r="N12" s="70" t="str">
        <f aca="false">IFERROR(M12/L12,"")</f>
        <v/>
      </c>
      <c r="O12" s="70" t="str">
        <f aca="false">IFERROR(N12-K12,"")</f>
        <v/>
      </c>
      <c r="P12" s="95" t="str">
        <f aca="false">IF(OR($I12="",$L12=""),"",IF(MIN($I12,$L12)&lt;30,"No - fewer than 30 in a group, this is noise",IF(ABS($O12)&lt;0.05,"No - the gap is too small to trust",IF(MIN($I12,$L12)&lt;100,"Maybe - directional only, keep running","Yes - act on it"))))</f>
        <v/>
      </c>
      <c r="Q12" s="37"/>
      <c r="R12" s="38"/>
      <c r="S12" s="37"/>
    </row>
    <row r="13" customFormat="false" ht="39.75" hidden="false" customHeight="true" outlineLevel="0" collapsed="false">
      <c r="A13" s="78" t="str">
        <f aca="false">IF($E13="","","EXP-"&amp;TEXT(10,"000"))</f>
        <v/>
      </c>
      <c r="B13" s="36"/>
      <c r="C13" s="37"/>
      <c r="D13" s="37"/>
      <c r="E13" s="38"/>
      <c r="F13" s="38"/>
      <c r="G13" s="38"/>
      <c r="H13" s="37"/>
      <c r="I13" s="44"/>
      <c r="J13" s="44"/>
      <c r="K13" s="70" t="str">
        <f aca="false">IFERROR(J13/I13,"")</f>
        <v/>
      </c>
      <c r="L13" s="44"/>
      <c r="M13" s="44"/>
      <c r="N13" s="70" t="str">
        <f aca="false">IFERROR(M13/L13,"")</f>
        <v/>
      </c>
      <c r="O13" s="70" t="str">
        <f aca="false">IFERROR(N13-K13,"")</f>
        <v/>
      </c>
      <c r="P13" s="95" t="str">
        <f aca="false">IF(OR($I13="",$L13=""),"",IF(MIN($I13,$L13)&lt;30,"No - fewer than 30 in a group, this is noise",IF(ABS($O13)&lt;0.05,"No - the gap is too small to trust",IF(MIN($I13,$L13)&lt;100,"Maybe - directional only, keep running","Yes - act on it"))))</f>
        <v/>
      </c>
      <c r="Q13" s="37"/>
      <c r="R13" s="38"/>
      <c r="S13" s="37"/>
    </row>
    <row r="14" customFormat="false" ht="39.75" hidden="false" customHeight="true" outlineLevel="0" collapsed="false">
      <c r="A14" s="78" t="str">
        <f aca="false">IF($E14="","","EXP-"&amp;TEXT(11,"000"))</f>
        <v/>
      </c>
      <c r="B14" s="36"/>
      <c r="C14" s="37"/>
      <c r="D14" s="37"/>
      <c r="E14" s="38"/>
      <c r="F14" s="38"/>
      <c r="G14" s="38"/>
      <c r="H14" s="37"/>
      <c r="I14" s="44"/>
      <c r="J14" s="44"/>
      <c r="K14" s="70" t="str">
        <f aca="false">IFERROR(J14/I14,"")</f>
        <v/>
      </c>
      <c r="L14" s="44"/>
      <c r="M14" s="44"/>
      <c r="N14" s="70" t="str">
        <f aca="false">IFERROR(M14/L14,"")</f>
        <v/>
      </c>
      <c r="O14" s="70" t="str">
        <f aca="false">IFERROR(N14-K14,"")</f>
        <v/>
      </c>
      <c r="P14" s="95" t="str">
        <f aca="false">IF(OR($I14="",$L14=""),"",IF(MIN($I14,$L14)&lt;30,"No - fewer than 30 in a group, this is noise",IF(ABS($O14)&lt;0.05,"No - the gap is too small to trust",IF(MIN($I14,$L14)&lt;100,"Maybe - directional only, keep running","Yes - act on it"))))</f>
        <v/>
      </c>
      <c r="Q14" s="37"/>
      <c r="R14" s="38"/>
      <c r="S14" s="37"/>
    </row>
    <row r="15" customFormat="false" ht="39.75" hidden="false" customHeight="true" outlineLevel="0" collapsed="false">
      <c r="A15" s="78" t="str">
        <f aca="false">IF($E15="","","EXP-"&amp;TEXT(12,"000"))</f>
        <v/>
      </c>
      <c r="B15" s="36"/>
      <c r="C15" s="37"/>
      <c r="D15" s="37"/>
      <c r="E15" s="38"/>
      <c r="F15" s="38"/>
      <c r="G15" s="38"/>
      <c r="H15" s="37"/>
      <c r="I15" s="44"/>
      <c r="J15" s="44"/>
      <c r="K15" s="70" t="str">
        <f aca="false">IFERROR(J15/I15,"")</f>
        <v/>
      </c>
      <c r="L15" s="44"/>
      <c r="M15" s="44"/>
      <c r="N15" s="70" t="str">
        <f aca="false">IFERROR(M15/L15,"")</f>
        <v/>
      </c>
      <c r="O15" s="70" t="str">
        <f aca="false">IFERROR(N15-K15,"")</f>
        <v/>
      </c>
      <c r="P15" s="95" t="str">
        <f aca="false">IF(OR($I15="",$L15=""),"",IF(MIN($I15,$L15)&lt;30,"No - fewer than 30 in a group, this is noise",IF(ABS($O15)&lt;0.05,"No - the gap is too small to trust",IF(MIN($I15,$L15)&lt;100,"Maybe - directional only, keep running","Yes - act on it"))))</f>
        <v/>
      </c>
      <c r="Q15" s="37"/>
      <c r="R15" s="38"/>
      <c r="S15" s="37"/>
    </row>
    <row r="16" customFormat="false" ht="39.75" hidden="false" customHeight="true" outlineLevel="0" collapsed="false">
      <c r="A16" s="78" t="str">
        <f aca="false">IF($E16="","","EXP-"&amp;TEXT(13,"000"))</f>
        <v/>
      </c>
      <c r="B16" s="36"/>
      <c r="C16" s="37"/>
      <c r="D16" s="37"/>
      <c r="E16" s="38"/>
      <c r="F16" s="38"/>
      <c r="G16" s="38"/>
      <c r="H16" s="37"/>
      <c r="I16" s="44"/>
      <c r="J16" s="44"/>
      <c r="K16" s="70" t="str">
        <f aca="false">IFERROR(J16/I16,"")</f>
        <v/>
      </c>
      <c r="L16" s="44"/>
      <c r="M16" s="44"/>
      <c r="N16" s="70" t="str">
        <f aca="false">IFERROR(M16/L16,"")</f>
        <v/>
      </c>
      <c r="O16" s="70" t="str">
        <f aca="false">IFERROR(N16-K16,"")</f>
        <v/>
      </c>
      <c r="P16" s="95" t="str">
        <f aca="false">IF(OR($I16="",$L16=""),"",IF(MIN($I16,$L16)&lt;30,"No - fewer than 30 in a group, this is noise",IF(ABS($O16)&lt;0.05,"No - the gap is too small to trust",IF(MIN($I16,$L16)&lt;100,"Maybe - directional only, keep running","Yes - act on it"))))</f>
        <v/>
      </c>
      <c r="Q16" s="37"/>
      <c r="R16" s="38"/>
      <c r="S16" s="37"/>
    </row>
    <row r="17" customFormat="false" ht="39.75" hidden="false" customHeight="true" outlineLevel="0" collapsed="false">
      <c r="A17" s="78" t="str">
        <f aca="false">IF($E17="","","EXP-"&amp;TEXT(14,"000"))</f>
        <v/>
      </c>
      <c r="B17" s="36"/>
      <c r="C17" s="37"/>
      <c r="D17" s="37"/>
      <c r="E17" s="38"/>
      <c r="F17" s="38"/>
      <c r="G17" s="38"/>
      <c r="H17" s="37"/>
      <c r="I17" s="44"/>
      <c r="J17" s="44"/>
      <c r="K17" s="70" t="str">
        <f aca="false">IFERROR(J17/I17,"")</f>
        <v/>
      </c>
      <c r="L17" s="44"/>
      <c r="M17" s="44"/>
      <c r="N17" s="70" t="str">
        <f aca="false">IFERROR(M17/L17,"")</f>
        <v/>
      </c>
      <c r="O17" s="70" t="str">
        <f aca="false">IFERROR(N17-K17,"")</f>
        <v/>
      </c>
      <c r="P17" s="95" t="str">
        <f aca="false">IF(OR($I17="",$L17=""),"",IF(MIN($I17,$L17)&lt;30,"No - fewer than 30 in a group, this is noise",IF(ABS($O17)&lt;0.05,"No - the gap is too small to trust",IF(MIN($I17,$L17)&lt;100,"Maybe - directional only, keep running","Yes - act on it"))))</f>
        <v/>
      </c>
      <c r="Q17" s="37"/>
      <c r="R17" s="38"/>
      <c r="S17" s="37"/>
    </row>
    <row r="18" customFormat="false" ht="39.75" hidden="false" customHeight="true" outlineLevel="0" collapsed="false">
      <c r="A18" s="78" t="str">
        <f aca="false">IF($E18="","","EXP-"&amp;TEXT(15,"000"))</f>
        <v/>
      </c>
      <c r="B18" s="36"/>
      <c r="C18" s="37"/>
      <c r="D18" s="37"/>
      <c r="E18" s="38"/>
      <c r="F18" s="38"/>
      <c r="G18" s="38"/>
      <c r="H18" s="37"/>
      <c r="I18" s="44"/>
      <c r="J18" s="44"/>
      <c r="K18" s="70" t="str">
        <f aca="false">IFERROR(J18/I18,"")</f>
        <v/>
      </c>
      <c r="L18" s="44"/>
      <c r="M18" s="44"/>
      <c r="N18" s="70" t="str">
        <f aca="false">IFERROR(M18/L18,"")</f>
        <v/>
      </c>
      <c r="O18" s="70" t="str">
        <f aca="false">IFERROR(N18-K18,"")</f>
        <v/>
      </c>
      <c r="P18" s="95" t="str">
        <f aca="false">IF(OR($I18="",$L18=""),"",IF(MIN($I18,$L18)&lt;30,"No - fewer than 30 in a group, this is noise",IF(ABS($O18)&lt;0.05,"No - the gap is too small to trust",IF(MIN($I18,$L18)&lt;100,"Maybe - directional only, keep running","Yes - act on it"))))</f>
        <v/>
      </c>
      <c r="Q18" s="37"/>
      <c r="R18" s="38"/>
      <c r="S18" s="37"/>
    </row>
    <row r="19" customFormat="false" ht="39.75" hidden="false" customHeight="true" outlineLevel="0" collapsed="false">
      <c r="A19" s="78" t="str">
        <f aca="false">IF($E19="","","EXP-"&amp;TEXT(16,"000"))</f>
        <v/>
      </c>
      <c r="B19" s="36"/>
      <c r="C19" s="37"/>
      <c r="D19" s="37"/>
      <c r="E19" s="38"/>
      <c r="F19" s="38"/>
      <c r="G19" s="38"/>
      <c r="H19" s="37"/>
      <c r="I19" s="44"/>
      <c r="J19" s="44"/>
      <c r="K19" s="70" t="str">
        <f aca="false">IFERROR(J19/I19,"")</f>
        <v/>
      </c>
      <c r="L19" s="44"/>
      <c r="M19" s="44"/>
      <c r="N19" s="70" t="str">
        <f aca="false">IFERROR(M19/L19,"")</f>
        <v/>
      </c>
      <c r="O19" s="70" t="str">
        <f aca="false">IFERROR(N19-K19,"")</f>
        <v/>
      </c>
      <c r="P19" s="95" t="str">
        <f aca="false">IF(OR($I19="",$L19=""),"",IF(MIN($I19,$L19)&lt;30,"No - fewer than 30 in a group, this is noise",IF(ABS($O19)&lt;0.05,"No - the gap is too small to trust",IF(MIN($I19,$L19)&lt;100,"Maybe - directional only, keep running","Yes - act on it"))))</f>
        <v/>
      </c>
      <c r="Q19" s="37"/>
      <c r="R19" s="38"/>
      <c r="S19" s="37"/>
    </row>
    <row r="20" customFormat="false" ht="39.75" hidden="false" customHeight="true" outlineLevel="0" collapsed="false">
      <c r="A20" s="78" t="str">
        <f aca="false">IF($E20="","","EXP-"&amp;TEXT(17,"000"))</f>
        <v/>
      </c>
      <c r="B20" s="36"/>
      <c r="C20" s="37"/>
      <c r="D20" s="37"/>
      <c r="E20" s="38"/>
      <c r="F20" s="38"/>
      <c r="G20" s="38"/>
      <c r="H20" s="37"/>
      <c r="I20" s="44"/>
      <c r="J20" s="44"/>
      <c r="K20" s="70" t="str">
        <f aca="false">IFERROR(J20/I20,"")</f>
        <v/>
      </c>
      <c r="L20" s="44"/>
      <c r="M20" s="44"/>
      <c r="N20" s="70" t="str">
        <f aca="false">IFERROR(M20/L20,"")</f>
        <v/>
      </c>
      <c r="O20" s="70" t="str">
        <f aca="false">IFERROR(N20-K20,"")</f>
        <v/>
      </c>
      <c r="P20" s="95" t="str">
        <f aca="false">IF(OR($I20="",$L20=""),"",IF(MIN($I20,$L20)&lt;30,"No - fewer than 30 in a group, this is noise",IF(ABS($O20)&lt;0.05,"No - the gap is too small to trust",IF(MIN($I20,$L20)&lt;100,"Maybe - directional only, keep running","Yes - act on it"))))</f>
        <v/>
      </c>
      <c r="Q20" s="37"/>
      <c r="R20" s="38"/>
      <c r="S20" s="37"/>
    </row>
    <row r="21" customFormat="false" ht="39.75" hidden="false" customHeight="true" outlineLevel="0" collapsed="false">
      <c r="A21" s="78" t="str">
        <f aca="false">IF($E21="","","EXP-"&amp;TEXT(18,"000"))</f>
        <v/>
      </c>
      <c r="B21" s="36"/>
      <c r="C21" s="37"/>
      <c r="D21" s="37"/>
      <c r="E21" s="38"/>
      <c r="F21" s="38"/>
      <c r="G21" s="38"/>
      <c r="H21" s="37"/>
      <c r="I21" s="44"/>
      <c r="J21" s="44"/>
      <c r="K21" s="70" t="str">
        <f aca="false">IFERROR(J21/I21,"")</f>
        <v/>
      </c>
      <c r="L21" s="44"/>
      <c r="M21" s="44"/>
      <c r="N21" s="70" t="str">
        <f aca="false">IFERROR(M21/L21,"")</f>
        <v/>
      </c>
      <c r="O21" s="70" t="str">
        <f aca="false">IFERROR(N21-K21,"")</f>
        <v/>
      </c>
      <c r="P21" s="95" t="str">
        <f aca="false">IF(OR($I21="",$L21=""),"",IF(MIN($I21,$L21)&lt;30,"No - fewer than 30 in a group, this is noise",IF(ABS($O21)&lt;0.05,"No - the gap is too small to trust",IF(MIN($I21,$L21)&lt;100,"Maybe - directional only, keep running","Yes - act on it"))))</f>
        <v/>
      </c>
      <c r="Q21" s="37"/>
      <c r="R21" s="38"/>
      <c r="S21" s="37"/>
    </row>
    <row r="22" customFormat="false" ht="39.75" hidden="false" customHeight="true" outlineLevel="0" collapsed="false">
      <c r="A22" s="78" t="str">
        <f aca="false">IF($E22="","","EXP-"&amp;TEXT(19,"000"))</f>
        <v/>
      </c>
      <c r="B22" s="36"/>
      <c r="C22" s="37"/>
      <c r="D22" s="37"/>
      <c r="E22" s="38"/>
      <c r="F22" s="38"/>
      <c r="G22" s="38"/>
      <c r="H22" s="37"/>
      <c r="I22" s="44"/>
      <c r="J22" s="44"/>
      <c r="K22" s="70" t="str">
        <f aca="false">IFERROR(J22/I22,"")</f>
        <v/>
      </c>
      <c r="L22" s="44"/>
      <c r="M22" s="44"/>
      <c r="N22" s="70" t="str">
        <f aca="false">IFERROR(M22/L22,"")</f>
        <v/>
      </c>
      <c r="O22" s="70" t="str">
        <f aca="false">IFERROR(N22-K22,"")</f>
        <v/>
      </c>
      <c r="P22" s="95" t="str">
        <f aca="false">IF(OR($I22="",$L22=""),"",IF(MIN($I22,$L22)&lt;30,"No - fewer than 30 in a group, this is noise",IF(ABS($O22)&lt;0.05,"No - the gap is too small to trust",IF(MIN($I22,$L22)&lt;100,"Maybe - directional only, keep running","Yes - act on it"))))</f>
        <v/>
      </c>
      <c r="Q22" s="37"/>
      <c r="R22" s="38"/>
      <c r="S22" s="37"/>
    </row>
    <row r="23" customFormat="false" ht="39.75" hidden="false" customHeight="true" outlineLevel="0" collapsed="false">
      <c r="A23" s="78" t="str">
        <f aca="false">IF($E23="","","EXP-"&amp;TEXT(20,"000"))</f>
        <v/>
      </c>
      <c r="B23" s="36"/>
      <c r="C23" s="37"/>
      <c r="D23" s="37"/>
      <c r="E23" s="38"/>
      <c r="F23" s="38"/>
      <c r="G23" s="38"/>
      <c r="H23" s="37"/>
      <c r="I23" s="44"/>
      <c r="J23" s="44"/>
      <c r="K23" s="70" t="str">
        <f aca="false">IFERROR(J23/I23,"")</f>
        <v/>
      </c>
      <c r="L23" s="44"/>
      <c r="M23" s="44"/>
      <c r="N23" s="70" t="str">
        <f aca="false">IFERROR(M23/L23,"")</f>
        <v/>
      </c>
      <c r="O23" s="70" t="str">
        <f aca="false">IFERROR(N23-K23,"")</f>
        <v/>
      </c>
      <c r="P23" s="95" t="str">
        <f aca="false">IF(OR($I23="",$L23=""),"",IF(MIN($I23,$L23)&lt;30,"No - fewer than 30 in a group, this is noise",IF(ABS($O23)&lt;0.05,"No - the gap is too small to trust",IF(MIN($I23,$L23)&lt;100,"Maybe - directional only, keep running","Yes - act on it"))))</f>
        <v/>
      </c>
      <c r="Q23" s="37"/>
      <c r="R23" s="38"/>
      <c r="S23" s="37"/>
    </row>
    <row r="24" customFormat="false" ht="39.75" hidden="false" customHeight="true" outlineLevel="0" collapsed="false">
      <c r="A24" s="78" t="str">
        <f aca="false">IF($E24="","","EXP-"&amp;TEXT(21,"000"))</f>
        <v/>
      </c>
      <c r="B24" s="36"/>
      <c r="C24" s="37"/>
      <c r="D24" s="37"/>
      <c r="E24" s="38"/>
      <c r="F24" s="38"/>
      <c r="G24" s="38"/>
      <c r="H24" s="37"/>
      <c r="I24" s="44"/>
      <c r="J24" s="44"/>
      <c r="K24" s="70" t="str">
        <f aca="false">IFERROR(J24/I24,"")</f>
        <v/>
      </c>
      <c r="L24" s="44"/>
      <c r="M24" s="44"/>
      <c r="N24" s="70" t="str">
        <f aca="false">IFERROR(M24/L24,"")</f>
        <v/>
      </c>
      <c r="O24" s="70" t="str">
        <f aca="false">IFERROR(N24-K24,"")</f>
        <v/>
      </c>
      <c r="P24" s="95" t="str">
        <f aca="false">IF(OR($I24="",$L24=""),"",IF(MIN($I24,$L24)&lt;30,"No - fewer than 30 in a group, this is noise",IF(ABS($O24)&lt;0.05,"No - the gap is too small to trust",IF(MIN($I24,$L24)&lt;100,"Maybe - directional only, keep running","Yes - act on it"))))</f>
        <v/>
      </c>
      <c r="Q24" s="37"/>
      <c r="R24" s="38"/>
      <c r="S24" s="37"/>
    </row>
    <row r="25" customFormat="false" ht="39.75" hidden="false" customHeight="true" outlineLevel="0" collapsed="false">
      <c r="A25" s="78" t="str">
        <f aca="false">IF($E25="","","EXP-"&amp;TEXT(22,"000"))</f>
        <v/>
      </c>
      <c r="B25" s="36"/>
      <c r="C25" s="37"/>
      <c r="D25" s="37"/>
      <c r="E25" s="38"/>
      <c r="F25" s="38"/>
      <c r="G25" s="38"/>
      <c r="H25" s="37"/>
      <c r="I25" s="44"/>
      <c r="J25" s="44"/>
      <c r="K25" s="70" t="str">
        <f aca="false">IFERROR(J25/I25,"")</f>
        <v/>
      </c>
      <c r="L25" s="44"/>
      <c r="M25" s="44"/>
      <c r="N25" s="70" t="str">
        <f aca="false">IFERROR(M25/L25,"")</f>
        <v/>
      </c>
      <c r="O25" s="70" t="str">
        <f aca="false">IFERROR(N25-K25,"")</f>
        <v/>
      </c>
      <c r="P25" s="95" t="str">
        <f aca="false">IF(OR($I25="",$L25=""),"",IF(MIN($I25,$L25)&lt;30,"No - fewer than 30 in a group, this is noise",IF(ABS($O25)&lt;0.05,"No - the gap is too small to trust",IF(MIN($I25,$L25)&lt;100,"Maybe - directional only, keep running","Yes - act on it"))))</f>
        <v/>
      </c>
      <c r="Q25" s="37"/>
      <c r="R25" s="38"/>
      <c r="S25" s="37"/>
    </row>
    <row r="26" customFormat="false" ht="39.75" hidden="false" customHeight="true" outlineLevel="0" collapsed="false">
      <c r="A26" s="78" t="str">
        <f aca="false">IF($E26="","","EXP-"&amp;TEXT(23,"000"))</f>
        <v/>
      </c>
      <c r="B26" s="36"/>
      <c r="C26" s="37"/>
      <c r="D26" s="37"/>
      <c r="E26" s="38"/>
      <c r="F26" s="38"/>
      <c r="G26" s="38"/>
      <c r="H26" s="37"/>
      <c r="I26" s="44"/>
      <c r="J26" s="44"/>
      <c r="K26" s="70" t="str">
        <f aca="false">IFERROR(J26/I26,"")</f>
        <v/>
      </c>
      <c r="L26" s="44"/>
      <c r="M26" s="44"/>
      <c r="N26" s="70" t="str">
        <f aca="false">IFERROR(M26/L26,"")</f>
        <v/>
      </c>
      <c r="O26" s="70" t="str">
        <f aca="false">IFERROR(N26-K26,"")</f>
        <v/>
      </c>
      <c r="P26" s="95" t="str">
        <f aca="false">IF(OR($I26="",$L26=""),"",IF(MIN($I26,$L26)&lt;30,"No - fewer than 30 in a group, this is noise",IF(ABS($O26)&lt;0.05,"No - the gap is too small to trust",IF(MIN($I26,$L26)&lt;100,"Maybe - directional only, keep running","Yes - act on it"))))</f>
        <v/>
      </c>
      <c r="Q26" s="37"/>
      <c r="R26" s="38"/>
      <c r="S26" s="37"/>
    </row>
    <row r="27" customFormat="false" ht="39.75" hidden="false" customHeight="true" outlineLevel="0" collapsed="false">
      <c r="A27" s="78" t="str">
        <f aca="false">IF($E27="","","EXP-"&amp;TEXT(24,"000"))</f>
        <v/>
      </c>
      <c r="B27" s="36"/>
      <c r="C27" s="37"/>
      <c r="D27" s="37"/>
      <c r="E27" s="38"/>
      <c r="F27" s="38"/>
      <c r="G27" s="38"/>
      <c r="H27" s="37"/>
      <c r="I27" s="44"/>
      <c r="J27" s="44"/>
      <c r="K27" s="70" t="str">
        <f aca="false">IFERROR(J27/I27,"")</f>
        <v/>
      </c>
      <c r="L27" s="44"/>
      <c r="M27" s="44"/>
      <c r="N27" s="70" t="str">
        <f aca="false">IFERROR(M27/L27,"")</f>
        <v/>
      </c>
      <c r="O27" s="70" t="str">
        <f aca="false">IFERROR(N27-K27,"")</f>
        <v/>
      </c>
      <c r="P27" s="95" t="str">
        <f aca="false">IF(OR($I27="",$L27=""),"",IF(MIN($I27,$L27)&lt;30,"No - fewer than 30 in a group, this is noise",IF(ABS($O27)&lt;0.05,"No - the gap is too small to trust",IF(MIN($I27,$L27)&lt;100,"Maybe - directional only, keep running","Yes - act on it"))))</f>
        <v/>
      </c>
      <c r="Q27" s="37"/>
      <c r="R27" s="38"/>
      <c r="S27" s="37"/>
    </row>
    <row r="28" customFormat="false" ht="39.75" hidden="false" customHeight="true" outlineLevel="0" collapsed="false">
      <c r="A28" s="78" t="str">
        <f aca="false">IF($E28="","","EXP-"&amp;TEXT(25,"000"))</f>
        <v/>
      </c>
      <c r="B28" s="36"/>
      <c r="C28" s="37"/>
      <c r="D28" s="37"/>
      <c r="E28" s="38"/>
      <c r="F28" s="38"/>
      <c r="G28" s="38"/>
      <c r="H28" s="37"/>
      <c r="I28" s="44"/>
      <c r="J28" s="44"/>
      <c r="K28" s="70" t="str">
        <f aca="false">IFERROR(J28/I28,"")</f>
        <v/>
      </c>
      <c r="L28" s="44"/>
      <c r="M28" s="44"/>
      <c r="N28" s="70" t="str">
        <f aca="false">IFERROR(M28/L28,"")</f>
        <v/>
      </c>
      <c r="O28" s="70" t="str">
        <f aca="false">IFERROR(N28-K28,"")</f>
        <v/>
      </c>
      <c r="P28" s="95" t="str">
        <f aca="false">IF(OR($I28="",$L28=""),"",IF(MIN($I28,$L28)&lt;30,"No - fewer than 30 in a group, this is noise",IF(ABS($O28)&lt;0.05,"No - the gap is too small to trust",IF(MIN($I28,$L28)&lt;100,"Maybe - directional only, keep running","Yes - act on it"))))</f>
        <v/>
      </c>
      <c r="Q28" s="37"/>
      <c r="R28" s="38"/>
      <c r="S28" s="37"/>
    </row>
    <row r="29" customFormat="false" ht="39.75" hidden="false" customHeight="true" outlineLevel="0" collapsed="false">
      <c r="A29" s="78" t="str">
        <f aca="false">IF($E29="","","EXP-"&amp;TEXT(26,"000"))</f>
        <v/>
      </c>
      <c r="B29" s="36"/>
      <c r="C29" s="37"/>
      <c r="D29" s="37"/>
      <c r="E29" s="38"/>
      <c r="F29" s="38"/>
      <c r="G29" s="38"/>
      <c r="H29" s="37"/>
      <c r="I29" s="44"/>
      <c r="J29" s="44"/>
      <c r="K29" s="70" t="str">
        <f aca="false">IFERROR(J29/I29,"")</f>
        <v/>
      </c>
      <c r="L29" s="44"/>
      <c r="M29" s="44"/>
      <c r="N29" s="70" t="str">
        <f aca="false">IFERROR(M29/L29,"")</f>
        <v/>
      </c>
      <c r="O29" s="70" t="str">
        <f aca="false">IFERROR(N29-K29,"")</f>
        <v/>
      </c>
      <c r="P29" s="95" t="str">
        <f aca="false">IF(OR($I29="",$L29=""),"",IF(MIN($I29,$L29)&lt;30,"No - fewer than 30 in a group, this is noise",IF(ABS($O29)&lt;0.05,"No - the gap is too small to trust",IF(MIN($I29,$L29)&lt;100,"Maybe - directional only, keep running","Yes - act on it"))))</f>
        <v/>
      </c>
      <c r="Q29" s="37"/>
      <c r="R29" s="38"/>
      <c r="S29" s="37"/>
    </row>
    <row r="30" customFormat="false" ht="39.75" hidden="false" customHeight="true" outlineLevel="0" collapsed="false">
      <c r="A30" s="78" t="str">
        <f aca="false">IF($E30="","","EXP-"&amp;TEXT(27,"000"))</f>
        <v/>
      </c>
      <c r="B30" s="36"/>
      <c r="C30" s="37"/>
      <c r="D30" s="37"/>
      <c r="E30" s="38"/>
      <c r="F30" s="38"/>
      <c r="G30" s="38"/>
      <c r="H30" s="37"/>
      <c r="I30" s="44"/>
      <c r="J30" s="44"/>
      <c r="K30" s="70" t="str">
        <f aca="false">IFERROR(J30/I30,"")</f>
        <v/>
      </c>
      <c r="L30" s="44"/>
      <c r="M30" s="44"/>
      <c r="N30" s="70" t="str">
        <f aca="false">IFERROR(M30/L30,"")</f>
        <v/>
      </c>
      <c r="O30" s="70" t="str">
        <f aca="false">IFERROR(N30-K30,"")</f>
        <v/>
      </c>
      <c r="P30" s="95" t="str">
        <f aca="false">IF(OR($I30="",$L30=""),"",IF(MIN($I30,$L30)&lt;30,"No - fewer than 30 in a group, this is noise",IF(ABS($O30)&lt;0.05,"No - the gap is too small to trust",IF(MIN($I30,$L30)&lt;100,"Maybe - directional only, keep running","Yes - act on it"))))</f>
        <v/>
      </c>
      <c r="Q30" s="37"/>
      <c r="R30" s="38"/>
      <c r="S30" s="37"/>
    </row>
    <row r="31" customFormat="false" ht="39.75" hidden="false" customHeight="true" outlineLevel="0" collapsed="false">
      <c r="A31" s="78" t="str">
        <f aca="false">IF($E31="","","EXP-"&amp;TEXT(28,"000"))</f>
        <v/>
      </c>
      <c r="B31" s="36"/>
      <c r="C31" s="37"/>
      <c r="D31" s="37"/>
      <c r="E31" s="38"/>
      <c r="F31" s="38"/>
      <c r="G31" s="38"/>
      <c r="H31" s="37"/>
      <c r="I31" s="44"/>
      <c r="J31" s="44"/>
      <c r="K31" s="70" t="str">
        <f aca="false">IFERROR(J31/I31,"")</f>
        <v/>
      </c>
      <c r="L31" s="44"/>
      <c r="M31" s="44"/>
      <c r="N31" s="70" t="str">
        <f aca="false">IFERROR(M31/L31,"")</f>
        <v/>
      </c>
      <c r="O31" s="70" t="str">
        <f aca="false">IFERROR(N31-K31,"")</f>
        <v/>
      </c>
      <c r="P31" s="95" t="str">
        <f aca="false">IF(OR($I31="",$L31=""),"",IF(MIN($I31,$L31)&lt;30,"No - fewer than 30 in a group, this is noise",IF(ABS($O31)&lt;0.05,"No - the gap is too small to trust",IF(MIN($I31,$L31)&lt;100,"Maybe - directional only, keep running","Yes - act on it"))))</f>
        <v/>
      </c>
      <c r="Q31" s="37"/>
      <c r="R31" s="38"/>
      <c r="S31" s="37"/>
    </row>
    <row r="32" customFormat="false" ht="39.75" hidden="false" customHeight="true" outlineLevel="0" collapsed="false">
      <c r="A32" s="78" t="str">
        <f aca="false">IF($E32="","","EXP-"&amp;TEXT(29,"000"))</f>
        <v/>
      </c>
      <c r="B32" s="36"/>
      <c r="C32" s="37"/>
      <c r="D32" s="37"/>
      <c r="E32" s="38"/>
      <c r="F32" s="38"/>
      <c r="G32" s="38"/>
      <c r="H32" s="37"/>
      <c r="I32" s="44"/>
      <c r="J32" s="44"/>
      <c r="K32" s="70" t="str">
        <f aca="false">IFERROR(J32/I32,"")</f>
        <v/>
      </c>
      <c r="L32" s="44"/>
      <c r="M32" s="44"/>
      <c r="N32" s="70" t="str">
        <f aca="false">IFERROR(M32/L32,"")</f>
        <v/>
      </c>
      <c r="O32" s="70" t="str">
        <f aca="false">IFERROR(N32-K32,"")</f>
        <v/>
      </c>
      <c r="P32" s="95" t="str">
        <f aca="false">IF(OR($I32="",$L32=""),"",IF(MIN($I32,$L32)&lt;30,"No - fewer than 30 in a group, this is noise",IF(ABS($O32)&lt;0.05,"No - the gap is too small to trust",IF(MIN($I32,$L32)&lt;100,"Maybe - directional only, keep running","Yes - act on it"))))</f>
        <v/>
      </c>
      <c r="Q32" s="37"/>
      <c r="R32" s="38"/>
      <c r="S32" s="37"/>
    </row>
    <row r="33" customFormat="false" ht="39.75" hidden="false" customHeight="true" outlineLevel="0" collapsed="false">
      <c r="A33" s="78" t="str">
        <f aca="false">IF($E33="","","EXP-"&amp;TEXT(30,"000"))</f>
        <v/>
      </c>
      <c r="B33" s="36"/>
      <c r="C33" s="37"/>
      <c r="D33" s="37"/>
      <c r="E33" s="38"/>
      <c r="F33" s="38"/>
      <c r="G33" s="38"/>
      <c r="H33" s="37"/>
      <c r="I33" s="44"/>
      <c r="J33" s="44"/>
      <c r="K33" s="70" t="str">
        <f aca="false">IFERROR(J33/I33,"")</f>
        <v/>
      </c>
      <c r="L33" s="44"/>
      <c r="M33" s="44"/>
      <c r="N33" s="70" t="str">
        <f aca="false">IFERROR(M33/L33,"")</f>
        <v/>
      </c>
      <c r="O33" s="70" t="str">
        <f aca="false">IFERROR(N33-K33,"")</f>
        <v/>
      </c>
      <c r="P33" s="95" t="str">
        <f aca="false">IF(OR($I33="",$L33=""),"",IF(MIN($I33,$L33)&lt;30,"No - fewer than 30 in a group, this is noise",IF(ABS($O33)&lt;0.05,"No - the gap is too small to trust",IF(MIN($I33,$L33)&lt;100,"Maybe - directional only, keep running","Yes - act on it"))))</f>
        <v/>
      </c>
      <c r="Q33" s="37"/>
      <c r="R33" s="38"/>
      <c r="S33" s="37"/>
    </row>
    <row r="34" customFormat="false" ht="39.75" hidden="false" customHeight="true" outlineLevel="0" collapsed="false">
      <c r="A34" s="78" t="str">
        <f aca="false">IF($E34="","","EXP-"&amp;TEXT(31,"000"))</f>
        <v/>
      </c>
      <c r="B34" s="36"/>
      <c r="C34" s="37"/>
      <c r="D34" s="37"/>
      <c r="E34" s="38"/>
      <c r="F34" s="38"/>
      <c r="G34" s="38"/>
      <c r="H34" s="37"/>
      <c r="I34" s="44"/>
      <c r="J34" s="44"/>
      <c r="K34" s="70" t="str">
        <f aca="false">IFERROR(J34/I34,"")</f>
        <v/>
      </c>
      <c r="L34" s="44"/>
      <c r="M34" s="44"/>
      <c r="N34" s="70" t="str">
        <f aca="false">IFERROR(M34/L34,"")</f>
        <v/>
      </c>
      <c r="O34" s="70" t="str">
        <f aca="false">IFERROR(N34-K34,"")</f>
        <v/>
      </c>
      <c r="P34" s="95" t="str">
        <f aca="false">IF(OR($I34="",$L34=""),"",IF(MIN($I34,$L34)&lt;30,"No - fewer than 30 in a group, this is noise",IF(ABS($O34)&lt;0.05,"No - the gap is too small to trust",IF(MIN($I34,$L34)&lt;100,"Maybe - directional only, keep running","Yes - act on it"))))</f>
        <v/>
      </c>
      <c r="Q34" s="37"/>
      <c r="R34" s="38"/>
      <c r="S34" s="37"/>
    </row>
    <row r="35" customFormat="false" ht="39.75" hidden="false" customHeight="true" outlineLevel="0" collapsed="false">
      <c r="A35" s="78" t="str">
        <f aca="false">IF($E35="","","EXP-"&amp;TEXT(32,"000"))</f>
        <v/>
      </c>
      <c r="B35" s="36"/>
      <c r="C35" s="37"/>
      <c r="D35" s="37"/>
      <c r="E35" s="38"/>
      <c r="F35" s="38"/>
      <c r="G35" s="38"/>
      <c r="H35" s="37"/>
      <c r="I35" s="44"/>
      <c r="J35" s="44"/>
      <c r="K35" s="70" t="str">
        <f aca="false">IFERROR(J35/I35,"")</f>
        <v/>
      </c>
      <c r="L35" s="44"/>
      <c r="M35" s="44"/>
      <c r="N35" s="70" t="str">
        <f aca="false">IFERROR(M35/L35,"")</f>
        <v/>
      </c>
      <c r="O35" s="70" t="str">
        <f aca="false">IFERROR(N35-K35,"")</f>
        <v/>
      </c>
      <c r="P35" s="95" t="str">
        <f aca="false">IF(OR($I35="",$L35=""),"",IF(MIN($I35,$L35)&lt;30,"No - fewer than 30 in a group, this is noise",IF(ABS($O35)&lt;0.05,"No - the gap is too small to trust",IF(MIN($I35,$L35)&lt;100,"Maybe - directional only, keep running","Yes - act on it"))))</f>
        <v/>
      </c>
      <c r="Q35" s="37"/>
      <c r="R35" s="38"/>
      <c r="S35" s="37"/>
    </row>
    <row r="36" customFormat="false" ht="39.75" hidden="false" customHeight="true" outlineLevel="0" collapsed="false">
      <c r="A36" s="78" t="str">
        <f aca="false">IF($E36="","","EXP-"&amp;TEXT(33,"000"))</f>
        <v/>
      </c>
      <c r="B36" s="36"/>
      <c r="C36" s="37"/>
      <c r="D36" s="37"/>
      <c r="E36" s="38"/>
      <c r="F36" s="38"/>
      <c r="G36" s="38"/>
      <c r="H36" s="37"/>
      <c r="I36" s="44"/>
      <c r="J36" s="44"/>
      <c r="K36" s="70" t="str">
        <f aca="false">IFERROR(J36/I36,"")</f>
        <v/>
      </c>
      <c r="L36" s="44"/>
      <c r="M36" s="44"/>
      <c r="N36" s="70" t="str">
        <f aca="false">IFERROR(M36/L36,"")</f>
        <v/>
      </c>
      <c r="O36" s="70" t="str">
        <f aca="false">IFERROR(N36-K36,"")</f>
        <v/>
      </c>
      <c r="P36" s="95" t="str">
        <f aca="false">IF(OR($I36="",$L36=""),"",IF(MIN($I36,$L36)&lt;30,"No - fewer than 30 in a group, this is noise",IF(ABS($O36)&lt;0.05,"No - the gap is too small to trust",IF(MIN($I36,$L36)&lt;100,"Maybe - directional only, keep running","Yes - act on it"))))</f>
        <v/>
      </c>
      <c r="Q36" s="37"/>
      <c r="R36" s="38"/>
      <c r="S36" s="37"/>
    </row>
    <row r="37" customFormat="false" ht="39.75" hidden="false" customHeight="true" outlineLevel="0" collapsed="false">
      <c r="A37" s="78" t="str">
        <f aca="false">IF($E37="","","EXP-"&amp;TEXT(34,"000"))</f>
        <v/>
      </c>
      <c r="B37" s="36"/>
      <c r="C37" s="37"/>
      <c r="D37" s="37"/>
      <c r="E37" s="38"/>
      <c r="F37" s="38"/>
      <c r="G37" s="38"/>
      <c r="H37" s="37"/>
      <c r="I37" s="44"/>
      <c r="J37" s="44"/>
      <c r="K37" s="70" t="str">
        <f aca="false">IFERROR(J37/I37,"")</f>
        <v/>
      </c>
      <c r="L37" s="44"/>
      <c r="M37" s="44"/>
      <c r="N37" s="70" t="str">
        <f aca="false">IFERROR(M37/L37,"")</f>
        <v/>
      </c>
      <c r="O37" s="70" t="str">
        <f aca="false">IFERROR(N37-K37,"")</f>
        <v/>
      </c>
      <c r="P37" s="95" t="str">
        <f aca="false">IF(OR($I37="",$L37=""),"",IF(MIN($I37,$L37)&lt;30,"No - fewer than 30 in a group, this is noise",IF(ABS($O37)&lt;0.05,"No - the gap is too small to trust",IF(MIN($I37,$L37)&lt;100,"Maybe - directional only, keep running","Yes - act on it"))))</f>
        <v/>
      </c>
      <c r="Q37" s="37"/>
      <c r="R37" s="38"/>
      <c r="S37" s="37"/>
    </row>
    <row r="38" customFormat="false" ht="39.75" hidden="false" customHeight="true" outlineLevel="0" collapsed="false">
      <c r="A38" s="78" t="str">
        <f aca="false">IF($E38="","","EXP-"&amp;TEXT(35,"000"))</f>
        <v/>
      </c>
      <c r="B38" s="36"/>
      <c r="C38" s="37"/>
      <c r="D38" s="37"/>
      <c r="E38" s="38"/>
      <c r="F38" s="38"/>
      <c r="G38" s="38"/>
      <c r="H38" s="37"/>
      <c r="I38" s="44"/>
      <c r="J38" s="44"/>
      <c r="K38" s="70" t="str">
        <f aca="false">IFERROR(J38/I38,"")</f>
        <v/>
      </c>
      <c r="L38" s="44"/>
      <c r="M38" s="44"/>
      <c r="N38" s="70" t="str">
        <f aca="false">IFERROR(M38/L38,"")</f>
        <v/>
      </c>
      <c r="O38" s="70" t="str">
        <f aca="false">IFERROR(N38-K38,"")</f>
        <v/>
      </c>
      <c r="P38" s="95" t="str">
        <f aca="false">IF(OR($I38="",$L38=""),"",IF(MIN($I38,$L38)&lt;30,"No - fewer than 30 in a group, this is noise",IF(ABS($O38)&lt;0.05,"No - the gap is too small to trust",IF(MIN($I38,$L38)&lt;100,"Maybe - directional only, keep running","Yes - act on it"))))</f>
        <v/>
      </c>
      <c r="Q38" s="37"/>
      <c r="R38" s="38"/>
      <c r="S38" s="37"/>
    </row>
    <row r="39" customFormat="false" ht="39.75" hidden="false" customHeight="true" outlineLevel="0" collapsed="false">
      <c r="A39" s="78" t="str">
        <f aca="false">IF($E39="","","EXP-"&amp;TEXT(36,"000"))</f>
        <v/>
      </c>
      <c r="B39" s="36"/>
      <c r="C39" s="37"/>
      <c r="D39" s="37"/>
      <c r="E39" s="38"/>
      <c r="F39" s="38"/>
      <c r="G39" s="38"/>
      <c r="H39" s="37"/>
      <c r="I39" s="44"/>
      <c r="J39" s="44"/>
      <c r="K39" s="70" t="str">
        <f aca="false">IFERROR(J39/I39,"")</f>
        <v/>
      </c>
      <c r="L39" s="44"/>
      <c r="M39" s="44"/>
      <c r="N39" s="70" t="str">
        <f aca="false">IFERROR(M39/L39,"")</f>
        <v/>
      </c>
      <c r="O39" s="70" t="str">
        <f aca="false">IFERROR(N39-K39,"")</f>
        <v/>
      </c>
      <c r="P39" s="95" t="str">
        <f aca="false">IF(OR($I39="",$L39=""),"",IF(MIN($I39,$L39)&lt;30,"No - fewer than 30 in a group, this is noise",IF(ABS($O39)&lt;0.05,"No - the gap is too small to trust",IF(MIN($I39,$L39)&lt;100,"Maybe - directional only, keep running","Yes - act on it"))))</f>
        <v/>
      </c>
      <c r="Q39" s="37"/>
      <c r="R39" s="38"/>
      <c r="S39" s="37"/>
    </row>
    <row r="40" customFormat="false" ht="39.75" hidden="false" customHeight="true" outlineLevel="0" collapsed="false">
      <c r="A40" s="78" t="str">
        <f aca="false">IF($E40="","","EXP-"&amp;TEXT(37,"000"))</f>
        <v/>
      </c>
      <c r="B40" s="36"/>
      <c r="C40" s="37"/>
      <c r="D40" s="37"/>
      <c r="E40" s="38"/>
      <c r="F40" s="38"/>
      <c r="G40" s="38"/>
      <c r="H40" s="37"/>
      <c r="I40" s="44"/>
      <c r="J40" s="44"/>
      <c r="K40" s="70" t="str">
        <f aca="false">IFERROR(J40/I40,"")</f>
        <v/>
      </c>
      <c r="L40" s="44"/>
      <c r="M40" s="44"/>
      <c r="N40" s="70" t="str">
        <f aca="false">IFERROR(M40/L40,"")</f>
        <v/>
      </c>
      <c r="O40" s="70" t="str">
        <f aca="false">IFERROR(N40-K40,"")</f>
        <v/>
      </c>
      <c r="P40" s="95" t="str">
        <f aca="false">IF(OR($I40="",$L40=""),"",IF(MIN($I40,$L40)&lt;30,"No - fewer than 30 in a group, this is noise",IF(ABS($O40)&lt;0.05,"No - the gap is too small to trust",IF(MIN($I40,$L40)&lt;100,"Maybe - directional only, keep running","Yes - act on it"))))</f>
        <v/>
      </c>
      <c r="Q40" s="37"/>
      <c r="R40" s="38"/>
      <c r="S40" s="37"/>
    </row>
    <row r="41" customFormat="false" ht="39.75" hidden="false" customHeight="true" outlineLevel="0" collapsed="false">
      <c r="A41" s="78" t="str">
        <f aca="false">IF($E41="","","EXP-"&amp;TEXT(38,"000"))</f>
        <v/>
      </c>
      <c r="B41" s="36"/>
      <c r="C41" s="37"/>
      <c r="D41" s="37"/>
      <c r="E41" s="38"/>
      <c r="F41" s="38"/>
      <c r="G41" s="38"/>
      <c r="H41" s="37"/>
      <c r="I41" s="44"/>
      <c r="J41" s="44"/>
      <c r="K41" s="70" t="str">
        <f aca="false">IFERROR(J41/I41,"")</f>
        <v/>
      </c>
      <c r="L41" s="44"/>
      <c r="M41" s="44"/>
      <c r="N41" s="70" t="str">
        <f aca="false">IFERROR(M41/L41,"")</f>
        <v/>
      </c>
      <c r="O41" s="70" t="str">
        <f aca="false">IFERROR(N41-K41,"")</f>
        <v/>
      </c>
      <c r="P41" s="95" t="str">
        <f aca="false">IF(OR($I41="",$L41=""),"",IF(MIN($I41,$L41)&lt;30,"No - fewer than 30 in a group, this is noise",IF(ABS($O41)&lt;0.05,"No - the gap is too small to trust",IF(MIN($I41,$L41)&lt;100,"Maybe - directional only, keep running","Yes - act on it"))))</f>
        <v/>
      </c>
      <c r="Q41" s="37"/>
      <c r="R41" s="38"/>
      <c r="S41" s="37"/>
    </row>
    <row r="42" customFormat="false" ht="39.75" hidden="false" customHeight="true" outlineLevel="0" collapsed="false">
      <c r="A42" s="78" t="str">
        <f aca="false">IF($E42="","","EXP-"&amp;TEXT(39,"000"))</f>
        <v/>
      </c>
      <c r="B42" s="36"/>
      <c r="C42" s="37"/>
      <c r="D42" s="37"/>
      <c r="E42" s="38"/>
      <c r="F42" s="38"/>
      <c r="G42" s="38"/>
      <c r="H42" s="37"/>
      <c r="I42" s="44"/>
      <c r="J42" s="44"/>
      <c r="K42" s="70" t="str">
        <f aca="false">IFERROR(J42/I42,"")</f>
        <v/>
      </c>
      <c r="L42" s="44"/>
      <c r="M42" s="44"/>
      <c r="N42" s="70" t="str">
        <f aca="false">IFERROR(M42/L42,"")</f>
        <v/>
      </c>
      <c r="O42" s="70" t="str">
        <f aca="false">IFERROR(N42-K42,"")</f>
        <v/>
      </c>
      <c r="P42" s="95" t="str">
        <f aca="false">IF(OR($I42="",$L42=""),"",IF(MIN($I42,$L42)&lt;30,"No - fewer than 30 in a group, this is noise",IF(ABS($O42)&lt;0.05,"No - the gap is too small to trust",IF(MIN($I42,$L42)&lt;100,"Maybe - directional only, keep running","Yes - act on it"))))</f>
        <v/>
      </c>
      <c r="Q42" s="37"/>
      <c r="R42" s="38"/>
      <c r="S42" s="37"/>
    </row>
    <row r="43" customFormat="false" ht="39.75" hidden="false" customHeight="true" outlineLevel="0" collapsed="false">
      <c r="A43" s="78" t="str">
        <f aca="false">IF($E43="","","EXP-"&amp;TEXT(40,"000"))</f>
        <v/>
      </c>
      <c r="B43" s="36"/>
      <c r="C43" s="37"/>
      <c r="D43" s="37"/>
      <c r="E43" s="38"/>
      <c r="F43" s="38"/>
      <c r="G43" s="38"/>
      <c r="H43" s="37"/>
      <c r="I43" s="44"/>
      <c r="J43" s="44"/>
      <c r="K43" s="70" t="str">
        <f aca="false">IFERROR(J43/I43,"")</f>
        <v/>
      </c>
      <c r="L43" s="44"/>
      <c r="M43" s="44"/>
      <c r="N43" s="70" t="str">
        <f aca="false">IFERROR(M43/L43,"")</f>
        <v/>
      </c>
      <c r="O43" s="70" t="str">
        <f aca="false">IFERROR(N43-K43,"")</f>
        <v/>
      </c>
      <c r="P43" s="95" t="str">
        <f aca="false">IF(OR($I43="",$L43=""),"",IF(MIN($I43,$L43)&lt;30,"No - fewer than 30 in a group, this is noise",IF(ABS($O43)&lt;0.05,"No - the gap is too small to trust",IF(MIN($I43,$L43)&lt;100,"Maybe - directional only, keep running","Yes - act on it"))))</f>
        <v/>
      </c>
      <c r="Q43" s="37"/>
      <c r="R43" s="38"/>
      <c r="S43" s="37"/>
    </row>
    <row r="44" customFormat="false" ht="39.75" hidden="false" customHeight="true" outlineLevel="0" collapsed="false">
      <c r="A44" s="78" t="str">
        <f aca="false">IF($E44="","","EXP-"&amp;TEXT(41,"000"))</f>
        <v/>
      </c>
      <c r="B44" s="36"/>
      <c r="C44" s="37"/>
      <c r="D44" s="37"/>
      <c r="E44" s="38"/>
      <c r="F44" s="38"/>
      <c r="G44" s="38"/>
      <c r="H44" s="37"/>
      <c r="I44" s="44"/>
      <c r="J44" s="44"/>
      <c r="K44" s="70" t="str">
        <f aca="false">IFERROR(J44/I44,"")</f>
        <v/>
      </c>
      <c r="L44" s="44"/>
      <c r="M44" s="44"/>
      <c r="N44" s="70" t="str">
        <f aca="false">IFERROR(M44/L44,"")</f>
        <v/>
      </c>
      <c r="O44" s="70" t="str">
        <f aca="false">IFERROR(N44-K44,"")</f>
        <v/>
      </c>
      <c r="P44" s="95" t="str">
        <f aca="false">IF(OR($I44="",$L44=""),"",IF(MIN($I44,$L44)&lt;30,"No - fewer than 30 in a group, this is noise",IF(ABS($O44)&lt;0.05,"No - the gap is too small to trust",IF(MIN($I44,$L44)&lt;100,"Maybe - directional only, keep running","Yes - act on it"))))</f>
        <v/>
      </c>
      <c r="Q44" s="37"/>
      <c r="R44" s="38"/>
      <c r="S44" s="37"/>
    </row>
    <row r="45" customFormat="false" ht="39.75" hidden="false" customHeight="true" outlineLevel="0" collapsed="false">
      <c r="A45" s="78" t="str">
        <f aca="false">IF($E45="","","EXP-"&amp;TEXT(42,"000"))</f>
        <v/>
      </c>
      <c r="B45" s="36"/>
      <c r="C45" s="37"/>
      <c r="D45" s="37"/>
      <c r="E45" s="38"/>
      <c r="F45" s="38"/>
      <c r="G45" s="38"/>
      <c r="H45" s="37"/>
      <c r="I45" s="44"/>
      <c r="J45" s="44"/>
      <c r="K45" s="70" t="str">
        <f aca="false">IFERROR(J45/I45,"")</f>
        <v/>
      </c>
      <c r="L45" s="44"/>
      <c r="M45" s="44"/>
      <c r="N45" s="70" t="str">
        <f aca="false">IFERROR(M45/L45,"")</f>
        <v/>
      </c>
      <c r="O45" s="70" t="str">
        <f aca="false">IFERROR(N45-K45,"")</f>
        <v/>
      </c>
      <c r="P45" s="95" t="str">
        <f aca="false">IF(OR($I45="",$L45=""),"",IF(MIN($I45,$L45)&lt;30,"No - fewer than 30 in a group, this is noise",IF(ABS($O45)&lt;0.05,"No - the gap is too small to trust",IF(MIN($I45,$L45)&lt;100,"Maybe - directional only, keep running","Yes - act on it"))))</f>
        <v/>
      </c>
      <c r="Q45" s="37"/>
      <c r="R45" s="38"/>
      <c r="S45" s="37"/>
    </row>
    <row r="46" customFormat="false" ht="39.75" hidden="false" customHeight="true" outlineLevel="0" collapsed="false">
      <c r="A46" s="78" t="str">
        <f aca="false">IF($E46="","","EXP-"&amp;TEXT(43,"000"))</f>
        <v/>
      </c>
      <c r="B46" s="36"/>
      <c r="C46" s="37"/>
      <c r="D46" s="37"/>
      <c r="E46" s="38"/>
      <c r="F46" s="38"/>
      <c r="G46" s="38"/>
      <c r="H46" s="37"/>
      <c r="I46" s="44"/>
      <c r="J46" s="44"/>
      <c r="K46" s="70" t="str">
        <f aca="false">IFERROR(J46/I46,"")</f>
        <v/>
      </c>
      <c r="L46" s="44"/>
      <c r="M46" s="44"/>
      <c r="N46" s="70" t="str">
        <f aca="false">IFERROR(M46/L46,"")</f>
        <v/>
      </c>
      <c r="O46" s="70" t="str">
        <f aca="false">IFERROR(N46-K46,"")</f>
        <v/>
      </c>
      <c r="P46" s="95" t="str">
        <f aca="false">IF(OR($I46="",$L46=""),"",IF(MIN($I46,$L46)&lt;30,"No - fewer than 30 in a group, this is noise",IF(ABS($O46)&lt;0.05,"No - the gap is too small to trust",IF(MIN($I46,$L46)&lt;100,"Maybe - directional only, keep running","Yes - act on it"))))</f>
        <v/>
      </c>
      <c r="Q46" s="37"/>
      <c r="R46" s="38"/>
      <c r="S46" s="37"/>
    </row>
    <row r="47" customFormat="false" ht="39.75" hidden="false" customHeight="true" outlineLevel="0" collapsed="false">
      <c r="A47" s="78" t="str">
        <f aca="false">IF($E47="","","EXP-"&amp;TEXT(44,"000"))</f>
        <v/>
      </c>
      <c r="B47" s="36"/>
      <c r="C47" s="37"/>
      <c r="D47" s="37"/>
      <c r="E47" s="38"/>
      <c r="F47" s="38"/>
      <c r="G47" s="38"/>
      <c r="H47" s="37"/>
      <c r="I47" s="44"/>
      <c r="J47" s="44"/>
      <c r="K47" s="70" t="str">
        <f aca="false">IFERROR(J47/I47,"")</f>
        <v/>
      </c>
      <c r="L47" s="44"/>
      <c r="M47" s="44"/>
      <c r="N47" s="70" t="str">
        <f aca="false">IFERROR(M47/L47,"")</f>
        <v/>
      </c>
      <c r="O47" s="70" t="str">
        <f aca="false">IFERROR(N47-K47,"")</f>
        <v/>
      </c>
      <c r="P47" s="95" t="str">
        <f aca="false">IF(OR($I47="",$L47=""),"",IF(MIN($I47,$L47)&lt;30,"No - fewer than 30 in a group, this is noise",IF(ABS($O47)&lt;0.05,"No - the gap is too small to trust",IF(MIN($I47,$L47)&lt;100,"Maybe - directional only, keep running","Yes - act on it"))))</f>
        <v/>
      </c>
      <c r="Q47" s="37"/>
      <c r="R47" s="38"/>
      <c r="S47" s="37"/>
    </row>
    <row r="48" customFormat="false" ht="39.75" hidden="false" customHeight="true" outlineLevel="0" collapsed="false">
      <c r="A48" s="78" t="str">
        <f aca="false">IF($E48="","","EXP-"&amp;TEXT(45,"000"))</f>
        <v/>
      </c>
      <c r="B48" s="36"/>
      <c r="C48" s="37"/>
      <c r="D48" s="37"/>
      <c r="E48" s="38"/>
      <c r="F48" s="38"/>
      <c r="G48" s="38"/>
      <c r="H48" s="37"/>
      <c r="I48" s="44"/>
      <c r="J48" s="44"/>
      <c r="K48" s="70" t="str">
        <f aca="false">IFERROR(J48/I48,"")</f>
        <v/>
      </c>
      <c r="L48" s="44"/>
      <c r="M48" s="44"/>
      <c r="N48" s="70" t="str">
        <f aca="false">IFERROR(M48/L48,"")</f>
        <v/>
      </c>
      <c r="O48" s="70" t="str">
        <f aca="false">IFERROR(N48-K48,"")</f>
        <v/>
      </c>
      <c r="P48" s="95" t="str">
        <f aca="false">IF(OR($I48="",$L48=""),"",IF(MIN($I48,$L48)&lt;30,"No - fewer than 30 in a group, this is noise",IF(ABS($O48)&lt;0.05,"No - the gap is too small to trust",IF(MIN($I48,$L48)&lt;100,"Maybe - directional only, keep running","Yes - act on it"))))</f>
        <v/>
      </c>
      <c r="Q48" s="37"/>
      <c r="R48" s="38"/>
      <c r="S48" s="37"/>
    </row>
    <row r="49" customFormat="false" ht="39.75" hidden="false" customHeight="true" outlineLevel="0" collapsed="false">
      <c r="A49" s="78" t="str">
        <f aca="false">IF($E49="","","EXP-"&amp;TEXT(46,"000"))</f>
        <v/>
      </c>
      <c r="B49" s="36"/>
      <c r="C49" s="37"/>
      <c r="D49" s="37"/>
      <c r="E49" s="38"/>
      <c r="F49" s="38"/>
      <c r="G49" s="38"/>
      <c r="H49" s="37"/>
      <c r="I49" s="44"/>
      <c r="J49" s="44"/>
      <c r="K49" s="70" t="str">
        <f aca="false">IFERROR(J49/I49,"")</f>
        <v/>
      </c>
      <c r="L49" s="44"/>
      <c r="M49" s="44"/>
      <c r="N49" s="70" t="str">
        <f aca="false">IFERROR(M49/L49,"")</f>
        <v/>
      </c>
      <c r="O49" s="70" t="str">
        <f aca="false">IFERROR(N49-K49,"")</f>
        <v/>
      </c>
      <c r="P49" s="95" t="str">
        <f aca="false">IF(OR($I49="",$L49=""),"",IF(MIN($I49,$L49)&lt;30,"No - fewer than 30 in a group, this is noise",IF(ABS($O49)&lt;0.05,"No - the gap is too small to trust",IF(MIN($I49,$L49)&lt;100,"Maybe - directional only, keep running","Yes - act on it"))))</f>
        <v/>
      </c>
      <c r="Q49" s="37"/>
      <c r="R49" s="38"/>
      <c r="S49" s="37"/>
    </row>
    <row r="50" customFormat="false" ht="39.75" hidden="false" customHeight="true" outlineLevel="0" collapsed="false">
      <c r="A50" s="78" t="str">
        <f aca="false">IF($E50="","","EXP-"&amp;TEXT(47,"000"))</f>
        <v/>
      </c>
      <c r="B50" s="36"/>
      <c r="C50" s="37"/>
      <c r="D50" s="37"/>
      <c r="E50" s="38"/>
      <c r="F50" s="38"/>
      <c r="G50" s="38"/>
      <c r="H50" s="37"/>
      <c r="I50" s="44"/>
      <c r="J50" s="44"/>
      <c r="K50" s="70" t="str">
        <f aca="false">IFERROR(J50/I50,"")</f>
        <v/>
      </c>
      <c r="L50" s="44"/>
      <c r="M50" s="44"/>
      <c r="N50" s="70" t="str">
        <f aca="false">IFERROR(M50/L50,"")</f>
        <v/>
      </c>
      <c r="O50" s="70" t="str">
        <f aca="false">IFERROR(N50-K50,"")</f>
        <v/>
      </c>
      <c r="P50" s="95" t="str">
        <f aca="false">IF(OR($I50="",$L50=""),"",IF(MIN($I50,$L50)&lt;30,"No - fewer than 30 in a group, this is noise",IF(ABS($O50)&lt;0.05,"No - the gap is too small to trust",IF(MIN($I50,$L50)&lt;100,"Maybe - directional only, keep running","Yes - act on it"))))</f>
        <v/>
      </c>
      <c r="Q50" s="37"/>
      <c r="R50" s="38"/>
      <c r="S50" s="37"/>
    </row>
    <row r="51" customFormat="false" ht="39.75" hidden="false" customHeight="true" outlineLevel="0" collapsed="false">
      <c r="A51" s="78" t="str">
        <f aca="false">IF($E51="","","EXP-"&amp;TEXT(48,"000"))</f>
        <v/>
      </c>
      <c r="B51" s="36"/>
      <c r="C51" s="37"/>
      <c r="D51" s="37"/>
      <c r="E51" s="38"/>
      <c r="F51" s="38"/>
      <c r="G51" s="38"/>
      <c r="H51" s="37"/>
      <c r="I51" s="44"/>
      <c r="J51" s="44"/>
      <c r="K51" s="70" t="str">
        <f aca="false">IFERROR(J51/I51,"")</f>
        <v/>
      </c>
      <c r="L51" s="44"/>
      <c r="M51" s="44"/>
      <c r="N51" s="70" t="str">
        <f aca="false">IFERROR(M51/L51,"")</f>
        <v/>
      </c>
      <c r="O51" s="70" t="str">
        <f aca="false">IFERROR(N51-K51,"")</f>
        <v/>
      </c>
      <c r="P51" s="95" t="str">
        <f aca="false">IF(OR($I51="",$L51=""),"",IF(MIN($I51,$L51)&lt;30,"No - fewer than 30 in a group, this is noise",IF(ABS($O51)&lt;0.05,"No - the gap is too small to trust",IF(MIN($I51,$L51)&lt;100,"Maybe - directional only, keep running","Yes - act on it"))))</f>
        <v/>
      </c>
      <c r="Q51" s="37"/>
      <c r="R51" s="38"/>
      <c r="S51" s="37"/>
    </row>
    <row r="52" customFormat="false" ht="39.75" hidden="false" customHeight="true" outlineLevel="0" collapsed="false">
      <c r="A52" s="78" t="str">
        <f aca="false">IF($E52="","","EXP-"&amp;TEXT(49,"000"))</f>
        <v/>
      </c>
      <c r="B52" s="36"/>
      <c r="C52" s="37"/>
      <c r="D52" s="37"/>
      <c r="E52" s="38"/>
      <c r="F52" s="38"/>
      <c r="G52" s="38"/>
      <c r="H52" s="37"/>
      <c r="I52" s="44"/>
      <c r="J52" s="44"/>
      <c r="K52" s="70" t="str">
        <f aca="false">IFERROR(J52/I52,"")</f>
        <v/>
      </c>
      <c r="L52" s="44"/>
      <c r="M52" s="44"/>
      <c r="N52" s="70" t="str">
        <f aca="false">IFERROR(M52/L52,"")</f>
        <v/>
      </c>
      <c r="O52" s="70" t="str">
        <f aca="false">IFERROR(N52-K52,"")</f>
        <v/>
      </c>
      <c r="P52" s="95" t="str">
        <f aca="false">IF(OR($I52="",$L52=""),"",IF(MIN($I52,$L52)&lt;30,"No - fewer than 30 in a group, this is noise",IF(ABS($O52)&lt;0.05,"No - the gap is too small to trust",IF(MIN($I52,$L52)&lt;100,"Maybe - directional only, keep running","Yes - act on it"))))</f>
        <v/>
      </c>
      <c r="Q52" s="37"/>
      <c r="R52" s="38"/>
      <c r="S52" s="37"/>
    </row>
    <row r="53" customFormat="false" ht="39.75" hidden="false" customHeight="true" outlineLevel="0" collapsed="false">
      <c r="A53" s="78" t="str">
        <f aca="false">IF($E53="","","EXP-"&amp;TEXT(50,"000"))</f>
        <v/>
      </c>
      <c r="B53" s="36"/>
      <c r="C53" s="37"/>
      <c r="D53" s="37"/>
      <c r="E53" s="38"/>
      <c r="F53" s="38"/>
      <c r="G53" s="38"/>
      <c r="H53" s="37"/>
      <c r="I53" s="44"/>
      <c r="J53" s="44"/>
      <c r="K53" s="70" t="str">
        <f aca="false">IFERROR(J53/I53,"")</f>
        <v/>
      </c>
      <c r="L53" s="44"/>
      <c r="M53" s="44"/>
      <c r="N53" s="70" t="str">
        <f aca="false">IFERROR(M53/L53,"")</f>
        <v/>
      </c>
      <c r="O53" s="70" t="str">
        <f aca="false">IFERROR(N53-K53,"")</f>
        <v/>
      </c>
      <c r="P53" s="95" t="str">
        <f aca="false">IF(OR($I53="",$L53=""),"",IF(MIN($I53,$L53)&lt;30,"No - fewer than 30 in a group, this is noise",IF(ABS($O53)&lt;0.05,"No - the gap is too small to trust",IF(MIN($I53,$L53)&lt;100,"Maybe - directional only, keep running","Yes - act on it"))))</f>
        <v/>
      </c>
      <c r="Q53" s="37"/>
      <c r="R53" s="38"/>
      <c r="S53" s="37"/>
    </row>
    <row r="55" customFormat="false" ht="45.75" hidden="false" customHeight="true" outlineLevel="0" collapsed="false">
      <c r="A55" s="60" t="s">
        <v>1076</v>
      </c>
      <c r="B55" s="60"/>
      <c r="C55" s="60"/>
      <c r="D55" s="60"/>
      <c r="E55" s="60"/>
      <c r="F55" s="60"/>
      <c r="G55" s="60"/>
      <c r="H55" s="60"/>
      <c r="I55" s="60"/>
      <c r="J55" s="60"/>
      <c r="K55" s="60"/>
      <c r="L55" s="60"/>
      <c r="M55" s="60"/>
      <c r="N55" s="60"/>
      <c r="O55" s="60"/>
      <c r="P55" s="60"/>
      <c r="Q55" s="60"/>
      <c r="R55" s="60"/>
      <c r="S55" s="60"/>
    </row>
  </sheetData>
  <mergeCells count="3">
    <mergeCell ref="A1:S1"/>
    <mergeCell ref="A2:S2"/>
    <mergeCell ref="A55:S55"/>
  </mergeCells>
  <conditionalFormatting sqref="P4:P53">
    <cfRule type="expression" priority="2" aboveAverage="0" equalAverage="0" bottom="0" percent="0" rank="0" text="" dxfId="7">
      <formula>LEFT($P4,3)="Yes"</formula>
    </cfRule>
    <cfRule type="expression" priority="3" aboveAverage="0" equalAverage="0" bottom="0" percent="0" rank="0" text="" dxfId="6">
      <formula>LEFT($P4,2)="No"</formula>
    </cfRule>
  </conditionalFormatting>
  <dataValidations count="4">
    <dataValidation allowBlank="true" error="Pick a name from the team roster on the START HERE tab." errorStyle="stop" errorTitle="Name not on the roster" operator="between" prompt="Choose the team member" showDropDown="false" showErrorMessage="false" showInputMessage="false" sqref="C4:C53" type="list">
      <formula1>'START HERE'!$B$55:$B$64</formula1>
      <formula2>0</formula2>
    </dataValidation>
    <dataValidation allowBlank="true" error="Please choose a value from the dropdown list." errorStyle="stop" errorTitle="Value not in list" operator="between" prompt="Choose from the Platform list" showDropDown="false" showErrorMessage="false" showInputMessage="false" sqref="D4:D53" type="list">
      <formula1>Lists!$J$4:$J$52</formula1>
      <formula2>0</formula2>
    </dataValidation>
    <dataValidation allowBlank="true" error="Please choose a value from the dropdown list." errorStyle="stop" errorTitle="Value not in list" operator="between" prompt="Choose from the Experiment Status list" showDropDown="false" showErrorMessage="false" showInputMessage="false" sqref="Q4:Q53" type="list">
      <formula1>Lists!$V$4:$V$9</formula1>
      <formula2>0</formula2>
    </dataValidation>
    <dataValidation allowBlank="true" error="Please choose a value from the dropdown list." errorStyle="stop" errorTitle="Value not in list" operator="between" prompt="Choose from the Yes/No list" showDropDown="false" showErrorMessage="false" showInputMessage="false" sqref="S4:S53" type="list">
      <formula1>Lists!$C$4:$C$6</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H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20"/>
    <col collapsed="false" customWidth="true" hidden="false" outlineLevel="0" max="3" min="3" style="1" width="18"/>
    <col collapsed="false" customWidth="true" hidden="false" outlineLevel="0" max="5" min="4" style="1" width="24"/>
    <col collapsed="false" customWidth="true" hidden="false" outlineLevel="0" max="6" min="6" style="1" width="86"/>
    <col collapsed="false" customWidth="true" hidden="false" outlineLevel="0" max="7" min="7" style="1" width="26"/>
    <col collapsed="false" customWidth="true" hidden="false" outlineLevel="0" max="8" min="8" style="1" width="12"/>
  </cols>
  <sheetData>
    <row r="1" customFormat="false" ht="25.5" hidden="false" customHeight="true" outlineLevel="0" collapsed="false">
      <c r="A1" s="2" t="s">
        <v>1077</v>
      </c>
      <c r="B1" s="2"/>
      <c r="C1" s="2"/>
      <c r="D1" s="2"/>
      <c r="E1" s="2"/>
      <c r="F1" s="2"/>
      <c r="G1" s="2"/>
      <c r="H1" s="2"/>
    </row>
    <row r="2" customFormat="false" ht="18" hidden="false" customHeight="true" outlineLevel="0" collapsed="false">
      <c r="A2" s="3" t="s">
        <v>1078</v>
      </c>
      <c r="B2" s="3"/>
      <c r="C2" s="3"/>
      <c r="D2" s="3"/>
      <c r="E2" s="3"/>
      <c r="F2" s="3"/>
      <c r="G2" s="3"/>
      <c r="H2" s="3"/>
    </row>
    <row r="3" customFormat="false" ht="37.5" hidden="false" customHeight="true" outlineLevel="0" collapsed="false">
      <c r="A3" s="31" t="s">
        <v>1079</v>
      </c>
      <c r="B3" s="31" t="s">
        <v>1080</v>
      </c>
      <c r="C3" s="31" t="s">
        <v>134</v>
      </c>
      <c r="D3" s="31" t="s">
        <v>1081</v>
      </c>
      <c r="E3" s="31" t="s">
        <v>1082</v>
      </c>
      <c r="F3" s="31" t="s">
        <v>1083</v>
      </c>
      <c r="G3" s="31" t="s">
        <v>1084</v>
      </c>
      <c r="H3" s="31" t="s">
        <v>113</v>
      </c>
    </row>
    <row r="4" customFormat="false" ht="25.5" hidden="false" customHeight="true" outlineLevel="0" collapsed="false">
      <c r="A4" s="34" t="s">
        <v>1085</v>
      </c>
      <c r="B4" s="33" t="s">
        <v>1086</v>
      </c>
      <c r="C4" s="33" t="s">
        <v>1087</v>
      </c>
      <c r="D4" s="33" t="s">
        <v>1088</v>
      </c>
      <c r="E4" s="33" t="s">
        <v>1089</v>
      </c>
      <c r="F4" s="105" t="str">
        <f aca="false">IF(OR($A4="",$B4="",$C4=""),"",$A4&amp;IF(ISNUMBER(SEARCH("?",$A4)),"&amp;","?")&amp;"utm_source="&amp;LOWER(SUBSTITUTE(TRIM($B4)," ","-"))&amp;"&amp;utm_medium="&amp;LOWER(SUBSTITUTE(TRIM($C4)," ","-")&amp;IF($D4="","","&amp;utm_campaign="&amp;LOWER(SUBSTITUTE(TRIM($D4)," ","-")))&amp;IF($E4="","","&amp;utm_content="&amp;LOWER(SUBSTITUTE(TRIM($E4)," ","-")))))</f>
        <v>https://example.org/honorary-certification&amp;utm_source=linkedin&amp;utm_medium=social&amp;utm_campaign=honorary-aug26&amp;utm_content=connection-message</v>
      </c>
      <c r="G4" s="34" t="s">
        <v>1090</v>
      </c>
      <c r="H4" s="32" t="n">
        <v>46251</v>
      </c>
    </row>
    <row r="5" customFormat="false" ht="25.5" hidden="false" customHeight="true" outlineLevel="0" collapsed="false">
      <c r="A5" s="38"/>
      <c r="B5" s="37"/>
      <c r="C5" s="37"/>
      <c r="D5" s="37"/>
      <c r="E5" s="37"/>
      <c r="F5" s="105" t="str">
        <f aca="false">IF(OR($A5="",$B5="",$C5=""),"",$A5&amp;IF(ISNUMBER(SEARCH("?",$A5)),"&amp;","?")&amp;"utm_source="&amp;LOWER(SUBSTITUTE(TRIM($B5)," ","-"))&amp;"&amp;utm_medium="&amp;LOWER(SUBSTITUTE(TRIM($C5)," ","-")&amp;IF($D5="","","&amp;utm_campaign="&amp;LOWER(SUBSTITUTE(TRIM($D5)," ","-")))&amp;IF($E5="","","&amp;utm_content="&amp;LOWER(SUBSTITUTE(TRIM($E5)," ","-")))))</f>
        <v/>
      </c>
      <c r="G5" s="38"/>
      <c r="H5" s="36"/>
    </row>
    <row r="6" customFormat="false" ht="25.5" hidden="false" customHeight="true" outlineLevel="0" collapsed="false">
      <c r="A6" s="38"/>
      <c r="B6" s="37"/>
      <c r="C6" s="37"/>
      <c r="D6" s="37"/>
      <c r="E6" s="37"/>
      <c r="F6" s="105" t="str">
        <f aca="false">IF(OR($A6="",$B6="",$C6=""),"",$A6&amp;IF(ISNUMBER(SEARCH("?",$A6)),"&amp;","?")&amp;"utm_source="&amp;LOWER(SUBSTITUTE(TRIM($B6)," ","-"))&amp;"&amp;utm_medium="&amp;LOWER(SUBSTITUTE(TRIM($C6)," ","-")&amp;IF($D6="","","&amp;utm_campaign="&amp;LOWER(SUBSTITUTE(TRIM($D6)," ","-")))&amp;IF($E6="","","&amp;utm_content="&amp;LOWER(SUBSTITUTE(TRIM($E6)," ","-")))))</f>
        <v/>
      </c>
      <c r="G6" s="38"/>
      <c r="H6" s="36"/>
    </row>
    <row r="7" customFormat="false" ht="25.5" hidden="false" customHeight="true" outlineLevel="0" collapsed="false">
      <c r="A7" s="38"/>
      <c r="B7" s="37"/>
      <c r="C7" s="37"/>
      <c r="D7" s="37"/>
      <c r="E7" s="37"/>
      <c r="F7" s="105" t="str">
        <f aca="false">IF(OR($A7="",$B7="",$C7=""),"",$A7&amp;IF(ISNUMBER(SEARCH("?",$A7)),"&amp;","?")&amp;"utm_source="&amp;LOWER(SUBSTITUTE(TRIM($B7)," ","-"))&amp;"&amp;utm_medium="&amp;LOWER(SUBSTITUTE(TRIM($C7)," ","-")&amp;IF($D7="","","&amp;utm_campaign="&amp;LOWER(SUBSTITUTE(TRIM($D7)," ","-")))&amp;IF($E7="","","&amp;utm_content="&amp;LOWER(SUBSTITUTE(TRIM($E7)," ","-")))))</f>
        <v/>
      </c>
      <c r="G7" s="38"/>
      <c r="H7" s="36"/>
    </row>
    <row r="8" customFormat="false" ht="25.5" hidden="false" customHeight="true" outlineLevel="0" collapsed="false">
      <c r="A8" s="38"/>
      <c r="B8" s="37"/>
      <c r="C8" s="37"/>
      <c r="D8" s="37"/>
      <c r="E8" s="37"/>
      <c r="F8" s="105" t="str">
        <f aca="false">IF(OR($A8="",$B8="",$C8=""),"",$A8&amp;IF(ISNUMBER(SEARCH("?",$A8)),"&amp;","?")&amp;"utm_source="&amp;LOWER(SUBSTITUTE(TRIM($B8)," ","-"))&amp;"&amp;utm_medium="&amp;LOWER(SUBSTITUTE(TRIM($C8)," ","-")&amp;IF($D8="","","&amp;utm_campaign="&amp;LOWER(SUBSTITUTE(TRIM($D8)," ","-")))&amp;IF($E8="","","&amp;utm_content="&amp;LOWER(SUBSTITUTE(TRIM($E8)," ","-")))))</f>
        <v/>
      </c>
      <c r="G8" s="38"/>
      <c r="H8" s="36"/>
    </row>
    <row r="9" customFormat="false" ht="25.5" hidden="false" customHeight="true" outlineLevel="0" collapsed="false">
      <c r="A9" s="38"/>
      <c r="B9" s="37"/>
      <c r="C9" s="37"/>
      <c r="D9" s="37"/>
      <c r="E9" s="37"/>
      <c r="F9" s="105" t="str">
        <f aca="false">IF(OR($A9="",$B9="",$C9=""),"",$A9&amp;IF(ISNUMBER(SEARCH("?",$A9)),"&amp;","?")&amp;"utm_source="&amp;LOWER(SUBSTITUTE(TRIM($B9)," ","-"))&amp;"&amp;utm_medium="&amp;LOWER(SUBSTITUTE(TRIM($C9)," ","-")&amp;IF($D9="","","&amp;utm_campaign="&amp;LOWER(SUBSTITUTE(TRIM($D9)," ","-")))&amp;IF($E9="","","&amp;utm_content="&amp;LOWER(SUBSTITUTE(TRIM($E9)," ","-")))))</f>
        <v/>
      </c>
      <c r="G9" s="38"/>
      <c r="H9" s="36"/>
    </row>
    <row r="10" customFormat="false" ht="25.5" hidden="false" customHeight="true" outlineLevel="0" collapsed="false">
      <c r="A10" s="38"/>
      <c r="B10" s="37"/>
      <c r="C10" s="37"/>
      <c r="D10" s="37"/>
      <c r="E10" s="37"/>
      <c r="F10" s="105" t="str">
        <f aca="false">IF(OR($A10="",$B10="",$C10=""),"",$A10&amp;IF(ISNUMBER(SEARCH("?",$A10)),"&amp;","?")&amp;"utm_source="&amp;LOWER(SUBSTITUTE(TRIM($B10)," ","-"))&amp;"&amp;utm_medium="&amp;LOWER(SUBSTITUTE(TRIM($C10)," ","-")&amp;IF($D10="","","&amp;utm_campaign="&amp;LOWER(SUBSTITUTE(TRIM($D10)," ","-")))&amp;IF($E10="","","&amp;utm_content="&amp;LOWER(SUBSTITUTE(TRIM($E10)," ","-")))))</f>
        <v/>
      </c>
      <c r="G10" s="38"/>
      <c r="H10" s="36"/>
    </row>
    <row r="11" customFormat="false" ht="25.5" hidden="false" customHeight="true" outlineLevel="0" collapsed="false">
      <c r="A11" s="38"/>
      <c r="B11" s="37"/>
      <c r="C11" s="37"/>
      <c r="D11" s="37"/>
      <c r="E11" s="37"/>
      <c r="F11" s="105" t="str">
        <f aca="false">IF(OR($A11="",$B11="",$C11=""),"",$A11&amp;IF(ISNUMBER(SEARCH("?",$A11)),"&amp;","?")&amp;"utm_source="&amp;LOWER(SUBSTITUTE(TRIM($B11)," ","-"))&amp;"&amp;utm_medium="&amp;LOWER(SUBSTITUTE(TRIM($C11)," ","-")&amp;IF($D11="","","&amp;utm_campaign="&amp;LOWER(SUBSTITUTE(TRIM($D11)," ","-")))&amp;IF($E11="","","&amp;utm_content="&amp;LOWER(SUBSTITUTE(TRIM($E11)," ","-")))))</f>
        <v/>
      </c>
      <c r="G11" s="38"/>
      <c r="H11" s="36"/>
    </row>
    <row r="12" customFormat="false" ht="25.5" hidden="false" customHeight="true" outlineLevel="0" collapsed="false">
      <c r="A12" s="38"/>
      <c r="B12" s="37"/>
      <c r="C12" s="37"/>
      <c r="D12" s="37"/>
      <c r="E12" s="37"/>
      <c r="F12" s="105" t="str">
        <f aca="false">IF(OR($A12="",$B12="",$C12=""),"",$A12&amp;IF(ISNUMBER(SEARCH("?",$A12)),"&amp;","?")&amp;"utm_source="&amp;LOWER(SUBSTITUTE(TRIM($B12)," ","-"))&amp;"&amp;utm_medium="&amp;LOWER(SUBSTITUTE(TRIM($C12)," ","-")&amp;IF($D12="","","&amp;utm_campaign="&amp;LOWER(SUBSTITUTE(TRIM($D12)," ","-")))&amp;IF($E12="","","&amp;utm_content="&amp;LOWER(SUBSTITUTE(TRIM($E12)," ","-")))))</f>
        <v/>
      </c>
      <c r="G12" s="38"/>
      <c r="H12" s="36"/>
    </row>
    <row r="13" customFormat="false" ht="25.5" hidden="false" customHeight="true" outlineLevel="0" collapsed="false">
      <c r="A13" s="38"/>
      <c r="B13" s="37"/>
      <c r="C13" s="37"/>
      <c r="D13" s="37"/>
      <c r="E13" s="37"/>
      <c r="F13" s="105" t="str">
        <f aca="false">IF(OR($A13="",$B13="",$C13=""),"",$A13&amp;IF(ISNUMBER(SEARCH("?",$A13)),"&amp;","?")&amp;"utm_source="&amp;LOWER(SUBSTITUTE(TRIM($B13)," ","-"))&amp;"&amp;utm_medium="&amp;LOWER(SUBSTITUTE(TRIM($C13)," ","-")&amp;IF($D13="","","&amp;utm_campaign="&amp;LOWER(SUBSTITUTE(TRIM($D13)," ","-")))&amp;IF($E13="","","&amp;utm_content="&amp;LOWER(SUBSTITUTE(TRIM($E13)," ","-")))))</f>
        <v/>
      </c>
      <c r="G13" s="38"/>
      <c r="H13" s="36"/>
    </row>
    <row r="14" customFormat="false" ht="25.5" hidden="false" customHeight="true" outlineLevel="0" collapsed="false">
      <c r="A14" s="38"/>
      <c r="B14" s="37"/>
      <c r="C14" s="37"/>
      <c r="D14" s="37"/>
      <c r="E14" s="37"/>
      <c r="F14" s="105" t="str">
        <f aca="false">IF(OR($A14="",$B14="",$C14=""),"",$A14&amp;IF(ISNUMBER(SEARCH("?",$A14)),"&amp;","?")&amp;"utm_source="&amp;LOWER(SUBSTITUTE(TRIM($B14)," ","-"))&amp;"&amp;utm_medium="&amp;LOWER(SUBSTITUTE(TRIM($C14)," ","-")&amp;IF($D14="","","&amp;utm_campaign="&amp;LOWER(SUBSTITUTE(TRIM($D14)," ","-")))&amp;IF($E14="","","&amp;utm_content="&amp;LOWER(SUBSTITUTE(TRIM($E14)," ","-")))))</f>
        <v/>
      </c>
      <c r="G14" s="38"/>
      <c r="H14" s="36"/>
    </row>
    <row r="15" customFormat="false" ht="25.5" hidden="false" customHeight="true" outlineLevel="0" collapsed="false">
      <c r="A15" s="38"/>
      <c r="B15" s="37"/>
      <c r="C15" s="37"/>
      <c r="D15" s="37"/>
      <c r="E15" s="37"/>
      <c r="F15" s="105" t="str">
        <f aca="false">IF(OR($A15="",$B15="",$C15=""),"",$A15&amp;IF(ISNUMBER(SEARCH("?",$A15)),"&amp;","?")&amp;"utm_source="&amp;LOWER(SUBSTITUTE(TRIM($B15)," ","-"))&amp;"&amp;utm_medium="&amp;LOWER(SUBSTITUTE(TRIM($C15)," ","-")&amp;IF($D15="","","&amp;utm_campaign="&amp;LOWER(SUBSTITUTE(TRIM($D15)," ","-")))&amp;IF($E15="","","&amp;utm_content="&amp;LOWER(SUBSTITUTE(TRIM($E15)," ","-")))))</f>
        <v/>
      </c>
      <c r="G15" s="38"/>
      <c r="H15" s="36"/>
    </row>
    <row r="16" customFormat="false" ht="25.5" hidden="false" customHeight="true" outlineLevel="0" collapsed="false">
      <c r="A16" s="38"/>
      <c r="B16" s="37"/>
      <c r="C16" s="37"/>
      <c r="D16" s="37"/>
      <c r="E16" s="37"/>
      <c r="F16" s="105" t="str">
        <f aca="false">IF(OR($A16="",$B16="",$C16=""),"",$A16&amp;IF(ISNUMBER(SEARCH("?",$A16)),"&amp;","?")&amp;"utm_source="&amp;LOWER(SUBSTITUTE(TRIM($B16)," ","-"))&amp;"&amp;utm_medium="&amp;LOWER(SUBSTITUTE(TRIM($C16)," ","-")&amp;IF($D16="","","&amp;utm_campaign="&amp;LOWER(SUBSTITUTE(TRIM($D16)," ","-")))&amp;IF($E16="","","&amp;utm_content="&amp;LOWER(SUBSTITUTE(TRIM($E16)," ","-")))))</f>
        <v/>
      </c>
      <c r="G16" s="38"/>
      <c r="H16" s="36"/>
    </row>
    <row r="17" customFormat="false" ht="25.5" hidden="false" customHeight="true" outlineLevel="0" collapsed="false">
      <c r="A17" s="38"/>
      <c r="B17" s="37"/>
      <c r="C17" s="37"/>
      <c r="D17" s="37"/>
      <c r="E17" s="37"/>
      <c r="F17" s="105" t="str">
        <f aca="false">IF(OR($A17="",$B17="",$C17=""),"",$A17&amp;IF(ISNUMBER(SEARCH("?",$A17)),"&amp;","?")&amp;"utm_source="&amp;LOWER(SUBSTITUTE(TRIM($B17)," ","-"))&amp;"&amp;utm_medium="&amp;LOWER(SUBSTITUTE(TRIM($C17)," ","-")&amp;IF($D17="","","&amp;utm_campaign="&amp;LOWER(SUBSTITUTE(TRIM($D17)," ","-")))&amp;IF($E17="","","&amp;utm_content="&amp;LOWER(SUBSTITUTE(TRIM($E17)," ","-")))))</f>
        <v/>
      </c>
      <c r="G17" s="38"/>
      <c r="H17" s="36"/>
    </row>
    <row r="18" customFormat="false" ht="25.5" hidden="false" customHeight="true" outlineLevel="0" collapsed="false">
      <c r="A18" s="38"/>
      <c r="B18" s="37"/>
      <c r="C18" s="37"/>
      <c r="D18" s="37"/>
      <c r="E18" s="37"/>
      <c r="F18" s="105" t="str">
        <f aca="false">IF(OR($A18="",$B18="",$C18=""),"",$A18&amp;IF(ISNUMBER(SEARCH("?",$A18)),"&amp;","?")&amp;"utm_source="&amp;LOWER(SUBSTITUTE(TRIM($B18)," ","-"))&amp;"&amp;utm_medium="&amp;LOWER(SUBSTITUTE(TRIM($C18)," ","-")&amp;IF($D18="","","&amp;utm_campaign="&amp;LOWER(SUBSTITUTE(TRIM($D18)," ","-")))&amp;IF($E18="","","&amp;utm_content="&amp;LOWER(SUBSTITUTE(TRIM($E18)," ","-")))))</f>
        <v/>
      </c>
      <c r="G18" s="38"/>
      <c r="H18" s="36"/>
    </row>
    <row r="19" customFormat="false" ht="25.5" hidden="false" customHeight="true" outlineLevel="0" collapsed="false">
      <c r="A19" s="38"/>
      <c r="B19" s="37"/>
      <c r="C19" s="37"/>
      <c r="D19" s="37"/>
      <c r="E19" s="37"/>
      <c r="F19" s="105" t="str">
        <f aca="false">IF(OR($A19="",$B19="",$C19=""),"",$A19&amp;IF(ISNUMBER(SEARCH("?",$A19)),"&amp;","?")&amp;"utm_source="&amp;LOWER(SUBSTITUTE(TRIM($B19)," ","-"))&amp;"&amp;utm_medium="&amp;LOWER(SUBSTITUTE(TRIM($C19)," ","-")&amp;IF($D19="","","&amp;utm_campaign="&amp;LOWER(SUBSTITUTE(TRIM($D19)," ","-")))&amp;IF($E19="","","&amp;utm_content="&amp;LOWER(SUBSTITUTE(TRIM($E19)," ","-")))))</f>
        <v/>
      </c>
      <c r="G19" s="38"/>
      <c r="H19" s="36"/>
    </row>
    <row r="20" customFormat="false" ht="25.5" hidden="false" customHeight="true" outlineLevel="0" collapsed="false">
      <c r="A20" s="38"/>
      <c r="B20" s="37"/>
      <c r="C20" s="37"/>
      <c r="D20" s="37"/>
      <c r="E20" s="37"/>
      <c r="F20" s="105" t="str">
        <f aca="false">IF(OR($A20="",$B20="",$C20=""),"",$A20&amp;IF(ISNUMBER(SEARCH("?",$A20)),"&amp;","?")&amp;"utm_source="&amp;LOWER(SUBSTITUTE(TRIM($B20)," ","-"))&amp;"&amp;utm_medium="&amp;LOWER(SUBSTITUTE(TRIM($C20)," ","-")&amp;IF($D20="","","&amp;utm_campaign="&amp;LOWER(SUBSTITUTE(TRIM($D20)," ","-")))&amp;IF($E20="","","&amp;utm_content="&amp;LOWER(SUBSTITUTE(TRIM($E20)," ","-")))))</f>
        <v/>
      </c>
      <c r="G20" s="38"/>
      <c r="H20" s="36"/>
    </row>
    <row r="21" customFormat="false" ht="25.5" hidden="false" customHeight="true" outlineLevel="0" collapsed="false">
      <c r="A21" s="38"/>
      <c r="B21" s="37"/>
      <c r="C21" s="37"/>
      <c r="D21" s="37"/>
      <c r="E21" s="37"/>
      <c r="F21" s="105" t="str">
        <f aca="false">IF(OR($A21="",$B21="",$C21=""),"",$A21&amp;IF(ISNUMBER(SEARCH("?",$A21)),"&amp;","?")&amp;"utm_source="&amp;LOWER(SUBSTITUTE(TRIM($B21)," ","-"))&amp;"&amp;utm_medium="&amp;LOWER(SUBSTITUTE(TRIM($C21)," ","-")&amp;IF($D21="","","&amp;utm_campaign="&amp;LOWER(SUBSTITUTE(TRIM($D21)," ","-")))&amp;IF($E21="","","&amp;utm_content="&amp;LOWER(SUBSTITUTE(TRIM($E21)," ","-")))))</f>
        <v/>
      </c>
      <c r="G21" s="38"/>
      <c r="H21" s="36"/>
    </row>
    <row r="22" customFormat="false" ht="25.5" hidden="false" customHeight="true" outlineLevel="0" collapsed="false">
      <c r="A22" s="38"/>
      <c r="B22" s="37"/>
      <c r="C22" s="37"/>
      <c r="D22" s="37"/>
      <c r="E22" s="37"/>
      <c r="F22" s="105" t="str">
        <f aca="false">IF(OR($A22="",$B22="",$C22=""),"",$A22&amp;IF(ISNUMBER(SEARCH("?",$A22)),"&amp;","?")&amp;"utm_source="&amp;LOWER(SUBSTITUTE(TRIM($B22)," ","-"))&amp;"&amp;utm_medium="&amp;LOWER(SUBSTITUTE(TRIM($C22)," ","-")&amp;IF($D22="","","&amp;utm_campaign="&amp;LOWER(SUBSTITUTE(TRIM($D22)," ","-")))&amp;IF($E22="","","&amp;utm_content="&amp;LOWER(SUBSTITUTE(TRIM($E22)," ","-")))))</f>
        <v/>
      </c>
      <c r="G22" s="38"/>
      <c r="H22" s="36"/>
    </row>
    <row r="23" customFormat="false" ht="25.5" hidden="false" customHeight="true" outlineLevel="0" collapsed="false">
      <c r="A23" s="38"/>
      <c r="B23" s="37"/>
      <c r="C23" s="37"/>
      <c r="D23" s="37"/>
      <c r="E23" s="37"/>
      <c r="F23" s="105" t="str">
        <f aca="false">IF(OR($A23="",$B23="",$C23=""),"",$A23&amp;IF(ISNUMBER(SEARCH("?",$A23)),"&amp;","?")&amp;"utm_source="&amp;LOWER(SUBSTITUTE(TRIM($B23)," ","-"))&amp;"&amp;utm_medium="&amp;LOWER(SUBSTITUTE(TRIM($C23)," ","-")&amp;IF($D23="","","&amp;utm_campaign="&amp;LOWER(SUBSTITUTE(TRIM($D23)," ","-")))&amp;IF($E23="","","&amp;utm_content="&amp;LOWER(SUBSTITUTE(TRIM($E23)," ","-")))))</f>
        <v/>
      </c>
      <c r="G23" s="38"/>
      <c r="H23" s="36"/>
    </row>
    <row r="24" customFormat="false" ht="25.5" hidden="false" customHeight="true" outlineLevel="0" collapsed="false">
      <c r="A24" s="38"/>
      <c r="B24" s="37"/>
      <c r="C24" s="37"/>
      <c r="D24" s="37"/>
      <c r="E24" s="37"/>
      <c r="F24" s="105" t="str">
        <f aca="false">IF(OR($A24="",$B24="",$C24=""),"",$A24&amp;IF(ISNUMBER(SEARCH("?",$A24)),"&amp;","?")&amp;"utm_source="&amp;LOWER(SUBSTITUTE(TRIM($B24)," ","-"))&amp;"&amp;utm_medium="&amp;LOWER(SUBSTITUTE(TRIM($C24)," ","-")&amp;IF($D24="","","&amp;utm_campaign="&amp;LOWER(SUBSTITUTE(TRIM($D24)," ","-")))&amp;IF($E24="","","&amp;utm_content="&amp;LOWER(SUBSTITUTE(TRIM($E24)," ","-")))))</f>
        <v/>
      </c>
      <c r="G24" s="38"/>
      <c r="H24" s="36"/>
    </row>
    <row r="25" customFormat="false" ht="25.5" hidden="false" customHeight="true" outlineLevel="0" collapsed="false">
      <c r="A25" s="38"/>
      <c r="B25" s="37"/>
      <c r="C25" s="37"/>
      <c r="D25" s="37"/>
      <c r="E25" s="37"/>
      <c r="F25" s="105" t="str">
        <f aca="false">IF(OR($A25="",$B25="",$C25=""),"",$A25&amp;IF(ISNUMBER(SEARCH("?",$A25)),"&amp;","?")&amp;"utm_source="&amp;LOWER(SUBSTITUTE(TRIM($B25)," ","-"))&amp;"&amp;utm_medium="&amp;LOWER(SUBSTITUTE(TRIM($C25)," ","-")&amp;IF($D25="","","&amp;utm_campaign="&amp;LOWER(SUBSTITUTE(TRIM($D25)," ","-")))&amp;IF($E25="","","&amp;utm_content="&amp;LOWER(SUBSTITUTE(TRIM($E25)," ","-")))))</f>
        <v/>
      </c>
      <c r="G25" s="38"/>
      <c r="H25" s="36"/>
    </row>
    <row r="26" customFormat="false" ht="25.5" hidden="false" customHeight="true" outlineLevel="0" collapsed="false">
      <c r="A26" s="38"/>
      <c r="B26" s="37"/>
      <c r="C26" s="37"/>
      <c r="D26" s="37"/>
      <c r="E26" s="37"/>
      <c r="F26" s="105" t="str">
        <f aca="false">IF(OR($A26="",$B26="",$C26=""),"",$A26&amp;IF(ISNUMBER(SEARCH("?",$A26)),"&amp;","?")&amp;"utm_source="&amp;LOWER(SUBSTITUTE(TRIM($B26)," ","-"))&amp;"&amp;utm_medium="&amp;LOWER(SUBSTITUTE(TRIM($C26)," ","-")&amp;IF($D26="","","&amp;utm_campaign="&amp;LOWER(SUBSTITUTE(TRIM($D26)," ","-")))&amp;IF($E26="","","&amp;utm_content="&amp;LOWER(SUBSTITUTE(TRIM($E26)," ","-")))))</f>
        <v/>
      </c>
      <c r="G26" s="38"/>
      <c r="H26" s="36"/>
    </row>
    <row r="27" customFormat="false" ht="25.5" hidden="false" customHeight="true" outlineLevel="0" collapsed="false">
      <c r="A27" s="38"/>
      <c r="B27" s="37"/>
      <c r="C27" s="37"/>
      <c r="D27" s="37"/>
      <c r="E27" s="37"/>
      <c r="F27" s="105" t="str">
        <f aca="false">IF(OR($A27="",$B27="",$C27=""),"",$A27&amp;IF(ISNUMBER(SEARCH("?",$A27)),"&amp;","?")&amp;"utm_source="&amp;LOWER(SUBSTITUTE(TRIM($B27)," ","-"))&amp;"&amp;utm_medium="&amp;LOWER(SUBSTITUTE(TRIM($C27)," ","-")&amp;IF($D27="","","&amp;utm_campaign="&amp;LOWER(SUBSTITUTE(TRIM($D27)," ","-")))&amp;IF($E27="","","&amp;utm_content="&amp;LOWER(SUBSTITUTE(TRIM($E27)," ","-")))))</f>
        <v/>
      </c>
      <c r="G27" s="38"/>
      <c r="H27" s="36"/>
    </row>
    <row r="28" customFormat="false" ht="25.5" hidden="false" customHeight="true" outlineLevel="0" collapsed="false">
      <c r="A28" s="38"/>
      <c r="B28" s="37"/>
      <c r="C28" s="37"/>
      <c r="D28" s="37"/>
      <c r="E28" s="37"/>
      <c r="F28" s="105" t="str">
        <f aca="false">IF(OR($A28="",$B28="",$C28=""),"",$A28&amp;IF(ISNUMBER(SEARCH("?",$A28)),"&amp;","?")&amp;"utm_source="&amp;LOWER(SUBSTITUTE(TRIM($B28)," ","-"))&amp;"&amp;utm_medium="&amp;LOWER(SUBSTITUTE(TRIM($C28)," ","-")&amp;IF($D28="","","&amp;utm_campaign="&amp;LOWER(SUBSTITUTE(TRIM($D28)," ","-")))&amp;IF($E28="","","&amp;utm_content="&amp;LOWER(SUBSTITUTE(TRIM($E28)," ","-")))))</f>
        <v/>
      </c>
      <c r="G28" s="38"/>
      <c r="H28" s="36"/>
    </row>
    <row r="29" customFormat="false" ht="25.5" hidden="false" customHeight="true" outlineLevel="0" collapsed="false">
      <c r="A29" s="38"/>
      <c r="B29" s="37"/>
      <c r="C29" s="37"/>
      <c r="D29" s="37"/>
      <c r="E29" s="37"/>
      <c r="F29" s="105" t="str">
        <f aca="false">IF(OR($A29="",$B29="",$C29=""),"",$A29&amp;IF(ISNUMBER(SEARCH("?",$A29)),"&amp;","?")&amp;"utm_source="&amp;LOWER(SUBSTITUTE(TRIM($B29)," ","-"))&amp;"&amp;utm_medium="&amp;LOWER(SUBSTITUTE(TRIM($C29)," ","-")&amp;IF($D29="","","&amp;utm_campaign="&amp;LOWER(SUBSTITUTE(TRIM($D29)," ","-")))&amp;IF($E29="","","&amp;utm_content="&amp;LOWER(SUBSTITUTE(TRIM($E29)," ","-")))))</f>
        <v/>
      </c>
      <c r="G29" s="38"/>
      <c r="H29" s="36"/>
    </row>
    <row r="30" customFormat="false" ht="25.5" hidden="false" customHeight="true" outlineLevel="0" collapsed="false">
      <c r="A30" s="38"/>
      <c r="B30" s="37"/>
      <c r="C30" s="37"/>
      <c r="D30" s="37"/>
      <c r="E30" s="37"/>
      <c r="F30" s="105" t="str">
        <f aca="false">IF(OR($A30="",$B30="",$C30=""),"",$A30&amp;IF(ISNUMBER(SEARCH("?",$A30)),"&amp;","?")&amp;"utm_source="&amp;LOWER(SUBSTITUTE(TRIM($B30)," ","-"))&amp;"&amp;utm_medium="&amp;LOWER(SUBSTITUTE(TRIM($C30)," ","-")&amp;IF($D30="","","&amp;utm_campaign="&amp;LOWER(SUBSTITUTE(TRIM($D30)," ","-")))&amp;IF($E30="","","&amp;utm_content="&amp;LOWER(SUBSTITUTE(TRIM($E30)," ","-")))))</f>
        <v/>
      </c>
      <c r="G30" s="38"/>
      <c r="H30" s="36"/>
    </row>
    <row r="31" customFormat="false" ht="25.5" hidden="false" customHeight="true" outlineLevel="0" collapsed="false">
      <c r="A31" s="38"/>
      <c r="B31" s="37"/>
      <c r="C31" s="37"/>
      <c r="D31" s="37"/>
      <c r="E31" s="37"/>
      <c r="F31" s="105" t="str">
        <f aca="false">IF(OR($A31="",$B31="",$C31=""),"",$A31&amp;IF(ISNUMBER(SEARCH("?",$A31)),"&amp;","?")&amp;"utm_source="&amp;LOWER(SUBSTITUTE(TRIM($B31)," ","-"))&amp;"&amp;utm_medium="&amp;LOWER(SUBSTITUTE(TRIM($C31)," ","-")&amp;IF($D31="","","&amp;utm_campaign="&amp;LOWER(SUBSTITUTE(TRIM($D31)," ","-")))&amp;IF($E31="","","&amp;utm_content="&amp;LOWER(SUBSTITUTE(TRIM($E31)," ","-")))))</f>
        <v/>
      </c>
      <c r="G31" s="38"/>
      <c r="H31" s="36"/>
    </row>
    <row r="32" customFormat="false" ht="25.5" hidden="false" customHeight="true" outlineLevel="0" collapsed="false">
      <c r="A32" s="38"/>
      <c r="B32" s="37"/>
      <c r="C32" s="37"/>
      <c r="D32" s="37"/>
      <c r="E32" s="37"/>
      <c r="F32" s="105" t="str">
        <f aca="false">IF(OR($A32="",$B32="",$C32=""),"",$A32&amp;IF(ISNUMBER(SEARCH("?",$A32)),"&amp;","?")&amp;"utm_source="&amp;LOWER(SUBSTITUTE(TRIM($B32)," ","-"))&amp;"&amp;utm_medium="&amp;LOWER(SUBSTITUTE(TRIM($C32)," ","-")&amp;IF($D32="","","&amp;utm_campaign="&amp;LOWER(SUBSTITUTE(TRIM($D32)," ","-")))&amp;IF($E32="","","&amp;utm_content="&amp;LOWER(SUBSTITUTE(TRIM($E32)," ","-")))))</f>
        <v/>
      </c>
      <c r="G32" s="38"/>
      <c r="H32" s="36"/>
    </row>
    <row r="33" customFormat="false" ht="25.5" hidden="false" customHeight="true" outlineLevel="0" collapsed="false">
      <c r="A33" s="38"/>
      <c r="B33" s="37"/>
      <c r="C33" s="37"/>
      <c r="D33" s="37"/>
      <c r="E33" s="37"/>
      <c r="F33" s="105" t="str">
        <f aca="false">IF(OR($A33="",$B33="",$C33=""),"",$A33&amp;IF(ISNUMBER(SEARCH("?",$A33)),"&amp;","?")&amp;"utm_source="&amp;LOWER(SUBSTITUTE(TRIM($B33)," ","-"))&amp;"&amp;utm_medium="&amp;LOWER(SUBSTITUTE(TRIM($C33)," ","-")&amp;IF($D33="","","&amp;utm_campaign="&amp;LOWER(SUBSTITUTE(TRIM($D33)," ","-")))&amp;IF($E33="","","&amp;utm_content="&amp;LOWER(SUBSTITUTE(TRIM($E33)," ","-")))))</f>
        <v/>
      </c>
      <c r="G33" s="38"/>
      <c r="H33" s="36"/>
    </row>
    <row r="34" customFormat="false" ht="25.5" hidden="false" customHeight="true" outlineLevel="0" collapsed="false">
      <c r="A34" s="38"/>
      <c r="B34" s="37"/>
      <c r="C34" s="37"/>
      <c r="D34" s="37"/>
      <c r="E34" s="37"/>
      <c r="F34" s="105" t="str">
        <f aca="false">IF(OR($A34="",$B34="",$C34=""),"",$A34&amp;IF(ISNUMBER(SEARCH("?",$A34)),"&amp;","?")&amp;"utm_source="&amp;LOWER(SUBSTITUTE(TRIM($B34)," ","-"))&amp;"&amp;utm_medium="&amp;LOWER(SUBSTITUTE(TRIM($C34)," ","-")&amp;IF($D34="","","&amp;utm_campaign="&amp;LOWER(SUBSTITUTE(TRIM($D34)," ","-")))&amp;IF($E34="","","&amp;utm_content="&amp;LOWER(SUBSTITUTE(TRIM($E34)," ","-")))))</f>
        <v/>
      </c>
      <c r="G34" s="38"/>
      <c r="H34" s="36"/>
    </row>
    <row r="35" customFormat="false" ht="25.5" hidden="false" customHeight="true" outlineLevel="0" collapsed="false">
      <c r="A35" s="38"/>
      <c r="B35" s="37"/>
      <c r="C35" s="37"/>
      <c r="D35" s="37"/>
      <c r="E35" s="37"/>
      <c r="F35" s="105" t="str">
        <f aca="false">IF(OR($A35="",$B35="",$C35=""),"",$A35&amp;IF(ISNUMBER(SEARCH("?",$A35)),"&amp;","?")&amp;"utm_source="&amp;LOWER(SUBSTITUTE(TRIM($B35)," ","-"))&amp;"&amp;utm_medium="&amp;LOWER(SUBSTITUTE(TRIM($C35)," ","-")&amp;IF($D35="","","&amp;utm_campaign="&amp;LOWER(SUBSTITUTE(TRIM($D35)," ","-")))&amp;IF($E35="","","&amp;utm_content="&amp;LOWER(SUBSTITUTE(TRIM($E35)," ","-")))))</f>
        <v/>
      </c>
      <c r="G35" s="38"/>
      <c r="H35" s="36"/>
    </row>
    <row r="36" customFormat="false" ht="25.5" hidden="false" customHeight="true" outlineLevel="0" collapsed="false">
      <c r="A36" s="38"/>
      <c r="B36" s="37"/>
      <c r="C36" s="37"/>
      <c r="D36" s="37"/>
      <c r="E36" s="37"/>
      <c r="F36" s="105" t="str">
        <f aca="false">IF(OR($A36="",$B36="",$C36=""),"",$A36&amp;IF(ISNUMBER(SEARCH("?",$A36)),"&amp;","?")&amp;"utm_source="&amp;LOWER(SUBSTITUTE(TRIM($B36)," ","-"))&amp;"&amp;utm_medium="&amp;LOWER(SUBSTITUTE(TRIM($C36)," ","-")&amp;IF($D36="","","&amp;utm_campaign="&amp;LOWER(SUBSTITUTE(TRIM($D36)," ","-")))&amp;IF($E36="","","&amp;utm_content="&amp;LOWER(SUBSTITUTE(TRIM($E36)," ","-")))))</f>
        <v/>
      </c>
      <c r="G36" s="38"/>
      <c r="H36" s="36"/>
    </row>
    <row r="37" customFormat="false" ht="25.5" hidden="false" customHeight="true" outlineLevel="0" collapsed="false">
      <c r="A37" s="38"/>
      <c r="B37" s="37"/>
      <c r="C37" s="37"/>
      <c r="D37" s="37"/>
      <c r="E37" s="37"/>
      <c r="F37" s="105" t="str">
        <f aca="false">IF(OR($A37="",$B37="",$C37=""),"",$A37&amp;IF(ISNUMBER(SEARCH("?",$A37)),"&amp;","?")&amp;"utm_source="&amp;LOWER(SUBSTITUTE(TRIM($B37)," ","-"))&amp;"&amp;utm_medium="&amp;LOWER(SUBSTITUTE(TRIM($C37)," ","-")&amp;IF($D37="","","&amp;utm_campaign="&amp;LOWER(SUBSTITUTE(TRIM($D37)," ","-")))&amp;IF($E37="","","&amp;utm_content="&amp;LOWER(SUBSTITUTE(TRIM($E37)," ","-")))))</f>
        <v/>
      </c>
      <c r="G37" s="38"/>
      <c r="H37" s="36"/>
    </row>
    <row r="38" customFormat="false" ht="25.5" hidden="false" customHeight="true" outlineLevel="0" collapsed="false">
      <c r="A38" s="38"/>
      <c r="B38" s="37"/>
      <c r="C38" s="37"/>
      <c r="D38" s="37"/>
      <c r="E38" s="37"/>
      <c r="F38" s="105" t="str">
        <f aca="false">IF(OR($A38="",$B38="",$C38=""),"",$A38&amp;IF(ISNUMBER(SEARCH("?",$A38)),"&amp;","?")&amp;"utm_source="&amp;LOWER(SUBSTITUTE(TRIM($B38)," ","-"))&amp;"&amp;utm_medium="&amp;LOWER(SUBSTITUTE(TRIM($C38)," ","-")&amp;IF($D38="","","&amp;utm_campaign="&amp;LOWER(SUBSTITUTE(TRIM($D38)," ","-")))&amp;IF($E38="","","&amp;utm_content="&amp;LOWER(SUBSTITUTE(TRIM($E38)," ","-")))))</f>
        <v/>
      </c>
      <c r="G38" s="38"/>
      <c r="H38" s="36"/>
    </row>
    <row r="39" customFormat="false" ht="25.5" hidden="false" customHeight="true" outlineLevel="0" collapsed="false">
      <c r="A39" s="38"/>
      <c r="B39" s="37"/>
      <c r="C39" s="37"/>
      <c r="D39" s="37"/>
      <c r="E39" s="37"/>
      <c r="F39" s="105" t="str">
        <f aca="false">IF(OR($A39="",$B39="",$C39=""),"",$A39&amp;IF(ISNUMBER(SEARCH("?",$A39)),"&amp;","?")&amp;"utm_source="&amp;LOWER(SUBSTITUTE(TRIM($B39)," ","-"))&amp;"&amp;utm_medium="&amp;LOWER(SUBSTITUTE(TRIM($C39)," ","-")&amp;IF($D39="","","&amp;utm_campaign="&amp;LOWER(SUBSTITUTE(TRIM($D39)," ","-")))&amp;IF($E39="","","&amp;utm_content="&amp;LOWER(SUBSTITUTE(TRIM($E39)," ","-")))))</f>
        <v/>
      </c>
      <c r="G39" s="38"/>
      <c r="H39" s="36"/>
    </row>
    <row r="40" customFormat="false" ht="25.5" hidden="false" customHeight="true" outlineLevel="0" collapsed="false">
      <c r="A40" s="38"/>
      <c r="B40" s="37"/>
      <c r="C40" s="37"/>
      <c r="D40" s="37"/>
      <c r="E40" s="37"/>
      <c r="F40" s="105" t="str">
        <f aca="false">IF(OR($A40="",$B40="",$C40=""),"",$A40&amp;IF(ISNUMBER(SEARCH("?",$A40)),"&amp;","?")&amp;"utm_source="&amp;LOWER(SUBSTITUTE(TRIM($B40)," ","-"))&amp;"&amp;utm_medium="&amp;LOWER(SUBSTITUTE(TRIM($C40)," ","-")&amp;IF($D40="","","&amp;utm_campaign="&amp;LOWER(SUBSTITUTE(TRIM($D40)," ","-")))&amp;IF($E40="","","&amp;utm_content="&amp;LOWER(SUBSTITUTE(TRIM($E40)," ","-")))))</f>
        <v/>
      </c>
      <c r="G40" s="38"/>
      <c r="H40" s="36"/>
    </row>
    <row r="41" customFormat="false" ht="25.5" hidden="false" customHeight="true" outlineLevel="0" collapsed="false">
      <c r="A41" s="38"/>
      <c r="B41" s="37"/>
      <c r="C41" s="37"/>
      <c r="D41" s="37"/>
      <c r="E41" s="37"/>
      <c r="F41" s="105" t="str">
        <f aca="false">IF(OR($A41="",$B41="",$C41=""),"",$A41&amp;IF(ISNUMBER(SEARCH("?",$A41)),"&amp;","?")&amp;"utm_source="&amp;LOWER(SUBSTITUTE(TRIM($B41)," ","-"))&amp;"&amp;utm_medium="&amp;LOWER(SUBSTITUTE(TRIM($C41)," ","-")&amp;IF($D41="","","&amp;utm_campaign="&amp;LOWER(SUBSTITUTE(TRIM($D41)," ","-")))&amp;IF($E41="","","&amp;utm_content="&amp;LOWER(SUBSTITUTE(TRIM($E41)," ","-")))))</f>
        <v/>
      </c>
      <c r="G41" s="38"/>
      <c r="H41" s="36"/>
    </row>
    <row r="42" customFormat="false" ht="25.5" hidden="false" customHeight="true" outlineLevel="0" collapsed="false">
      <c r="A42" s="38"/>
      <c r="B42" s="37"/>
      <c r="C42" s="37"/>
      <c r="D42" s="37"/>
      <c r="E42" s="37"/>
      <c r="F42" s="105" t="str">
        <f aca="false">IF(OR($A42="",$B42="",$C42=""),"",$A42&amp;IF(ISNUMBER(SEARCH("?",$A42)),"&amp;","?")&amp;"utm_source="&amp;LOWER(SUBSTITUTE(TRIM($B42)," ","-"))&amp;"&amp;utm_medium="&amp;LOWER(SUBSTITUTE(TRIM($C42)," ","-")&amp;IF($D42="","","&amp;utm_campaign="&amp;LOWER(SUBSTITUTE(TRIM($D42)," ","-")))&amp;IF($E42="","","&amp;utm_content="&amp;LOWER(SUBSTITUTE(TRIM($E42)," ","-")))))</f>
        <v/>
      </c>
      <c r="G42" s="38"/>
      <c r="H42" s="36"/>
    </row>
    <row r="43" customFormat="false" ht="25.5" hidden="false" customHeight="true" outlineLevel="0" collapsed="false">
      <c r="A43" s="38"/>
      <c r="B43" s="37"/>
      <c r="C43" s="37"/>
      <c r="D43" s="37"/>
      <c r="E43" s="37"/>
      <c r="F43" s="105" t="str">
        <f aca="false">IF(OR($A43="",$B43="",$C43=""),"",$A43&amp;IF(ISNUMBER(SEARCH("?",$A43)),"&amp;","?")&amp;"utm_source="&amp;LOWER(SUBSTITUTE(TRIM($B43)," ","-"))&amp;"&amp;utm_medium="&amp;LOWER(SUBSTITUTE(TRIM($C43)," ","-")&amp;IF($D43="","","&amp;utm_campaign="&amp;LOWER(SUBSTITUTE(TRIM($D43)," ","-")))&amp;IF($E43="","","&amp;utm_content="&amp;LOWER(SUBSTITUTE(TRIM($E43)," ","-")))))</f>
        <v/>
      </c>
      <c r="G43" s="38"/>
      <c r="H43" s="36"/>
    </row>
    <row r="44" customFormat="false" ht="25.5" hidden="false" customHeight="true" outlineLevel="0" collapsed="false">
      <c r="A44" s="38"/>
      <c r="B44" s="37"/>
      <c r="C44" s="37"/>
      <c r="D44" s="37"/>
      <c r="E44" s="37"/>
      <c r="F44" s="105" t="str">
        <f aca="false">IF(OR($A44="",$B44="",$C44=""),"",$A44&amp;IF(ISNUMBER(SEARCH("?",$A44)),"&amp;","?")&amp;"utm_source="&amp;LOWER(SUBSTITUTE(TRIM($B44)," ","-"))&amp;"&amp;utm_medium="&amp;LOWER(SUBSTITUTE(TRIM($C44)," ","-")&amp;IF($D44="","","&amp;utm_campaign="&amp;LOWER(SUBSTITUTE(TRIM($D44)," ","-")))&amp;IF($E44="","","&amp;utm_content="&amp;LOWER(SUBSTITUTE(TRIM($E44)," ","-")))))</f>
        <v/>
      </c>
      <c r="G44" s="38"/>
      <c r="H44" s="36"/>
    </row>
    <row r="45" customFormat="false" ht="25.5" hidden="false" customHeight="true" outlineLevel="0" collapsed="false">
      <c r="A45" s="38"/>
      <c r="B45" s="37"/>
      <c r="C45" s="37"/>
      <c r="D45" s="37"/>
      <c r="E45" s="37"/>
      <c r="F45" s="105" t="str">
        <f aca="false">IF(OR($A45="",$B45="",$C45=""),"",$A45&amp;IF(ISNUMBER(SEARCH("?",$A45)),"&amp;","?")&amp;"utm_source="&amp;LOWER(SUBSTITUTE(TRIM($B45)," ","-"))&amp;"&amp;utm_medium="&amp;LOWER(SUBSTITUTE(TRIM($C45)," ","-")&amp;IF($D45="","","&amp;utm_campaign="&amp;LOWER(SUBSTITUTE(TRIM($D45)," ","-")))&amp;IF($E45="","","&amp;utm_content="&amp;LOWER(SUBSTITUTE(TRIM($E45)," ","-")))))</f>
        <v/>
      </c>
      <c r="G45" s="38"/>
      <c r="H45" s="36"/>
    </row>
    <row r="46" customFormat="false" ht="25.5" hidden="false" customHeight="true" outlineLevel="0" collapsed="false">
      <c r="A46" s="38"/>
      <c r="B46" s="37"/>
      <c r="C46" s="37"/>
      <c r="D46" s="37"/>
      <c r="E46" s="37"/>
      <c r="F46" s="105" t="str">
        <f aca="false">IF(OR($A46="",$B46="",$C46=""),"",$A46&amp;IF(ISNUMBER(SEARCH("?",$A46)),"&amp;","?")&amp;"utm_source="&amp;LOWER(SUBSTITUTE(TRIM($B46)," ","-"))&amp;"&amp;utm_medium="&amp;LOWER(SUBSTITUTE(TRIM($C46)," ","-")&amp;IF($D46="","","&amp;utm_campaign="&amp;LOWER(SUBSTITUTE(TRIM($D46)," ","-")))&amp;IF($E46="","","&amp;utm_content="&amp;LOWER(SUBSTITUTE(TRIM($E46)," ","-")))))</f>
        <v/>
      </c>
      <c r="G46" s="38"/>
      <c r="H46" s="36"/>
    </row>
    <row r="47" customFormat="false" ht="25.5" hidden="false" customHeight="true" outlineLevel="0" collapsed="false">
      <c r="A47" s="38"/>
      <c r="B47" s="37"/>
      <c r="C47" s="37"/>
      <c r="D47" s="37"/>
      <c r="E47" s="37"/>
      <c r="F47" s="105" t="str">
        <f aca="false">IF(OR($A47="",$B47="",$C47=""),"",$A47&amp;IF(ISNUMBER(SEARCH("?",$A47)),"&amp;","?")&amp;"utm_source="&amp;LOWER(SUBSTITUTE(TRIM($B47)," ","-"))&amp;"&amp;utm_medium="&amp;LOWER(SUBSTITUTE(TRIM($C47)," ","-")&amp;IF($D47="","","&amp;utm_campaign="&amp;LOWER(SUBSTITUTE(TRIM($D47)," ","-")))&amp;IF($E47="","","&amp;utm_content="&amp;LOWER(SUBSTITUTE(TRIM($E47)," ","-")))))</f>
        <v/>
      </c>
      <c r="G47" s="38"/>
      <c r="H47" s="36"/>
    </row>
    <row r="48" customFormat="false" ht="25.5" hidden="false" customHeight="true" outlineLevel="0" collapsed="false">
      <c r="A48" s="38"/>
      <c r="B48" s="37"/>
      <c r="C48" s="37"/>
      <c r="D48" s="37"/>
      <c r="E48" s="37"/>
      <c r="F48" s="105" t="str">
        <f aca="false">IF(OR($A48="",$B48="",$C48=""),"",$A48&amp;IF(ISNUMBER(SEARCH("?",$A48)),"&amp;","?")&amp;"utm_source="&amp;LOWER(SUBSTITUTE(TRIM($B48)," ","-"))&amp;"&amp;utm_medium="&amp;LOWER(SUBSTITUTE(TRIM($C48)," ","-")&amp;IF($D48="","","&amp;utm_campaign="&amp;LOWER(SUBSTITUTE(TRIM($D48)," ","-")))&amp;IF($E48="","","&amp;utm_content="&amp;LOWER(SUBSTITUTE(TRIM($E48)," ","-")))))</f>
        <v/>
      </c>
      <c r="G48" s="38"/>
      <c r="H48" s="36"/>
    </row>
    <row r="49" customFormat="false" ht="25.5" hidden="false" customHeight="true" outlineLevel="0" collapsed="false">
      <c r="A49" s="38"/>
      <c r="B49" s="37"/>
      <c r="C49" s="37"/>
      <c r="D49" s="37"/>
      <c r="E49" s="37"/>
      <c r="F49" s="105" t="str">
        <f aca="false">IF(OR($A49="",$B49="",$C49=""),"",$A49&amp;IF(ISNUMBER(SEARCH("?",$A49)),"&amp;","?")&amp;"utm_source="&amp;LOWER(SUBSTITUTE(TRIM($B49)," ","-"))&amp;"&amp;utm_medium="&amp;LOWER(SUBSTITUTE(TRIM($C49)," ","-")&amp;IF($D49="","","&amp;utm_campaign="&amp;LOWER(SUBSTITUTE(TRIM($D49)," ","-")))&amp;IF($E49="","","&amp;utm_content="&amp;LOWER(SUBSTITUTE(TRIM($E49)," ","-")))))</f>
        <v/>
      </c>
      <c r="G49" s="38"/>
      <c r="H49" s="36"/>
    </row>
    <row r="50" customFormat="false" ht="25.5" hidden="false" customHeight="true" outlineLevel="0" collapsed="false">
      <c r="A50" s="38"/>
      <c r="B50" s="37"/>
      <c r="C50" s="37"/>
      <c r="D50" s="37"/>
      <c r="E50" s="37"/>
      <c r="F50" s="105" t="str">
        <f aca="false">IF(OR($A50="",$B50="",$C50=""),"",$A50&amp;IF(ISNUMBER(SEARCH("?",$A50)),"&amp;","?")&amp;"utm_source="&amp;LOWER(SUBSTITUTE(TRIM($B50)," ","-"))&amp;"&amp;utm_medium="&amp;LOWER(SUBSTITUTE(TRIM($C50)," ","-")&amp;IF($D50="","","&amp;utm_campaign="&amp;LOWER(SUBSTITUTE(TRIM($D50)," ","-")))&amp;IF($E50="","","&amp;utm_content="&amp;LOWER(SUBSTITUTE(TRIM($E50)," ","-")))))</f>
        <v/>
      </c>
      <c r="G50" s="38"/>
      <c r="H50" s="36"/>
    </row>
    <row r="51" customFormat="false" ht="25.5" hidden="false" customHeight="true" outlineLevel="0" collapsed="false">
      <c r="A51" s="38"/>
      <c r="B51" s="37"/>
      <c r="C51" s="37"/>
      <c r="D51" s="37"/>
      <c r="E51" s="37"/>
      <c r="F51" s="105" t="str">
        <f aca="false">IF(OR($A51="",$B51="",$C51=""),"",$A51&amp;IF(ISNUMBER(SEARCH("?",$A51)),"&amp;","?")&amp;"utm_source="&amp;LOWER(SUBSTITUTE(TRIM($B51)," ","-"))&amp;"&amp;utm_medium="&amp;LOWER(SUBSTITUTE(TRIM($C51)," ","-")&amp;IF($D51="","","&amp;utm_campaign="&amp;LOWER(SUBSTITUTE(TRIM($D51)," ","-")))&amp;IF($E51="","","&amp;utm_content="&amp;LOWER(SUBSTITUTE(TRIM($E51)," ","-")))))</f>
        <v/>
      </c>
      <c r="G51" s="38"/>
      <c r="H51" s="36"/>
    </row>
    <row r="52" customFormat="false" ht="25.5" hidden="false" customHeight="true" outlineLevel="0" collapsed="false">
      <c r="A52" s="38"/>
      <c r="B52" s="37"/>
      <c r="C52" s="37"/>
      <c r="D52" s="37"/>
      <c r="E52" s="37"/>
      <c r="F52" s="105" t="str">
        <f aca="false">IF(OR($A52="",$B52="",$C52=""),"",$A52&amp;IF(ISNUMBER(SEARCH("?",$A52)),"&amp;","?")&amp;"utm_source="&amp;LOWER(SUBSTITUTE(TRIM($B52)," ","-"))&amp;"&amp;utm_medium="&amp;LOWER(SUBSTITUTE(TRIM($C52)," ","-")&amp;IF($D52="","","&amp;utm_campaign="&amp;LOWER(SUBSTITUTE(TRIM($D52)," ","-")))&amp;IF($E52="","","&amp;utm_content="&amp;LOWER(SUBSTITUTE(TRIM($E52)," ","-")))))</f>
        <v/>
      </c>
      <c r="G52" s="38"/>
      <c r="H52" s="36"/>
    </row>
    <row r="53" customFormat="false" ht="25.5" hidden="false" customHeight="true" outlineLevel="0" collapsed="false">
      <c r="A53" s="38"/>
      <c r="B53" s="37"/>
      <c r="C53" s="37"/>
      <c r="D53" s="37"/>
      <c r="E53" s="37"/>
      <c r="F53" s="105" t="str">
        <f aca="false">IF(OR($A53="",$B53="",$C53=""),"",$A53&amp;IF(ISNUMBER(SEARCH("?",$A53)),"&amp;","?")&amp;"utm_source="&amp;LOWER(SUBSTITUTE(TRIM($B53)," ","-"))&amp;"&amp;utm_medium="&amp;LOWER(SUBSTITUTE(TRIM($C53)," ","-")&amp;IF($D53="","","&amp;utm_campaign="&amp;LOWER(SUBSTITUTE(TRIM($D53)," ","-")))&amp;IF($E53="","","&amp;utm_content="&amp;LOWER(SUBSTITUTE(TRIM($E53)," ","-")))))</f>
        <v/>
      </c>
      <c r="G53" s="38"/>
      <c r="H53" s="36"/>
    </row>
    <row r="54" customFormat="false" ht="25.5" hidden="false" customHeight="true" outlineLevel="0" collapsed="false">
      <c r="A54" s="38"/>
      <c r="B54" s="37"/>
      <c r="C54" s="37"/>
      <c r="D54" s="37"/>
      <c r="E54" s="37"/>
      <c r="F54" s="105" t="str">
        <f aca="false">IF(OR($A54="",$B54="",$C54=""),"",$A54&amp;IF(ISNUMBER(SEARCH("?",$A54)),"&amp;","?")&amp;"utm_source="&amp;LOWER(SUBSTITUTE(TRIM($B54)," ","-"))&amp;"&amp;utm_medium="&amp;LOWER(SUBSTITUTE(TRIM($C54)," ","-")&amp;IF($D54="","","&amp;utm_campaign="&amp;LOWER(SUBSTITUTE(TRIM($D54)," ","-")))&amp;IF($E54="","","&amp;utm_content="&amp;LOWER(SUBSTITUTE(TRIM($E54)," ","-")))))</f>
        <v/>
      </c>
      <c r="G54" s="38"/>
      <c r="H54" s="36"/>
    </row>
    <row r="55" customFormat="false" ht="25.5" hidden="false" customHeight="true" outlineLevel="0" collapsed="false">
      <c r="A55" s="38"/>
      <c r="B55" s="37"/>
      <c r="C55" s="37"/>
      <c r="D55" s="37"/>
      <c r="E55" s="37"/>
      <c r="F55" s="105" t="str">
        <f aca="false">IF(OR($A55="",$B55="",$C55=""),"",$A55&amp;IF(ISNUMBER(SEARCH("?",$A55)),"&amp;","?")&amp;"utm_source="&amp;LOWER(SUBSTITUTE(TRIM($B55)," ","-"))&amp;"&amp;utm_medium="&amp;LOWER(SUBSTITUTE(TRIM($C55)," ","-")&amp;IF($D55="","","&amp;utm_campaign="&amp;LOWER(SUBSTITUTE(TRIM($D55)," ","-")))&amp;IF($E55="","","&amp;utm_content="&amp;LOWER(SUBSTITUTE(TRIM($E55)," ","-")))))</f>
        <v/>
      </c>
      <c r="G55" s="38"/>
      <c r="H55" s="36"/>
    </row>
    <row r="56" customFormat="false" ht="25.5" hidden="false" customHeight="true" outlineLevel="0" collapsed="false">
      <c r="A56" s="38"/>
      <c r="B56" s="37"/>
      <c r="C56" s="37"/>
      <c r="D56" s="37"/>
      <c r="E56" s="37"/>
      <c r="F56" s="105" t="str">
        <f aca="false">IF(OR($A56="",$B56="",$C56=""),"",$A56&amp;IF(ISNUMBER(SEARCH("?",$A56)),"&amp;","?")&amp;"utm_source="&amp;LOWER(SUBSTITUTE(TRIM($B56)," ","-"))&amp;"&amp;utm_medium="&amp;LOWER(SUBSTITUTE(TRIM($C56)," ","-")&amp;IF($D56="","","&amp;utm_campaign="&amp;LOWER(SUBSTITUTE(TRIM($D56)," ","-")))&amp;IF($E56="","","&amp;utm_content="&amp;LOWER(SUBSTITUTE(TRIM($E56)," ","-")))))</f>
        <v/>
      </c>
      <c r="G56" s="38"/>
      <c r="H56" s="36"/>
    </row>
    <row r="57" customFormat="false" ht="25.5" hidden="false" customHeight="true" outlineLevel="0" collapsed="false">
      <c r="A57" s="38"/>
      <c r="B57" s="37"/>
      <c r="C57" s="37"/>
      <c r="D57" s="37"/>
      <c r="E57" s="37"/>
      <c r="F57" s="105" t="str">
        <f aca="false">IF(OR($A57="",$B57="",$C57=""),"",$A57&amp;IF(ISNUMBER(SEARCH("?",$A57)),"&amp;","?")&amp;"utm_source="&amp;LOWER(SUBSTITUTE(TRIM($B57)," ","-"))&amp;"&amp;utm_medium="&amp;LOWER(SUBSTITUTE(TRIM($C57)," ","-")&amp;IF($D57="","","&amp;utm_campaign="&amp;LOWER(SUBSTITUTE(TRIM($D57)," ","-")))&amp;IF($E57="","","&amp;utm_content="&amp;LOWER(SUBSTITUTE(TRIM($E57)," ","-")))))</f>
        <v/>
      </c>
      <c r="G57" s="38"/>
      <c r="H57" s="36"/>
    </row>
    <row r="58" customFormat="false" ht="25.5" hidden="false" customHeight="true" outlineLevel="0" collapsed="false">
      <c r="A58" s="38"/>
      <c r="B58" s="37"/>
      <c r="C58" s="37"/>
      <c r="D58" s="37"/>
      <c r="E58" s="37"/>
      <c r="F58" s="105" t="str">
        <f aca="false">IF(OR($A58="",$B58="",$C58=""),"",$A58&amp;IF(ISNUMBER(SEARCH("?",$A58)),"&amp;","?")&amp;"utm_source="&amp;LOWER(SUBSTITUTE(TRIM($B58)," ","-"))&amp;"&amp;utm_medium="&amp;LOWER(SUBSTITUTE(TRIM($C58)," ","-")&amp;IF($D58="","","&amp;utm_campaign="&amp;LOWER(SUBSTITUTE(TRIM($D58)," ","-")))&amp;IF($E58="","","&amp;utm_content="&amp;LOWER(SUBSTITUTE(TRIM($E58)," ","-")))))</f>
        <v/>
      </c>
      <c r="G58" s="38"/>
      <c r="H58" s="36"/>
    </row>
    <row r="59" customFormat="false" ht="25.5" hidden="false" customHeight="true" outlineLevel="0" collapsed="false">
      <c r="A59" s="38"/>
      <c r="B59" s="37"/>
      <c r="C59" s="37"/>
      <c r="D59" s="37"/>
      <c r="E59" s="37"/>
      <c r="F59" s="105" t="str">
        <f aca="false">IF(OR($A59="",$B59="",$C59=""),"",$A59&amp;IF(ISNUMBER(SEARCH("?",$A59)),"&amp;","?")&amp;"utm_source="&amp;LOWER(SUBSTITUTE(TRIM($B59)," ","-"))&amp;"&amp;utm_medium="&amp;LOWER(SUBSTITUTE(TRIM($C59)," ","-")&amp;IF($D59="","","&amp;utm_campaign="&amp;LOWER(SUBSTITUTE(TRIM($D59)," ","-")))&amp;IF($E59="","","&amp;utm_content="&amp;LOWER(SUBSTITUTE(TRIM($E59)," ","-")))))</f>
        <v/>
      </c>
      <c r="G59" s="38"/>
      <c r="H59" s="36"/>
    </row>
    <row r="60" customFormat="false" ht="25.5" hidden="false" customHeight="true" outlineLevel="0" collapsed="false">
      <c r="A60" s="38"/>
      <c r="B60" s="37"/>
      <c r="C60" s="37"/>
      <c r="D60" s="37"/>
      <c r="E60" s="37"/>
      <c r="F60" s="105" t="str">
        <f aca="false">IF(OR($A60="",$B60="",$C60=""),"",$A60&amp;IF(ISNUMBER(SEARCH("?",$A60)),"&amp;","?")&amp;"utm_source="&amp;LOWER(SUBSTITUTE(TRIM($B60)," ","-"))&amp;"&amp;utm_medium="&amp;LOWER(SUBSTITUTE(TRIM($C60)," ","-")&amp;IF($D60="","","&amp;utm_campaign="&amp;LOWER(SUBSTITUTE(TRIM($D60)," ","-")))&amp;IF($E60="","","&amp;utm_content="&amp;LOWER(SUBSTITUTE(TRIM($E60)," ","-")))))</f>
        <v/>
      </c>
      <c r="G60" s="38"/>
      <c r="H60" s="36"/>
    </row>
    <row r="61" customFormat="false" ht="25.5" hidden="false" customHeight="true" outlineLevel="0" collapsed="false">
      <c r="A61" s="38"/>
      <c r="B61" s="37"/>
      <c r="C61" s="37"/>
      <c r="D61" s="37"/>
      <c r="E61" s="37"/>
      <c r="F61" s="105" t="str">
        <f aca="false">IF(OR($A61="",$B61="",$C61=""),"",$A61&amp;IF(ISNUMBER(SEARCH("?",$A61)),"&amp;","?")&amp;"utm_source="&amp;LOWER(SUBSTITUTE(TRIM($B61)," ","-"))&amp;"&amp;utm_medium="&amp;LOWER(SUBSTITUTE(TRIM($C61)," ","-")&amp;IF($D61="","","&amp;utm_campaign="&amp;LOWER(SUBSTITUTE(TRIM($D61)," ","-")))&amp;IF($E61="","","&amp;utm_content="&amp;LOWER(SUBSTITUTE(TRIM($E61)," ","-")))))</f>
        <v/>
      </c>
      <c r="G61" s="38"/>
      <c r="H61" s="36"/>
    </row>
    <row r="62" customFormat="false" ht="25.5" hidden="false" customHeight="true" outlineLevel="0" collapsed="false">
      <c r="A62" s="38"/>
      <c r="B62" s="37"/>
      <c r="C62" s="37"/>
      <c r="D62" s="37"/>
      <c r="E62" s="37"/>
      <c r="F62" s="105" t="str">
        <f aca="false">IF(OR($A62="",$B62="",$C62=""),"",$A62&amp;IF(ISNUMBER(SEARCH("?",$A62)),"&amp;","?")&amp;"utm_source="&amp;LOWER(SUBSTITUTE(TRIM($B62)," ","-"))&amp;"&amp;utm_medium="&amp;LOWER(SUBSTITUTE(TRIM($C62)," ","-")&amp;IF($D62="","","&amp;utm_campaign="&amp;LOWER(SUBSTITUTE(TRIM($D62)," ","-")))&amp;IF($E62="","","&amp;utm_content="&amp;LOWER(SUBSTITUTE(TRIM($E62)," ","-")))))</f>
        <v/>
      </c>
      <c r="G62" s="38"/>
      <c r="H62" s="36"/>
    </row>
    <row r="63" customFormat="false" ht="25.5" hidden="false" customHeight="true" outlineLevel="0" collapsed="false">
      <c r="A63" s="38"/>
      <c r="B63" s="37"/>
      <c r="C63" s="37"/>
      <c r="D63" s="37"/>
      <c r="E63" s="37"/>
      <c r="F63" s="105" t="str">
        <f aca="false">IF(OR($A63="",$B63="",$C63=""),"",$A63&amp;IF(ISNUMBER(SEARCH("?",$A63)),"&amp;","?")&amp;"utm_source="&amp;LOWER(SUBSTITUTE(TRIM($B63)," ","-"))&amp;"&amp;utm_medium="&amp;LOWER(SUBSTITUTE(TRIM($C63)," ","-")&amp;IF($D63="","","&amp;utm_campaign="&amp;LOWER(SUBSTITUTE(TRIM($D63)," ","-")))&amp;IF($E63="","","&amp;utm_content="&amp;LOWER(SUBSTITUTE(TRIM($E63)," ","-")))))</f>
        <v/>
      </c>
      <c r="G63" s="38"/>
      <c r="H63" s="36"/>
    </row>
    <row r="64" customFormat="false" ht="25.5" hidden="false" customHeight="true" outlineLevel="0" collapsed="false">
      <c r="A64" s="38"/>
      <c r="B64" s="37"/>
      <c r="C64" s="37"/>
      <c r="D64" s="37"/>
      <c r="E64" s="37"/>
      <c r="F64" s="105" t="str">
        <f aca="false">IF(OR($A64="",$B64="",$C64=""),"",$A64&amp;IF(ISNUMBER(SEARCH("?",$A64)),"&amp;","?")&amp;"utm_source="&amp;LOWER(SUBSTITUTE(TRIM($B64)," ","-"))&amp;"&amp;utm_medium="&amp;LOWER(SUBSTITUTE(TRIM($C64)," ","-")&amp;IF($D64="","","&amp;utm_campaign="&amp;LOWER(SUBSTITUTE(TRIM($D64)," ","-")))&amp;IF($E64="","","&amp;utm_content="&amp;LOWER(SUBSTITUTE(TRIM($E64)," ","-")))))</f>
        <v/>
      </c>
      <c r="G64" s="38"/>
      <c r="H64" s="36"/>
    </row>
    <row r="65" customFormat="false" ht="25.5" hidden="false" customHeight="true" outlineLevel="0" collapsed="false">
      <c r="A65" s="38"/>
      <c r="B65" s="37"/>
      <c r="C65" s="37"/>
      <c r="D65" s="37"/>
      <c r="E65" s="37"/>
      <c r="F65" s="105" t="str">
        <f aca="false">IF(OR($A65="",$B65="",$C65=""),"",$A65&amp;IF(ISNUMBER(SEARCH("?",$A65)),"&amp;","?")&amp;"utm_source="&amp;LOWER(SUBSTITUTE(TRIM($B65)," ","-"))&amp;"&amp;utm_medium="&amp;LOWER(SUBSTITUTE(TRIM($C65)," ","-")&amp;IF($D65="","","&amp;utm_campaign="&amp;LOWER(SUBSTITUTE(TRIM($D65)," ","-")))&amp;IF($E65="","","&amp;utm_content="&amp;LOWER(SUBSTITUTE(TRIM($E65)," ","-")))))</f>
        <v/>
      </c>
      <c r="G65" s="38"/>
      <c r="H65" s="36"/>
    </row>
    <row r="66" customFormat="false" ht="25.5" hidden="false" customHeight="true" outlineLevel="0" collapsed="false">
      <c r="A66" s="38"/>
      <c r="B66" s="37"/>
      <c r="C66" s="37"/>
      <c r="D66" s="37"/>
      <c r="E66" s="37"/>
      <c r="F66" s="105" t="str">
        <f aca="false">IF(OR($A66="",$B66="",$C66=""),"",$A66&amp;IF(ISNUMBER(SEARCH("?",$A66)),"&amp;","?")&amp;"utm_source="&amp;LOWER(SUBSTITUTE(TRIM($B66)," ","-"))&amp;"&amp;utm_medium="&amp;LOWER(SUBSTITUTE(TRIM($C66)," ","-")&amp;IF($D66="","","&amp;utm_campaign="&amp;LOWER(SUBSTITUTE(TRIM($D66)," ","-")))&amp;IF($E66="","","&amp;utm_content="&amp;LOWER(SUBSTITUTE(TRIM($E66)," ","-")))))</f>
        <v/>
      </c>
      <c r="G66" s="38"/>
      <c r="H66" s="36"/>
    </row>
    <row r="67" customFormat="false" ht="25.5" hidden="false" customHeight="true" outlineLevel="0" collapsed="false">
      <c r="A67" s="38"/>
      <c r="B67" s="37"/>
      <c r="C67" s="37"/>
      <c r="D67" s="37"/>
      <c r="E67" s="37"/>
      <c r="F67" s="105" t="str">
        <f aca="false">IF(OR($A67="",$B67="",$C67=""),"",$A67&amp;IF(ISNUMBER(SEARCH("?",$A67)),"&amp;","?")&amp;"utm_source="&amp;LOWER(SUBSTITUTE(TRIM($B67)," ","-"))&amp;"&amp;utm_medium="&amp;LOWER(SUBSTITUTE(TRIM($C67)," ","-")&amp;IF($D67="","","&amp;utm_campaign="&amp;LOWER(SUBSTITUTE(TRIM($D67)," ","-")))&amp;IF($E67="","","&amp;utm_content="&amp;LOWER(SUBSTITUTE(TRIM($E67)," ","-")))))</f>
        <v/>
      </c>
      <c r="G67" s="38"/>
      <c r="H67" s="36"/>
    </row>
    <row r="68" customFormat="false" ht="25.5" hidden="false" customHeight="true" outlineLevel="0" collapsed="false">
      <c r="A68" s="38"/>
      <c r="B68" s="37"/>
      <c r="C68" s="37"/>
      <c r="D68" s="37"/>
      <c r="E68" s="37"/>
      <c r="F68" s="105" t="str">
        <f aca="false">IF(OR($A68="",$B68="",$C68=""),"",$A68&amp;IF(ISNUMBER(SEARCH("?",$A68)),"&amp;","?")&amp;"utm_source="&amp;LOWER(SUBSTITUTE(TRIM($B68)," ","-"))&amp;"&amp;utm_medium="&amp;LOWER(SUBSTITUTE(TRIM($C68)," ","-")&amp;IF($D68="","","&amp;utm_campaign="&amp;LOWER(SUBSTITUTE(TRIM($D68)," ","-")))&amp;IF($E68="","","&amp;utm_content="&amp;LOWER(SUBSTITUTE(TRIM($E68)," ","-")))))</f>
        <v/>
      </c>
      <c r="G68" s="38"/>
      <c r="H68" s="36"/>
    </row>
    <row r="69" customFormat="false" ht="25.5" hidden="false" customHeight="true" outlineLevel="0" collapsed="false">
      <c r="A69" s="38"/>
      <c r="B69" s="37"/>
      <c r="C69" s="37"/>
      <c r="D69" s="37"/>
      <c r="E69" s="37"/>
      <c r="F69" s="105" t="str">
        <f aca="false">IF(OR($A69="",$B69="",$C69=""),"",$A69&amp;IF(ISNUMBER(SEARCH("?",$A69)),"&amp;","?")&amp;"utm_source="&amp;LOWER(SUBSTITUTE(TRIM($B69)," ","-"))&amp;"&amp;utm_medium="&amp;LOWER(SUBSTITUTE(TRIM($C69)," ","-")&amp;IF($D69="","","&amp;utm_campaign="&amp;LOWER(SUBSTITUTE(TRIM($D69)," ","-")))&amp;IF($E69="","","&amp;utm_content="&amp;LOWER(SUBSTITUTE(TRIM($E69)," ","-")))))</f>
        <v/>
      </c>
      <c r="G69" s="38"/>
      <c r="H69" s="36"/>
    </row>
    <row r="70" customFormat="false" ht="25.5" hidden="false" customHeight="true" outlineLevel="0" collapsed="false">
      <c r="A70" s="38"/>
      <c r="B70" s="37"/>
      <c r="C70" s="37"/>
      <c r="D70" s="37"/>
      <c r="E70" s="37"/>
      <c r="F70" s="105" t="str">
        <f aca="false">IF(OR($A70="",$B70="",$C70=""),"",$A70&amp;IF(ISNUMBER(SEARCH("?",$A70)),"&amp;","?")&amp;"utm_source="&amp;LOWER(SUBSTITUTE(TRIM($B70)," ","-"))&amp;"&amp;utm_medium="&amp;LOWER(SUBSTITUTE(TRIM($C70)," ","-")&amp;IF($D70="","","&amp;utm_campaign="&amp;LOWER(SUBSTITUTE(TRIM($D70)," ","-")))&amp;IF($E70="","","&amp;utm_content="&amp;LOWER(SUBSTITUTE(TRIM($E70)," ","-")))))</f>
        <v/>
      </c>
      <c r="G70" s="38"/>
      <c r="H70" s="36"/>
    </row>
    <row r="71" customFormat="false" ht="25.5" hidden="false" customHeight="true" outlineLevel="0" collapsed="false">
      <c r="A71" s="38"/>
      <c r="B71" s="37"/>
      <c r="C71" s="37"/>
      <c r="D71" s="37"/>
      <c r="E71" s="37"/>
      <c r="F71" s="105" t="str">
        <f aca="false">IF(OR($A71="",$B71="",$C71=""),"",$A71&amp;IF(ISNUMBER(SEARCH("?",$A71)),"&amp;","?")&amp;"utm_source="&amp;LOWER(SUBSTITUTE(TRIM($B71)," ","-"))&amp;"&amp;utm_medium="&amp;LOWER(SUBSTITUTE(TRIM($C71)," ","-")&amp;IF($D71="","","&amp;utm_campaign="&amp;LOWER(SUBSTITUTE(TRIM($D71)," ","-")))&amp;IF($E71="","","&amp;utm_content="&amp;LOWER(SUBSTITUTE(TRIM($E71)," ","-")))))</f>
        <v/>
      </c>
      <c r="G71" s="38"/>
      <c r="H71" s="36"/>
    </row>
    <row r="72" customFormat="false" ht="25.5" hidden="false" customHeight="true" outlineLevel="0" collapsed="false">
      <c r="A72" s="38"/>
      <c r="B72" s="37"/>
      <c r="C72" s="37"/>
      <c r="D72" s="37"/>
      <c r="E72" s="37"/>
      <c r="F72" s="105" t="str">
        <f aca="false">IF(OR($A72="",$B72="",$C72=""),"",$A72&amp;IF(ISNUMBER(SEARCH("?",$A72)),"&amp;","?")&amp;"utm_source="&amp;LOWER(SUBSTITUTE(TRIM($B72)," ","-"))&amp;"&amp;utm_medium="&amp;LOWER(SUBSTITUTE(TRIM($C72)," ","-")&amp;IF($D72="","","&amp;utm_campaign="&amp;LOWER(SUBSTITUTE(TRIM($D72)," ","-")))&amp;IF($E72="","","&amp;utm_content="&amp;LOWER(SUBSTITUTE(TRIM($E72)," ","-")))))</f>
        <v/>
      </c>
      <c r="G72" s="38"/>
      <c r="H72" s="36"/>
    </row>
    <row r="73" customFormat="false" ht="25.5" hidden="false" customHeight="true" outlineLevel="0" collapsed="false">
      <c r="A73" s="38"/>
      <c r="B73" s="37"/>
      <c r="C73" s="37"/>
      <c r="D73" s="37"/>
      <c r="E73" s="37"/>
      <c r="F73" s="105" t="str">
        <f aca="false">IF(OR($A73="",$B73="",$C73=""),"",$A73&amp;IF(ISNUMBER(SEARCH("?",$A73)),"&amp;","?")&amp;"utm_source="&amp;LOWER(SUBSTITUTE(TRIM($B73)," ","-"))&amp;"&amp;utm_medium="&amp;LOWER(SUBSTITUTE(TRIM($C73)," ","-")&amp;IF($D73="","","&amp;utm_campaign="&amp;LOWER(SUBSTITUTE(TRIM($D73)," ","-")))&amp;IF($E73="","","&amp;utm_content="&amp;LOWER(SUBSTITUTE(TRIM($E73)," ","-")))))</f>
        <v/>
      </c>
      <c r="G73" s="38"/>
      <c r="H73" s="36"/>
    </row>
    <row r="74" customFormat="false" ht="25.5" hidden="false" customHeight="true" outlineLevel="0" collapsed="false">
      <c r="A74" s="38"/>
      <c r="B74" s="37"/>
      <c r="C74" s="37"/>
      <c r="D74" s="37"/>
      <c r="E74" s="37"/>
      <c r="F74" s="105" t="str">
        <f aca="false">IF(OR($A74="",$B74="",$C74=""),"",$A74&amp;IF(ISNUMBER(SEARCH("?",$A74)),"&amp;","?")&amp;"utm_source="&amp;LOWER(SUBSTITUTE(TRIM($B74)," ","-"))&amp;"&amp;utm_medium="&amp;LOWER(SUBSTITUTE(TRIM($C74)," ","-")&amp;IF($D74="","","&amp;utm_campaign="&amp;LOWER(SUBSTITUTE(TRIM($D74)," ","-")))&amp;IF($E74="","","&amp;utm_content="&amp;LOWER(SUBSTITUTE(TRIM($E74)," ","-")))))</f>
        <v/>
      </c>
      <c r="G74" s="38"/>
      <c r="H74" s="36"/>
    </row>
    <row r="75" customFormat="false" ht="25.5" hidden="false" customHeight="true" outlineLevel="0" collapsed="false">
      <c r="A75" s="38"/>
      <c r="B75" s="37"/>
      <c r="C75" s="37"/>
      <c r="D75" s="37"/>
      <c r="E75" s="37"/>
      <c r="F75" s="105" t="str">
        <f aca="false">IF(OR($A75="",$B75="",$C75=""),"",$A75&amp;IF(ISNUMBER(SEARCH("?",$A75)),"&amp;","?")&amp;"utm_source="&amp;LOWER(SUBSTITUTE(TRIM($B75)," ","-"))&amp;"&amp;utm_medium="&amp;LOWER(SUBSTITUTE(TRIM($C75)," ","-")&amp;IF($D75="","","&amp;utm_campaign="&amp;LOWER(SUBSTITUTE(TRIM($D75)," ","-")))&amp;IF($E75="","","&amp;utm_content="&amp;LOWER(SUBSTITUTE(TRIM($E75)," ","-")))))</f>
        <v/>
      </c>
      <c r="G75" s="38"/>
      <c r="H75" s="36"/>
    </row>
    <row r="76" customFormat="false" ht="25.5" hidden="false" customHeight="true" outlineLevel="0" collapsed="false">
      <c r="A76" s="38"/>
      <c r="B76" s="37"/>
      <c r="C76" s="37"/>
      <c r="D76" s="37"/>
      <c r="E76" s="37"/>
      <c r="F76" s="105" t="str">
        <f aca="false">IF(OR($A76="",$B76="",$C76=""),"",$A76&amp;IF(ISNUMBER(SEARCH("?",$A76)),"&amp;","?")&amp;"utm_source="&amp;LOWER(SUBSTITUTE(TRIM($B76)," ","-"))&amp;"&amp;utm_medium="&amp;LOWER(SUBSTITUTE(TRIM($C76)," ","-")&amp;IF($D76="","","&amp;utm_campaign="&amp;LOWER(SUBSTITUTE(TRIM($D76)," ","-")))&amp;IF($E76="","","&amp;utm_content="&amp;LOWER(SUBSTITUTE(TRIM($E76)," ","-")))))</f>
        <v/>
      </c>
      <c r="G76" s="38"/>
      <c r="H76" s="36"/>
    </row>
    <row r="77" customFormat="false" ht="25.5" hidden="false" customHeight="true" outlineLevel="0" collapsed="false">
      <c r="A77" s="38"/>
      <c r="B77" s="37"/>
      <c r="C77" s="37"/>
      <c r="D77" s="37"/>
      <c r="E77" s="37"/>
      <c r="F77" s="105" t="str">
        <f aca="false">IF(OR($A77="",$B77="",$C77=""),"",$A77&amp;IF(ISNUMBER(SEARCH("?",$A77)),"&amp;","?")&amp;"utm_source="&amp;LOWER(SUBSTITUTE(TRIM($B77)," ","-"))&amp;"&amp;utm_medium="&amp;LOWER(SUBSTITUTE(TRIM($C77)," ","-")&amp;IF($D77="","","&amp;utm_campaign="&amp;LOWER(SUBSTITUTE(TRIM($D77)," ","-")))&amp;IF($E77="","","&amp;utm_content="&amp;LOWER(SUBSTITUTE(TRIM($E77)," ","-")))))</f>
        <v/>
      </c>
      <c r="G77" s="38"/>
      <c r="H77" s="36"/>
    </row>
    <row r="78" customFormat="false" ht="25.5" hidden="false" customHeight="true" outlineLevel="0" collapsed="false">
      <c r="A78" s="38"/>
      <c r="B78" s="37"/>
      <c r="C78" s="37"/>
      <c r="D78" s="37"/>
      <c r="E78" s="37"/>
      <c r="F78" s="105" t="str">
        <f aca="false">IF(OR($A78="",$B78="",$C78=""),"",$A78&amp;IF(ISNUMBER(SEARCH("?",$A78)),"&amp;","?")&amp;"utm_source="&amp;LOWER(SUBSTITUTE(TRIM($B78)," ","-"))&amp;"&amp;utm_medium="&amp;LOWER(SUBSTITUTE(TRIM($C78)," ","-")&amp;IF($D78="","","&amp;utm_campaign="&amp;LOWER(SUBSTITUTE(TRIM($D78)," ","-")))&amp;IF($E78="","","&amp;utm_content="&amp;LOWER(SUBSTITUTE(TRIM($E78)," ","-")))))</f>
        <v/>
      </c>
      <c r="G78" s="38"/>
      <c r="H78" s="36"/>
    </row>
    <row r="79" customFormat="false" ht="25.5" hidden="false" customHeight="true" outlineLevel="0" collapsed="false">
      <c r="A79" s="38"/>
      <c r="B79" s="37"/>
      <c r="C79" s="37"/>
      <c r="D79" s="37"/>
      <c r="E79" s="37"/>
      <c r="F79" s="105" t="str">
        <f aca="false">IF(OR($A79="",$B79="",$C79=""),"",$A79&amp;IF(ISNUMBER(SEARCH("?",$A79)),"&amp;","?")&amp;"utm_source="&amp;LOWER(SUBSTITUTE(TRIM($B79)," ","-"))&amp;"&amp;utm_medium="&amp;LOWER(SUBSTITUTE(TRIM($C79)," ","-")&amp;IF($D79="","","&amp;utm_campaign="&amp;LOWER(SUBSTITUTE(TRIM($D79)," ","-")))&amp;IF($E79="","","&amp;utm_content="&amp;LOWER(SUBSTITUTE(TRIM($E79)," ","-")))))</f>
        <v/>
      </c>
      <c r="G79" s="38"/>
      <c r="H79" s="36"/>
    </row>
    <row r="80" customFormat="false" ht="25.5" hidden="false" customHeight="true" outlineLevel="0" collapsed="false">
      <c r="A80" s="38"/>
      <c r="B80" s="37"/>
      <c r="C80" s="37"/>
      <c r="D80" s="37"/>
      <c r="E80" s="37"/>
      <c r="F80" s="105" t="str">
        <f aca="false">IF(OR($A80="",$B80="",$C80=""),"",$A80&amp;IF(ISNUMBER(SEARCH("?",$A80)),"&amp;","?")&amp;"utm_source="&amp;LOWER(SUBSTITUTE(TRIM($B80)," ","-"))&amp;"&amp;utm_medium="&amp;LOWER(SUBSTITUTE(TRIM($C80)," ","-")&amp;IF($D80="","","&amp;utm_campaign="&amp;LOWER(SUBSTITUTE(TRIM($D80)," ","-")))&amp;IF($E80="","","&amp;utm_content="&amp;LOWER(SUBSTITUTE(TRIM($E80)," ","-")))))</f>
        <v/>
      </c>
      <c r="G80" s="38"/>
      <c r="H80" s="36"/>
    </row>
    <row r="81" customFormat="false" ht="25.5" hidden="false" customHeight="true" outlineLevel="0" collapsed="false">
      <c r="A81" s="38"/>
      <c r="B81" s="37"/>
      <c r="C81" s="37"/>
      <c r="D81" s="37"/>
      <c r="E81" s="37"/>
      <c r="F81" s="105" t="str">
        <f aca="false">IF(OR($A81="",$B81="",$C81=""),"",$A81&amp;IF(ISNUMBER(SEARCH("?",$A81)),"&amp;","?")&amp;"utm_source="&amp;LOWER(SUBSTITUTE(TRIM($B81)," ","-"))&amp;"&amp;utm_medium="&amp;LOWER(SUBSTITUTE(TRIM($C81)," ","-")&amp;IF($D81="","","&amp;utm_campaign="&amp;LOWER(SUBSTITUTE(TRIM($D81)," ","-")))&amp;IF($E81="","","&amp;utm_content="&amp;LOWER(SUBSTITUTE(TRIM($E81)," ","-")))))</f>
        <v/>
      </c>
      <c r="G81" s="38"/>
      <c r="H81" s="36"/>
    </row>
    <row r="82" customFormat="false" ht="25.5" hidden="false" customHeight="true" outlineLevel="0" collapsed="false">
      <c r="A82" s="38"/>
      <c r="B82" s="37"/>
      <c r="C82" s="37"/>
      <c r="D82" s="37"/>
      <c r="E82" s="37"/>
      <c r="F82" s="105" t="str">
        <f aca="false">IF(OR($A82="",$B82="",$C82=""),"",$A82&amp;IF(ISNUMBER(SEARCH("?",$A82)),"&amp;","?")&amp;"utm_source="&amp;LOWER(SUBSTITUTE(TRIM($B82)," ","-"))&amp;"&amp;utm_medium="&amp;LOWER(SUBSTITUTE(TRIM($C82)," ","-")&amp;IF($D82="","","&amp;utm_campaign="&amp;LOWER(SUBSTITUTE(TRIM($D82)," ","-")))&amp;IF($E82="","","&amp;utm_content="&amp;LOWER(SUBSTITUTE(TRIM($E82)," ","-")))))</f>
        <v/>
      </c>
      <c r="G82" s="38"/>
      <c r="H82" s="36"/>
    </row>
    <row r="83" customFormat="false" ht="25.5" hidden="false" customHeight="true" outlineLevel="0" collapsed="false">
      <c r="A83" s="38"/>
      <c r="B83" s="37"/>
      <c r="C83" s="37"/>
      <c r="D83" s="37"/>
      <c r="E83" s="37"/>
      <c r="F83" s="105" t="str">
        <f aca="false">IF(OR($A83="",$B83="",$C83=""),"",$A83&amp;IF(ISNUMBER(SEARCH("?",$A83)),"&amp;","?")&amp;"utm_source="&amp;LOWER(SUBSTITUTE(TRIM($B83)," ","-"))&amp;"&amp;utm_medium="&amp;LOWER(SUBSTITUTE(TRIM($C83)," ","-")&amp;IF($D83="","","&amp;utm_campaign="&amp;LOWER(SUBSTITUTE(TRIM($D83)," ","-")))&amp;IF($E83="","","&amp;utm_content="&amp;LOWER(SUBSTITUTE(TRIM($E83)," ","-")))))</f>
        <v/>
      </c>
      <c r="G83" s="38"/>
      <c r="H83" s="36"/>
    </row>
    <row r="84" customFormat="false" ht="25.5" hidden="false" customHeight="true" outlineLevel="0" collapsed="false">
      <c r="A84" s="38"/>
      <c r="B84" s="37"/>
      <c r="C84" s="37"/>
      <c r="D84" s="37"/>
      <c r="E84" s="37"/>
      <c r="F84" s="105" t="str">
        <f aca="false">IF(OR($A84="",$B84="",$C84=""),"",$A84&amp;IF(ISNUMBER(SEARCH("?",$A84)),"&amp;","?")&amp;"utm_source="&amp;LOWER(SUBSTITUTE(TRIM($B84)," ","-"))&amp;"&amp;utm_medium="&amp;LOWER(SUBSTITUTE(TRIM($C84)," ","-")&amp;IF($D84="","","&amp;utm_campaign="&amp;LOWER(SUBSTITUTE(TRIM($D84)," ","-")))&amp;IF($E84="","","&amp;utm_content="&amp;LOWER(SUBSTITUTE(TRIM($E84)," ","-")))))</f>
        <v/>
      </c>
      <c r="G84" s="38"/>
      <c r="H84" s="36"/>
    </row>
    <row r="85" customFormat="false" ht="25.5" hidden="false" customHeight="true" outlineLevel="0" collapsed="false">
      <c r="A85" s="38"/>
      <c r="B85" s="37"/>
      <c r="C85" s="37"/>
      <c r="D85" s="37"/>
      <c r="E85" s="37"/>
      <c r="F85" s="105" t="str">
        <f aca="false">IF(OR($A85="",$B85="",$C85=""),"",$A85&amp;IF(ISNUMBER(SEARCH("?",$A85)),"&amp;","?")&amp;"utm_source="&amp;LOWER(SUBSTITUTE(TRIM($B85)," ","-"))&amp;"&amp;utm_medium="&amp;LOWER(SUBSTITUTE(TRIM($C85)," ","-")&amp;IF($D85="","","&amp;utm_campaign="&amp;LOWER(SUBSTITUTE(TRIM($D85)," ","-")))&amp;IF($E85="","","&amp;utm_content="&amp;LOWER(SUBSTITUTE(TRIM($E85)," ","-")))))</f>
        <v/>
      </c>
      <c r="G85" s="38"/>
      <c r="H85" s="36"/>
    </row>
    <row r="86" customFormat="false" ht="25.5" hidden="false" customHeight="true" outlineLevel="0" collapsed="false">
      <c r="A86" s="38"/>
      <c r="B86" s="37"/>
      <c r="C86" s="37"/>
      <c r="D86" s="37"/>
      <c r="E86" s="37"/>
      <c r="F86" s="105" t="str">
        <f aca="false">IF(OR($A86="",$B86="",$C86=""),"",$A86&amp;IF(ISNUMBER(SEARCH("?",$A86)),"&amp;","?")&amp;"utm_source="&amp;LOWER(SUBSTITUTE(TRIM($B86)," ","-"))&amp;"&amp;utm_medium="&amp;LOWER(SUBSTITUTE(TRIM($C86)," ","-")&amp;IF($D86="","","&amp;utm_campaign="&amp;LOWER(SUBSTITUTE(TRIM($D86)," ","-")))&amp;IF($E86="","","&amp;utm_content="&amp;LOWER(SUBSTITUTE(TRIM($E86)," ","-")))))</f>
        <v/>
      </c>
      <c r="G86" s="38"/>
      <c r="H86" s="36"/>
    </row>
    <row r="87" customFormat="false" ht="25.5" hidden="false" customHeight="true" outlineLevel="0" collapsed="false">
      <c r="A87" s="38"/>
      <c r="B87" s="37"/>
      <c r="C87" s="37"/>
      <c r="D87" s="37"/>
      <c r="E87" s="37"/>
      <c r="F87" s="105" t="str">
        <f aca="false">IF(OR($A87="",$B87="",$C87=""),"",$A87&amp;IF(ISNUMBER(SEARCH("?",$A87)),"&amp;","?")&amp;"utm_source="&amp;LOWER(SUBSTITUTE(TRIM($B87)," ","-"))&amp;"&amp;utm_medium="&amp;LOWER(SUBSTITUTE(TRIM($C87)," ","-")&amp;IF($D87="","","&amp;utm_campaign="&amp;LOWER(SUBSTITUTE(TRIM($D87)," ","-")))&amp;IF($E87="","","&amp;utm_content="&amp;LOWER(SUBSTITUTE(TRIM($E87)," ","-")))))</f>
        <v/>
      </c>
      <c r="G87" s="38"/>
      <c r="H87" s="36"/>
    </row>
    <row r="88" customFormat="false" ht="25.5" hidden="false" customHeight="true" outlineLevel="0" collapsed="false">
      <c r="A88" s="38"/>
      <c r="B88" s="37"/>
      <c r="C88" s="37"/>
      <c r="D88" s="37"/>
      <c r="E88" s="37"/>
      <c r="F88" s="105" t="str">
        <f aca="false">IF(OR($A88="",$B88="",$C88=""),"",$A88&amp;IF(ISNUMBER(SEARCH("?",$A88)),"&amp;","?")&amp;"utm_source="&amp;LOWER(SUBSTITUTE(TRIM($B88)," ","-"))&amp;"&amp;utm_medium="&amp;LOWER(SUBSTITUTE(TRIM($C88)," ","-")&amp;IF($D88="","","&amp;utm_campaign="&amp;LOWER(SUBSTITUTE(TRIM($D88)," ","-")))&amp;IF($E88="","","&amp;utm_content="&amp;LOWER(SUBSTITUTE(TRIM($E88)," ","-")))))</f>
        <v/>
      </c>
      <c r="G88" s="38"/>
      <c r="H88" s="36"/>
    </row>
    <row r="89" customFormat="false" ht="25.5" hidden="false" customHeight="true" outlineLevel="0" collapsed="false">
      <c r="A89" s="38"/>
      <c r="B89" s="37"/>
      <c r="C89" s="37"/>
      <c r="D89" s="37"/>
      <c r="E89" s="37"/>
      <c r="F89" s="105" t="str">
        <f aca="false">IF(OR($A89="",$B89="",$C89=""),"",$A89&amp;IF(ISNUMBER(SEARCH("?",$A89)),"&amp;","?")&amp;"utm_source="&amp;LOWER(SUBSTITUTE(TRIM($B89)," ","-"))&amp;"&amp;utm_medium="&amp;LOWER(SUBSTITUTE(TRIM($C89)," ","-")&amp;IF($D89="","","&amp;utm_campaign="&amp;LOWER(SUBSTITUTE(TRIM($D89)," ","-")))&amp;IF($E89="","","&amp;utm_content="&amp;LOWER(SUBSTITUTE(TRIM($E89)," ","-")))))</f>
        <v/>
      </c>
      <c r="G89" s="38"/>
      <c r="H89" s="36"/>
    </row>
    <row r="90" customFormat="false" ht="25.5" hidden="false" customHeight="true" outlineLevel="0" collapsed="false">
      <c r="A90" s="38"/>
      <c r="B90" s="37"/>
      <c r="C90" s="37"/>
      <c r="D90" s="37"/>
      <c r="E90" s="37"/>
      <c r="F90" s="105" t="str">
        <f aca="false">IF(OR($A90="",$B90="",$C90=""),"",$A90&amp;IF(ISNUMBER(SEARCH("?",$A90)),"&amp;","?")&amp;"utm_source="&amp;LOWER(SUBSTITUTE(TRIM($B90)," ","-"))&amp;"&amp;utm_medium="&amp;LOWER(SUBSTITUTE(TRIM($C90)," ","-")&amp;IF($D90="","","&amp;utm_campaign="&amp;LOWER(SUBSTITUTE(TRIM($D90)," ","-")))&amp;IF($E90="","","&amp;utm_content="&amp;LOWER(SUBSTITUTE(TRIM($E90)," ","-")))))</f>
        <v/>
      </c>
      <c r="G90" s="38"/>
      <c r="H90" s="36"/>
    </row>
    <row r="91" customFormat="false" ht="25.5" hidden="false" customHeight="true" outlineLevel="0" collapsed="false">
      <c r="A91" s="38"/>
      <c r="B91" s="37"/>
      <c r="C91" s="37"/>
      <c r="D91" s="37"/>
      <c r="E91" s="37"/>
      <c r="F91" s="105" t="str">
        <f aca="false">IF(OR($A91="",$B91="",$C91=""),"",$A91&amp;IF(ISNUMBER(SEARCH("?",$A91)),"&amp;","?")&amp;"utm_source="&amp;LOWER(SUBSTITUTE(TRIM($B91)," ","-"))&amp;"&amp;utm_medium="&amp;LOWER(SUBSTITUTE(TRIM($C91)," ","-")&amp;IF($D91="","","&amp;utm_campaign="&amp;LOWER(SUBSTITUTE(TRIM($D91)," ","-")))&amp;IF($E91="","","&amp;utm_content="&amp;LOWER(SUBSTITUTE(TRIM($E91)," ","-")))))</f>
        <v/>
      </c>
      <c r="G91" s="38"/>
      <c r="H91" s="36"/>
    </row>
    <row r="92" customFormat="false" ht="25.5" hidden="false" customHeight="true" outlineLevel="0" collapsed="false">
      <c r="A92" s="38"/>
      <c r="B92" s="37"/>
      <c r="C92" s="37"/>
      <c r="D92" s="37"/>
      <c r="E92" s="37"/>
      <c r="F92" s="105" t="str">
        <f aca="false">IF(OR($A92="",$B92="",$C92=""),"",$A92&amp;IF(ISNUMBER(SEARCH("?",$A92)),"&amp;","?")&amp;"utm_source="&amp;LOWER(SUBSTITUTE(TRIM($B92)," ","-"))&amp;"&amp;utm_medium="&amp;LOWER(SUBSTITUTE(TRIM($C92)," ","-")&amp;IF($D92="","","&amp;utm_campaign="&amp;LOWER(SUBSTITUTE(TRIM($D92)," ","-")))&amp;IF($E92="","","&amp;utm_content="&amp;LOWER(SUBSTITUTE(TRIM($E92)," ","-")))))</f>
        <v/>
      </c>
      <c r="G92" s="38"/>
      <c r="H92" s="36"/>
    </row>
    <row r="93" customFormat="false" ht="25.5" hidden="false" customHeight="true" outlineLevel="0" collapsed="false">
      <c r="A93" s="38"/>
      <c r="B93" s="37"/>
      <c r="C93" s="37"/>
      <c r="D93" s="37"/>
      <c r="E93" s="37"/>
      <c r="F93" s="105" t="str">
        <f aca="false">IF(OR($A93="",$B93="",$C93=""),"",$A93&amp;IF(ISNUMBER(SEARCH("?",$A93)),"&amp;","?")&amp;"utm_source="&amp;LOWER(SUBSTITUTE(TRIM($B93)," ","-"))&amp;"&amp;utm_medium="&amp;LOWER(SUBSTITUTE(TRIM($C93)," ","-")&amp;IF($D93="","","&amp;utm_campaign="&amp;LOWER(SUBSTITUTE(TRIM($D93)," ","-")))&amp;IF($E93="","","&amp;utm_content="&amp;LOWER(SUBSTITUTE(TRIM($E93)," ","-")))))</f>
        <v/>
      </c>
      <c r="G93" s="38"/>
      <c r="H93" s="36"/>
    </row>
    <row r="94" customFormat="false" ht="25.5" hidden="false" customHeight="true" outlineLevel="0" collapsed="false">
      <c r="A94" s="38"/>
      <c r="B94" s="37"/>
      <c r="C94" s="37"/>
      <c r="D94" s="37"/>
      <c r="E94" s="37"/>
      <c r="F94" s="105" t="str">
        <f aca="false">IF(OR($A94="",$B94="",$C94=""),"",$A94&amp;IF(ISNUMBER(SEARCH("?",$A94)),"&amp;","?")&amp;"utm_source="&amp;LOWER(SUBSTITUTE(TRIM($B94)," ","-"))&amp;"&amp;utm_medium="&amp;LOWER(SUBSTITUTE(TRIM($C94)," ","-")&amp;IF($D94="","","&amp;utm_campaign="&amp;LOWER(SUBSTITUTE(TRIM($D94)," ","-")))&amp;IF($E94="","","&amp;utm_content="&amp;LOWER(SUBSTITUTE(TRIM($E94)," ","-")))))</f>
        <v/>
      </c>
      <c r="G94" s="38"/>
      <c r="H94" s="36"/>
    </row>
    <row r="95" customFormat="false" ht="25.5" hidden="false" customHeight="true" outlineLevel="0" collapsed="false">
      <c r="A95" s="38"/>
      <c r="B95" s="37"/>
      <c r="C95" s="37"/>
      <c r="D95" s="37"/>
      <c r="E95" s="37"/>
      <c r="F95" s="105" t="str">
        <f aca="false">IF(OR($A95="",$B95="",$C95=""),"",$A95&amp;IF(ISNUMBER(SEARCH("?",$A95)),"&amp;","?")&amp;"utm_source="&amp;LOWER(SUBSTITUTE(TRIM($B95)," ","-"))&amp;"&amp;utm_medium="&amp;LOWER(SUBSTITUTE(TRIM($C95)," ","-")&amp;IF($D95="","","&amp;utm_campaign="&amp;LOWER(SUBSTITUTE(TRIM($D95)," ","-")))&amp;IF($E95="","","&amp;utm_content="&amp;LOWER(SUBSTITUTE(TRIM($E95)," ","-")))))</f>
        <v/>
      </c>
      <c r="G95" s="38"/>
      <c r="H95" s="36"/>
    </row>
    <row r="96" customFormat="false" ht="25.5" hidden="false" customHeight="true" outlineLevel="0" collapsed="false">
      <c r="A96" s="38"/>
      <c r="B96" s="37"/>
      <c r="C96" s="37"/>
      <c r="D96" s="37"/>
      <c r="E96" s="37"/>
      <c r="F96" s="105" t="str">
        <f aca="false">IF(OR($A96="",$B96="",$C96=""),"",$A96&amp;IF(ISNUMBER(SEARCH("?",$A96)),"&amp;","?")&amp;"utm_source="&amp;LOWER(SUBSTITUTE(TRIM($B96)," ","-"))&amp;"&amp;utm_medium="&amp;LOWER(SUBSTITUTE(TRIM($C96)," ","-")&amp;IF($D96="","","&amp;utm_campaign="&amp;LOWER(SUBSTITUTE(TRIM($D96)," ","-")))&amp;IF($E96="","","&amp;utm_content="&amp;LOWER(SUBSTITUTE(TRIM($E96)," ","-")))))</f>
        <v/>
      </c>
      <c r="G96" s="38"/>
      <c r="H96" s="36"/>
    </row>
    <row r="97" customFormat="false" ht="25.5" hidden="false" customHeight="true" outlineLevel="0" collapsed="false">
      <c r="A97" s="38"/>
      <c r="B97" s="37"/>
      <c r="C97" s="37"/>
      <c r="D97" s="37"/>
      <c r="E97" s="37"/>
      <c r="F97" s="105" t="str">
        <f aca="false">IF(OR($A97="",$B97="",$C97=""),"",$A97&amp;IF(ISNUMBER(SEARCH("?",$A97)),"&amp;","?")&amp;"utm_source="&amp;LOWER(SUBSTITUTE(TRIM($B97)," ","-"))&amp;"&amp;utm_medium="&amp;LOWER(SUBSTITUTE(TRIM($C97)," ","-")&amp;IF($D97="","","&amp;utm_campaign="&amp;LOWER(SUBSTITUTE(TRIM($D97)," ","-")))&amp;IF($E97="","","&amp;utm_content="&amp;LOWER(SUBSTITUTE(TRIM($E97)," ","-")))))</f>
        <v/>
      </c>
      <c r="G97" s="38"/>
      <c r="H97" s="36"/>
    </row>
    <row r="98" customFormat="false" ht="25.5" hidden="false" customHeight="true" outlineLevel="0" collapsed="false">
      <c r="A98" s="38"/>
      <c r="B98" s="37"/>
      <c r="C98" s="37"/>
      <c r="D98" s="37"/>
      <c r="E98" s="37"/>
      <c r="F98" s="105" t="str">
        <f aca="false">IF(OR($A98="",$B98="",$C98=""),"",$A98&amp;IF(ISNUMBER(SEARCH("?",$A98)),"&amp;","?")&amp;"utm_source="&amp;LOWER(SUBSTITUTE(TRIM($B98)," ","-"))&amp;"&amp;utm_medium="&amp;LOWER(SUBSTITUTE(TRIM($C98)," ","-")&amp;IF($D98="","","&amp;utm_campaign="&amp;LOWER(SUBSTITUTE(TRIM($D98)," ","-")))&amp;IF($E98="","","&amp;utm_content="&amp;LOWER(SUBSTITUTE(TRIM($E98)," ","-")))))</f>
        <v/>
      </c>
      <c r="G98" s="38"/>
      <c r="H98" s="36"/>
    </row>
    <row r="99" customFormat="false" ht="25.5" hidden="false" customHeight="true" outlineLevel="0" collapsed="false">
      <c r="A99" s="38"/>
      <c r="B99" s="37"/>
      <c r="C99" s="37"/>
      <c r="D99" s="37"/>
      <c r="E99" s="37"/>
      <c r="F99" s="105" t="str">
        <f aca="false">IF(OR($A99="",$B99="",$C99=""),"",$A99&amp;IF(ISNUMBER(SEARCH("?",$A99)),"&amp;","?")&amp;"utm_source="&amp;LOWER(SUBSTITUTE(TRIM($B99)," ","-"))&amp;"&amp;utm_medium="&amp;LOWER(SUBSTITUTE(TRIM($C99)," ","-")&amp;IF($D99="","","&amp;utm_campaign="&amp;LOWER(SUBSTITUTE(TRIM($D99)," ","-")))&amp;IF($E99="","","&amp;utm_content="&amp;LOWER(SUBSTITUTE(TRIM($E99)," ","-")))))</f>
        <v/>
      </c>
      <c r="G99" s="38"/>
      <c r="H99" s="36"/>
    </row>
    <row r="100" customFormat="false" ht="25.5" hidden="false" customHeight="true" outlineLevel="0" collapsed="false">
      <c r="A100" s="38"/>
      <c r="B100" s="37"/>
      <c r="C100" s="37"/>
      <c r="D100" s="37"/>
      <c r="E100" s="37"/>
      <c r="F100" s="105" t="str">
        <f aca="false">IF(OR($A100="",$B100="",$C100=""),"",$A100&amp;IF(ISNUMBER(SEARCH("?",$A100)),"&amp;","?")&amp;"utm_source="&amp;LOWER(SUBSTITUTE(TRIM($B100)," ","-"))&amp;"&amp;utm_medium="&amp;LOWER(SUBSTITUTE(TRIM($C100)," ","-")&amp;IF($D100="","","&amp;utm_campaign="&amp;LOWER(SUBSTITUTE(TRIM($D100)," ","-")))&amp;IF($E100="","","&amp;utm_content="&amp;LOWER(SUBSTITUTE(TRIM($E100)," ","-")))))</f>
        <v/>
      </c>
      <c r="G100" s="38"/>
      <c r="H100" s="36"/>
    </row>
    <row r="101" customFormat="false" ht="25.5" hidden="false" customHeight="true" outlineLevel="0" collapsed="false">
      <c r="A101" s="38"/>
      <c r="B101" s="37"/>
      <c r="C101" s="37"/>
      <c r="D101" s="37"/>
      <c r="E101" s="37"/>
      <c r="F101" s="105" t="str">
        <f aca="false">IF(OR($A101="",$B101="",$C101=""),"",$A101&amp;IF(ISNUMBER(SEARCH("?",$A101)),"&amp;","?")&amp;"utm_source="&amp;LOWER(SUBSTITUTE(TRIM($B101)," ","-"))&amp;"&amp;utm_medium="&amp;LOWER(SUBSTITUTE(TRIM($C101)," ","-")&amp;IF($D101="","","&amp;utm_campaign="&amp;LOWER(SUBSTITUTE(TRIM($D101)," ","-")))&amp;IF($E101="","","&amp;utm_content="&amp;LOWER(SUBSTITUTE(TRIM($E101)," ","-")))))</f>
        <v/>
      </c>
      <c r="G101" s="38"/>
      <c r="H101" s="36"/>
    </row>
    <row r="102" customFormat="false" ht="25.5" hidden="false" customHeight="true" outlineLevel="0" collapsed="false">
      <c r="A102" s="38"/>
      <c r="B102" s="37"/>
      <c r="C102" s="37"/>
      <c r="D102" s="37"/>
      <c r="E102" s="37"/>
      <c r="F102" s="105" t="str">
        <f aca="false">IF(OR($A102="",$B102="",$C102=""),"",$A102&amp;IF(ISNUMBER(SEARCH("?",$A102)),"&amp;","?")&amp;"utm_source="&amp;LOWER(SUBSTITUTE(TRIM($B102)," ","-"))&amp;"&amp;utm_medium="&amp;LOWER(SUBSTITUTE(TRIM($C102)," ","-")&amp;IF($D102="","","&amp;utm_campaign="&amp;LOWER(SUBSTITUTE(TRIM($D102)," ","-")))&amp;IF($E102="","","&amp;utm_content="&amp;LOWER(SUBSTITUTE(TRIM($E102)," ","-")))))</f>
        <v/>
      </c>
      <c r="G102" s="38"/>
      <c r="H102" s="36"/>
    </row>
    <row r="103" customFormat="false" ht="25.5" hidden="false" customHeight="true" outlineLevel="0" collapsed="false">
      <c r="A103" s="38"/>
      <c r="B103" s="37"/>
      <c r="C103" s="37"/>
      <c r="D103" s="37"/>
      <c r="E103" s="37"/>
      <c r="F103" s="105" t="str">
        <f aca="false">IF(OR($A103="",$B103="",$C103=""),"",$A103&amp;IF(ISNUMBER(SEARCH("?",$A103)),"&amp;","?")&amp;"utm_source="&amp;LOWER(SUBSTITUTE(TRIM($B103)," ","-"))&amp;"&amp;utm_medium="&amp;LOWER(SUBSTITUTE(TRIM($C103)," ","-")&amp;IF($D103="","","&amp;utm_campaign="&amp;LOWER(SUBSTITUTE(TRIM($D103)," ","-")))&amp;IF($E103="","","&amp;utm_content="&amp;LOWER(SUBSTITUTE(TRIM($E103)," ","-")))))</f>
        <v/>
      </c>
      <c r="G103" s="38"/>
      <c r="H103" s="36"/>
    </row>
    <row r="105" customFormat="false" ht="43.5" hidden="false" customHeight="true" outlineLevel="0" collapsed="false">
      <c r="A105" s="68" t="s">
        <v>1091</v>
      </c>
      <c r="B105" s="68"/>
      <c r="C105" s="68"/>
      <c r="D105" s="68"/>
      <c r="E105" s="68"/>
      <c r="F105" s="68"/>
      <c r="G105" s="68"/>
      <c r="H105" s="68"/>
    </row>
  </sheetData>
  <mergeCells count="3">
    <mergeCell ref="A1:H1"/>
    <mergeCell ref="A2:H2"/>
    <mergeCell ref="A105:H10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46"/>
    <col collapsed="false" customWidth="true" hidden="false" outlineLevel="0" max="3" min="3" style="1" width="52"/>
    <col collapsed="false" customWidth="true" hidden="false" outlineLevel="0" max="4" min="4" style="1" width="12"/>
    <col collapsed="false" customWidth="true" hidden="false" outlineLevel="0" max="5" min="5" style="1" width="16"/>
    <col collapsed="false" customWidth="true" hidden="false" outlineLevel="0" max="6" min="6" style="1" width="13"/>
    <col collapsed="false" customWidth="true" hidden="false" outlineLevel="0" max="7" min="7" style="1" width="14"/>
    <col collapsed="false" customWidth="true" hidden="false" outlineLevel="0" max="8" min="8" style="1" width="40"/>
  </cols>
  <sheetData>
    <row r="1" customFormat="false" ht="25.5" hidden="false" customHeight="true" outlineLevel="0" collapsed="false">
      <c r="A1" s="2" t="s">
        <v>1092</v>
      </c>
      <c r="B1" s="2"/>
      <c r="C1" s="2"/>
      <c r="D1" s="2"/>
      <c r="E1" s="2"/>
      <c r="F1" s="2"/>
      <c r="G1" s="2"/>
      <c r="H1" s="2"/>
    </row>
    <row r="2" customFormat="false" ht="18" hidden="false" customHeight="true" outlineLevel="0" collapsed="false">
      <c r="A2" s="3" t="s">
        <v>1093</v>
      </c>
      <c r="B2" s="3"/>
      <c r="C2" s="3"/>
      <c r="D2" s="3"/>
      <c r="E2" s="3"/>
      <c r="F2" s="3"/>
      <c r="G2" s="3"/>
      <c r="H2" s="3"/>
    </row>
    <row r="3" customFormat="false" ht="36" hidden="false" customHeight="true" outlineLevel="0" collapsed="false">
      <c r="A3" s="31" t="s">
        <v>738</v>
      </c>
      <c r="B3" s="31" t="s">
        <v>1094</v>
      </c>
      <c r="C3" s="31" t="s">
        <v>1095</v>
      </c>
      <c r="D3" s="31" t="s">
        <v>1096</v>
      </c>
      <c r="E3" s="31" t="s">
        <v>187</v>
      </c>
      <c r="F3" s="31" t="s">
        <v>1097</v>
      </c>
      <c r="G3" s="31" t="s">
        <v>121</v>
      </c>
      <c r="H3" s="31" t="s">
        <v>1040</v>
      </c>
    </row>
    <row r="4" customFormat="false" ht="42" hidden="false" customHeight="true" outlineLevel="0" collapsed="false">
      <c r="A4" s="45" t="n">
        <v>1</v>
      </c>
      <c r="B4" s="106" t="s">
        <v>1098</v>
      </c>
      <c r="C4" s="67" t="s">
        <v>1099</v>
      </c>
      <c r="D4" s="45" t="s">
        <v>563</v>
      </c>
      <c r="E4" s="37"/>
      <c r="F4" s="36"/>
      <c r="G4" s="37"/>
      <c r="H4" s="38"/>
    </row>
    <row r="5" customFormat="false" ht="42" hidden="false" customHeight="true" outlineLevel="0" collapsed="false">
      <c r="A5" s="45" t="n">
        <v>2</v>
      </c>
      <c r="B5" s="106" t="s">
        <v>1100</v>
      </c>
      <c r="C5" s="67" t="s">
        <v>1101</v>
      </c>
      <c r="D5" s="45" t="s">
        <v>563</v>
      </c>
      <c r="E5" s="37"/>
      <c r="F5" s="36"/>
      <c r="G5" s="37"/>
      <c r="H5" s="38"/>
    </row>
    <row r="6" customFormat="false" ht="42" hidden="false" customHeight="true" outlineLevel="0" collapsed="false">
      <c r="A6" s="45" t="n">
        <v>3</v>
      </c>
      <c r="B6" s="106" t="s">
        <v>1102</v>
      </c>
      <c r="C6" s="67" t="s">
        <v>1103</v>
      </c>
      <c r="D6" s="45" t="s">
        <v>563</v>
      </c>
      <c r="E6" s="37"/>
      <c r="F6" s="36"/>
      <c r="G6" s="37"/>
      <c r="H6" s="38"/>
    </row>
    <row r="7" customFormat="false" ht="42" hidden="false" customHeight="true" outlineLevel="0" collapsed="false">
      <c r="A7" s="45" t="n">
        <v>4</v>
      </c>
      <c r="B7" s="106" t="s">
        <v>1104</v>
      </c>
      <c r="C7" s="67" t="s">
        <v>1105</v>
      </c>
      <c r="D7" s="45" t="s">
        <v>563</v>
      </c>
      <c r="E7" s="37"/>
      <c r="F7" s="36"/>
      <c r="G7" s="37"/>
      <c r="H7" s="38"/>
    </row>
    <row r="8" customFormat="false" ht="42" hidden="false" customHeight="true" outlineLevel="0" collapsed="false">
      <c r="A8" s="45" t="n">
        <v>5</v>
      </c>
      <c r="B8" s="106" t="s">
        <v>1106</v>
      </c>
      <c r="C8" s="67" t="s">
        <v>1107</v>
      </c>
      <c r="D8" s="45" t="s">
        <v>563</v>
      </c>
      <c r="E8" s="37"/>
      <c r="F8" s="36"/>
      <c r="G8" s="37"/>
      <c r="H8" s="38"/>
    </row>
    <row r="9" customFormat="false" ht="42" hidden="false" customHeight="true" outlineLevel="0" collapsed="false">
      <c r="A9" s="45" t="n">
        <v>6</v>
      </c>
      <c r="B9" s="106" t="s">
        <v>1108</v>
      </c>
      <c r="C9" s="67" t="s">
        <v>1109</v>
      </c>
      <c r="D9" s="45" t="s">
        <v>500</v>
      </c>
      <c r="E9" s="37"/>
      <c r="F9" s="36"/>
      <c r="G9" s="37"/>
      <c r="H9" s="38"/>
    </row>
    <row r="10" customFormat="false" ht="42" hidden="false" customHeight="true" outlineLevel="0" collapsed="false">
      <c r="A10" s="45" t="n">
        <v>7</v>
      </c>
      <c r="B10" s="106" t="s">
        <v>1110</v>
      </c>
      <c r="C10" s="67" t="s">
        <v>1111</v>
      </c>
      <c r="D10" s="45" t="s">
        <v>584</v>
      </c>
      <c r="E10" s="37"/>
      <c r="F10" s="36"/>
      <c r="G10" s="37"/>
      <c r="H10" s="38"/>
    </row>
    <row r="11" customFormat="false" ht="42" hidden="false" customHeight="true" outlineLevel="0" collapsed="false">
      <c r="A11" s="45" t="n">
        <v>8</v>
      </c>
      <c r="B11" s="106" t="s">
        <v>1112</v>
      </c>
      <c r="C11" s="67" t="s">
        <v>1113</v>
      </c>
      <c r="D11" s="45" t="s">
        <v>584</v>
      </c>
      <c r="E11" s="37"/>
      <c r="F11" s="36"/>
      <c r="G11" s="37"/>
      <c r="H11" s="38"/>
    </row>
    <row r="12" customFormat="false" ht="42" hidden="false" customHeight="true" outlineLevel="0" collapsed="false">
      <c r="A12" s="45" t="n">
        <v>9</v>
      </c>
      <c r="B12" s="106" t="s">
        <v>1114</v>
      </c>
      <c r="C12" s="67" t="s">
        <v>1115</v>
      </c>
      <c r="D12" s="45" t="s">
        <v>584</v>
      </c>
      <c r="E12" s="37"/>
      <c r="F12" s="36"/>
      <c r="G12" s="37"/>
      <c r="H12" s="38"/>
    </row>
    <row r="13" customFormat="false" ht="42" hidden="false" customHeight="true" outlineLevel="0" collapsed="false">
      <c r="A13" s="45" t="n">
        <v>10</v>
      </c>
      <c r="B13" s="106" t="s">
        <v>1116</v>
      </c>
      <c r="C13" s="67" t="s">
        <v>1117</v>
      </c>
      <c r="D13" s="45" t="s">
        <v>563</v>
      </c>
      <c r="E13" s="37"/>
      <c r="F13" s="36"/>
      <c r="G13" s="37"/>
      <c r="H13" s="38"/>
    </row>
    <row r="14" customFormat="false" ht="42" hidden="false" customHeight="true" outlineLevel="0" collapsed="false">
      <c r="A14" s="45" t="n">
        <v>11</v>
      </c>
      <c r="B14" s="106" t="s">
        <v>1118</v>
      </c>
      <c r="C14" s="67" t="s">
        <v>1119</v>
      </c>
      <c r="D14" s="45" t="s">
        <v>563</v>
      </c>
      <c r="E14" s="37"/>
      <c r="F14" s="36"/>
      <c r="G14" s="37"/>
      <c r="H14" s="38"/>
    </row>
    <row r="15" customFormat="false" ht="42" hidden="false" customHeight="true" outlineLevel="0" collapsed="false">
      <c r="A15" s="45" t="n">
        <v>12</v>
      </c>
      <c r="B15" s="106" t="s">
        <v>1120</v>
      </c>
      <c r="C15" s="67" t="s">
        <v>1121</v>
      </c>
      <c r="D15" s="45" t="s">
        <v>563</v>
      </c>
      <c r="E15" s="37"/>
      <c r="F15" s="36"/>
      <c r="G15" s="37"/>
      <c r="H15" s="38"/>
    </row>
    <row r="16" customFormat="false" ht="42" hidden="false" customHeight="true" outlineLevel="0" collapsed="false">
      <c r="A16" s="45" t="n">
        <v>13</v>
      </c>
      <c r="B16" s="106" t="s">
        <v>1122</v>
      </c>
      <c r="C16" s="67" t="s">
        <v>1123</v>
      </c>
      <c r="D16" s="45" t="s">
        <v>584</v>
      </c>
      <c r="E16" s="37"/>
      <c r="F16" s="36"/>
      <c r="G16" s="37"/>
      <c r="H16" s="38"/>
    </row>
    <row r="17" customFormat="false" ht="42" hidden="false" customHeight="true" outlineLevel="0" collapsed="false">
      <c r="A17" s="45" t="n">
        <v>14</v>
      </c>
      <c r="B17" s="106" t="s">
        <v>1124</v>
      </c>
      <c r="C17" s="67" t="s">
        <v>1125</v>
      </c>
      <c r="D17" s="45" t="s">
        <v>584</v>
      </c>
      <c r="E17" s="37"/>
      <c r="F17" s="36"/>
      <c r="G17" s="37"/>
      <c r="H17" s="38"/>
    </row>
    <row r="18" customFormat="false" ht="42" hidden="false" customHeight="true" outlineLevel="0" collapsed="false">
      <c r="A18" s="45" t="n">
        <v>15</v>
      </c>
      <c r="B18" s="106" t="s">
        <v>1126</v>
      </c>
      <c r="C18" s="67" t="s">
        <v>1127</v>
      </c>
      <c r="D18" s="45" t="s">
        <v>563</v>
      </c>
      <c r="E18" s="37"/>
      <c r="F18" s="36"/>
      <c r="G18" s="37"/>
      <c r="H18" s="38"/>
    </row>
  </sheetData>
  <mergeCells count="2">
    <mergeCell ref="A1:H1"/>
    <mergeCell ref="A2:H2"/>
  </mergeCells>
  <conditionalFormatting sqref="G4:G18">
    <cfRule type="cellIs" priority="2" operator="equal" aboveAverage="0" equalAverage="0" bottom="0" percent="0" rank="0" text="" dxfId="6">
      <formula>"Fail"</formula>
    </cfRule>
    <cfRule type="cellIs" priority="3" operator="equal" aboveAverage="0" equalAverage="0" bottom="0" percent="0" rank="0" text="" dxfId="7">
      <formula>"Pass"</formula>
    </cfRule>
  </conditionalFormatting>
  <dataValidations count="2">
    <dataValidation allowBlank="true" error="Pick a name from the team roster on the START HERE tab." errorStyle="stop" errorTitle="Name not on the roster" operator="between" prompt="Choose the team member" showDropDown="false" showErrorMessage="false" showInputMessage="false" sqref="E4:E18" type="list">
      <formula1>'START HERE'!$B$55:$B$64</formula1>
      <formula2>0</formula2>
    </dataValidation>
    <dataValidation allowBlank="true" errorStyle="stop" operator="between" showDropDown="false" showErrorMessage="false" showInputMessage="false" sqref="G4:G18" type="list">
      <formula1>"Pass,Fail,Not checked yet,Not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P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9"/>
    <col collapsed="false" customWidth="true" hidden="false" outlineLevel="0" max="6" min="4" style="1" width="11"/>
    <col collapsed="false" customWidth="true" hidden="false" outlineLevel="0" max="8" min="7" style="1" width="10"/>
    <col collapsed="false" customWidth="true" hidden="false" outlineLevel="0" max="9" min="9" style="1" width="11"/>
    <col collapsed="false" customWidth="true" hidden="false" outlineLevel="0" max="11" min="10" style="1" width="12"/>
    <col collapsed="false" customWidth="true" hidden="false" outlineLevel="0" max="12" min="12" style="1" width="10"/>
    <col collapsed="false" customWidth="true" hidden="false" outlineLevel="0" max="14" min="13" style="1" width="40"/>
    <col collapsed="false" customWidth="true" hidden="false" outlineLevel="0" max="15" min="15" style="1" width="12"/>
    <col collapsed="false" customWidth="true" hidden="false" outlineLevel="0" max="16" min="16" style="1" width="16"/>
  </cols>
  <sheetData>
    <row r="1" customFormat="false" ht="25.5" hidden="false" customHeight="true" outlineLevel="0" collapsed="false">
      <c r="A1" s="2" t="s">
        <v>1128</v>
      </c>
      <c r="B1" s="2"/>
      <c r="C1" s="2"/>
      <c r="D1" s="2"/>
      <c r="E1" s="2"/>
      <c r="F1" s="2"/>
      <c r="G1" s="2"/>
      <c r="H1" s="2"/>
      <c r="I1" s="2"/>
      <c r="J1" s="2"/>
      <c r="K1" s="2"/>
      <c r="L1" s="2"/>
      <c r="M1" s="2"/>
      <c r="N1" s="2"/>
    </row>
    <row r="2" customFormat="false" ht="18" hidden="false" customHeight="true" outlineLevel="0" collapsed="false">
      <c r="A2" s="3" t="s">
        <v>1129</v>
      </c>
      <c r="B2" s="3"/>
      <c r="C2" s="3"/>
      <c r="D2" s="3"/>
      <c r="E2" s="3"/>
      <c r="F2" s="3"/>
      <c r="G2" s="3"/>
      <c r="H2" s="3"/>
      <c r="I2" s="3"/>
      <c r="J2" s="3"/>
      <c r="K2" s="3"/>
      <c r="L2" s="3"/>
      <c r="M2" s="3"/>
      <c r="N2" s="3"/>
    </row>
    <row r="3" customFormat="false" ht="43.5" hidden="false" customHeight="true" outlineLevel="0" collapsed="false">
      <c r="A3" s="31" t="s">
        <v>113</v>
      </c>
      <c r="B3" s="31" t="s">
        <v>140</v>
      </c>
      <c r="C3" s="31" t="s">
        <v>1130</v>
      </c>
      <c r="D3" s="31" t="s">
        <v>367</v>
      </c>
      <c r="E3" s="31" t="s">
        <v>368</v>
      </c>
      <c r="F3" s="31" t="s">
        <v>292</v>
      </c>
      <c r="G3" s="31" t="s">
        <v>160</v>
      </c>
      <c r="H3" s="31" t="s">
        <v>293</v>
      </c>
      <c r="I3" s="31" t="s">
        <v>420</v>
      </c>
      <c r="J3" s="31" t="s">
        <v>295</v>
      </c>
      <c r="K3" s="31" t="s">
        <v>1131</v>
      </c>
      <c r="L3" s="31" t="s">
        <v>423</v>
      </c>
      <c r="M3" s="31" t="s">
        <v>1132</v>
      </c>
      <c r="N3" s="31" t="s">
        <v>1133</v>
      </c>
      <c r="O3" s="31" t="s">
        <v>1134</v>
      </c>
      <c r="P3" s="31" t="s">
        <v>1135</v>
      </c>
    </row>
    <row r="4" customFormat="false" ht="24" hidden="false" customHeight="true" outlineLevel="0" collapsed="false">
      <c r="A4" s="32" t="n">
        <v>46251</v>
      </c>
      <c r="B4" s="33" t="s">
        <v>168</v>
      </c>
      <c r="C4" s="107" t="n">
        <f aca="false">IF($A4="","",ROUND(SUMIFS('DAILY ENTRY'!$G$7:$G$1203,'DAILY ENTRY'!$A$7:$A$1203,$A4,'DAILY ENTRY'!$B$7:$B$1203,$B4)/60,1))</f>
        <v>0</v>
      </c>
      <c r="D4" s="107" t="n">
        <f aca="false">IF($A4="","",SUMIFS('DAILY ENTRY'!$F$7:$F$1203,'DAILY ENTRY'!$A$7:$A$1203,$A4,'DAILY ENTRY'!$B$7:$B$1203,$B4,'DAILY ENTRY'!$D$7:$D$1203,"Lead researched (Sales Navigator)"))</f>
        <v>0</v>
      </c>
      <c r="E4" s="107" t="n">
        <f aca="false">IF($A4="","",SUMIFS('DAILY ENTRY'!$F$7:$F$1203,'DAILY ENTRY'!$A$7:$A$1203,$A4,'DAILY ENTRY'!$B$7:$B$1203,$B4,'DAILY ENTRY'!$D$7:$D$1203,"Connection request sent"))</f>
        <v>0</v>
      </c>
      <c r="F4" s="107" t="n">
        <f aca="false">IF($A4="","",SUMIFS('DAILY ENTRY'!$F$7:$F$1203,'DAILY ENTRY'!$A$7:$A$1203,$A4,'DAILY ENTRY'!$B$7:$B$1203,$B4,'DAILY ENTRY'!$D$7:$D$1203,"First message sent"))</f>
        <v>0</v>
      </c>
      <c r="G4" s="107" t="n">
        <f aca="false">IF($A4="","",SUMIFS('DAILY ENTRY'!$F$7:$F$1203,'DAILY ENTRY'!$A$7:$A$1203,$A4,'DAILY ENTRY'!$B$7:$B$1203,$B4,'DAILY ENTRY'!$D$7:$D$1203,"Follow-up message sent"))</f>
        <v>0</v>
      </c>
      <c r="H4" s="107" t="n">
        <f aca="false">IF($A4="","",SUMIFS('DAILY ENTRY'!$F$7:$F$1203,'DAILY ENTRY'!$A$7:$A$1203,$A4,'DAILY ENTRY'!$B$7:$B$1203,$B4,'DAILY ENTRY'!$D$7:$D$1203,"Post / content published"))</f>
        <v>0</v>
      </c>
      <c r="I4" s="107" t="n">
        <f aca="false">IF($A4="","",SUMIFS('DAILY ENTRY'!$F$7:$F$1203,'DAILY ENTRY'!$A$7:$A$1203,$A4,'DAILY ENTRY'!$B$7:$B$1203,$B4,'DAILY ENTRY'!$D$7:$D$1203,"Community answer or comment"))</f>
        <v>0</v>
      </c>
      <c r="J4" s="107" t="n">
        <f aca="false">IF($A4="","",SUMIFS('DAILY ENTRY'!$F$7:$F$1203,'DAILY ENTRY'!$A$7:$A$1203,$A4,'DAILY ENTRY'!$B$7:$B$1203,$B4,'DAILY ENTRY'!$D$7:$D$1203,"Partnership / PR contact"))</f>
        <v>0</v>
      </c>
      <c r="K4" s="107" t="n">
        <f aca="false">IF($A4="","",SUMIFS('DAILY ENTRY'!$F$7:$F$1203,'DAILY ENTRY'!$A$7:$A$1203,$A4,'DAILY ENTRY'!$B$7:$B$1203,$B4,'DAILY ENTRY'!$D$7:$D$1203,"Engagement (commented on someone else)"))</f>
        <v>0</v>
      </c>
      <c r="L4" s="107" t="n">
        <f aca="false">IF($A4="","",SUMIFS('DAILY ENTRY'!$F$7:$F$1203,'DAILY ENTRY'!$A$7:$A$1203,$A4,'DAILY ENTRY'!$B$7:$B$1203,$B4,'DAILY ENTRY'!$D$7:$D$1203,"Account created / profile completed"))</f>
        <v>0</v>
      </c>
      <c r="M4" s="108" t="str">
        <f aca="false">IF($A4="","",IFERROR(INDEX('DAILY ENTRY'!$E$7:$E$1203,MATCH(1,INDEX(('DAILY ENTRY'!$A$7:$A$1203=$A4)*('DAILY ENTRY'!$B$7:$B$1203=$B4)*('DAILY ENTRY'!$I$7:$I$1203="Meeting booked"),0),0)),IFERROR(INDEX('DAILY ENTRY'!$E$7:$E$1203,MATCH(1,INDEX(('DAILY ENTRY'!$A$7:$A$1203=$A4)*('DAILY ENTRY'!$B$7:$B$1203=$B4)*('DAILY ENTRY'!$I$7:$I$1203="Positive reply"),0),0)),"")))</f>
        <v/>
      </c>
      <c r="N4" s="108" t="str">
        <f aca="false">IF($A4="","",IFERROR(INDEX('DAILY ENTRY'!$J$7:$J$1203,MATCH(1,INDEX(('DAILY ENTRY'!$A$7:$A$1203=$A4)*('DAILY ENTRY'!$B$7:$B$1203=$B4)*('DAILY ENTRY'!$I$7:$I$1203="Blocked"),0),0)),""))</f>
        <v/>
      </c>
      <c r="O4" s="65" t="n">
        <f aca="false">IF($A4="","",(D4&gt;='START HERE'!$B$25)+(E4&gt;='START HERE'!$B$26)+(F4&gt;='START HERE'!$B$27)+(G4&gt;='START HERE'!$B$28)+(H4&gt;='START HERE'!$B$29)+(I4&gt;='START HERE'!$B$30)+(J4&gt;='START HERE'!$B$31)+(K4&gt;='START HERE'!$B$32))</f>
        <v>0</v>
      </c>
      <c r="P4" s="46" t="str">
        <f aca="false">IF($A4="","",IF(O4&gt;=7,"Full day",IF(O4&gt;=5,"Most targets met",IF(O4&gt;=3,"Half day","Below plan - explain in the blocker column"))))</f>
        <v>Below plan - explain in the blocker column</v>
      </c>
    </row>
    <row r="5" customFormat="false" ht="24" hidden="false" customHeight="true" outlineLevel="0" collapsed="false">
      <c r="A5" s="36"/>
      <c r="B5" s="37"/>
      <c r="C5" s="107" t="str">
        <f aca="false">IF($A5="","",ROUND(SUMIFS('DAILY ENTRY'!$G$7:$G$1203,'DAILY ENTRY'!$A$7:$A$1203,$A5,'DAILY ENTRY'!$B$7:$B$1203,$B5)/60,1))</f>
        <v/>
      </c>
      <c r="D5" s="107" t="str">
        <f aca="false">IF($A5="","",SUMIFS('DAILY ENTRY'!$F$7:$F$1203,'DAILY ENTRY'!$A$7:$A$1203,$A5,'DAILY ENTRY'!$B$7:$B$1203,$B5,'DAILY ENTRY'!$D$7:$D$1203,"Lead researched (Sales Navigator)"))</f>
        <v/>
      </c>
      <c r="E5" s="107" t="str">
        <f aca="false">IF($A5="","",SUMIFS('DAILY ENTRY'!$F$7:$F$1203,'DAILY ENTRY'!$A$7:$A$1203,$A5,'DAILY ENTRY'!$B$7:$B$1203,$B5,'DAILY ENTRY'!$D$7:$D$1203,"Connection request sent"))</f>
        <v/>
      </c>
      <c r="F5" s="107" t="str">
        <f aca="false">IF($A5="","",SUMIFS('DAILY ENTRY'!$F$7:$F$1203,'DAILY ENTRY'!$A$7:$A$1203,$A5,'DAILY ENTRY'!$B$7:$B$1203,$B5,'DAILY ENTRY'!$D$7:$D$1203,"First message sent"))</f>
        <v/>
      </c>
      <c r="G5" s="107" t="str">
        <f aca="false">IF($A5="","",SUMIFS('DAILY ENTRY'!$F$7:$F$1203,'DAILY ENTRY'!$A$7:$A$1203,$A5,'DAILY ENTRY'!$B$7:$B$1203,$B5,'DAILY ENTRY'!$D$7:$D$1203,"Follow-up message sent"))</f>
        <v/>
      </c>
      <c r="H5" s="107" t="str">
        <f aca="false">IF($A5="","",SUMIFS('DAILY ENTRY'!$F$7:$F$1203,'DAILY ENTRY'!$A$7:$A$1203,$A5,'DAILY ENTRY'!$B$7:$B$1203,$B5,'DAILY ENTRY'!$D$7:$D$1203,"Post / content published"))</f>
        <v/>
      </c>
      <c r="I5" s="107" t="str">
        <f aca="false">IF($A5="","",SUMIFS('DAILY ENTRY'!$F$7:$F$1203,'DAILY ENTRY'!$A$7:$A$1203,$A5,'DAILY ENTRY'!$B$7:$B$1203,$B5,'DAILY ENTRY'!$D$7:$D$1203,"Community answer or comment"))</f>
        <v/>
      </c>
      <c r="J5" s="107" t="str">
        <f aca="false">IF($A5="","",SUMIFS('DAILY ENTRY'!$F$7:$F$1203,'DAILY ENTRY'!$A$7:$A$1203,$A5,'DAILY ENTRY'!$B$7:$B$1203,$B5,'DAILY ENTRY'!$D$7:$D$1203,"Partnership / PR contact"))</f>
        <v/>
      </c>
      <c r="K5" s="107" t="str">
        <f aca="false">IF($A5="","",SUMIFS('DAILY ENTRY'!$F$7:$F$1203,'DAILY ENTRY'!$A$7:$A$1203,$A5,'DAILY ENTRY'!$B$7:$B$1203,$B5,'DAILY ENTRY'!$D$7:$D$1203,"Engagement (commented on someone else)"))</f>
        <v/>
      </c>
      <c r="L5" s="107" t="str">
        <f aca="false">IF($A5="","",SUMIFS('DAILY ENTRY'!$F$7:$F$1203,'DAILY ENTRY'!$A$7:$A$1203,$A5,'DAILY ENTRY'!$B$7:$B$1203,$B5,'DAILY ENTRY'!$D$7:$D$1203,"Account created / profile completed"))</f>
        <v/>
      </c>
      <c r="M5" s="108" t="str">
        <f aca="false">IF($A5="","",IFERROR(INDEX('DAILY ENTRY'!$E$7:$E$1203,MATCH(1,INDEX(('DAILY ENTRY'!$A$7:$A$1203=$A5)*('DAILY ENTRY'!$B$7:$B$1203=$B5)*('DAILY ENTRY'!$I$7:$I$1203="Meeting booked"),0),0)),IFERROR(INDEX('DAILY ENTRY'!$E$7:$E$1203,MATCH(1,INDEX(('DAILY ENTRY'!$A$7:$A$1203=$A5)*('DAILY ENTRY'!$B$7:$B$1203=$B5)*('DAILY ENTRY'!$I$7:$I$1203="Positive reply"),0),0)),"")))</f>
        <v/>
      </c>
      <c r="N5" s="108" t="str">
        <f aca="false">IF($A5="","",IFERROR(INDEX('DAILY ENTRY'!$J$7:$J$1203,MATCH(1,INDEX(('DAILY ENTRY'!$A$7:$A$1203=$A5)*('DAILY ENTRY'!$B$7:$B$1203=$B5)*('DAILY ENTRY'!$I$7:$I$1203="Blocked"),0),0)),""))</f>
        <v/>
      </c>
      <c r="O5" s="65" t="str">
        <f aca="false">IF($A5="","",(D5&gt;='START HERE'!$B$25)+(E5&gt;='START HERE'!$B$26)+(F5&gt;='START HERE'!$B$27)+(G5&gt;='START HERE'!$B$28)+(H5&gt;='START HERE'!$B$29)+(I5&gt;='START HERE'!$B$30)+(J5&gt;='START HERE'!$B$31)+(K5&gt;='START HERE'!$B$32))</f>
        <v/>
      </c>
      <c r="P5" s="46" t="str">
        <f aca="false">IF($A5="","",IF(O5&gt;=7,"Full day",IF(O5&gt;=5,"Most targets met",IF(O5&gt;=3,"Half day","Below plan - explain in the blocker column"))))</f>
        <v/>
      </c>
    </row>
    <row r="6" customFormat="false" ht="24" hidden="false" customHeight="true" outlineLevel="0" collapsed="false">
      <c r="A6" s="36"/>
      <c r="B6" s="37"/>
      <c r="C6" s="107" t="str">
        <f aca="false">IF($A6="","",ROUND(SUMIFS('DAILY ENTRY'!$G$7:$G$1203,'DAILY ENTRY'!$A$7:$A$1203,$A6,'DAILY ENTRY'!$B$7:$B$1203,$B6)/60,1))</f>
        <v/>
      </c>
      <c r="D6" s="107" t="str">
        <f aca="false">IF($A6="","",SUMIFS('DAILY ENTRY'!$F$7:$F$1203,'DAILY ENTRY'!$A$7:$A$1203,$A6,'DAILY ENTRY'!$B$7:$B$1203,$B6,'DAILY ENTRY'!$D$7:$D$1203,"Lead researched (Sales Navigator)"))</f>
        <v/>
      </c>
      <c r="E6" s="107" t="str">
        <f aca="false">IF($A6="","",SUMIFS('DAILY ENTRY'!$F$7:$F$1203,'DAILY ENTRY'!$A$7:$A$1203,$A6,'DAILY ENTRY'!$B$7:$B$1203,$B6,'DAILY ENTRY'!$D$7:$D$1203,"Connection request sent"))</f>
        <v/>
      </c>
      <c r="F6" s="107" t="str">
        <f aca="false">IF($A6="","",SUMIFS('DAILY ENTRY'!$F$7:$F$1203,'DAILY ENTRY'!$A$7:$A$1203,$A6,'DAILY ENTRY'!$B$7:$B$1203,$B6,'DAILY ENTRY'!$D$7:$D$1203,"First message sent"))</f>
        <v/>
      </c>
      <c r="G6" s="107" t="str">
        <f aca="false">IF($A6="","",SUMIFS('DAILY ENTRY'!$F$7:$F$1203,'DAILY ENTRY'!$A$7:$A$1203,$A6,'DAILY ENTRY'!$B$7:$B$1203,$B6,'DAILY ENTRY'!$D$7:$D$1203,"Follow-up message sent"))</f>
        <v/>
      </c>
      <c r="H6" s="107" t="str">
        <f aca="false">IF($A6="","",SUMIFS('DAILY ENTRY'!$F$7:$F$1203,'DAILY ENTRY'!$A$7:$A$1203,$A6,'DAILY ENTRY'!$B$7:$B$1203,$B6,'DAILY ENTRY'!$D$7:$D$1203,"Post / content published"))</f>
        <v/>
      </c>
      <c r="I6" s="107" t="str">
        <f aca="false">IF($A6="","",SUMIFS('DAILY ENTRY'!$F$7:$F$1203,'DAILY ENTRY'!$A$7:$A$1203,$A6,'DAILY ENTRY'!$B$7:$B$1203,$B6,'DAILY ENTRY'!$D$7:$D$1203,"Community answer or comment"))</f>
        <v/>
      </c>
      <c r="J6" s="107" t="str">
        <f aca="false">IF($A6="","",SUMIFS('DAILY ENTRY'!$F$7:$F$1203,'DAILY ENTRY'!$A$7:$A$1203,$A6,'DAILY ENTRY'!$B$7:$B$1203,$B6,'DAILY ENTRY'!$D$7:$D$1203,"Partnership / PR contact"))</f>
        <v/>
      </c>
      <c r="K6" s="107" t="str">
        <f aca="false">IF($A6="","",SUMIFS('DAILY ENTRY'!$F$7:$F$1203,'DAILY ENTRY'!$A$7:$A$1203,$A6,'DAILY ENTRY'!$B$7:$B$1203,$B6,'DAILY ENTRY'!$D$7:$D$1203,"Engagement (commented on someone else)"))</f>
        <v/>
      </c>
      <c r="L6" s="107" t="str">
        <f aca="false">IF($A6="","",SUMIFS('DAILY ENTRY'!$F$7:$F$1203,'DAILY ENTRY'!$A$7:$A$1203,$A6,'DAILY ENTRY'!$B$7:$B$1203,$B6,'DAILY ENTRY'!$D$7:$D$1203,"Account created / profile completed"))</f>
        <v/>
      </c>
      <c r="M6" s="108" t="str">
        <f aca="false">IF($A6="","",IFERROR(INDEX('DAILY ENTRY'!$E$7:$E$1203,MATCH(1,INDEX(('DAILY ENTRY'!$A$7:$A$1203=$A6)*('DAILY ENTRY'!$B$7:$B$1203=$B6)*('DAILY ENTRY'!$I$7:$I$1203="Meeting booked"),0),0)),IFERROR(INDEX('DAILY ENTRY'!$E$7:$E$1203,MATCH(1,INDEX(('DAILY ENTRY'!$A$7:$A$1203=$A6)*('DAILY ENTRY'!$B$7:$B$1203=$B6)*('DAILY ENTRY'!$I$7:$I$1203="Positive reply"),0),0)),"")))</f>
        <v/>
      </c>
      <c r="N6" s="108" t="str">
        <f aca="false">IF($A6="","",IFERROR(INDEX('DAILY ENTRY'!$J$7:$J$1203,MATCH(1,INDEX(('DAILY ENTRY'!$A$7:$A$1203=$A6)*('DAILY ENTRY'!$B$7:$B$1203=$B6)*('DAILY ENTRY'!$I$7:$I$1203="Blocked"),0),0)),""))</f>
        <v/>
      </c>
      <c r="O6" s="65" t="str">
        <f aca="false">IF($A6="","",(D6&gt;='START HERE'!$B$25)+(E6&gt;='START HERE'!$B$26)+(F6&gt;='START HERE'!$B$27)+(G6&gt;='START HERE'!$B$28)+(H6&gt;='START HERE'!$B$29)+(I6&gt;='START HERE'!$B$30)+(J6&gt;='START HERE'!$B$31)+(K6&gt;='START HERE'!$B$32))</f>
        <v/>
      </c>
      <c r="P6" s="46" t="str">
        <f aca="false">IF($A6="","",IF(O6&gt;=7,"Full day",IF(O6&gt;=5,"Most targets met",IF(O6&gt;=3,"Half day","Below plan - explain in the blocker column"))))</f>
        <v/>
      </c>
    </row>
    <row r="7" customFormat="false" ht="24" hidden="false" customHeight="true" outlineLevel="0" collapsed="false">
      <c r="A7" s="36"/>
      <c r="B7" s="37"/>
      <c r="C7" s="107" t="str">
        <f aca="false">IF($A7="","",ROUND(SUMIFS('DAILY ENTRY'!$G$7:$G$1203,'DAILY ENTRY'!$A$7:$A$1203,$A7,'DAILY ENTRY'!$B$7:$B$1203,$B7)/60,1))</f>
        <v/>
      </c>
      <c r="D7" s="107" t="str">
        <f aca="false">IF($A7="","",SUMIFS('DAILY ENTRY'!$F$7:$F$1203,'DAILY ENTRY'!$A$7:$A$1203,$A7,'DAILY ENTRY'!$B$7:$B$1203,$B7,'DAILY ENTRY'!$D$7:$D$1203,"Lead researched (Sales Navigator)"))</f>
        <v/>
      </c>
      <c r="E7" s="107" t="str">
        <f aca="false">IF($A7="","",SUMIFS('DAILY ENTRY'!$F$7:$F$1203,'DAILY ENTRY'!$A$7:$A$1203,$A7,'DAILY ENTRY'!$B$7:$B$1203,$B7,'DAILY ENTRY'!$D$7:$D$1203,"Connection request sent"))</f>
        <v/>
      </c>
      <c r="F7" s="107" t="str">
        <f aca="false">IF($A7="","",SUMIFS('DAILY ENTRY'!$F$7:$F$1203,'DAILY ENTRY'!$A$7:$A$1203,$A7,'DAILY ENTRY'!$B$7:$B$1203,$B7,'DAILY ENTRY'!$D$7:$D$1203,"First message sent"))</f>
        <v/>
      </c>
      <c r="G7" s="107" t="str">
        <f aca="false">IF($A7="","",SUMIFS('DAILY ENTRY'!$F$7:$F$1203,'DAILY ENTRY'!$A$7:$A$1203,$A7,'DAILY ENTRY'!$B$7:$B$1203,$B7,'DAILY ENTRY'!$D$7:$D$1203,"Follow-up message sent"))</f>
        <v/>
      </c>
      <c r="H7" s="107" t="str">
        <f aca="false">IF($A7="","",SUMIFS('DAILY ENTRY'!$F$7:$F$1203,'DAILY ENTRY'!$A$7:$A$1203,$A7,'DAILY ENTRY'!$B$7:$B$1203,$B7,'DAILY ENTRY'!$D$7:$D$1203,"Post / content published"))</f>
        <v/>
      </c>
      <c r="I7" s="107" t="str">
        <f aca="false">IF($A7="","",SUMIFS('DAILY ENTRY'!$F$7:$F$1203,'DAILY ENTRY'!$A$7:$A$1203,$A7,'DAILY ENTRY'!$B$7:$B$1203,$B7,'DAILY ENTRY'!$D$7:$D$1203,"Community answer or comment"))</f>
        <v/>
      </c>
      <c r="J7" s="107" t="str">
        <f aca="false">IF($A7="","",SUMIFS('DAILY ENTRY'!$F$7:$F$1203,'DAILY ENTRY'!$A$7:$A$1203,$A7,'DAILY ENTRY'!$B$7:$B$1203,$B7,'DAILY ENTRY'!$D$7:$D$1203,"Partnership / PR contact"))</f>
        <v/>
      </c>
      <c r="K7" s="107" t="str">
        <f aca="false">IF($A7="","",SUMIFS('DAILY ENTRY'!$F$7:$F$1203,'DAILY ENTRY'!$A$7:$A$1203,$A7,'DAILY ENTRY'!$B$7:$B$1203,$B7,'DAILY ENTRY'!$D$7:$D$1203,"Engagement (commented on someone else)"))</f>
        <v/>
      </c>
      <c r="L7" s="107" t="str">
        <f aca="false">IF($A7="","",SUMIFS('DAILY ENTRY'!$F$7:$F$1203,'DAILY ENTRY'!$A$7:$A$1203,$A7,'DAILY ENTRY'!$B$7:$B$1203,$B7,'DAILY ENTRY'!$D$7:$D$1203,"Account created / profile completed"))</f>
        <v/>
      </c>
      <c r="M7" s="108" t="str">
        <f aca="false">IF($A7="","",IFERROR(INDEX('DAILY ENTRY'!$E$7:$E$1203,MATCH(1,INDEX(('DAILY ENTRY'!$A$7:$A$1203=$A7)*('DAILY ENTRY'!$B$7:$B$1203=$B7)*('DAILY ENTRY'!$I$7:$I$1203="Meeting booked"),0),0)),IFERROR(INDEX('DAILY ENTRY'!$E$7:$E$1203,MATCH(1,INDEX(('DAILY ENTRY'!$A$7:$A$1203=$A7)*('DAILY ENTRY'!$B$7:$B$1203=$B7)*('DAILY ENTRY'!$I$7:$I$1203="Positive reply"),0),0)),"")))</f>
        <v/>
      </c>
      <c r="N7" s="108" t="str">
        <f aca="false">IF($A7="","",IFERROR(INDEX('DAILY ENTRY'!$J$7:$J$1203,MATCH(1,INDEX(('DAILY ENTRY'!$A$7:$A$1203=$A7)*('DAILY ENTRY'!$B$7:$B$1203=$B7)*('DAILY ENTRY'!$I$7:$I$1203="Blocked"),0),0)),""))</f>
        <v/>
      </c>
      <c r="O7" s="65" t="str">
        <f aca="false">IF($A7="","",(D7&gt;='START HERE'!$B$25)+(E7&gt;='START HERE'!$B$26)+(F7&gt;='START HERE'!$B$27)+(G7&gt;='START HERE'!$B$28)+(H7&gt;='START HERE'!$B$29)+(I7&gt;='START HERE'!$B$30)+(J7&gt;='START HERE'!$B$31)+(K7&gt;='START HERE'!$B$32))</f>
        <v/>
      </c>
      <c r="P7" s="46" t="str">
        <f aca="false">IF($A7="","",IF(O7&gt;=7,"Full day",IF(O7&gt;=5,"Most targets met",IF(O7&gt;=3,"Half day","Below plan - explain in the blocker column"))))</f>
        <v/>
      </c>
    </row>
    <row r="8" customFormat="false" ht="24" hidden="false" customHeight="true" outlineLevel="0" collapsed="false">
      <c r="A8" s="36"/>
      <c r="B8" s="37"/>
      <c r="C8" s="107" t="str">
        <f aca="false">IF($A8="","",ROUND(SUMIFS('DAILY ENTRY'!$G$7:$G$1203,'DAILY ENTRY'!$A$7:$A$1203,$A8,'DAILY ENTRY'!$B$7:$B$1203,$B8)/60,1))</f>
        <v/>
      </c>
      <c r="D8" s="107" t="str">
        <f aca="false">IF($A8="","",SUMIFS('DAILY ENTRY'!$F$7:$F$1203,'DAILY ENTRY'!$A$7:$A$1203,$A8,'DAILY ENTRY'!$B$7:$B$1203,$B8,'DAILY ENTRY'!$D$7:$D$1203,"Lead researched (Sales Navigator)"))</f>
        <v/>
      </c>
      <c r="E8" s="107" t="str">
        <f aca="false">IF($A8="","",SUMIFS('DAILY ENTRY'!$F$7:$F$1203,'DAILY ENTRY'!$A$7:$A$1203,$A8,'DAILY ENTRY'!$B$7:$B$1203,$B8,'DAILY ENTRY'!$D$7:$D$1203,"Connection request sent"))</f>
        <v/>
      </c>
      <c r="F8" s="107" t="str">
        <f aca="false">IF($A8="","",SUMIFS('DAILY ENTRY'!$F$7:$F$1203,'DAILY ENTRY'!$A$7:$A$1203,$A8,'DAILY ENTRY'!$B$7:$B$1203,$B8,'DAILY ENTRY'!$D$7:$D$1203,"First message sent"))</f>
        <v/>
      </c>
      <c r="G8" s="107" t="str">
        <f aca="false">IF($A8="","",SUMIFS('DAILY ENTRY'!$F$7:$F$1203,'DAILY ENTRY'!$A$7:$A$1203,$A8,'DAILY ENTRY'!$B$7:$B$1203,$B8,'DAILY ENTRY'!$D$7:$D$1203,"Follow-up message sent"))</f>
        <v/>
      </c>
      <c r="H8" s="107" t="str">
        <f aca="false">IF($A8="","",SUMIFS('DAILY ENTRY'!$F$7:$F$1203,'DAILY ENTRY'!$A$7:$A$1203,$A8,'DAILY ENTRY'!$B$7:$B$1203,$B8,'DAILY ENTRY'!$D$7:$D$1203,"Post / content published"))</f>
        <v/>
      </c>
      <c r="I8" s="107" t="str">
        <f aca="false">IF($A8="","",SUMIFS('DAILY ENTRY'!$F$7:$F$1203,'DAILY ENTRY'!$A$7:$A$1203,$A8,'DAILY ENTRY'!$B$7:$B$1203,$B8,'DAILY ENTRY'!$D$7:$D$1203,"Community answer or comment"))</f>
        <v/>
      </c>
      <c r="J8" s="107" t="str">
        <f aca="false">IF($A8="","",SUMIFS('DAILY ENTRY'!$F$7:$F$1203,'DAILY ENTRY'!$A$7:$A$1203,$A8,'DAILY ENTRY'!$B$7:$B$1203,$B8,'DAILY ENTRY'!$D$7:$D$1203,"Partnership / PR contact"))</f>
        <v/>
      </c>
      <c r="K8" s="107" t="str">
        <f aca="false">IF($A8="","",SUMIFS('DAILY ENTRY'!$F$7:$F$1203,'DAILY ENTRY'!$A$7:$A$1203,$A8,'DAILY ENTRY'!$B$7:$B$1203,$B8,'DAILY ENTRY'!$D$7:$D$1203,"Engagement (commented on someone else)"))</f>
        <v/>
      </c>
      <c r="L8" s="107" t="str">
        <f aca="false">IF($A8="","",SUMIFS('DAILY ENTRY'!$F$7:$F$1203,'DAILY ENTRY'!$A$7:$A$1203,$A8,'DAILY ENTRY'!$B$7:$B$1203,$B8,'DAILY ENTRY'!$D$7:$D$1203,"Account created / profile completed"))</f>
        <v/>
      </c>
      <c r="M8" s="108" t="str">
        <f aca="false">IF($A8="","",IFERROR(INDEX('DAILY ENTRY'!$E$7:$E$1203,MATCH(1,INDEX(('DAILY ENTRY'!$A$7:$A$1203=$A8)*('DAILY ENTRY'!$B$7:$B$1203=$B8)*('DAILY ENTRY'!$I$7:$I$1203="Meeting booked"),0),0)),IFERROR(INDEX('DAILY ENTRY'!$E$7:$E$1203,MATCH(1,INDEX(('DAILY ENTRY'!$A$7:$A$1203=$A8)*('DAILY ENTRY'!$B$7:$B$1203=$B8)*('DAILY ENTRY'!$I$7:$I$1203="Positive reply"),0),0)),"")))</f>
        <v/>
      </c>
      <c r="N8" s="108" t="str">
        <f aca="false">IF($A8="","",IFERROR(INDEX('DAILY ENTRY'!$J$7:$J$1203,MATCH(1,INDEX(('DAILY ENTRY'!$A$7:$A$1203=$A8)*('DAILY ENTRY'!$B$7:$B$1203=$B8)*('DAILY ENTRY'!$I$7:$I$1203="Blocked"),0),0)),""))</f>
        <v/>
      </c>
      <c r="O8" s="65" t="str">
        <f aca="false">IF($A8="","",(D8&gt;='START HERE'!$B$25)+(E8&gt;='START HERE'!$B$26)+(F8&gt;='START HERE'!$B$27)+(G8&gt;='START HERE'!$B$28)+(H8&gt;='START HERE'!$B$29)+(I8&gt;='START HERE'!$B$30)+(J8&gt;='START HERE'!$B$31)+(K8&gt;='START HERE'!$B$32))</f>
        <v/>
      </c>
      <c r="P8" s="46" t="str">
        <f aca="false">IF($A8="","",IF(O8&gt;=7,"Full day",IF(O8&gt;=5,"Most targets met",IF(O8&gt;=3,"Half day","Below plan - explain in the blocker column"))))</f>
        <v/>
      </c>
    </row>
    <row r="9" customFormat="false" ht="24" hidden="false" customHeight="true" outlineLevel="0" collapsed="false">
      <c r="A9" s="36"/>
      <c r="B9" s="37"/>
      <c r="C9" s="107" t="str">
        <f aca="false">IF($A9="","",ROUND(SUMIFS('DAILY ENTRY'!$G$7:$G$1203,'DAILY ENTRY'!$A$7:$A$1203,$A9,'DAILY ENTRY'!$B$7:$B$1203,$B9)/60,1))</f>
        <v/>
      </c>
      <c r="D9" s="107" t="str">
        <f aca="false">IF($A9="","",SUMIFS('DAILY ENTRY'!$F$7:$F$1203,'DAILY ENTRY'!$A$7:$A$1203,$A9,'DAILY ENTRY'!$B$7:$B$1203,$B9,'DAILY ENTRY'!$D$7:$D$1203,"Lead researched (Sales Navigator)"))</f>
        <v/>
      </c>
      <c r="E9" s="107" t="str">
        <f aca="false">IF($A9="","",SUMIFS('DAILY ENTRY'!$F$7:$F$1203,'DAILY ENTRY'!$A$7:$A$1203,$A9,'DAILY ENTRY'!$B$7:$B$1203,$B9,'DAILY ENTRY'!$D$7:$D$1203,"Connection request sent"))</f>
        <v/>
      </c>
      <c r="F9" s="107" t="str">
        <f aca="false">IF($A9="","",SUMIFS('DAILY ENTRY'!$F$7:$F$1203,'DAILY ENTRY'!$A$7:$A$1203,$A9,'DAILY ENTRY'!$B$7:$B$1203,$B9,'DAILY ENTRY'!$D$7:$D$1203,"First message sent"))</f>
        <v/>
      </c>
      <c r="G9" s="107" t="str">
        <f aca="false">IF($A9="","",SUMIFS('DAILY ENTRY'!$F$7:$F$1203,'DAILY ENTRY'!$A$7:$A$1203,$A9,'DAILY ENTRY'!$B$7:$B$1203,$B9,'DAILY ENTRY'!$D$7:$D$1203,"Follow-up message sent"))</f>
        <v/>
      </c>
      <c r="H9" s="107" t="str">
        <f aca="false">IF($A9="","",SUMIFS('DAILY ENTRY'!$F$7:$F$1203,'DAILY ENTRY'!$A$7:$A$1203,$A9,'DAILY ENTRY'!$B$7:$B$1203,$B9,'DAILY ENTRY'!$D$7:$D$1203,"Post / content published"))</f>
        <v/>
      </c>
      <c r="I9" s="107" t="str">
        <f aca="false">IF($A9="","",SUMIFS('DAILY ENTRY'!$F$7:$F$1203,'DAILY ENTRY'!$A$7:$A$1203,$A9,'DAILY ENTRY'!$B$7:$B$1203,$B9,'DAILY ENTRY'!$D$7:$D$1203,"Community answer or comment"))</f>
        <v/>
      </c>
      <c r="J9" s="107" t="str">
        <f aca="false">IF($A9="","",SUMIFS('DAILY ENTRY'!$F$7:$F$1203,'DAILY ENTRY'!$A$7:$A$1203,$A9,'DAILY ENTRY'!$B$7:$B$1203,$B9,'DAILY ENTRY'!$D$7:$D$1203,"Partnership / PR contact"))</f>
        <v/>
      </c>
      <c r="K9" s="107" t="str">
        <f aca="false">IF($A9="","",SUMIFS('DAILY ENTRY'!$F$7:$F$1203,'DAILY ENTRY'!$A$7:$A$1203,$A9,'DAILY ENTRY'!$B$7:$B$1203,$B9,'DAILY ENTRY'!$D$7:$D$1203,"Engagement (commented on someone else)"))</f>
        <v/>
      </c>
      <c r="L9" s="107" t="str">
        <f aca="false">IF($A9="","",SUMIFS('DAILY ENTRY'!$F$7:$F$1203,'DAILY ENTRY'!$A$7:$A$1203,$A9,'DAILY ENTRY'!$B$7:$B$1203,$B9,'DAILY ENTRY'!$D$7:$D$1203,"Account created / profile completed"))</f>
        <v/>
      </c>
      <c r="M9" s="108" t="str">
        <f aca="false">IF($A9="","",IFERROR(INDEX('DAILY ENTRY'!$E$7:$E$1203,MATCH(1,INDEX(('DAILY ENTRY'!$A$7:$A$1203=$A9)*('DAILY ENTRY'!$B$7:$B$1203=$B9)*('DAILY ENTRY'!$I$7:$I$1203="Meeting booked"),0),0)),IFERROR(INDEX('DAILY ENTRY'!$E$7:$E$1203,MATCH(1,INDEX(('DAILY ENTRY'!$A$7:$A$1203=$A9)*('DAILY ENTRY'!$B$7:$B$1203=$B9)*('DAILY ENTRY'!$I$7:$I$1203="Positive reply"),0),0)),"")))</f>
        <v/>
      </c>
      <c r="N9" s="108" t="str">
        <f aca="false">IF($A9="","",IFERROR(INDEX('DAILY ENTRY'!$J$7:$J$1203,MATCH(1,INDEX(('DAILY ENTRY'!$A$7:$A$1203=$A9)*('DAILY ENTRY'!$B$7:$B$1203=$B9)*('DAILY ENTRY'!$I$7:$I$1203="Blocked"),0),0)),""))</f>
        <v/>
      </c>
      <c r="O9" s="65" t="str">
        <f aca="false">IF($A9="","",(D9&gt;='START HERE'!$B$25)+(E9&gt;='START HERE'!$B$26)+(F9&gt;='START HERE'!$B$27)+(G9&gt;='START HERE'!$B$28)+(H9&gt;='START HERE'!$B$29)+(I9&gt;='START HERE'!$B$30)+(J9&gt;='START HERE'!$B$31)+(K9&gt;='START HERE'!$B$32))</f>
        <v/>
      </c>
      <c r="P9" s="46" t="str">
        <f aca="false">IF($A9="","",IF(O9&gt;=7,"Full day",IF(O9&gt;=5,"Most targets met",IF(O9&gt;=3,"Half day","Below plan - explain in the blocker column"))))</f>
        <v/>
      </c>
    </row>
    <row r="10" customFormat="false" ht="24" hidden="false" customHeight="true" outlineLevel="0" collapsed="false">
      <c r="A10" s="36"/>
      <c r="B10" s="37"/>
      <c r="C10" s="107" t="str">
        <f aca="false">IF($A10="","",ROUND(SUMIFS('DAILY ENTRY'!$G$7:$G$1203,'DAILY ENTRY'!$A$7:$A$1203,$A10,'DAILY ENTRY'!$B$7:$B$1203,$B10)/60,1))</f>
        <v/>
      </c>
      <c r="D10" s="107" t="str">
        <f aca="false">IF($A10="","",SUMIFS('DAILY ENTRY'!$F$7:$F$1203,'DAILY ENTRY'!$A$7:$A$1203,$A10,'DAILY ENTRY'!$B$7:$B$1203,$B10,'DAILY ENTRY'!$D$7:$D$1203,"Lead researched (Sales Navigator)"))</f>
        <v/>
      </c>
      <c r="E10" s="107" t="str">
        <f aca="false">IF($A10="","",SUMIFS('DAILY ENTRY'!$F$7:$F$1203,'DAILY ENTRY'!$A$7:$A$1203,$A10,'DAILY ENTRY'!$B$7:$B$1203,$B10,'DAILY ENTRY'!$D$7:$D$1203,"Connection request sent"))</f>
        <v/>
      </c>
      <c r="F10" s="107" t="str">
        <f aca="false">IF($A10="","",SUMIFS('DAILY ENTRY'!$F$7:$F$1203,'DAILY ENTRY'!$A$7:$A$1203,$A10,'DAILY ENTRY'!$B$7:$B$1203,$B10,'DAILY ENTRY'!$D$7:$D$1203,"First message sent"))</f>
        <v/>
      </c>
      <c r="G10" s="107" t="str">
        <f aca="false">IF($A10="","",SUMIFS('DAILY ENTRY'!$F$7:$F$1203,'DAILY ENTRY'!$A$7:$A$1203,$A10,'DAILY ENTRY'!$B$7:$B$1203,$B10,'DAILY ENTRY'!$D$7:$D$1203,"Follow-up message sent"))</f>
        <v/>
      </c>
      <c r="H10" s="107" t="str">
        <f aca="false">IF($A10="","",SUMIFS('DAILY ENTRY'!$F$7:$F$1203,'DAILY ENTRY'!$A$7:$A$1203,$A10,'DAILY ENTRY'!$B$7:$B$1203,$B10,'DAILY ENTRY'!$D$7:$D$1203,"Post / content published"))</f>
        <v/>
      </c>
      <c r="I10" s="107" t="str">
        <f aca="false">IF($A10="","",SUMIFS('DAILY ENTRY'!$F$7:$F$1203,'DAILY ENTRY'!$A$7:$A$1203,$A10,'DAILY ENTRY'!$B$7:$B$1203,$B10,'DAILY ENTRY'!$D$7:$D$1203,"Community answer or comment"))</f>
        <v/>
      </c>
      <c r="J10" s="107" t="str">
        <f aca="false">IF($A10="","",SUMIFS('DAILY ENTRY'!$F$7:$F$1203,'DAILY ENTRY'!$A$7:$A$1203,$A10,'DAILY ENTRY'!$B$7:$B$1203,$B10,'DAILY ENTRY'!$D$7:$D$1203,"Partnership / PR contact"))</f>
        <v/>
      </c>
      <c r="K10" s="107" t="str">
        <f aca="false">IF($A10="","",SUMIFS('DAILY ENTRY'!$F$7:$F$1203,'DAILY ENTRY'!$A$7:$A$1203,$A10,'DAILY ENTRY'!$B$7:$B$1203,$B10,'DAILY ENTRY'!$D$7:$D$1203,"Engagement (commented on someone else)"))</f>
        <v/>
      </c>
      <c r="L10" s="107" t="str">
        <f aca="false">IF($A10="","",SUMIFS('DAILY ENTRY'!$F$7:$F$1203,'DAILY ENTRY'!$A$7:$A$1203,$A10,'DAILY ENTRY'!$B$7:$B$1203,$B10,'DAILY ENTRY'!$D$7:$D$1203,"Account created / profile completed"))</f>
        <v/>
      </c>
      <c r="M10" s="108" t="str">
        <f aca="false">IF($A10="","",IFERROR(INDEX('DAILY ENTRY'!$E$7:$E$1203,MATCH(1,INDEX(('DAILY ENTRY'!$A$7:$A$1203=$A10)*('DAILY ENTRY'!$B$7:$B$1203=$B10)*('DAILY ENTRY'!$I$7:$I$1203="Meeting booked"),0),0)),IFERROR(INDEX('DAILY ENTRY'!$E$7:$E$1203,MATCH(1,INDEX(('DAILY ENTRY'!$A$7:$A$1203=$A10)*('DAILY ENTRY'!$B$7:$B$1203=$B10)*('DAILY ENTRY'!$I$7:$I$1203="Positive reply"),0),0)),"")))</f>
        <v/>
      </c>
      <c r="N10" s="108" t="str">
        <f aca="false">IF($A10="","",IFERROR(INDEX('DAILY ENTRY'!$J$7:$J$1203,MATCH(1,INDEX(('DAILY ENTRY'!$A$7:$A$1203=$A10)*('DAILY ENTRY'!$B$7:$B$1203=$B10)*('DAILY ENTRY'!$I$7:$I$1203="Blocked"),0),0)),""))</f>
        <v/>
      </c>
      <c r="O10" s="65" t="str">
        <f aca="false">IF($A10="","",(D10&gt;='START HERE'!$B$25)+(E10&gt;='START HERE'!$B$26)+(F10&gt;='START HERE'!$B$27)+(G10&gt;='START HERE'!$B$28)+(H10&gt;='START HERE'!$B$29)+(I10&gt;='START HERE'!$B$30)+(J10&gt;='START HERE'!$B$31)+(K10&gt;='START HERE'!$B$32))</f>
        <v/>
      </c>
      <c r="P10" s="46" t="str">
        <f aca="false">IF($A10="","",IF(O10&gt;=7,"Full day",IF(O10&gt;=5,"Most targets met",IF(O10&gt;=3,"Half day","Below plan - explain in the blocker column"))))</f>
        <v/>
      </c>
    </row>
    <row r="11" customFormat="false" ht="24" hidden="false" customHeight="true" outlineLevel="0" collapsed="false">
      <c r="A11" s="36"/>
      <c r="B11" s="37"/>
      <c r="C11" s="107" t="str">
        <f aca="false">IF($A11="","",ROUND(SUMIFS('DAILY ENTRY'!$G$7:$G$1203,'DAILY ENTRY'!$A$7:$A$1203,$A11,'DAILY ENTRY'!$B$7:$B$1203,$B11)/60,1))</f>
        <v/>
      </c>
      <c r="D11" s="107" t="str">
        <f aca="false">IF($A11="","",SUMIFS('DAILY ENTRY'!$F$7:$F$1203,'DAILY ENTRY'!$A$7:$A$1203,$A11,'DAILY ENTRY'!$B$7:$B$1203,$B11,'DAILY ENTRY'!$D$7:$D$1203,"Lead researched (Sales Navigator)"))</f>
        <v/>
      </c>
      <c r="E11" s="107" t="str">
        <f aca="false">IF($A11="","",SUMIFS('DAILY ENTRY'!$F$7:$F$1203,'DAILY ENTRY'!$A$7:$A$1203,$A11,'DAILY ENTRY'!$B$7:$B$1203,$B11,'DAILY ENTRY'!$D$7:$D$1203,"Connection request sent"))</f>
        <v/>
      </c>
      <c r="F11" s="107" t="str">
        <f aca="false">IF($A11="","",SUMIFS('DAILY ENTRY'!$F$7:$F$1203,'DAILY ENTRY'!$A$7:$A$1203,$A11,'DAILY ENTRY'!$B$7:$B$1203,$B11,'DAILY ENTRY'!$D$7:$D$1203,"First message sent"))</f>
        <v/>
      </c>
      <c r="G11" s="107" t="str">
        <f aca="false">IF($A11="","",SUMIFS('DAILY ENTRY'!$F$7:$F$1203,'DAILY ENTRY'!$A$7:$A$1203,$A11,'DAILY ENTRY'!$B$7:$B$1203,$B11,'DAILY ENTRY'!$D$7:$D$1203,"Follow-up message sent"))</f>
        <v/>
      </c>
      <c r="H11" s="107" t="str">
        <f aca="false">IF($A11="","",SUMIFS('DAILY ENTRY'!$F$7:$F$1203,'DAILY ENTRY'!$A$7:$A$1203,$A11,'DAILY ENTRY'!$B$7:$B$1203,$B11,'DAILY ENTRY'!$D$7:$D$1203,"Post / content published"))</f>
        <v/>
      </c>
      <c r="I11" s="107" t="str">
        <f aca="false">IF($A11="","",SUMIFS('DAILY ENTRY'!$F$7:$F$1203,'DAILY ENTRY'!$A$7:$A$1203,$A11,'DAILY ENTRY'!$B$7:$B$1203,$B11,'DAILY ENTRY'!$D$7:$D$1203,"Community answer or comment"))</f>
        <v/>
      </c>
      <c r="J11" s="107" t="str">
        <f aca="false">IF($A11="","",SUMIFS('DAILY ENTRY'!$F$7:$F$1203,'DAILY ENTRY'!$A$7:$A$1203,$A11,'DAILY ENTRY'!$B$7:$B$1203,$B11,'DAILY ENTRY'!$D$7:$D$1203,"Partnership / PR contact"))</f>
        <v/>
      </c>
      <c r="K11" s="107" t="str">
        <f aca="false">IF($A11="","",SUMIFS('DAILY ENTRY'!$F$7:$F$1203,'DAILY ENTRY'!$A$7:$A$1203,$A11,'DAILY ENTRY'!$B$7:$B$1203,$B11,'DAILY ENTRY'!$D$7:$D$1203,"Engagement (commented on someone else)"))</f>
        <v/>
      </c>
      <c r="L11" s="107" t="str">
        <f aca="false">IF($A11="","",SUMIFS('DAILY ENTRY'!$F$7:$F$1203,'DAILY ENTRY'!$A$7:$A$1203,$A11,'DAILY ENTRY'!$B$7:$B$1203,$B11,'DAILY ENTRY'!$D$7:$D$1203,"Account created / profile completed"))</f>
        <v/>
      </c>
      <c r="M11" s="108" t="str">
        <f aca="false">IF($A11="","",IFERROR(INDEX('DAILY ENTRY'!$E$7:$E$1203,MATCH(1,INDEX(('DAILY ENTRY'!$A$7:$A$1203=$A11)*('DAILY ENTRY'!$B$7:$B$1203=$B11)*('DAILY ENTRY'!$I$7:$I$1203="Meeting booked"),0),0)),IFERROR(INDEX('DAILY ENTRY'!$E$7:$E$1203,MATCH(1,INDEX(('DAILY ENTRY'!$A$7:$A$1203=$A11)*('DAILY ENTRY'!$B$7:$B$1203=$B11)*('DAILY ENTRY'!$I$7:$I$1203="Positive reply"),0),0)),"")))</f>
        <v/>
      </c>
      <c r="N11" s="108" t="str">
        <f aca="false">IF($A11="","",IFERROR(INDEX('DAILY ENTRY'!$J$7:$J$1203,MATCH(1,INDEX(('DAILY ENTRY'!$A$7:$A$1203=$A11)*('DAILY ENTRY'!$B$7:$B$1203=$B11)*('DAILY ENTRY'!$I$7:$I$1203="Blocked"),0),0)),""))</f>
        <v/>
      </c>
      <c r="O11" s="65" t="str">
        <f aca="false">IF($A11="","",(D11&gt;='START HERE'!$B$25)+(E11&gt;='START HERE'!$B$26)+(F11&gt;='START HERE'!$B$27)+(G11&gt;='START HERE'!$B$28)+(H11&gt;='START HERE'!$B$29)+(I11&gt;='START HERE'!$B$30)+(J11&gt;='START HERE'!$B$31)+(K11&gt;='START HERE'!$B$32))</f>
        <v/>
      </c>
      <c r="P11" s="46" t="str">
        <f aca="false">IF($A11="","",IF(O11&gt;=7,"Full day",IF(O11&gt;=5,"Most targets met",IF(O11&gt;=3,"Half day","Below plan - explain in the blocker column"))))</f>
        <v/>
      </c>
    </row>
    <row r="12" customFormat="false" ht="24" hidden="false" customHeight="true" outlineLevel="0" collapsed="false">
      <c r="A12" s="36"/>
      <c r="B12" s="37"/>
      <c r="C12" s="107" t="str">
        <f aca="false">IF($A12="","",ROUND(SUMIFS('DAILY ENTRY'!$G$7:$G$1203,'DAILY ENTRY'!$A$7:$A$1203,$A12,'DAILY ENTRY'!$B$7:$B$1203,$B12)/60,1))</f>
        <v/>
      </c>
      <c r="D12" s="107" t="str">
        <f aca="false">IF($A12="","",SUMIFS('DAILY ENTRY'!$F$7:$F$1203,'DAILY ENTRY'!$A$7:$A$1203,$A12,'DAILY ENTRY'!$B$7:$B$1203,$B12,'DAILY ENTRY'!$D$7:$D$1203,"Lead researched (Sales Navigator)"))</f>
        <v/>
      </c>
      <c r="E12" s="107" t="str">
        <f aca="false">IF($A12="","",SUMIFS('DAILY ENTRY'!$F$7:$F$1203,'DAILY ENTRY'!$A$7:$A$1203,$A12,'DAILY ENTRY'!$B$7:$B$1203,$B12,'DAILY ENTRY'!$D$7:$D$1203,"Connection request sent"))</f>
        <v/>
      </c>
      <c r="F12" s="107" t="str">
        <f aca="false">IF($A12="","",SUMIFS('DAILY ENTRY'!$F$7:$F$1203,'DAILY ENTRY'!$A$7:$A$1203,$A12,'DAILY ENTRY'!$B$7:$B$1203,$B12,'DAILY ENTRY'!$D$7:$D$1203,"First message sent"))</f>
        <v/>
      </c>
      <c r="G12" s="107" t="str">
        <f aca="false">IF($A12="","",SUMIFS('DAILY ENTRY'!$F$7:$F$1203,'DAILY ENTRY'!$A$7:$A$1203,$A12,'DAILY ENTRY'!$B$7:$B$1203,$B12,'DAILY ENTRY'!$D$7:$D$1203,"Follow-up message sent"))</f>
        <v/>
      </c>
      <c r="H12" s="107" t="str">
        <f aca="false">IF($A12="","",SUMIFS('DAILY ENTRY'!$F$7:$F$1203,'DAILY ENTRY'!$A$7:$A$1203,$A12,'DAILY ENTRY'!$B$7:$B$1203,$B12,'DAILY ENTRY'!$D$7:$D$1203,"Post / content published"))</f>
        <v/>
      </c>
      <c r="I12" s="107" t="str">
        <f aca="false">IF($A12="","",SUMIFS('DAILY ENTRY'!$F$7:$F$1203,'DAILY ENTRY'!$A$7:$A$1203,$A12,'DAILY ENTRY'!$B$7:$B$1203,$B12,'DAILY ENTRY'!$D$7:$D$1203,"Community answer or comment"))</f>
        <v/>
      </c>
      <c r="J12" s="107" t="str">
        <f aca="false">IF($A12="","",SUMIFS('DAILY ENTRY'!$F$7:$F$1203,'DAILY ENTRY'!$A$7:$A$1203,$A12,'DAILY ENTRY'!$B$7:$B$1203,$B12,'DAILY ENTRY'!$D$7:$D$1203,"Partnership / PR contact"))</f>
        <v/>
      </c>
      <c r="K12" s="107" t="str">
        <f aca="false">IF($A12="","",SUMIFS('DAILY ENTRY'!$F$7:$F$1203,'DAILY ENTRY'!$A$7:$A$1203,$A12,'DAILY ENTRY'!$B$7:$B$1203,$B12,'DAILY ENTRY'!$D$7:$D$1203,"Engagement (commented on someone else)"))</f>
        <v/>
      </c>
      <c r="L12" s="107" t="str">
        <f aca="false">IF($A12="","",SUMIFS('DAILY ENTRY'!$F$7:$F$1203,'DAILY ENTRY'!$A$7:$A$1203,$A12,'DAILY ENTRY'!$B$7:$B$1203,$B12,'DAILY ENTRY'!$D$7:$D$1203,"Account created / profile completed"))</f>
        <v/>
      </c>
      <c r="M12" s="108" t="str">
        <f aca="false">IF($A12="","",IFERROR(INDEX('DAILY ENTRY'!$E$7:$E$1203,MATCH(1,INDEX(('DAILY ENTRY'!$A$7:$A$1203=$A12)*('DAILY ENTRY'!$B$7:$B$1203=$B12)*('DAILY ENTRY'!$I$7:$I$1203="Meeting booked"),0),0)),IFERROR(INDEX('DAILY ENTRY'!$E$7:$E$1203,MATCH(1,INDEX(('DAILY ENTRY'!$A$7:$A$1203=$A12)*('DAILY ENTRY'!$B$7:$B$1203=$B12)*('DAILY ENTRY'!$I$7:$I$1203="Positive reply"),0),0)),"")))</f>
        <v/>
      </c>
      <c r="N12" s="108" t="str">
        <f aca="false">IF($A12="","",IFERROR(INDEX('DAILY ENTRY'!$J$7:$J$1203,MATCH(1,INDEX(('DAILY ENTRY'!$A$7:$A$1203=$A12)*('DAILY ENTRY'!$B$7:$B$1203=$B12)*('DAILY ENTRY'!$I$7:$I$1203="Blocked"),0),0)),""))</f>
        <v/>
      </c>
      <c r="O12" s="65" t="str">
        <f aca="false">IF($A12="","",(D12&gt;='START HERE'!$B$25)+(E12&gt;='START HERE'!$B$26)+(F12&gt;='START HERE'!$B$27)+(G12&gt;='START HERE'!$B$28)+(H12&gt;='START HERE'!$B$29)+(I12&gt;='START HERE'!$B$30)+(J12&gt;='START HERE'!$B$31)+(K12&gt;='START HERE'!$B$32))</f>
        <v/>
      </c>
      <c r="P12" s="46" t="str">
        <f aca="false">IF($A12="","",IF(O12&gt;=7,"Full day",IF(O12&gt;=5,"Most targets met",IF(O12&gt;=3,"Half day","Below plan - explain in the blocker column"))))</f>
        <v/>
      </c>
    </row>
    <row r="13" customFormat="false" ht="24" hidden="false" customHeight="true" outlineLevel="0" collapsed="false">
      <c r="A13" s="36"/>
      <c r="B13" s="37"/>
      <c r="C13" s="107" t="str">
        <f aca="false">IF($A13="","",ROUND(SUMIFS('DAILY ENTRY'!$G$7:$G$1203,'DAILY ENTRY'!$A$7:$A$1203,$A13,'DAILY ENTRY'!$B$7:$B$1203,$B13)/60,1))</f>
        <v/>
      </c>
      <c r="D13" s="107" t="str">
        <f aca="false">IF($A13="","",SUMIFS('DAILY ENTRY'!$F$7:$F$1203,'DAILY ENTRY'!$A$7:$A$1203,$A13,'DAILY ENTRY'!$B$7:$B$1203,$B13,'DAILY ENTRY'!$D$7:$D$1203,"Lead researched (Sales Navigator)"))</f>
        <v/>
      </c>
      <c r="E13" s="107" t="str">
        <f aca="false">IF($A13="","",SUMIFS('DAILY ENTRY'!$F$7:$F$1203,'DAILY ENTRY'!$A$7:$A$1203,$A13,'DAILY ENTRY'!$B$7:$B$1203,$B13,'DAILY ENTRY'!$D$7:$D$1203,"Connection request sent"))</f>
        <v/>
      </c>
      <c r="F13" s="107" t="str">
        <f aca="false">IF($A13="","",SUMIFS('DAILY ENTRY'!$F$7:$F$1203,'DAILY ENTRY'!$A$7:$A$1203,$A13,'DAILY ENTRY'!$B$7:$B$1203,$B13,'DAILY ENTRY'!$D$7:$D$1203,"First message sent"))</f>
        <v/>
      </c>
      <c r="G13" s="107" t="str">
        <f aca="false">IF($A13="","",SUMIFS('DAILY ENTRY'!$F$7:$F$1203,'DAILY ENTRY'!$A$7:$A$1203,$A13,'DAILY ENTRY'!$B$7:$B$1203,$B13,'DAILY ENTRY'!$D$7:$D$1203,"Follow-up message sent"))</f>
        <v/>
      </c>
      <c r="H13" s="107" t="str">
        <f aca="false">IF($A13="","",SUMIFS('DAILY ENTRY'!$F$7:$F$1203,'DAILY ENTRY'!$A$7:$A$1203,$A13,'DAILY ENTRY'!$B$7:$B$1203,$B13,'DAILY ENTRY'!$D$7:$D$1203,"Post / content published"))</f>
        <v/>
      </c>
      <c r="I13" s="107" t="str">
        <f aca="false">IF($A13="","",SUMIFS('DAILY ENTRY'!$F$7:$F$1203,'DAILY ENTRY'!$A$7:$A$1203,$A13,'DAILY ENTRY'!$B$7:$B$1203,$B13,'DAILY ENTRY'!$D$7:$D$1203,"Community answer or comment"))</f>
        <v/>
      </c>
      <c r="J13" s="107" t="str">
        <f aca="false">IF($A13="","",SUMIFS('DAILY ENTRY'!$F$7:$F$1203,'DAILY ENTRY'!$A$7:$A$1203,$A13,'DAILY ENTRY'!$B$7:$B$1203,$B13,'DAILY ENTRY'!$D$7:$D$1203,"Partnership / PR contact"))</f>
        <v/>
      </c>
      <c r="K13" s="107" t="str">
        <f aca="false">IF($A13="","",SUMIFS('DAILY ENTRY'!$F$7:$F$1203,'DAILY ENTRY'!$A$7:$A$1203,$A13,'DAILY ENTRY'!$B$7:$B$1203,$B13,'DAILY ENTRY'!$D$7:$D$1203,"Engagement (commented on someone else)"))</f>
        <v/>
      </c>
      <c r="L13" s="107" t="str">
        <f aca="false">IF($A13="","",SUMIFS('DAILY ENTRY'!$F$7:$F$1203,'DAILY ENTRY'!$A$7:$A$1203,$A13,'DAILY ENTRY'!$B$7:$B$1203,$B13,'DAILY ENTRY'!$D$7:$D$1203,"Account created / profile completed"))</f>
        <v/>
      </c>
      <c r="M13" s="108" t="str">
        <f aca="false">IF($A13="","",IFERROR(INDEX('DAILY ENTRY'!$E$7:$E$1203,MATCH(1,INDEX(('DAILY ENTRY'!$A$7:$A$1203=$A13)*('DAILY ENTRY'!$B$7:$B$1203=$B13)*('DAILY ENTRY'!$I$7:$I$1203="Meeting booked"),0),0)),IFERROR(INDEX('DAILY ENTRY'!$E$7:$E$1203,MATCH(1,INDEX(('DAILY ENTRY'!$A$7:$A$1203=$A13)*('DAILY ENTRY'!$B$7:$B$1203=$B13)*('DAILY ENTRY'!$I$7:$I$1203="Positive reply"),0),0)),"")))</f>
        <v/>
      </c>
      <c r="N13" s="108" t="str">
        <f aca="false">IF($A13="","",IFERROR(INDEX('DAILY ENTRY'!$J$7:$J$1203,MATCH(1,INDEX(('DAILY ENTRY'!$A$7:$A$1203=$A13)*('DAILY ENTRY'!$B$7:$B$1203=$B13)*('DAILY ENTRY'!$I$7:$I$1203="Blocked"),0),0)),""))</f>
        <v/>
      </c>
      <c r="O13" s="65" t="str">
        <f aca="false">IF($A13="","",(D13&gt;='START HERE'!$B$25)+(E13&gt;='START HERE'!$B$26)+(F13&gt;='START HERE'!$B$27)+(G13&gt;='START HERE'!$B$28)+(H13&gt;='START HERE'!$B$29)+(I13&gt;='START HERE'!$B$30)+(J13&gt;='START HERE'!$B$31)+(K13&gt;='START HERE'!$B$32))</f>
        <v/>
      </c>
      <c r="P13" s="46" t="str">
        <f aca="false">IF($A13="","",IF(O13&gt;=7,"Full day",IF(O13&gt;=5,"Most targets met",IF(O13&gt;=3,"Half day","Below plan - explain in the blocker column"))))</f>
        <v/>
      </c>
    </row>
    <row r="14" customFormat="false" ht="24" hidden="false" customHeight="true" outlineLevel="0" collapsed="false">
      <c r="A14" s="36"/>
      <c r="B14" s="37"/>
      <c r="C14" s="107" t="str">
        <f aca="false">IF($A14="","",ROUND(SUMIFS('DAILY ENTRY'!$G$7:$G$1203,'DAILY ENTRY'!$A$7:$A$1203,$A14,'DAILY ENTRY'!$B$7:$B$1203,$B14)/60,1))</f>
        <v/>
      </c>
      <c r="D14" s="107" t="str">
        <f aca="false">IF($A14="","",SUMIFS('DAILY ENTRY'!$F$7:$F$1203,'DAILY ENTRY'!$A$7:$A$1203,$A14,'DAILY ENTRY'!$B$7:$B$1203,$B14,'DAILY ENTRY'!$D$7:$D$1203,"Lead researched (Sales Navigator)"))</f>
        <v/>
      </c>
      <c r="E14" s="107" t="str">
        <f aca="false">IF($A14="","",SUMIFS('DAILY ENTRY'!$F$7:$F$1203,'DAILY ENTRY'!$A$7:$A$1203,$A14,'DAILY ENTRY'!$B$7:$B$1203,$B14,'DAILY ENTRY'!$D$7:$D$1203,"Connection request sent"))</f>
        <v/>
      </c>
      <c r="F14" s="107" t="str">
        <f aca="false">IF($A14="","",SUMIFS('DAILY ENTRY'!$F$7:$F$1203,'DAILY ENTRY'!$A$7:$A$1203,$A14,'DAILY ENTRY'!$B$7:$B$1203,$B14,'DAILY ENTRY'!$D$7:$D$1203,"First message sent"))</f>
        <v/>
      </c>
      <c r="G14" s="107" t="str">
        <f aca="false">IF($A14="","",SUMIFS('DAILY ENTRY'!$F$7:$F$1203,'DAILY ENTRY'!$A$7:$A$1203,$A14,'DAILY ENTRY'!$B$7:$B$1203,$B14,'DAILY ENTRY'!$D$7:$D$1203,"Follow-up message sent"))</f>
        <v/>
      </c>
      <c r="H14" s="107" t="str">
        <f aca="false">IF($A14="","",SUMIFS('DAILY ENTRY'!$F$7:$F$1203,'DAILY ENTRY'!$A$7:$A$1203,$A14,'DAILY ENTRY'!$B$7:$B$1203,$B14,'DAILY ENTRY'!$D$7:$D$1203,"Post / content published"))</f>
        <v/>
      </c>
      <c r="I14" s="107" t="str">
        <f aca="false">IF($A14="","",SUMIFS('DAILY ENTRY'!$F$7:$F$1203,'DAILY ENTRY'!$A$7:$A$1203,$A14,'DAILY ENTRY'!$B$7:$B$1203,$B14,'DAILY ENTRY'!$D$7:$D$1203,"Community answer or comment"))</f>
        <v/>
      </c>
      <c r="J14" s="107" t="str">
        <f aca="false">IF($A14="","",SUMIFS('DAILY ENTRY'!$F$7:$F$1203,'DAILY ENTRY'!$A$7:$A$1203,$A14,'DAILY ENTRY'!$B$7:$B$1203,$B14,'DAILY ENTRY'!$D$7:$D$1203,"Partnership / PR contact"))</f>
        <v/>
      </c>
      <c r="K14" s="107" t="str">
        <f aca="false">IF($A14="","",SUMIFS('DAILY ENTRY'!$F$7:$F$1203,'DAILY ENTRY'!$A$7:$A$1203,$A14,'DAILY ENTRY'!$B$7:$B$1203,$B14,'DAILY ENTRY'!$D$7:$D$1203,"Engagement (commented on someone else)"))</f>
        <v/>
      </c>
      <c r="L14" s="107" t="str">
        <f aca="false">IF($A14="","",SUMIFS('DAILY ENTRY'!$F$7:$F$1203,'DAILY ENTRY'!$A$7:$A$1203,$A14,'DAILY ENTRY'!$B$7:$B$1203,$B14,'DAILY ENTRY'!$D$7:$D$1203,"Account created / profile completed"))</f>
        <v/>
      </c>
      <c r="M14" s="108" t="str">
        <f aca="false">IF($A14="","",IFERROR(INDEX('DAILY ENTRY'!$E$7:$E$1203,MATCH(1,INDEX(('DAILY ENTRY'!$A$7:$A$1203=$A14)*('DAILY ENTRY'!$B$7:$B$1203=$B14)*('DAILY ENTRY'!$I$7:$I$1203="Meeting booked"),0),0)),IFERROR(INDEX('DAILY ENTRY'!$E$7:$E$1203,MATCH(1,INDEX(('DAILY ENTRY'!$A$7:$A$1203=$A14)*('DAILY ENTRY'!$B$7:$B$1203=$B14)*('DAILY ENTRY'!$I$7:$I$1203="Positive reply"),0),0)),"")))</f>
        <v/>
      </c>
      <c r="N14" s="108" t="str">
        <f aca="false">IF($A14="","",IFERROR(INDEX('DAILY ENTRY'!$J$7:$J$1203,MATCH(1,INDEX(('DAILY ENTRY'!$A$7:$A$1203=$A14)*('DAILY ENTRY'!$B$7:$B$1203=$B14)*('DAILY ENTRY'!$I$7:$I$1203="Blocked"),0),0)),""))</f>
        <v/>
      </c>
      <c r="O14" s="65" t="str">
        <f aca="false">IF($A14="","",(D14&gt;='START HERE'!$B$25)+(E14&gt;='START HERE'!$B$26)+(F14&gt;='START HERE'!$B$27)+(G14&gt;='START HERE'!$B$28)+(H14&gt;='START HERE'!$B$29)+(I14&gt;='START HERE'!$B$30)+(J14&gt;='START HERE'!$B$31)+(K14&gt;='START HERE'!$B$32))</f>
        <v/>
      </c>
      <c r="P14" s="46" t="str">
        <f aca="false">IF($A14="","",IF(O14&gt;=7,"Full day",IF(O14&gt;=5,"Most targets met",IF(O14&gt;=3,"Half day","Below plan - explain in the blocker column"))))</f>
        <v/>
      </c>
    </row>
    <row r="15" customFormat="false" ht="24" hidden="false" customHeight="true" outlineLevel="0" collapsed="false">
      <c r="A15" s="36"/>
      <c r="B15" s="37"/>
      <c r="C15" s="107" t="str">
        <f aca="false">IF($A15="","",ROUND(SUMIFS('DAILY ENTRY'!$G$7:$G$1203,'DAILY ENTRY'!$A$7:$A$1203,$A15,'DAILY ENTRY'!$B$7:$B$1203,$B15)/60,1))</f>
        <v/>
      </c>
      <c r="D15" s="107" t="str">
        <f aca="false">IF($A15="","",SUMIFS('DAILY ENTRY'!$F$7:$F$1203,'DAILY ENTRY'!$A$7:$A$1203,$A15,'DAILY ENTRY'!$B$7:$B$1203,$B15,'DAILY ENTRY'!$D$7:$D$1203,"Lead researched (Sales Navigator)"))</f>
        <v/>
      </c>
      <c r="E15" s="107" t="str">
        <f aca="false">IF($A15="","",SUMIFS('DAILY ENTRY'!$F$7:$F$1203,'DAILY ENTRY'!$A$7:$A$1203,$A15,'DAILY ENTRY'!$B$7:$B$1203,$B15,'DAILY ENTRY'!$D$7:$D$1203,"Connection request sent"))</f>
        <v/>
      </c>
      <c r="F15" s="107" t="str">
        <f aca="false">IF($A15="","",SUMIFS('DAILY ENTRY'!$F$7:$F$1203,'DAILY ENTRY'!$A$7:$A$1203,$A15,'DAILY ENTRY'!$B$7:$B$1203,$B15,'DAILY ENTRY'!$D$7:$D$1203,"First message sent"))</f>
        <v/>
      </c>
      <c r="G15" s="107" t="str">
        <f aca="false">IF($A15="","",SUMIFS('DAILY ENTRY'!$F$7:$F$1203,'DAILY ENTRY'!$A$7:$A$1203,$A15,'DAILY ENTRY'!$B$7:$B$1203,$B15,'DAILY ENTRY'!$D$7:$D$1203,"Follow-up message sent"))</f>
        <v/>
      </c>
      <c r="H15" s="107" t="str">
        <f aca="false">IF($A15="","",SUMIFS('DAILY ENTRY'!$F$7:$F$1203,'DAILY ENTRY'!$A$7:$A$1203,$A15,'DAILY ENTRY'!$B$7:$B$1203,$B15,'DAILY ENTRY'!$D$7:$D$1203,"Post / content published"))</f>
        <v/>
      </c>
      <c r="I15" s="107" t="str">
        <f aca="false">IF($A15="","",SUMIFS('DAILY ENTRY'!$F$7:$F$1203,'DAILY ENTRY'!$A$7:$A$1203,$A15,'DAILY ENTRY'!$B$7:$B$1203,$B15,'DAILY ENTRY'!$D$7:$D$1203,"Community answer or comment"))</f>
        <v/>
      </c>
      <c r="J15" s="107" t="str">
        <f aca="false">IF($A15="","",SUMIFS('DAILY ENTRY'!$F$7:$F$1203,'DAILY ENTRY'!$A$7:$A$1203,$A15,'DAILY ENTRY'!$B$7:$B$1203,$B15,'DAILY ENTRY'!$D$7:$D$1203,"Partnership / PR contact"))</f>
        <v/>
      </c>
      <c r="K15" s="107" t="str">
        <f aca="false">IF($A15="","",SUMIFS('DAILY ENTRY'!$F$7:$F$1203,'DAILY ENTRY'!$A$7:$A$1203,$A15,'DAILY ENTRY'!$B$7:$B$1203,$B15,'DAILY ENTRY'!$D$7:$D$1203,"Engagement (commented on someone else)"))</f>
        <v/>
      </c>
      <c r="L15" s="107" t="str">
        <f aca="false">IF($A15="","",SUMIFS('DAILY ENTRY'!$F$7:$F$1203,'DAILY ENTRY'!$A$7:$A$1203,$A15,'DAILY ENTRY'!$B$7:$B$1203,$B15,'DAILY ENTRY'!$D$7:$D$1203,"Account created / profile completed"))</f>
        <v/>
      </c>
      <c r="M15" s="108" t="str">
        <f aca="false">IF($A15="","",IFERROR(INDEX('DAILY ENTRY'!$E$7:$E$1203,MATCH(1,INDEX(('DAILY ENTRY'!$A$7:$A$1203=$A15)*('DAILY ENTRY'!$B$7:$B$1203=$B15)*('DAILY ENTRY'!$I$7:$I$1203="Meeting booked"),0),0)),IFERROR(INDEX('DAILY ENTRY'!$E$7:$E$1203,MATCH(1,INDEX(('DAILY ENTRY'!$A$7:$A$1203=$A15)*('DAILY ENTRY'!$B$7:$B$1203=$B15)*('DAILY ENTRY'!$I$7:$I$1203="Positive reply"),0),0)),"")))</f>
        <v/>
      </c>
      <c r="N15" s="108" t="str">
        <f aca="false">IF($A15="","",IFERROR(INDEX('DAILY ENTRY'!$J$7:$J$1203,MATCH(1,INDEX(('DAILY ENTRY'!$A$7:$A$1203=$A15)*('DAILY ENTRY'!$B$7:$B$1203=$B15)*('DAILY ENTRY'!$I$7:$I$1203="Blocked"),0),0)),""))</f>
        <v/>
      </c>
      <c r="O15" s="65" t="str">
        <f aca="false">IF($A15="","",(D15&gt;='START HERE'!$B$25)+(E15&gt;='START HERE'!$B$26)+(F15&gt;='START HERE'!$B$27)+(G15&gt;='START HERE'!$B$28)+(H15&gt;='START HERE'!$B$29)+(I15&gt;='START HERE'!$B$30)+(J15&gt;='START HERE'!$B$31)+(K15&gt;='START HERE'!$B$32))</f>
        <v/>
      </c>
      <c r="P15" s="46" t="str">
        <f aca="false">IF($A15="","",IF(O15&gt;=7,"Full day",IF(O15&gt;=5,"Most targets met",IF(O15&gt;=3,"Half day","Below plan - explain in the blocker column"))))</f>
        <v/>
      </c>
    </row>
    <row r="16" customFormat="false" ht="24" hidden="false" customHeight="true" outlineLevel="0" collapsed="false">
      <c r="A16" s="36"/>
      <c r="B16" s="37"/>
      <c r="C16" s="107" t="str">
        <f aca="false">IF($A16="","",ROUND(SUMIFS('DAILY ENTRY'!$G$7:$G$1203,'DAILY ENTRY'!$A$7:$A$1203,$A16,'DAILY ENTRY'!$B$7:$B$1203,$B16)/60,1))</f>
        <v/>
      </c>
      <c r="D16" s="107" t="str">
        <f aca="false">IF($A16="","",SUMIFS('DAILY ENTRY'!$F$7:$F$1203,'DAILY ENTRY'!$A$7:$A$1203,$A16,'DAILY ENTRY'!$B$7:$B$1203,$B16,'DAILY ENTRY'!$D$7:$D$1203,"Lead researched (Sales Navigator)"))</f>
        <v/>
      </c>
      <c r="E16" s="107" t="str">
        <f aca="false">IF($A16="","",SUMIFS('DAILY ENTRY'!$F$7:$F$1203,'DAILY ENTRY'!$A$7:$A$1203,$A16,'DAILY ENTRY'!$B$7:$B$1203,$B16,'DAILY ENTRY'!$D$7:$D$1203,"Connection request sent"))</f>
        <v/>
      </c>
      <c r="F16" s="107" t="str">
        <f aca="false">IF($A16="","",SUMIFS('DAILY ENTRY'!$F$7:$F$1203,'DAILY ENTRY'!$A$7:$A$1203,$A16,'DAILY ENTRY'!$B$7:$B$1203,$B16,'DAILY ENTRY'!$D$7:$D$1203,"First message sent"))</f>
        <v/>
      </c>
      <c r="G16" s="107" t="str">
        <f aca="false">IF($A16="","",SUMIFS('DAILY ENTRY'!$F$7:$F$1203,'DAILY ENTRY'!$A$7:$A$1203,$A16,'DAILY ENTRY'!$B$7:$B$1203,$B16,'DAILY ENTRY'!$D$7:$D$1203,"Follow-up message sent"))</f>
        <v/>
      </c>
      <c r="H16" s="107" t="str">
        <f aca="false">IF($A16="","",SUMIFS('DAILY ENTRY'!$F$7:$F$1203,'DAILY ENTRY'!$A$7:$A$1203,$A16,'DAILY ENTRY'!$B$7:$B$1203,$B16,'DAILY ENTRY'!$D$7:$D$1203,"Post / content published"))</f>
        <v/>
      </c>
      <c r="I16" s="107" t="str">
        <f aca="false">IF($A16="","",SUMIFS('DAILY ENTRY'!$F$7:$F$1203,'DAILY ENTRY'!$A$7:$A$1203,$A16,'DAILY ENTRY'!$B$7:$B$1203,$B16,'DAILY ENTRY'!$D$7:$D$1203,"Community answer or comment"))</f>
        <v/>
      </c>
      <c r="J16" s="107" t="str">
        <f aca="false">IF($A16="","",SUMIFS('DAILY ENTRY'!$F$7:$F$1203,'DAILY ENTRY'!$A$7:$A$1203,$A16,'DAILY ENTRY'!$B$7:$B$1203,$B16,'DAILY ENTRY'!$D$7:$D$1203,"Partnership / PR contact"))</f>
        <v/>
      </c>
      <c r="K16" s="107" t="str">
        <f aca="false">IF($A16="","",SUMIFS('DAILY ENTRY'!$F$7:$F$1203,'DAILY ENTRY'!$A$7:$A$1203,$A16,'DAILY ENTRY'!$B$7:$B$1203,$B16,'DAILY ENTRY'!$D$7:$D$1203,"Engagement (commented on someone else)"))</f>
        <v/>
      </c>
      <c r="L16" s="107" t="str">
        <f aca="false">IF($A16="","",SUMIFS('DAILY ENTRY'!$F$7:$F$1203,'DAILY ENTRY'!$A$7:$A$1203,$A16,'DAILY ENTRY'!$B$7:$B$1203,$B16,'DAILY ENTRY'!$D$7:$D$1203,"Account created / profile completed"))</f>
        <v/>
      </c>
      <c r="M16" s="108" t="str">
        <f aca="false">IF($A16="","",IFERROR(INDEX('DAILY ENTRY'!$E$7:$E$1203,MATCH(1,INDEX(('DAILY ENTRY'!$A$7:$A$1203=$A16)*('DAILY ENTRY'!$B$7:$B$1203=$B16)*('DAILY ENTRY'!$I$7:$I$1203="Meeting booked"),0),0)),IFERROR(INDEX('DAILY ENTRY'!$E$7:$E$1203,MATCH(1,INDEX(('DAILY ENTRY'!$A$7:$A$1203=$A16)*('DAILY ENTRY'!$B$7:$B$1203=$B16)*('DAILY ENTRY'!$I$7:$I$1203="Positive reply"),0),0)),"")))</f>
        <v/>
      </c>
      <c r="N16" s="108" t="str">
        <f aca="false">IF($A16="","",IFERROR(INDEX('DAILY ENTRY'!$J$7:$J$1203,MATCH(1,INDEX(('DAILY ENTRY'!$A$7:$A$1203=$A16)*('DAILY ENTRY'!$B$7:$B$1203=$B16)*('DAILY ENTRY'!$I$7:$I$1203="Blocked"),0),0)),""))</f>
        <v/>
      </c>
      <c r="O16" s="65" t="str">
        <f aca="false">IF($A16="","",(D16&gt;='START HERE'!$B$25)+(E16&gt;='START HERE'!$B$26)+(F16&gt;='START HERE'!$B$27)+(G16&gt;='START HERE'!$B$28)+(H16&gt;='START HERE'!$B$29)+(I16&gt;='START HERE'!$B$30)+(J16&gt;='START HERE'!$B$31)+(K16&gt;='START HERE'!$B$32))</f>
        <v/>
      </c>
      <c r="P16" s="46" t="str">
        <f aca="false">IF($A16="","",IF(O16&gt;=7,"Full day",IF(O16&gt;=5,"Most targets met",IF(O16&gt;=3,"Half day","Below plan - explain in the blocker column"))))</f>
        <v/>
      </c>
    </row>
    <row r="17" customFormat="false" ht="24" hidden="false" customHeight="true" outlineLevel="0" collapsed="false">
      <c r="A17" s="36"/>
      <c r="B17" s="37"/>
      <c r="C17" s="107" t="str">
        <f aca="false">IF($A17="","",ROUND(SUMIFS('DAILY ENTRY'!$G$7:$G$1203,'DAILY ENTRY'!$A$7:$A$1203,$A17,'DAILY ENTRY'!$B$7:$B$1203,$B17)/60,1))</f>
        <v/>
      </c>
      <c r="D17" s="107" t="str">
        <f aca="false">IF($A17="","",SUMIFS('DAILY ENTRY'!$F$7:$F$1203,'DAILY ENTRY'!$A$7:$A$1203,$A17,'DAILY ENTRY'!$B$7:$B$1203,$B17,'DAILY ENTRY'!$D$7:$D$1203,"Lead researched (Sales Navigator)"))</f>
        <v/>
      </c>
      <c r="E17" s="107" t="str">
        <f aca="false">IF($A17="","",SUMIFS('DAILY ENTRY'!$F$7:$F$1203,'DAILY ENTRY'!$A$7:$A$1203,$A17,'DAILY ENTRY'!$B$7:$B$1203,$B17,'DAILY ENTRY'!$D$7:$D$1203,"Connection request sent"))</f>
        <v/>
      </c>
      <c r="F17" s="107" t="str">
        <f aca="false">IF($A17="","",SUMIFS('DAILY ENTRY'!$F$7:$F$1203,'DAILY ENTRY'!$A$7:$A$1203,$A17,'DAILY ENTRY'!$B$7:$B$1203,$B17,'DAILY ENTRY'!$D$7:$D$1203,"First message sent"))</f>
        <v/>
      </c>
      <c r="G17" s="107" t="str">
        <f aca="false">IF($A17="","",SUMIFS('DAILY ENTRY'!$F$7:$F$1203,'DAILY ENTRY'!$A$7:$A$1203,$A17,'DAILY ENTRY'!$B$7:$B$1203,$B17,'DAILY ENTRY'!$D$7:$D$1203,"Follow-up message sent"))</f>
        <v/>
      </c>
      <c r="H17" s="107" t="str">
        <f aca="false">IF($A17="","",SUMIFS('DAILY ENTRY'!$F$7:$F$1203,'DAILY ENTRY'!$A$7:$A$1203,$A17,'DAILY ENTRY'!$B$7:$B$1203,$B17,'DAILY ENTRY'!$D$7:$D$1203,"Post / content published"))</f>
        <v/>
      </c>
      <c r="I17" s="107" t="str">
        <f aca="false">IF($A17="","",SUMIFS('DAILY ENTRY'!$F$7:$F$1203,'DAILY ENTRY'!$A$7:$A$1203,$A17,'DAILY ENTRY'!$B$7:$B$1203,$B17,'DAILY ENTRY'!$D$7:$D$1203,"Community answer or comment"))</f>
        <v/>
      </c>
      <c r="J17" s="107" t="str">
        <f aca="false">IF($A17="","",SUMIFS('DAILY ENTRY'!$F$7:$F$1203,'DAILY ENTRY'!$A$7:$A$1203,$A17,'DAILY ENTRY'!$B$7:$B$1203,$B17,'DAILY ENTRY'!$D$7:$D$1203,"Partnership / PR contact"))</f>
        <v/>
      </c>
      <c r="K17" s="107" t="str">
        <f aca="false">IF($A17="","",SUMIFS('DAILY ENTRY'!$F$7:$F$1203,'DAILY ENTRY'!$A$7:$A$1203,$A17,'DAILY ENTRY'!$B$7:$B$1203,$B17,'DAILY ENTRY'!$D$7:$D$1203,"Engagement (commented on someone else)"))</f>
        <v/>
      </c>
      <c r="L17" s="107" t="str">
        <f aca="false">IF($A17="","",SUMIFS('DAILY ENTRY'!$F$7:$F$1203,'DAILY ENTRY'!$A$7:$A$1203,$A17,'DAILY ENTRY'!$B$7:$B$1203,$B17,'DAILY ENTRY'!$D$7:$D$1203,"Account created / profile completed"))</f>
        <v/>
      </c>
      <c r="M17" s="108" t="str">
        <f aca="false">IF($A17="","",IFERROR(INDEX('DAILY ENTRY'!$E$7:$E$1203,MATCH(1,INDEX(('DAILY ENTRY'!$A$7:$A$1203=$A17)*('DAILY ENTRY'!$B$7:$B$1203=$B17)*('DAILY ENTRY'!$I$7:$I$1203="Meeting booked"),0),0)),IFERROR(INDEX('DAILY ENTRY'!$E$7:$E$1203,MATCH(1,INDEX(('DAILY ENTRY'!$A$7:$A$1203=$A17)*('DAILY ENTRY'!$B$7:$B$1203=$B17)*('DAILY ENTRY'!$I$7:$I$1203="Positive reply"),0),0)),"")))</f>
        <v/>
      </c>
      <c r="N17" s="108" t="str">
        <f aca="false">IF($A17="","",IFERROR(INDEX('DAILY ENTRY'!$J$7:$J$1203,MATCH(1,INDEX(('DAILY ENTRY'!$A$7:$A$1203=$A17)*('DAILY ENTRY'!$B$7:$B$1203=$B17)*('DAILY ENTRY'!$I$7:$I$1203="Blocked"),0),0)),""))</f>
        <v/>
      </c>
      <c r="O17" s="65" t="str">
        <f aca="false">IF($A17="","",(D17&gt;='START HERE'!$B$25)+(E17&gt;='START HERE'!$B$26)+(F17&gt;='START HERE'!$B$27)+(G17&gt;='START HERE'!$B$28)+(H17&gt;='START HERE'!$B$29)+(I17&gt;='START HERE'!$B$30)+(J17&gt;='START HERE'!$B$31)+(K17&gt;='START HERE'!$B$32))</f>
        <v/>
      </c>
      <c r="P17" s="46" t="str">
        <f aca="false">IF($A17="","",IF(O17&gt;=7,"Full day",IF(O17&gt;=5,"Most targets met",IF(O17&gt;=3,"Half day","Below plan - explain in the blocker column"))))</f>
        <v/>
      </c>
    </row>
    <row r="18" customFormat="false" ht="24" hidden="false" customHeight="true" outlineLevel="0" collapsed="false">
      <c r="A18" s="36"/>
      <c r="B18" s="37"/>
      <c r="C18" s="107" t="str">
        <f aca="false">IF($A18="","",ROUND(SUMIFS('DAILY ENTRY'!$G$7:$G$1203,'DAILY ENTRY'!$A$7:$A$1203,$A18,'DAILY ENTRY'!$B$7:$B$1203,$B18)/60,1))</f>
        <v/>
      </c>
      <c r="D18" s="107" t="str">
        <f aca="false">IF($A18="","",SUMIFS('DAILY ENTRY'!$F$7:$F$1203,'DAILY ENTRY'!$A$7:$A$1203,$A18,'DAILY ENTRY'!$B$7:$B$1203,$B18,'DAILY ENTRY'!$D$7:$D$1203,"Lead researched (Sales Navigator)"))</f>
        <v/>
      </c>
      <c r="E18" s="107" t="str">
        <f aca="false">IF($A18="","",SUMIFS('DAILY ENTRY'!$F$7:$F$1203,'DAILY ENTRY'!$A$7:$A$1203,$A18,'DAILY ENTRY'!$B$7:$B$1203,$B18,'DAILY ENTRY'!$D$7:$D$1203,"Connection request sent"))</f>
        <v/>
      </c>
      <c r="F18" s="107" t="str">
        <f aca="false">IF($A18="","",SUMIFS('DAILY ENTRY'!$F$7:$F$1203,'DAILY ENTRY'!$A$7:$A$1203,$A18,'DAILY ENTRY'!$B$7:$B$1203,$B18,'DAILY ENTRY'!$D$7:$D$1203,"First message sent"))</f>
        <v/>
      </c>
      <c r="G18" s="107" t="str">
        <f aca="false">IF($A18="","",SUMIFS('DAILY ENTRY'!$F$7:$F$1203,'DAILY ENTRY'!$A$7:$A$1203,$A18,'DAILY ENTRY'!$B$7:$B$1203,$B18,'DAILY ENTRY'!$D$7:$D$1203,"Follow-up message sent"))</f>
        <v/>
      </c>
      <c r="H18" s="107" t="str">
        <f aca="false">IF($A18="","",SUMIFS('DAILY ENTRY'!$F$7:$F$1203,'DAILY ENTRY'!$A$7:$A$1203,$A18,'DAILY ENTRY'!$B$7:$B$1203,$B18,'DAILY ENTRY'!$D$7:$D$1203,"Post / content published"))</f>
        <v/>
      </c>
      <c r="I18" s="107" t="str">
        <f aca="false">IF($A18="","",SUMIFS('DAILY ENTRY'!$F$7:$F$1203,'DAILY ENTRY'!$A$7:$A$1203,$A18,'DAILY ENTRY'!$B$7:$B$1203,$B18,'DAILY ENTRY'!$D$7:$D$1203,"Community answer or comment"))</f>
        <v/>
      </c>
      <c r="J18" s="107" t="str">
        <f aca="false">IF($A18="","",SUMIFS('DAILY ENTRY'!$F$7:$F$1203,'DAILY ENTRY'!$A$7:$A$1203,$A18,'DAILY ENTRY'!$B$7:$B$1203,$B18,'DAILY ENTRY'!$D$7:$D$1203,"Partnership / PR contact"))</f>
        <v/>
      </c>
      <c r="K18" s="107" t="str">
        <f aca="false">IF($A18="","",SUMIFS('DAILY ENTRY'!$F$7:$F$1203,'DAILY ENTRY'!$A$7:$A$1203,$A18,'DAILY ENTRY'!$B$7:$B$1203,$B18,'DAILY ENTRY'!$D$7:$D$1203,"Engagement (commented on someone else)"))</f>
        <v/>
      </c>
      <c r="L18" s="107" t="str">
        <f aca="false">IF($A18="","",SUMIFS('DAILY ENTRY'!$F$7:$F$1203,'DAILY ENTRY'!$A$7:$A$1203,$A18,'DAILY ENTRY'!$B$7:$B$1203,$B18,'DAILY ENTRY'!$D$7:$D$1203,"Account created / profile completed"))</f>
        <v/>
      </c>
      <c r="M18" s="108" t="str">
        <f aca="false">IF($A18="","",IFERROR(INDEX('DAILY ENTRY'!$E$7:$E$1203,MATCH(1,INDEX(('DAILY ENTRY'!$A$7:$A$1203=$A18)*('DAILY ENTRY'!$B$7:$B$1203=$B18)*('DAILY ENTRY'!$I$7:$I$1203="Meeting booked"),0),0)),IFERROR(INDEX('DAILY ENTRY'!$E$7:$E$1203,MATCH(1,INDEX(('DAILY ENTRY'!$A$7:$A$1203=$A18)*('DAILY ENTRY'!$B$7:$B$1203=$B18)*('DAILY ENTRY'!$I$7:$I$1203="Positive reply"),0),0)),"")))</f>
        <v/>
      </c>
      <c r="N18" s="108" t="str">
        <f aca="false">IF($A18="","",IFERROR(INDEX('DAILY ENTRY'!$J$7:$J$1203,MATCH(1,INDEX(('DAILY ENTRY'!$A$7:$A$1203=$A18)*('DAILY ENTRY'!$B$7:$B$1203=$B18)*('DAILY ENTRY'!$I$7:$I$1203="Blocked"),0),0)),""))</f>
        <v/>
      </c>
      <c r="O18" s="65" t="str">
        <f aca="false">IF($A18="","",(D18&gt;='START HERE'!$B$25)+(E18&gt;='START HERE'!$B$26)+(F18&gt;='START HERE'!$B$27)+(G18&gt;='START HERE'!$B$28)+(H18&gt;='START HERE'!$B$29)+(I18&gt;='START HERE'!$B$30)+(J18&gt;='START HERE'!$B$31)+(K18&gt;='START HERE'!$B$32))</f>
        <v/>
      </c>
      <c r="P18" s="46" t="str">
        <f aca="false">IF($A18="","",IF(O18&gt;=7,"Full day",IF(O18&gt;=5,"Most targets met",IF(O18&gt;=3,"Half day","Below plan - explain in the blocker column"))))</f>
        <v/>
      </c>
    </row>
    <row r="19" customFormat="false" ht="24" hidden="false" customHeight="true" outlineLevel="0" collapsed="false">
      <c r="A19" s="36"/>
      <c r="B19" s="37"/>
      <c r="C19" s="107" t="str">
        <f aca="false">IF($A19="","",ROUND(SUMIFS('DAILY ENTRY'!$G$7:$G$1203,'DAILY ENTRY'!$A$7:$A$1203,$A19,'DAILY ENTRY'!$B$7:$B$1203,$B19)/60,1))</f>
        <v/>
      </c>
      <c r="D19" s="107" t="str">
        <f aca="false">IF($A19="","",SUMIFS('DAILY ENTRY'!$F$7:$F$1203,'DAILY ENTRY'!$A$7:$A$1203,$A19,'DAILY ENTRY'!$B$7:$B$1203,$B19,'DAILY ENTRY'!$D$7:$D$1203,"Lead researched (Sales Navigator)"))</f>
        <v/>
      </c>
      <c r="E19" s="107" t="str">
        <f aca="false">IF($A19="","",SUMIFS('DAILY ENTRY'!$F$7:$F$1203,'DAILY ENTRY'!$A$7:$A$1203,$A19,'DAILY ENTRY'!$B$7:$B$1203,$B19,'DAILY ENTRY'!$D$7:$D$1203,"Connection request sent"))</f>
        <v/>
      </c>
      <c r="F19" s="107" t="str">
        <f aca="false">IF($A19="","",SUMIFS('DAILY ENTRY'!$F$7:$F$1203,'DAILY ENTRY'!$A$7:$A$1203,$A19,'DAILY ENTRY'!$B$7:$B$1203,$B19,'DAILY ENTRY'!$D$7:$D$1203,"First message sent"))</f>
        <v/>
      </c>
      <c r="G19" s="107" t="str">
        <f aca="false">IF($A19="","",SUMIFS('DAILY ENTRY'!$F$7:$F$1203,'DAILY ENTRY'!$A$7:$A$1203,$A19,'DAILY ENTRY'!$B$7:$B$1203,$B19,'DAILY ENTRY'!$D$7:$D$1203,"Follow-up message sent"))</f>
        <v/>
      </c>
      <c r="H19" s="107" t="str">
        <f aca="false">IF($A19="","",SUMIFS('DAILY ENTRY'!$F$7:$F$1203,'DAILY ENTRY'!$A$7:$A$1203,$A19,'DAILY ENTRY'!$B$7:$B$1203,$B19,'DAILY ENTRY'!$D$7:$D$1203,"Post / content published"))</f>
        <v/>
      </c>
      <c r="I19" s="107" t="str">
        <f aca="false">IF($A19="","",SUMIFS('DAILY ENTRY'!$F$7:$F$1203,'DAILY ENTRY'!$A$7:$A$1203,$A19,'DAILY ENTRY'!$B$7:$B$1203,$B19,'DAILY ENTRY'!$D$7:$D$1203,"Community answer or comment"))</f>
        <v/>
      </c>
      <c r="J19" s="107" t="str">
        <f aca="false">IF($A19="","",SUMIFS('DAILY ENTRY'!$F$7:$F$1203,'DAILY ENTRY'!$A$7:$A$1203,$A19,'DAILY ENTRY'!$B$7:$B$1203,$B19,'DAILY ENTRY'!$D$7:$D$1203,"Partnership / PR contact"))</f>
        <v/>
      </c>
      <c r="K19" s="107" t="str">
        <f aca="false">IF($A19="","",SUMIFS('DAILY ENTRY'!$F$7:$F$1203,'DAILY ENTRY'!$A$7:$A$1203,$A19,'DAILY ENTRY'!$B$7:$B$1203,$B19,'DAILY ENTRY'!$D$7:$D$1203,"Engagement (commented on someone else)"))</f>
        <v/>
      </c>
      <c r="L19" s="107" t="str">
        <f aca="false">IF($A19="","",SUMIFS('DAILY ENTRY'!$F$7:$F$1203,'DAILY ENTRY'!$A$7:$A$1203,$A19,'DAILY ENTRY'!$B$7:$B$1203,$B19,'DAILY ENTRY'!$D$7:$D$1203,"Account created / profile completed"))</f>
        <v/>
      </c>
      <c r="M19" s="108" t="str">
        <f aca="false">IF($A19="","",IFERROR(INDEX('DAILY ENTRY'!$E$7:$E$1203,MATCH(1,INDEX(('DAILY ENTRY'!$A$7:$A$1203=$A19)*('DAILY ENTRY'!$B$7:$B$1203=$B19)*('DAILY ENTRY'!$I$7:$I$1203="Meeting booked"),0),0)),IFERROR(INDEX('DAILY ENTRY'!$E$7:$E$1203,MATCH(1,INDEX(('DAILY ENTRY'!$A$7:$A$1203=$A19)*('DAILY ENTRY'!$B$7:$B$1203=$B19)*('DAILY ENTRY'!$I$7:$I$1203="Positive reply"),0),0)),"")))</f>
        <v/>
      </c>
      <c r="N19" s="108" t="str">
        <f aca="false">IF($A19="","",IFERROR(INDEX('DAILY ENTRY'!$J$7:$J$1203,MATCH(1,INDEX(('DAILY ENTRY'!$A$7:$A$1203=$A19)*('DAILY ENTRY'!$B$7:$B$1203=$B19)*('DAILY ENTRY'!$I$7:$I$1203="Blocked"),0),0)),""))</f>
        <v/>
      </c>
      <c r="O19" s="65" t="str">
        <f aca="false">IF($A19="","",(D19&gt;='START HERE'!$B$25)+(E19&gt;='START HERE'!$B$26)+(F19&gt;='START HERE'!$B$27)+(G19&gt;='START HERE'!$B$28)+(H19&gt;='START HERE'!$B$29)+(I19&gt;='START HERE'!$B$30)+(J19&gt;='START HERE'!$B$31)+(K19&gt;='START HERE'!$B$32))</f>
        <v/>
      </c>
      <c r="P19" s="46" t="str">
        <f aca="false">IF($A19="","",IF(O19&gt;=7,"Full day",IF(O19&gt;=5,"Most targets met",IF(O19&gt;=3,"Half day","Below plan - explain in the blocker column"))))</f>
        <v/>
      </c>
    </row>
    <row r="20" customFormat="false" ht="24" hidden="false" customHeight="true" outlineLevel="0" collapsed="false">
      <c r="A20" s="36"/>
      <c r="B20" s="37"/>
      <c r="C20" s="107" t="str">
        <f aca="false">IF($A20="","",ROUND(SUMIFS('DAILY ENTRY'!$G$7:$G$1203,'DAILY ENTRY'!$A$7:$A$1203,$A20,'DAILY ENTRY'!$B$7:$B$1203,$B20)/60,1))</f>
        <v/>
      </c>
      <c r="D20" s="107" t="str">
        <f aca="false">IF($A20="","",SUMIFS('DAILY ENTRY'!$F$7:$F$1203,'DAILY ENTRY'!$A$7:$A$1203,$A20,'DAILY ENTRY'!$B$7:$B$1203,$B20,'DAILY ENTRY'!$D$7:$D$1203,"Lead researched (Sales Navigator)"))</f>
        <v/>
      </c>
      <c r="E20" s="107" t="str">
        <f aca="false">IF($A20="","",SUMIFS('DAILY ENTRY'!$F$7:$F$1203,'DAILY ENTRY'!$A$7:$A$1203,$A20,'DAILY ENTRY'!$B$7:$B$1203,$B20,'DAILY ENTRY'!$D$7:$D$1203,"Connection request sent"))</f>
        <v/>
      </c>
      <c r="F20" s="107" t="str">
        <f aca="false">IF($A20="","",SUMIFS('DAILY ENTRY'!$F$7:$F$1203,'DAILY ENTRY'!$A$7:$A$1203,$A20,'DAILY ENTRY'!$B$7:$B$1203,$B20,'DAILY ENTRY'!$D$7:$D$1203,"First message sent"))</f>
        <v/>
      </c>
      <c r="G20" s="107" t="str">
        <f aca="false">IF($A20="","",SUMIFS('DAILY ENTRY'!$F$7:$F$1203,'DAILY ENTRY'!$A$7:$A$1203,$A20,'DAILY ENTRY'!$B$7:$B$1203,$B20,'DAILY ENTRY'!$D$7:$D$1203,"Follow-up message sent"))</f>
        <v/>
      </c>
      <c r="H20" s="107" t="str">
        <f aca="false">IF($A20="","",SUMIFS('DAILY ENTRY'!$F$7:$F$1203,'DAILY ENTRY'!$A$7:$A$1203,$A20,'DAILY ENTRY'!$B$7:$B$1203,$B20,'DAILY ENTRY'!$D$7:$D$1203,"Post / content published"))</f>
        <v/>
      </c>
      <c r="I20" s="107" t="str">
        <f aca="false">IF($A20="","",SUMIFS('DAILY ENTRY'!$F$7:$F$1203,'DAILY ENTRY'!$A$7:$A$1203,$A20,'DAILY ENTRY'!$B$7:$B$1203,$B20,'DAILY ENTRY'!$D$7:$D$1203,"Community answer or comment"))</f>
        <v/>
      </c>
      <c r="J20" s="107" t="str">
        <f aca="false">IF($A20="","",SUMIFS('DAILY ENTRY'!$F$7:$F$1203,'DAILY ENTRY'!$A$7:$A$1203,$A20,'DAILY ENTRY'!$B$7:$B$1203,$B20,'DAILY ENTRY'!$D$7:$D$1203,"Partnership / PR contact"))</f>
        <v/>
      </c>
      <c r="K20" s="107" t="str">
        <f aca="false">IF($A20="","",SUMIFS('DAILY ENTRY'!$F$7:$F$1203,'DAILY ENTRY'!$A$7:$A$1203,$A20,'DAILY ENTRY'!$B$7:$B$1203,$B20,'DAILY ENTRY'!$D$7:$D$1203,"Engagement (commented on someone else)"))</f>
        <v/>
      </c>
      <c r="L20" s="107" t="str">
        <f aca="false">IF($A20="","",SUMIFS('DAILY ENTRY'!$F$7:$F$1203,'DAILY ENTRY'!$A$7:$A$1203,$A20,'DAILY ENTRY'!$B$7:$B$1203,$B20,'DAILY ENTRY'!$D$7:$D$1203,"Account created / profile completed"))</f>
        <v/>
      </c>
      <c r="M20" s="108" t="str">
        <f aca="false">IF($A20="","",IFERROR(INDEX('DAILY ENTRY'!$E$7:$E$1203,MATCH(1,INDEX(('DAILY ENTRY'!$A$7:$A$1203=$A20)*('DAILY ENTRY'!$B$7:$B$1203=$B20)*('DAILY ENTRY'!$I$7:$I$1203="Meeting booked"),0),0)),IFERROR(INDEX('DAILY ENTRY'!$E$7:$E$1203,MATCH(1,INDEX(('DAILY ENTRY'!$A$7:$A$1203=$A20)*('DAILY ENTRY'!$B$7:$B$1203=$B20)*('DAILY ENTRY'!$I$7:$I$1203="Positive reply"),0),0)),"")))</f>
        <v/>
      </c>
      <c r="N20" s="108" t="str">
        <f aca="false">IF($A20="","",IFERROR(INDEX('DAILY ENTRY'!$J$7:$J$1203,MATCH(1,INDEX(('DAILY ENTRY'!$A$7:$A$1203=$A20)*('DAILY ENTRY'!$B$7:$B$1203=$B20)*('DAILY ENTRY'!$I$7:$I$1203="Blocked"),0),0)),""))</f>
        <v/>
      </c>
      <c r="O20" s="65" t="str">
        <f aca="false">IF($A20="","",(D20&gt;='START HERE'!$B$25)+(E20&gt;='START HERE'!$B$26)+(F20&gt;='START HERE'!$B$27)+(G20&gt;='START HERE'!$B$28)+(H20&gt;='START HERE'!$B$29)+(I20&gt;='START HERE'!$B$30)+(J20&gt;='START HERE'!$B$31)+(K20&gt;='START HERE'!$B$32))</f>
        <v/>
      </c>
      <c r="P20" s="46" t="str">
        <f aca="false">IF($A20="","",IF(O20&gt;=7,"Full day",IF(O20&gt;=5,"Most targets met",IF(O20&gt;=3,"Half day","Below plan - explain in the blocker column"))))</f>
        <v/>
      </c>
    </row>
    <row r="21" customFormat="false" ht="24" hidden="false" customHeight="true" outlineLevel="0" collapsed="false">
      <c r="A21" s="36"/>
      <c r="B21" s="37"/>
      <c r="C21" s="107" t="str">
        <f aca="false">IF($A21="","",ROUND(SUMIFS('DAILY ENTRY'!$G$7:$G$1203,'DAILY ENTRY'!$A$7:$A$1203,$A21,'DAILY ENTRY'!$B$7:$B$1203,$B21)/60,1))</f>
        <v/>
      </c>
      <c r="D21" s="107" t="str">
        <f aca="false">IF($A21="","",SUMIFS('DAILY ENTRY'!$F$7:$F$1203,'DAILY ENTRY'!$A$7:$A$1203,$A21,'DAILY ENTRY'!$B$7:$B$1203,$B21,'DAILY ENTRY'!$D$7:$D$1203,"Lead researched (Sales Navigator)"))</f>
        <v/>
      </c>
      <c r="E21" s="107" t="str">
        <f aca="false">IF($A21="","",SUMIFS('DAILY ENTRY'!$F$7:$F$1203,'DAILY ENTRY'!$A$7:$A$1203,$A21,'DAILY ENTRY'!$B$7:$B$1203,$B21,'DAILY ENTRY'!$D$7:$D$1203,"Connection request sent"))</f>
        <v/>
      </c>
      <c r="F21" s="107" t="str">
        <f aca="false">IF($A21="","",SUMIFS('DAILY ENTRY'!$F$7:$F$1203,'DAILY ENTRY'!$A$7:$A$1203,$A21,'DAILY ENTRY'!$B$7:$B$1203,$B21,'DAILY ENTRY'!$D$7:$D$1203,"First message sent"))</f>
        <v/>
      </c>
      <c r="G21" s="107" t="str">
        <f aca="false">IF($A21="","",SUMIFS('DAILY ENTRY'!$F$7:$F$1203,'DAILY ENTRY'!$A$7:$A$1203,$A21,'DAILY ENTRY'!$B$7:$B$1203,$B21,'DAILY ENTRY'!$D$7:$D$1203,"Follow-up message sent"))</f>
        <v/>
      </c>
      <c r="H21" s="107" t="str">
        <f aca="false">IF($A21="","",SUMIFS('DAILY ENTRY'!$F$7:$F$1203,'DAILY ENTRY'!$A$7:$A$1203,$A21,'DAILY ENTRY'!$B$7:$B$1203,$B21,'DAILY ENTRY'!$D$7:$D$1203,"Post / content published"))</f>
        <v/>
      </c>
      <c r="I21" s="107" t="str">
        <f aca="false">IF($A21="","",SUMIFS('DAILY ENTRY'!$F$7:$F$1203,'DAILY ENTRY'!$A$7:$A$1203,$A21,'DAILY ENTRY'!$B$7:$B$1203,$B21,'DAILY ENTRY'!$D$7:$D$1203,"Community answer or comment"))</f>
        <v/>
      </c>
      <c r="J21" s="107" t="str">
        <f aca="false">IF($A21="","",SUMIFS('DAILY ENTRY'!$F$7:$F$1203,'DAILY ENTRY'!$A$7:$A$1203,$A21,'DAILY ENTRY'!$B$7:$B$1203,$B21,'DAILY ENTRY'!$D$7:$D$1203,"Partnership / PR contact"))</f>
        <v/>
      </c>
      <c r="K21" s="107" t="str">
        <f aca="false">IF($A21="","",SUMIFS('DAILY ENTRY'!$F$7:$F$1203,'DAILY ENTRY'!$A$7:$A$1203,$A21,'DAILY ENTRY'!$B$7:$B$1203,$B21,'DAILY ENTRY'!$D$7:$D$1203,"Engagement (commented on someone else)"))</f>
        <v/>
      </c>
      <c r="L21" s="107" t="str">
        <f aca="false">IF($A21="","",SUMIFS('DAILY ENTRY'!$F$7:$F$1203,'DAILY ENTRY'!$A$7:$A$1203,$A21,'DAILY ENTRY'!$B$7:$B$1203,$B21,'DAILY ENTRY'!$D$7:$D$1203,"Account created / profile completed"))</f>
        <v/>
      </c>
      <c r="M21" s="108" t="str">
        <f aca="false">IF($A21="","",IFERROR(INDEX('DAILY ENTRY'!$E$7:$E$1203,MATCH(1,INDEX(('DAILY ENTRY'!$A$7:$A$1203=$A21)*('DAILY ENTRY'!$B$7:$B$1203=$B21)*('DAILY ENTRY'!$I$7:$I$1203="Meeting booked"),0),0)),IFERROR(INDEX('DAILY ENTRY'!$E$7:$E$1203,MATCH(1,INDEX(('DAILY ENTRY'!$A$7:$A$1203=$A21)*('DAILY ENTRY'!$B$7:$B$1203=$B21)*('DAILY ENTRY'!$I$7:$I$1203="Positive reply"),0),0)),"")))</f>
        <v/>
      </c>
      <c r="N21" s="108" t="str">
        <f aca="false">IF($A21="","",IFERROR(INDEX('DAILY ENTRY'!$J$7:$J$1203,MATCH(1,INDEX(('DAILY ENTRY'!$A$7:$A$1203=$A21)*('DAILY ENTRY'!$B$7:$B$1203=$B21)*('DAILY ENTRY'!$I$7:$I$1203="Blocked"),0),0)),""))</f>
        <v/>
      </c>
      <c r="O21" s="65" t="str">
        <f aca="false">IF($A21="","",(D21&gt;='START HERE'!$B$25)+(E21&gt;='START HERE'!$B$26)+(F21&gt;='START HERE'!$B$27)+(G21&gt;='START HERE'!$B$28)+(H21&gt;='START HERE'!$B$29)+(I21&gt;='START HERE'!$B$30)+(J21&gt;='START HERE'!$B$31)+(K21&gt;='START HERE'!$B$32))</f>
        <v/>
      </c>
      <c r="P21" s="46" t="str">
        <f aca="false">IF($A21="","",IF(O21&gt;=7,"Full day",IF(O21&gt;=5,"Most targets met",IF(O21&gt;=3,"Half day","Below plan - explain in the blocker column"))))</f>
        <v/>
      </c>
    </row>
    <row r="22" customFormat="false" ht="24" hidden="false" customHeight="true" outlineLevel="0" collapsed="false">
      <c r="A22" s="36"/>
      <c r="B22" s="37"/>
      <c r="C22" s="107" t="str">
        <f aca="false">IF($A22="","",ROUND(SUMIFS('DAILY ENTRY'!$G$7:$G$1203,'DAILY ENTRY'!$A$7:$A$1203,$A22,'DAILY ENTRY'!$B$7:$B$1203,$B22)/60,1))</f>
        <v/>
      </c>
      <c r="D22" s="107" t="str">
        <f aca="false">IF($A22="","",SUMIFS('DAILY ENTRY'!$F$7:$F$1203,'DAILY ENTRY'!$A$7:$A$1203,$A22,'DAILY ENTRY'!$B$7:$B$1203,$B22,'DAILY ENTRY'!$D$7:$D$1203,"Lead researched (Sales Navigator)"))</f>
        <v/>
      </c>
      <c r="E22" s="107" t="str">
        <f aca="false">IF($A22="","",SUMIFS('DAILY ENTRY'!$F$7:$F$1203,'DAILY ENTRY'!$A$7:$A$1203,$A22,'DAILY ENTRY'!$B$7:$B$1203,$B22,'DAILY ENTRY'!$D$7:$D$1203,"Connection request sent"))</f>
        <v/>
      </c>
      <c r="F22" s="107" t="str">
        <f aca="false">IF($A22="","",SUMIFS('DAILY ENTRY'!$F$7:$F$1203,'DAILY ENTRY'!$A$7:$A$1203,$A22,'DAILY ENTRY'!$B$7:$B$1203,$B22,'DAILY ENTRY'!$D$7:$D$1203,"First message sent"))</f>
        <v/>
      </c>
      <c r="G22" s="107" t="str">
        <f aca="false">IF($A22="","",SUMIFS('DAILY ENTRY'!$F$7:$F$1203,'DAILY ENTRY'!$A$7:$A$1203,$A22,'DAILY ENTRY'!$B$7:$B$1203,$B22,'DAILY ENTRY'!$D$7:$D$1203,"Follow-up message sent"))</f>
        <v/>
      </c>
      <c r="H22" s="107" t="str">
        <f aca="false">IF($A22="","",SUMIFS('DAILY ENTRY'!$F$7:$F$1203,'DAILY ENTRY'!$A$7:$A$1203,$A22,'DAILY ENTRY'!$B$7:$B$1203,$B22,'DAILY ENTRY'!$D$7:$D$1203,"Post / content published"))</f>
        <v/>
      </c>
      <c r="I22" s="107" t="str">
        <f aca="false">IF($A22="","",SUMIFS('DAILY ENTRY'!$F$7:$F$1203,'DAILY ENTRY'!$A$7:$A$1203,$A22,'DAILY ENTRY'!$B$7:$B$1203,$B22,'DAILY ENTRY'!$D$7:$D$1203,"Community answer or comment"))</f>
        <v/>
      </c>
      <c r="J22" s="107" t="str">
        <f aca="false">IF($A22="","",SUMIFS('DAILY ENTRY'!$F$7:$F$1203,'DAILY ENTRY'!$A$7:$A$1203,$A22,'DAILY ENTRY'!$B$7:$B$1203,$B22,'DAILY ENTRY'!$D$7:$D$1203,"Partnership / PR contact"))</f>
        <v/>
      </c>
      <c r="K22" s="107" t="str">
        <f aca="false">IF($A22="","",SUMIFS('DAILY ENTRY'!$F$7:$F$1203,'DAILY ENTRY'!$A$7:$A$1203,$A22,'DAILY ENTRY'!$B$7:$B$1203,$B22,'DAILY ENTRY'!$D$7:$D$1203,"Engagement (commented on someone else)"))</f>
        <v/>
      </c>
      <c r="L22" s="107" t="str">
        <f aca="false">IF($A22="","",SUMIFS('DAILY ENTRY'!$F$7:$F$1203,'DAILY ENTRY'!$A$7:$A$1203,$A22,'DAILY ENTRY'!$B$7:$B$1203,$B22,'DAILY ENTRY'!$D$7:$D$1203,"Account created / profile completed"))</f>
        <v/>
      </c>
      <c r="M22" s="108" t="str">
        <f aca="false">IF($A22="","",IFERROR(INDEX('DAILY ENTRY'!$E$7:$E$1203,MATCH(1,INDEX(('DAILY ENTRY'!$A$7:$A$1203=$A22)*('DAILY ENTRY'!$B$7:$B$1203=$B22)*('DAILY ENTRY'!$I$7:$I$1203="Meeting booked"),0),0)),IFERROR(INDEX('DAILY ENTRY'!$E$7:$E$1203,MATCH(1,INDEX(('DAILY ENTRY'!$A$7:$A$1203=$A22)*('DAILY ENTRY'!$B$7:$B$1203=$B22)*('DAILY ENTRY'!$I$7:$I$1203="Positive reply"),0),0)),"")))</f>
        <v/>
      </c>
      <c r="N22" s="108" t="str">
        <f aca="false">IF($A22="","",IFERROR(INDEX('DAILY ENTRY'!$J$7:$J$1203,MATCH(1,INDEX(('DAILY ENTRY'!$A$7:$A$1203=$A22)*('DAILY ENTRY'!$B$7:$B$1203=$B22)*('DAILY ENTRY'!$I$7:$I$1203="Blocked"),0),0)),""))</f>
        <v/>
      </c>
      <c r="O22" s="65" t="str">
        <f aca="false">IF($A22="","",(D22&gt;='START HERE'!$B$25)+(E22&gt;='START HERE'!$B$26)+(F22&gt;='START HERE'!$B$27)+(G22&gt;='START HERE'!$B$28)+(H22&gt;='START HERE'!$B$29)+(I22&gt;='START HERE'!$B$30)+(J22&gt;='START HERE'!$B$31)+(K22&gt;='START HERE'!$B$32))</f>
        <v/>
      </c>
      <c r="P22" s="46" t="str">
        <f aca="false">IF($A22="","",IF(O22&gt;=7,"Full day",IF(O22&gt;=5,"Most targets met",IF(O22&gt;=3,"Half day","Below plan - explain in the blocker column"))))</f>
        <v/>
      </c>
    </row>
    <row r="23" customFormat="false" ht="24" hidden="false" customHeight="true" outlineLevel="0" collapsed="false">
      <c r="A23" s="36"/>
      <c r="B23" s="37"/>
      <c r="C23" s="107" t="str">
        <f aca="false">IF($A23="","",ROUND(SUMIFS('DAILY ENTRY'!$G$7:$G$1203,'DAILY ENTRY'!$A$7:$A$1203,$A23,'DAILY ENTRY'!$B$7:$B$1203,$B23)/60,1))</f>
        <v/>
      </c>
      <c r="D23" s="107" t="str">
        <f aca="false">IF($A23="","",SUMIFS('DAILY ENTRY'!$F$7:$F$1203,'DAILY ENTRY'!$A$7:$A$1203,$A23,'DAILY ENTRY'!$B$7:$B$1203,$B23,'DAILY ENTRY'!$D$7:$D$1203,"Lead researched (Sales Navigator)"))</f>
        <v/>
      </c>
      <c r="E23" s="107" t="str">
        <f aca="false">IF($A23="","",SUMIFS('DAILY ENTRY'!$F$7:$F$1203,'DAILY ENTRY'!$A$7:$A$1203,$A23,'DAILY ENTRY'!$B$7:$B$1203,$B23,'DAILY ENTRY'!$D$7:$D$1203,"Connection request sent"))</f>
        <v/>
      </c>
      <c r="F23" s="107" t="str">
        <f aca="false">IF($A23="","",SUMIFS('DAILY ENTRY'!$F$7:$F$1203,'DAILY ENTRY'!$A$7:$A$1203,$A23,'DAILY ENTRY'!$B$7:$B$1203,$B23,'DAILY ENTRY'!$D$7:$D$1203,"First message sent"))</f>
        <v/>
      </c>
      <c r="G23" s="107" t="str">
        <f aca="false">IF($A23="","",SUMIFS('DAILY ENTRY'!$F$7:$F$1203,'DAILY ENTRY'!$A$7:$A$1203,$A23,'DAILY ENTRY'!$B$7:$B$1203,$B23,'DAILY ENTRY'!$D$7:$D$1203,"Follow-up message sent"))</f>
        <v/>
      </c>
      <c r="H23" s="107" t="str">
        <f aca="false">IF($A23="","",SUMIFS('DAILY ENTRY'!$F$7:$F$1203,'DAILY ENTRY'!$A$7:$A$1203,$A23,'DAILY ENTRY'!$B$7:$B$1203,$B23,'DAILY ENTRY'!$D$7:$D$1203,"Post / content published"))</f>
        <v/>
      </c>
      <c r="I23" s="107" t="str">
        <f aca="false">IF($A23="","",SUMIFS('DAILY ENTRY'!$F$7:$F$1203,'DAILY ENTRY'!$A$7:$A$1203,$A23,'DAILY ENTRY'!$B$7:$B$1203,$B23,'DAILY ENTRY'!$D$7:$D$1203,"Community answer or comment"))</f>
        <v/>
      </c>
      <c r="J23" s="107" t="str">
        <f aca="false">IF($A23="","",SUMIFS('DAILY ENTRY'!$F$7:$F$1203,'DAILY ENTRY'!$A$7:$A$1203,$A23,'DAILY ENTRY'!$B$7:$B$1203,$B23,'DAILY ENTRY'!$D$7:$D$1203,"Partnership / PR contact"))</f>
        <v/>
      </c>
      <c r="K23" s="107" t="str">
        <f aca="false">IF($A23="","",SUMIFS('DAILY ENTRY'!$F$7:$F$1203,'DAILY ENTRY'!$A$7:$A$1203,$A23,'DAILY ENTRY'!$B$7:$B$1203,$B23,'DAILY ENTRY'!$D$7:$D$1203,"Engagement (commented on someone else)"))</f>
        <v/>
      </c>
      <c r="L23" s="107" t="str">
        <f aca="false">IF($A23="","",SUMIFS('DAILY ENTRY'!$F$7:$F$1203,'DAILY ENTRY'!$A$7:$A$1203,$A23,'DAILY ENTRY'!$B$7:$B$1203,$B23,'DAILY ENTRY'!$D$7:$D$1203,"Account created / profile completed"))</f>
        <v/>
      </c>
      <c r="M23" s="108" t="str">
        <f aca="false">IF($A23="","",IFERROR(INDEX('DAILY ENTRY'!$E$7:$E$1203,MATCH(1,INDEX(('DAILY ENTRY'!$A$7:$A$1203=$A23)*('DAILY ENTRY'!$B$7:$B$1203=$B23)*('DAILY ENTRY'!$I$7:$I$1203="Meeting booked"),0),0)),IFERROR(INDEX('DAILY ENTRY'!$E$7:$E$1203,MATCH(1,INDEX(('DAILY ENTRY'!$A$7:$A$1203=$A23)*('DAILY ENTRY'!$B$7:$B$1203=$B23)*('DAILY ENTRY'!$I$7:$I$1203="Positive reply"),0),0)),"")))</f>
        <v/>
      </c>
      <c r="N23" s="108" t="str">
        <f aca="false">IF($A23="","",IFERROR(INDEX('DAILY ENTRY'!$J$7:$J$1203,MATCH(1,INDEX(('DAILY ENTRY'!$A$7:$A$1203=$A23)*('DAILY ENTRY'!$B$7:$B$1203=$B23)*('DAILY ENTRY'!$I$7:$I$1203="Blocked"),0),0)),""))</f>
        <v/>
      </c>
      <c r="O23" s="65" t="str">
        <f aca="false">IF($A23="","",(D23&gt;='START HERE'!$B$25)+(E23&gt;='START HERE'!$B$26)+(F23&gt;='START HERE'!$B$27)+(G23&gt;='START HERE'!$B$28)+(H23&gt;='START HERE'!$B$29)+(I23&gt;='START HERE'!$B$30)+(J23&gt;='START HERE'!$B$31)+(K23&gt;='START HERE'!$B$32))</f>
        <v/>
      </c>
      <c r="P23" s="46" t="str">
        <f aca="false">IF($A23="","",IF(O23&gt;=7,"Full day",IF(O23&gt;=5,"Most targets met",IF(O23&gt;=3,"Half day","Below plan - explain in the blocker column"))))</f>
        <v/>
      </c>
    </row>
    <row r="24" customFormat="false" ht="24" hidden="false" customHeight="true" outlineLevel="0" collapsed="false">
      <c r="A24" s="36"/>
      <c r="B24" s="37"/>
      <c r="C24" s="107" t="str">
        <f aca="false">IF($A24="","",ROUND(SUMIFS('DAILY ENTRY'!$G$7:$G$1203,'DAILY ENTRY'!$A$7:$A$1203,$A24,'DAILY ENTRY'!$B$7:$B$1203,$B24)/60,1))</f>
        <v/>
      </c>
      <c r="D24" s="107" t="str">
        <f aca="false">IF($A24="","",SUMIFS('DAILY ENTRY'!$F$7:$F$1203,'DAILY ENTRY'!$A$7:$A$1203,$A24,'DAILY ENTRY'!$B$7:$B$1203,$B24,'DAILY ENTRY'!$D$7:$D$1203,"Lead researched (Sales Navigator)"))</f>
        <v/>
      </c>
      <c r="E24" s="107" t="str">
        <f aca="false">IF($A24="","",SUMIFS('DAILY ENTRY'!$F$7:$F$1203,'DAILY ENTRY'!$A$7:$A$1203,$A24,'DAILY ENTRY'!$B$7:$B$1203,$B24,'DAILY ENTRY'!$D$7:$D$1203,"Connection request sent"))</f>
        <v/>
      </c>
      <c r="F24" s="107" t="str">
        <f aca="false">IF($A24="","",SUMIFS('DAILY ENTRY'!$F$7:$F$1203,'DAILY ENTRY'!$A$7:$A$1203,$A24,'DAILY ENTRY'!$B$7:$B$1203,$B24,'DAILY ENTRY'!$D$7:$D$1203,"First message sent"))</f>
        <v/>
      </c>
      <c r="G24" s="107" t="str">
        <f aca="false">IF($A24="","",SUMIFS('DAILY ENTRY'!$F$7:$F$1203,'DAILY ENTRY'!$A$7:$A$1203,$A24,'DAILY ENTRY'!$B$7:$B$1203,$B24,'DAILY ENTRY'!$D$7:$D$1203,"Follow-up message sent"))</f>
        <v/>
      </c>
      <c r="H24" s="107" t="str">
        <f aca="false">IF($A24="","",SUMIFS('DAILY ENTRY'!$F$7:$F$1203,'DAILY ENTRY'!$A$7:$A$1203,$A24,'DAILY ENTRY'!$B$7:$B$1203,$B24,'DAILY ENTRY'!$D$7:$D$1203,"Post / content published"))</f>
        <v/>
      </c>
      <c r="I24" s="107" t="str">
        <f aca="false">IF($A24="","",SUMIFS('DAILY ENTRY'!$F$7:$F$1203,'DAILY ENTRY'!$A$7:$A$1203,$A24,'DAILY ENTRY'!$B$7:$B$1203,$B24,'DAILY ENTRY'!$D$7:$D$1203,"Community answer or comment"))</f>
        <v/>
      </c>
      <c r="J24" s="107" t="str">
        <f aca="false">IF($A24="","",SUMIFS('DAILY ENTRY'!$F$7:$F$1203,'DAILY ENTRY'!$A$7:$A$1203,$A24,'DAILY ENTRY'!$B$7:$B$1203,$B24,'DAILY ENTRY'!$D$7:$D$1203,"Partnership / PR contact"))</f>
        <v/>
      </c>
      <c r="K24" s="107" t="str">
        <f aca="false">IF($A24="","",SUMIFS('DAILY ENTRY'!$F$7:$F$1203,'DAILY ENTRY'!$A$7:$A$1203,$A24,'DAILY ENTRY'!$B$7:$B$1203,$B24,'DAILY ENTRY'!$D$7:$D$1203,"Engagement (commented on someone else)"))</f>
        <v/>
      </c>
      <c r="L24" s="107" t="str">
        <f aca="false">IF($A24="","",SUMIFS('DAILY ENTRY'!$F$7:$F$1203,'DAILY ENTRY'!$A$7:$A$1203,$A24,'DAILY ENTRY'!$B$7:$B$1203,$B24,'DAILY ENTRY'!$D$7:$D$1203,"Account created / profile completed"))</f>
        <v/>
      </c>
      <c r="M24" s="108" t="str">
        <f aca="false">IF($A24="","",IFERROR(INDEX('DAILY ENTRY'!$E$7:$E$1203,MATCH(1,INDEX(('DAILY ENTRY'!$A$7:$A$1203=$A24)*('DAILY ENTRY'!$B$7:$B$1203=$B24)*('DAILY ENTRY'!$I$7:$I$1203="Meeting booked"),0),0)),IFERROR(INDEX('DAILY ENTRY'!$E$7:$E$1203,MATCH(1,INDEX(('DAILY ENTRY'!$A$7:$A$1203=$A24)*('DAILY ENTRY'!$B$7:$B$1203=$B24)*('DAILY ENTRY'!$I$7:$I$1203="Positive reply"),0),0)),"")))</f>
        <v/>
      </c>
      <c r="N24" s="108" t="str">
        <f aca="false">IF($A24="","",IFERROR(INDEX('DAILY ENTRY'!$J$7:$J$1203,MATCH(1,INDEX(('DAILY ENTRY'!$A$7:$A$1203=$A24)*('DAILY ENTRY'!$B$7:$B$1203=$B24)*('DAILY ENTRY'!$I$7:$I$1203="Blocked"),0),0)),""))</f>
        <v/>
      </c>
      <c r="O24" s="65" t="str">
        <f aca="false">IF($A24="","",(D24&gt;='START HERE'!$B$25)+(E24&gt;='START HERE'!$B$26)+(F24&gt;='START HERE'!$B$27)+(G24&gt;='START HERE'!$B$28)+(H24&gt;='START HERE'!$B$29)+(I24&gt;='START HERE'!$B$30)+(J24&gt;='START HERE'!$B$31)+(K24&gt;='START HERE'!$B$32))</f>
        <v/>
      </c>
      <c r="P24" s="46" t="str">
        <f aca="false">IF($A24="","",IF(O24&gt;=7,"Full day",IF(O24&gt;=5,"Most targets met",IF(O24&gt;=3,"Half day","Below plan - explain in the blocker column"))))</f>
        <v/>
      </c>
    </row>
    <row r="25" customFormat="false" ht="24" hidden="false" customHeight="true" outlineLevel="0" collapsed="false">
      <c r="A25" s="36"/>
      <c r="B25" s="37"/>
      <c r="C25" s="107" t="str">
        <f aca="false">IF($A25="","",ROUND(SUMIFS('DAILY ENTRY'!$G$7:$G$1203,'DAILY ENTRY'!$A$7:$A$1203,$A25,'DAILY ENTRY'!$B$7:$B$1203,$B25)/60,1))</f>
        <v/>
      </c>
      <c r="D25" s="107" t="str">
        <f aca="false">IF($A25="","",SUMIFS('DAILY ENTRY'!$F$7:$F$1203,'DAILY ENTRY'!$A$7:$A$1203,$A25,'DAILY ENTRY'!$B$7:$B$1203,$B25,'DAILY ENTRY'!$D$7:$D$1203,"Lead researched (Sales Navigator)"))</f>
        <v/>
      </c>
      <c r="E25" s="107" t="str">
        <f aca="false">IF($A25="","",SUMIFS('DAILY ENTRY'!$F$7:$F$1203,'DAILY ENTRY'!$A$7:$A$1203,$A25,'DAILY ENTRY'!$B$7:$B$1203,$B25,'DAILY ENTRY'!$D$7:$D$1203,"Connection request sent"))</f>
        <v/>
      </c>
      <c r="F25" s="107" t="str">
        <f aca="false">IF($A25="","",SUMIFS('DAILY ENTRY'!$F$7:$F$1203,'DAILY ENTRY'!$A$7:$A$1203,$A25,'DAILY ENTRY'!$B$7:$B$1203,$B25,'DAILY ENTRY'!$D$7:$D$1203,"First message sent"))</f>
        <v/>
      </c>
      <c r="G25" s="107" t="str">
        <f aca="false">IF($A25="","",SUMIFS('DAILY ENTRY'!$F$7:$F$1203,'DAILY ENTRY'!$A$7:$A$1203,$A25,'DAILY ENTRY'!$B$7:$B$1203,$B25,'DAILY ENTRY'!$D$7:$D$1203,"Follow-up message sent"))</f>
        <v/>
      </c>
      <c r="H25" s="107" t="str">
        <f aca="false">IF($A25="","",SUMIFS('DAILY ENTRY'!$F$7:$F$1203,'DAILY ENTRY'!$A$7:$A$1203,$A25,'DAILY ENTRY'!$B$7:$B$1203,$B25,'DAILY ENTRY'!$D$7:$D$1203,"Post / content published"))</f>
        <v/>
      </c>
      <c r="I25" s="107" t="str">
        <f aca="false">IF($A25="","",SUMIFS('DAILY ENTRY'!$F$7:$F$1203,'DAILY ENTRY'!$A$7:$A$1203,$A25,'DAILY ENTRY'!$B$7:$B$1203,$B25,'DAILY ENTRY'!$D$7:$D$1203,"Community answer or comment"))</f>
        <v/>
      </c>
      <c r="J25" s="107" t="str">
        <f aca="false">IF($A25="","",SUMIFS('DAILY ENTRY'!$F$7:$F$1203,'DAILY ENTRY'!$A$7:$A$1203,$A25,'DAILY ENTRY'!$B$7:$B$1203,$B25,'DAILY ENTRY'!$D$7:$D$1203,"Partnership / PR contact"))</f>
        <v/>
      </c>
      <c r="K25" s="107" t="str">
        <f aca="false">IF($A25="","",SUMIFS('DAILY ENTRY'!$F$7:$F$1203,'DAILY ENTRY'!$A$7:$A$1203,$A25,'DAILY ENTRY'!$B$7:$B$1203,$B25,'DAILY ENTRY'!$D$7:$D$1203,"Engagement (commented on someone else)"))</f>
        <v/>
      </c>
      <c r="L25" s="107" t="str">
        <f aca="false">IF($A25="","",SUMIFS('DAILY ENTRY'!$F$7:$F$1203,'DAILY ENTRY'!$A$7:$A$1203,$A25,'DAILY ENTRY'!$B$7:$B$1203,$B25,'DAILY ENTRY'!$D$7:$D$1203,"Account created / profile completed"))</f>
        <v/>
      </c>
      <c r="M25" s="108" t="str">
        <f aca="false">IF($A25="","",IFERROR(INDEX('DAILY ENTRY'!$E$7:$E$1203,MATCH(1,INDEX(('DAILY ENTRY'!$A$7:$A$1203=$A25)*('DAILY ENTRY'!$B$7:$B$1203=$B25)*('DAILY ENTRY'!$I$7:$I$1203="Meeting booked"),0),0)),IFERROR(INDEX('DAILY ENTRY'!$E$7:$E$1203,MATCH(1,INDEX(('DAILY ENTRY'!$A$7:$A$1203=$A25)*('DAILY ENTRY'!$B$7:$B$1203=$B25)*('DAILY ENTRY'!$I$7:$I$1203="Positive reply"),0),0)),"")))</f>
        <v/>
      </c>
      <c r="N25" s="108" t="str">
        <f aca="false">IF($A25="","",IFERROR(INDEX('DAILY ENTRY'!$J$7:$J$1203,MATCH(1,INDEX(('DAILY ENTRY'!$A$7:$A$1203=$A25)*('DAILY ENTRY'!$B$7:$B$1203=$B25)*('DAILY ENTRY'!$I$7:$I$1203="Blocked"),0),0)),""))</f>
        <v/>
      </c>
      <c r="O25" s="65" t="str">
        <f aca="false">IF($A25="","",(D25&gt;='START HERE'!$B$25)+(E25&gt;='START HERE'!$B$26)+(F25&gt;='START HERE'!$B$27)+(G25&gt;='START HERE'!$B$28)+(H25&gt;='START HERE'!$B$29)+(I25&gt;='START HERE'!$B$30)+(J25&gt;='START HERE'!$B$31)+(K25&gt;='START HERE'!$B$32))</f>
        <v/>
      </c>
      <c r="P25" s="46" t="str">
        <f aca="false">IF($A25="","",IF(O25&gt;=7,"Full day",IF(O25&gt;=5,"Most targets met",IF(O25&gt;=3,"Half day","Below plan - explain in the blocker column"))))</f>
        <v/>
      </c>
    </row>
    <row r="26" customFormat="false" ht="24" hidden="false" customHeight="true" outlineLevel="0" collapsed="false">
      <c r="A26" s="36"/>
      <c r="B26" s="37"/>
      <c r="C26" s="107" t="str">
        <f aca="false">IF($A26="","",ROUND(SUMIFS('DAILY ENTRY'!$G$7:$G$1203,'DAILY ENTRY'!$A$7:$A$1203,$A26,'DAILY ENTRY'!$B$7:$B$1203,$B26)/60,1))</f>
        <v/>
      </c>
      <c r="D26" s="107" t="str">
        <f aca="false">IF($A26="","",SUMIFS('DAILY ENTRY'!$F$7:$F$1203,'DAILY ENTRY'!$A$7:$A$1203,$A26,'DAILY ENTRY'!$B$7:$B$1203,$B26,'DAILY ENTRY'!$D$7:$D$1203,"Lead researched (Sales Navigator)"))</f>
        <v/>
      </c>
      <c r="E26" s="107" t="str">
        <f aca="false">IF($A26="","",SUMIFS('DAILY ENTRY'!$F$7:$F$1203,'DAILY ENTRY'!$A$7:$A$1203,$A26,'DAILY ENTRY'!$B$7:$B$1203,$B26,'DAILY ENTRY'!$D$7:$D$1203,"Connection request sent"))</f>
        <v/>
      </c>
      <c r="F26" s="107" t="str">
        <f aca="false">IF($A26="","",SUMIFS('DAILY ENTRY'!$F$7:$F$1203,'DAILY ENTRY'!$A$7:$A$1203,$A26,'DAILY ENTRY'!$B$7:$B$1203,$B26,'DAILY ENTRY'!$D$7:$D$1203,"First message sent"))</f>
        <v/>
      </c>
      <c r="G26" s="107" t="str">
        <f aca="false">IF($A26="","",SUMIFS('DAILY ENTRY'!$F$7:$F$1203,'DAILY ENTRY'!$A$7:$A$1203,$A26,'DAILY ENTRY'!$B$7:$B$1203,$B26,'DAILY ENTRY'!$D$7:$D$1203,"Follow-up message sent"))</f>
        <v/>
      </c>
      <c r="H26" s="107" t="str">
        <f aca="false">IF($A26="","",SUMIFS('DAILY ENTRY'!$F$7:$F$1203,'DAILY ENTRY'!$A$7:$A$1203,$A26,'DAILY ENTRY'!$B$7:$B$1203,$B26,'DAILY ENTRY'!$D$7:$D$1203,"Post / content published"))</f>
        <v/>
      </c>
      <c r="I26" s="107" t="str">
        <f aca="false">IF($A26="","",SUMIFS('DAILY ENTRY'!$F$7:$F$1203,'DAILY ENTRY'!$A$7:$A$1203,$A26,'DAILY ENTRY'!$B$7:$B$1203,$B26,'DAILY ENTRY'!$D$7:$D$1203,"Community answer or comment"))</f>
        <v/>
      </c>
      <c r="J26" s="107" t="str">
        <f aca="false">IF($A26="","",SUMIFS('DAILY ENTRY'!$F$7:$F$1203,'DAILY ENTRY'!$A$7:$A$1203,$A26,'DAILY ENTRY'!$B$7:$B$1203,$B26,'DAILY ENTRY'!$D$7:$D$1203,"Partnership / PR contact"))</f>
        <v/>
      </c>
      <c r="K26" s="107" t="str">
        <f aca="false">IF($A26="","",SUMIFS('DAILY ENTRY'!$F$7:$F$1203,'DAILY ENTRY'!$A$7:$A$1203,$A26,'DAILY ENTRY'!$B$7:$B$1203,$B26,'DAILY ENTRY'!$D$7:$D$1203,"Engagement (commented on someone else)"))</f>
        <v/>
      </c>
      <c r="L26" s="107" t="str">
        <f aca="false">IF($A26="","",SUMIFS('DAILY ENTRY'!$F$7:$F$1203,'DAILY ENTRY'!$A$7:$A$1203,$A26,'DAILY ENTRY'!$B$7:$B$1203,$B26,'DAILY ENTRY'!$D$7:$D$1203,"Account created / profile completed"))</f>
        <v/>
      </c>
      <c r="M26" s="108" t="str">
        <f aca="false">IF($A26="","",IFERROR(INDEX('DAILY ENTRY'!$E$7:$E$1203,MATCH(1,INDEX(('DAILY ENTRY'!$A$7:$A$1203=$A26)*('DAILY ENTRY'!$B$7:$B$1203=$B26)*('DAILY ENTRY'!$I$7:$I$1203="Meeting booked"),0),0)),IFERROR(INDEX('DAILY ENTRY'!$E$7:$E$1203,MATCH(1,INDEX(('DAILY ENTRY'!$A$7:$A$1203=$A26)*('DAILY ENTRY'!$B$7:$B$1203=$B26)*('DAILY ENTRY'!$I$7:$I$1203="Positive reply"),0),0)),"")))</f>
        <v/>
      </c>
      <c r="N26" s="108" t="str">
        <f aca="false">IF($A26="","",IFERROR(INDEX('DAILY ENTRY'!$J$7:$J$1203,MATCH(1,INDEX(('DAILY ENTRY'!$A$7:$A$1203=$A26)*('DAILY ENTRY'!$B$7:$B$1203=$B26)*('DAILY ENTRY'!$I$7:$I$1203="Blocked"),0),0)),""))</f>
        <v/>
      </c>
      <c r="O26" s="65" t="str">
        <f aca="false">IF($A26="","",(D26&gt;='START HERE'!$B$25)+(E26&gt;='START HERE'!$B$26)+(F26&gt;='START HERE'!$B$27)+(G26&gt;='START HERE'!$B$28)+(H26&gt;='START HERE'!$B$29)+(I26&gt;='START HERE'!$B$30)+(J26&gt;='START HERE'!$B$31)+(K26&gt;='START HERE'!$B$32))</f>
        <v/>
      </c>
      <c r="P26" s="46" t="str">
        <f aca="false">IF($A26="","",IF(O26&gt;=7,"Full day",IF(O26&gt;=5,"Most targets met",IF(O26&gt;=3,"Half day","Below plan - explain in the blocker column"))))</f>
        <v/>
      </c>
    </row>
    <row r="27" customFormat="false" ht="24" hidden="false" customHeight="true" outlineLevel="0" collapsed="false">
      <c r="A27" s="36"/>
      <c r="B27" s="37"/>
      <c r="C27" s="107" t="str">
        <f aca="false">IF($A27="","",ROUND(SUMIFS('DAILY ENTRY'!$G$7:$G$1203,'DAILY ENTRY'!$A$7:$A$1203,$A27,'DAILY ENTRY'!$B$7:$B$1203,$B27)/60,1))</f>
        <v/>
      </c>
      <c r="D27" s="107" t="str">
        <f aca="false">IF($A27="","",SUMIFS('DAILY ENTRY'!$F$7:$F$1203,'DAILY ENTRY'!$A$7:$A$1203,$A27,'DAILY ENTRY'!$B$7:$B$1203,$B27,'DAILY ENTRY'!$D$7:$D$1203,"Lead researched (Sales Navigator)"))</f>
        <v/>
      </c>
      <c r="E27" s="107" t="str">
        <f aca="false">IF($A27="","",SUMIFS('DAILY ENTRY'!$F$7:$F$1203,'DAILY ENTRY'!$A$7:$A$1203,$A27,'DAILY ENTRY'!$B$7:$B$1203,$B27,'DAILY ENTRY'!$D$7:$D$1203,"Connection request sent"))</f>
        <v/>
      </c>
      <c r="F27" s="107" t="str">
        <f aca="false">IF($A27="","",SUMIFS('DAILY ENTRY'!$F$7:$F$1203,'DAILY ENTRY'!$A$7:$A$1203,$A27,'DAILY ENTRY'!$B$7:$B$1203,$B27,'DAILY ENTRY'!$D$7:$D$1203,"First message sent"))</f>
        <v/>
      </c>
      <c r="G27" s="107" t="str">
        <f aca="false">IF($A27="","",SUMIFS('DAILY ENTRY'!$F$7:$F$1203,'DAILY ENTRY'!$A$7:$A$1203,$A27,'DAILY ENTRY'!$B$7:$B$1203,$B27,'DAILY ENTRY'!$D$7:$D$1203,"Follow-up message sent"))</f>
        <v/>
      </c>
      <c r="H27" s="107" t="str">
        <f aca="false">IF($A27="","",SUMIFS('DAILY ENTRY'!$F$7:$F$1203,'DAILY ENTRY'!$A$7:$A$1203,$A27,'DAILY ENTRY'!$B$7:$B$1203,$B27,'DAILY ENTRY'!$D$7:$D$1203,"Post / content published"))</f>
        <v/>
      </c>
      <c r="I27" s="107" t="str">
        <f aca="false">IF($A27="","",SUMIFS('DAILY ENTRY'!$F$7:$F$1203,'DAILY ENTRY'!$A$7:$A$1203,$A27,'DAILY ENTRY'!$B$7:$B$1203,$B27,'DAILY ENTRY'!$D$7:$D$1203,"Community answer or comment"))</f>
        <v/>
      </c>
      <c r="J27" s="107" t="str">
        <f aca="false">IF($A27="","",SUMIFS('DAILY ENTRY'!$F$7:$F$1203,'DAILY ENTRY'!$A$7:$A$1203,$A27,'DAILY ENTRY'!$B$7:$B$1203,$B27,'DAILY ENTRY'!$D$7:$D$1203,"Partnership / PR contact"))</f>
        <v/>
      </c>
      <c r="K27" s="107" t="str">
        <f aca="false">IF($A27="","",SUMIFS('DAILY ENTRY'!$F$7:$F$1203,'DAILY ENTRY'!$A$7:$A$1203,$A27,'DAILY ENTRY'!$B$7:$B$1203,$B27,'DAILY ENTRY'!$D$7:$D$1203,"Engagement (commented on someone else)"))</f>
        <v/>
      </c>
      <c r="L27" s="107" t="str">
        <f aca="false">IF($A27="","",SUMIFS('DAILY ENTRY'!$F$7:$F$1203,'DAILY ENTRY'!$A$7:$A$1203,$A27,'DAILY ENTRY'!$B$7:$B$1203,$B27,'DAILY ENTRY'!$D$7:$D$1203,"Account created / profile completed"))</f>
        <v/>
      </c>
      <c r="M27" s="108" t="str">
        <f aca="false">IF($A27="","",IFERROR(INDEX('DAILY ENTRY'!$E$7:$E$1203,MATCH(1,INDEX(('DAILY ENTRY'!$A$7:$A$1203=$A27)*('DAILY ENTRY'!$B$7:$B$1203=$B27)*('DAILY ENTRY'!$I$7:$I$1203="Meeting booked"),0),0)),IFERROR(INDEX('DAILY ENTRY'!$E$7:$E$1203,MATCH(1,INDEX(('DAILY ENTRY'!$A$7:$A$1203=$A27)*('DAILY ENTRY'!$B$7:$B$1203=$B27)*('DAILY ENTRY'!$I$7:$I$1203="Positive reply"),0),0)),"")))</f>
        <v/>
      </c>
      <c r="N27" s="108" t="str">
        <f aca="false">IF($A27="","",IFERROR(INDEX('DAILY ENTRY'!$J$7:$J$1203,MATCH(1,INDEX(('DAILY ENTRY'!$A$7:$A$1203=$A27)*('DAILY ENTRY'!$B$7:$B$1203=$B27)*('DAILY ENTRY'!$I$7:$I$1203="Blocked"),0),0)),""))</f>
        <v/>
      </c>
      <c r="O27" s="65" t="str">
        <f aca="false">IF($A27="","",(D27&gt;='START HERE'!$B$25)+(E27&gt;='START HERE'!$B$26)+(F27&gt;='START HERE'!$B$27)+(G27&gt;='START HERE'!$B$28)+(H27&gt;='START HERE'!$B$29)+(I27&gt;='START HERE'!$B$30)+(J27&gt;='START HERE'!$B$31)+(K27&gt;='START HERE'!$B$32))</f>
        <v/>
      </c>
      <c r="P27" s="46" t="str">
        <f aca="false">IF($A27="","",IF(O27&gt;=7,"Full day",IF(O27&gt;=5,"Most targets met",IF(O27&gt;=3,"Half day","Below plan - explain in the blocker column"))))</f>
        <v/>
      </c>
    </row>
    <row r="28" customFormat="false" ht="24" hidden="false" customHeight="true" outlineLevel="0" collapsed="false">
      <c r="A28" s="36"/>
      <c r="B28" s="37"/>
      <c r="C28" s="107" t="str">
        <f aca="false">IF($A28="","",ROUND(SUMIFS('DAILY ENTRY'!$G$7:$G$1203,'DAILY ENTRY'!$A$7:$A$1203,$A28,'DAILY ENTRY'!$B$7:$B$1203,$B28)/60,1))</f>
        <v/>
      </c>
      <c r="D28" s="107" t="str">
        <f aca="false">IF($A28="","",SUMIFS('DAILY ENTRY'!$F$7:$F$1203,'DAILY ENTRY'!$A$7:$A$1203,$A28,'DAILY ENTRY'!$B$7:$B$1203,$B28,'DAILY ENTRY'!$D$7:$D$1203,"Lead researched (Sales Navigator)"))</f>
        <v/>
      </c>
      <c r="E28" s="107" t="str">
        <f aca="false">IF($A28="","",SUMIFS('DAILY ENTRY'!$F$7:$F$1203,'DAILY ENTRY'!$A$7:$A$1203,$A28,'DAILY ENTRY'!$B$7:$B$1203,$B28,'DAILY ENTRY'!$D$7:$D$1203,"Connection request sent"))</f>
        <v/>
      </c>
      <c r="F28" s="107" t="str">
        <f aca="false">IF($A28="","",SUMIFS('DAILY ENTRY'!$F$7:$F$1203,'DAILY ENTRY'!$A$7:$A$1203,$A28,'DAILY ENTRY'!$B$7:$B$1203,$B28,'DAILY ENTRY'!$D$7:$D$1203,"First message sent"))</f>
        <v/>
      </c>
      <c r="G28" s="107" t="str">
        <f aca="false">IF($A28="","",SUMIFS('DAILY ENTRY'!$F$7:$F$1203,'DAILY ENTRY'!$A$7:$A$1203,$A28,'DAILY ENTRY'!$B$7:$B$1203,$B28,'DAILY ENTRY'!$D$7:$D$1203,"Follow-up message sent"))</f>
        <v/>
      </c>
      <c r="H28" s="107" t="str">
        <f aca="false">IF($A28="","",SUMIFS('DAILY ENTRY'!$F$7:$F$1203,'DAILY ENTRY'!$A$7:$A$1203,$A28,'DAILY ENTRY'!$B$7:$B$1203,$B28,'DAILY ENTRY'!$D$7:$D$1203,"Post / content published"))</f>
        <v/>
      </c>
      <c r="I28" s="107" t="str">
        <f aca="false">IF($A28="","",SUMIFS('DAILY ENTRY'!$F$7:$F$1203,'DAILY ENTRY'!$A$7:$A$1203,$A28,'DAILY ENTRY'!$B$7:$B$1203,$B28,'DAILY ENTRY'!$D$7:$D$1203,"Community answer or comment"))</f>
        <v/>
      </c>
      <c r="J28" s="107" t="str">
        <f aca="false">IF($A28="","",SUMIFS('DAILY ENTRY'!$F$7:$F$1203,'DAILY ENTRY'!$A$7:$A$1203,$A28,'DAILY ENTRY'!$B$7:$B$1203,$B28,'DAILY ENTRY'!$D$7:$D$1203,"Partnership / PR contact"))</f>
        <v/>
      </c>
      <c r="K28" s="107" t="str">
        <f aca="false">IF($A28="","",SUMIFS('DAILY ENTRY'!$F$7:$F$1203,'DAILY ENTRY'!$A$7:$A$1203,$A28,'DAILY ENTRY'!$B$7:$B$1203,$B28,'DAILY ENTRY'!$D$7:$D$1203,"Engagement (commented on someone else)"))</f>
        <v/>
      </c>
      <c r="L28" s="107" t="str">
        <f aca="false">IF($A28="","",SUMIFS('DAILY ENTRY'!$F$7:$F$1203,'DAILY ENTRY'!$A$7:$A$1203,$A28,'DAILY ENTRY'!$B$7:$B$1203,$B28,'DAILY ENTRY'!$D$7:$D$1203,"Account created / profile completed"))</f>
        <v/>
      </c>
      <c r="M28" s="108" t="str">
        <f aca="false">IF($A28="","",IFERROR(INDEX('DAILY ENTRY'!$E$7:$E$1203,MATCH(1,INDEX(('DAILY ENTRY'!$A$7:$A$1203=$A28)*('DAILY ENTRY'!$B$7:$B$1203=$B28)*('DAILY ENTRY'!$I$7:$I$1203="Meeting booked"),0),0)),IFERROR(INDEX('DAILY ENTRY'!$E$7:$E$1203,MATCH(1,INDEX(('DAILY ENTRY'!$A$7:$A$1203=$A28)*('DAILY ENTRY'!$B$7:$B$1203=$B28)*('DAILY ENTRY'!$I$7:$I$1203="Positive reply"),0),0)),"")))</f>
        <v/>
      </c>
      <c r="N28" s="108" t="str">
        <f aca="false">IF($A28="","",IFERROR(INDEX('DAILY ENTRY'!$J$7:$J$1203,MATCH(1,INDEX(('DAILY ENTRY'!$A$7:$A$1203=$A28)*('DAILY ENTRY'!$B$7:$B$1203=$B28)*('DAILY ENTRY'!$I$7:$I$1203="Blocked"),0),0)),""))</f>
        <v/>
      </c>
      <c r="O28" s="65" t="str">
        <f aca="false">IF($A28="","",(D28&gt;='START HERE'!$B$25)+(E28&gt;='START HERE'!$B$26)+(F28&gt;='START HERE'!$B$27)+(G28&gt;='START HERE'!$B$28)+(H28&gt;='START HERE'!$B$29)+(I28&gt;='START HERE'!$B$30)+(J28&gt;='START HERE'!$B$31)+(K28&gt;='START HERE'!$B$32))</f>
        <v/>
      </c>
      <c r="P28" s="46" t="str">
        <f aca="false">IF($A28="","",IF(O28&gt;=7,"Full day",IF(O28&gt;=5,"Most targets met",IF(O28&gt;=3,"Half day","Below plan - explain in the blocker column"))))</f>
        <v/>
      </c>
    </row>
    <row r="29" customFormat="false" ht="24" hidden="false" customHeight="true" outlineLevel="0" collapsed="false">
      <c r="A29" s="36"/>
      <c r="B29" s="37"/>
      <c r="C29" s="107" t="str">
        <f aca="false">IF($A29="","",ROUND(SUMIFS('DAILY ENTRY'!$G$7:$G$1203,'DAILY ENTRY'!$A$7:$A$1203,$A29,'DAILY ENTRY'!$B$7:$B$1203,$B29)/60,1))</f>
        <v/>
      </c>
      <c r="D29" s="107" t="str">
        <f aca="false">IF($A29="","",SUMIFS('DAILY ENTRY'!$F$7:$F$1203,'DAILY ENTRY'!$A$7:$A$1203,$A29,'DAILY ENTRY'!$B$7:$B$1203,$B29,'DAILY ENTRY'!$D$7:$D$1203,"Lead researched (Sales Navigator)"))</f>
        <v/>
      </c>
      <c r="E29" s="107" t="str">
        <f aca="false">IF($A29="","",SUMIFS('DAILY ENTRY'!$F$7:$F$1203,'DAILY ENTRY'!$A$7:$A$1203,$A29,'DAILY ENTRY'!$B$7:$B$1203,$B29,'DAILY ENTRY'!$D$7:$D$1203,"Connection request sent"))</f>
        <v/>
      </c>
      <c r="F29" s="107" t="str">
        <f aca="false">IF($A29="","",SUMIFS('DAILY ENTRY'!$F$7:$F$1203,'DAILY ENTRY'!$A$7:$A$1203,$A29,'DAILY ENTRY'!$B$7:$B$1203,$B29,'DAILY ENTRY'!$D$7:$D$1203,"First message sent"))</f>
        <v/>
      </c>
      <c r="G29" s="107" t="str">
        <f aca="false">IF($A29="","",SUMIFS('DAILY ENTRY'!$F$7:$F$1203,'DAILY ENTRY'!$A$7:$A$1203,$A29,'DAILY ENTRY'!$B$7:$B$1203,$B29,'DAILY ENTRY'!$D$7:$D$1203,"Follow-up message sent"))</f>
        <v/>
      </c>
      <c r="H29" s="107" t="str">
        <f aca="false">IF($A29="","",SUMIFS('DAILY ENTRY'!$F$7:$F$1203,'DAILY ENTRY'!$A$7:$A$1203,$A29,'DAILY ENTRY'!$B$7:$B$1203,$B29,'DAILY ENTRY'!$D$7:$D$1203,"Post / content published"))</f>
        <v/>
      </c>
      <c r="I29" s="107" t="str">
        <f aca="false">IF($A29="","",SUMIFS('DAILY ENTRY'!$F$7:$F$1203,'DAILY ENTRY'!$A$7:$A$1203,$A29,'DAILY ENTRY'!$B$7:$B$1203,$B29,'DAILY ENTRY'!$D$7:$D$1203,"Community answer or comment"))</f>
        <v/>
      </c>
      <c r="J29" s="107" t="str">
        <f aca="false">IF($A29="","",SUMIFS('DAILY ENTRY'!$F$7:$F$1203,'DAILY ENTRY'!$A$7:$A$1203,$A29,'DAILY ENTRY'!$B$7:$B$1203,$B29,'DAILY ENTRY'!$D$7:$D$1203,"Partnership / PR contact"))</f>
        <v/>
      </c>
      <c r="K29" s="107" t="str">
        <f aca="false">IF($A29="","",SUMIFS('DAILY ENTRY'!$F$7:$F$1203,'DAILY ENTRY'!$A$7:$A$1203,$A29,'DAILY ENTRY'!$B$7:$B$1203,$B29,'DAILY ENTRY'!$D$7:$D$1203,"Engagement (commented on someone else)"))</f>
        <v/>
      </c>
      <c r="L29" s="107" t="str">
        <f aca="false">IF($A29="","",SUMIFS('DAILY ENTRY'!$F$7:$F$1203,'DAILY ENTRY'!$A$7:$A$1203,$A29,'DAILY ENTRY'!$B$7:$B$1203,$B29,'DAILY ENTRY'!$D$7:$D$1203,"Account created / profile completed"))</f>
        <v/>
      </c>
      <c r="M29" s="108" t="str">
        <f aca="false">IF($A29="","",IFERROR(INDEX('DAILY ENTRY'!$E$7:$E$1203,MATCH(1,INDEX(('DAILY ENTRY'!$A$7:$A$1203=$A29)*('DAILY ENTRY'!$B$7:$B$1203=$B29)*('DAILY ENTRY'!$I$7:$I$1203="Meeting booked"),0),0)),IFERROR(INDEX('DAILY ENTRY'!$E$7:$E$1203,MATCH(1,INDEX(('DAILY ENTRY'!$A$7:$A$1203=$A29)*('DAILY ENTRY'!$B$7:$B$1203=$B29)*('DAILY ENTRY'!$I$7:$I$1203="Positive reply"),0),0)),"")))</f>
        <v/>
      </c>
      <c r="N29" s="108" t="str">
        <f aca="false">IF($A29="","",IFERROR(INDEX('DAILY ENTRY'!$J$7:$J$1203,MATCH(1,INDEX(('DAILY ENTRY'!$A$7:$A$1203=$A29)*('DAILY ENTRY'!$B$7:$B$1203=$B29)*('DAILY ENTRY'!$I$7:$I$1203="Blocked"),0),0)),""))</f>
        <v/>
      </c>
      <c r="O29" s="65" t="str">
        <f aca="false">IF($A29="","",(D29&gt;='START HERE'!$B$25)+(E29&gt;='START HERE'!$B$26)+(F29&gt;='START HERE'!$B$27)+(G29&gt;='START HERE'!$B$28)+(H29&gt;='START HERE'!$B$29)+(I29&gt;='START HERE'!$B$30)+(J29&gt;='START HERE'!$B$31)+(K29&gt;='START HERE'!$B$32))</f>
        <v/>
      </c>
      <c r="P29" s="46" t="str">
        <f aca="false">IF($A29="","",IF(O29&gt;=7,"Full day",IF(O29&gt;=5,"Most targets met",IF(O29&gt;=3,"Half day","Below plan - explain in the blocker column"))))</f>
        <v/>
      </c>
    </row>
    <row r="30" customFormat="false" ht="24" hidden="false" customHeight="true" outlineLevel="0" collapsed="false">
      <c r="A30" s="36"/>
      <c r="B30" s="37"/>
      <c r="C30" s="107" t="str">
        <f aca="false">IF($A30="","",ROUND(SUMIFS('DAILY ENTRY'!$G$7:$G$1203,'DAILY ENTRY'!$A$7:$A$1203,$A30,'DAILY ENTRY'!$B$7:$B$1203,$B30)/60,1))</f>
        <v/>
      </c>
      <c r="D30" s="107" t="str">
        <f aca="false">IF($A30="","",SUMIFS('DAILY ENTRY'!$F$7:$F$1203,'DAILY ENTRY'!$A$7:$A$1203,$A30,'DAILY ENTRY'!$B$7:$B$1203,$B30,'DAILY ENTRY'!$D$7:$D$1203,"Lead researched (Sales Navigator)"))</f>
        <v/>
      </c>
      <c r="E30" s="107" t="str">
        <f aca="false">IF($A30="","",SUMIFS('DAILY ENTRY'!$F$7:$F$1203,'DAILY ENTRY'!$A$7:$A$1203,$A30,'DAILY ENTRY'!$B$7:$B$1203,$B30,'DAILY ENTRY'!$D$7:$D$1203,"Connection request sent"))</f>
        <v/>
      </c>
      <c r="F30" s="107" t="str">
        <f aca="false">IF($A30="","",SUMIFS('DAILY ENTRY'!$F$7:$F$1203,'DAILY ENTRY'!$A$7:$A$1203,$A30,'DAILY ENTRY'!$B$7:$B$1203,$B30,'DAILY ENTRY'!$D$7:$D$1203,"First message sent"))</f>
        <v/>
      </c>
      <c r="G30" s="107" t="str">
        <f aca="false">IF($A30="","",SUMIFS('DAILY ENTRY'!$F$7:$F$1203,'DAILY ENTRY'!$A$7:$A$1203,$A30,'DAILY ENTRY'!$B$7:$B$1203,$B30,'DAILY ENTRY'!$D$7:$D$1203,"Follow-up message sent"))</f>
        <v/>
      </c>
      <c r="H30" s="107" t="str">
        <f aca="false">IF($A30="","",SUMIFS('DAILY ENTRY'!$F$7:$F$1203,'DAILY ENTRY'!$A$7:$A$1203,$A30,'DAILY ENTRY'!$B$7:$B$1203,$B30,'DAILY ENTRY'!$D$7:$D$1203,"Post / content published"))</f>
        <v/>
      </c>
      <c r="I30" s="107" t="str">
        <f aca="false">IF($A30="","",SUMIFS('DAILY ENTRY'!$F$7:$F$1203,'DAILY ENTRY'!$A$7:$A$1203,$A30,'DAILY ENTRY'!$B$7:$B$1203,$B30,'DAILY ENTRY'!$D$7:$D$1203,"Community answer or comment"))</f>
        <v/>
      </c>
      <c r="J30" s="107" t="str">
        <f aca="false">IF($A30="","",SUMIFS('DAILY ENTRY'!$F$7:$F$1203,'DAILY ENTRY'!$A$7:$A$1203,$A30,'DAILY ENTRY'!$B$7:$B$1203,$B30,'DAILY ENTRY'!$D$7:$D$1203,"Partnership / PR contact"))</f>
        <v/>
      </c>
      <c r="K30" s="107" t="str">
        <f aca="false">IF($A30="","",SUMIFS('DAILY ENTRY'!$F$7:$F$1203,'DAILY ENTRY'!$A$7:$A$1203,$A30,'DAILY ENTRY'!$B$7:$B$1203,$B30,'DAILY ENTRY'!$D$7:$D$1203,"Engagement (commented on someone else)"))</f>
        <v/>
      </c>
      <c r="L30" s="107" t="str">
        <f aca="false">IF($A30="","",SUMIFS('DAILY ENTRY'!$F$7:$F$1203,'DAILY ENTRY'!$A$7:$A$1203,$A30,'DAILY ENTRY'!$B$7:$B$1203,$B30,'DAILY ENTRY'!$D$7:$D$1203,"Account created / profile completed"))</f>
        <v/>
      </c>
      <c r="M30" s="108" t="str">
        <f aca="false">IF($A30="","",IFERROR(INDEX('DAILY ENTRY'!$E$7:$E$1203,MATCH(1,INDEX(('DAILY ENTRY'!$A$7:$A$1203=$A30)*('DAILY ENTRY'!$B$7:$B$1203=$B30)*('DAILY ENTRY'!$I$7:$I$1203="Meeting booked"),0),0)),IFERROR(INDEX('DAILY ENTRY'!$E$7:$E$1203,MATCH(1,INDEX(('DAILY ENTRY'!$A$7:$A$1203=$A30)*('DAILY ENTRY'!$B$7:$B$1203=$B30)*('DAILY ENTRY'!$I$7:$I$1203="Positive reply"),0),0)),"")))</f>
        <v/>
      </c>
      <c r="N30" s="108" t="str">
        <f aca="false">IF($A30="","",IFERROR(INDEX('DAILY ENTRY'!$J$7:$J$1203,MATCH(1,INDEX(('DAILY ENTRY'!$A$7:$A$1203=$A30)*('DAILY ENTRY'!$B$7:$B$1203=$B30)*('DAILY ENTRY'!$I$7:$I$1203="Blocked"),0),0)),""))</f>
        <v/>
      </c>
      <c r="O30" s="65" t="str">
        <f aca="false">IF($A30="","",(D30&gt;='START HERE'!$B$25)+(E30&gt;='START HERE'!$B$26)+(F30&gt;='START HERE'!$B$27)+(G30&gt;='START HERE'!$B$28)+(H30&gt;='START HERE'!$B$29)+(I30&gt;='START HERE'!$B$30)+(J30&gt;='START HERE'!$B$31)+(K30&gt;='START HERE'!$B$32))</f>
        <v/>
      </c>
      <c r="P30" s="46" t="str">
        <f aca="false">IF($A30="","",IF(O30&gt;=7,"Full day",IF(O30&gt;=5,"Most targets met",IF(O30&gt;=3,"Half day","Below plan - explain in the blocker column"))))</f>
        <v/>
      </c>
    </row>
    <row r="31" customFormat="false" ht="24" hidden="false" customHeight="true" outlineLevel="0" collapsed="false">
      <c r="A31" s="36"/>
      <c r="B31" s="37"/>
      <c r="C31" s="107" t="str">
        <f aca="false">IF($A31="","",ROUND(SUMIFS('DAILY ENTRY'!$G$7:$G$1203,'DAILY ENTRY'!$A$7:$A$1203,$A31,'DAILY ENTRY'!$B$7:$B$1203,$B31)/60,1))</f>
        <v/>
      </c>
      <c r="D31" s="107" t="str">
        <f aca="false">IF($A31="","",SUMIFS('DAILY ENTRY'!$F$7:$F$1203,'DAILY ENTRY'!$A$7:$A$1203,$A31,'DAILY ENTRY'!$B$7:$B$1203,$B31,'DAILY ENTRY'!$D$7:$D$1203,"Lead researched (Sales Navigator)"))</f>
        <v/>
      </c>
      <c r="E31" s="107" t="str">
        <f aca="false">IF($A31="","",SUMIFS('DAILY ENTRY'!$F$7:$F$1203,'DAILY ENTRY'!$A$7:$A$1203,$A31,'DAILY ENTRY'!$B$7:$B$1203,$B31,'DAILY ENTRY'!$D$7:$D$1203,"Connection request sent"))</f>
        <v/>
      </c>
      <c r="F31" s="107" t="str">
        <f aca="false">IF($A31="","",SUMIFS('DAILY ENTRY'!$F$7:$F$1203,'DAILY ENTRY'!$A$7:$A$1203,$A31,'DAILY ENTRY'!$B$7:$B$1203,$B31,'DAILY ENTRY'!$D$7:$D$1203,"First message sent"))</f>
        <v/>
      </c>
      <c r="G31" s="107" t="str">
        <f aca="false">IF($A31="","",SUMIFS('DAILY ENTRY'!$F$7:$F$1203,'DAILY ENTRY'!$A$7:$A$1203,$A31,'DAILY ENTRY'!$B$7:$B$1203,$B31,'DAILY ENTRY'!$D$7:$D$1203,"Follow-up message sent"))</f>
        <v/>
      </c>
      <c r="H31" s="107" t="str">
        <f aca="false">IF($A31="","",SUMIFS('DAILY ENTRY'!$F$7:$F$1203,'DAILY ENTRY'!$A$7:$A$1203,$A31,'DAILY ENTRY'!$B$7:$B$1203,$B31,'DAILY ENTRY'!$D$7:$D$1203,"Post / content published"))</f>
        <v/>
      </c>
      <c r="I31" s="107" t="str">
        <f aca="false">IF($A31="","",SUMIFS('DAILY ENTRY'!$F$7:$F$1203,'DAILY ENTRY'!$A$7:$A$1203,$A31,'DAILY ENTRY'!$B$7:$B$1203,$B31,'DAILY ENTRY'!$D$7:$D$1203,"Community answer or comment"))</f>
        <v/>
      </c>
      <c r="J31" s="107" t="str">
        <f aca="false">IF($A31="","",SUMIFS('DAILY ENTRY'!$F$7:$F$1203,'DAILY ENTRY'!$A$7:$A$1203,$A31,'DAILY ENTRY'!$B$7:$B$1203,$B31,'DAILY ENTRY'!$D$7:$D$1203,"Partnership / PR contact"))</f>
        <v/>
      </c>
      <c r="K31" s="107" t="str">
        <f aca="false">IF($A31="","",SUMIFS('DAILY ENTRY'!$F$7:$F$1203,'DAILY ENTRY'!$A$7:$A$1203,$A31,'DAILY ENTRY'!$B$7:$B$1203,$B31,'DAILY ENTRY'!$D$7:$D$1203,"Engagement (commented on someone else)"))</f>
        <v/>
      </c>
      <c r="L31" s="107" t="str">
        <f aca="false">IF($A31="","",SUMIFS('DAILY ENTRY'!$F$7:$F$1203,'DAILY ENTRY'!$A$7:$A$1203,$A31,'DAILY ENTRY'!$B$7:$B$1203,$B31,'DAILY ENTRY'!$D$7:$D$1203,"Account created / profile completed"))</f>
        <v/>
      </c>
      <c r="M31" s="108" t="str">
        <f aca="false">IF($A31="","",IFERROR(INDEX('DAILY ENTRY'!$E$7:$E$1203,MATCH(1,INDEX(('DAILY ENTRY'!$A$7:$A$1203=$A31)*('DAILY ENTRY'!$B$7:$B$1203=$B31)*('DAILY ENTRY'!$I$7:$I$1203="Meeting booked"),0),0)),IFERROR(INDEX('DAILY ENTRY'!$E$7:$E$1203,MATCH(1,INDEX(('DAILY ENTRY'!$A$7:$A$1203=$A31)*('DAILY ENTRY'!$B$7:$B$1203=$B31)*('DAILY ENTRY'!$I$7:$I$1203="Positive reply"),0),0)),"")))</f>
        <v/>
      </c>
      <c r="N31" s="108" t="str">
        <f aca="false">IF($A31="","",IFERROR(INDEX('DAILY ENTRY'!$J$7:$J$1203,MATCH(1,INDEX(('DAILY ENTRY'!$A$7:$A$1203=$A31)*('DAILY ENTRY'!$B$7:$B$1203=$B31)*('DAILY ENTRY'!$I$7:$I$1203="Blocked"),0),0)),""))</f>
        <v/>
      </c>
      <c r="O31" s="65" t="str">
        <f aca="false">IF($A31="","",(D31&gt;='START HERE'!$B$25)+(E31&gt;='START HERE'!$B$26)+(F31&gt;='START HERE'!$B$27)+(G31&gt;='START HERE'!$B$28)+(H31&gt;='START HERE'!$B$29)+(I31&gt;='START HERE'!$B$30)+(J31&gt;='START HERE'!$B$31)+(K31&gt;='START HERE'!$B$32))</f>
        <v/>
      </c>
      <c r="P31" s="46" t="str">
        <f aca="false">IF($A31="","",IF(O31&gt;=7,"Full day",IF(O31&gt;=5,"Most targets met",IF(O31&gt;=3,"Half day","Below plan - explain in the blocker column"))))</f>
        <v/>
      </c>
    </row>
    <row r="32" customFormat="false" ht="24" hidden="false" customHeight="true" outlineLevel="0" collapsed="false">
      <c r="A32" s="36"/>
      <c r="B32" s="37"/>
      <c r="C32" s="107" t="str">
        <f aca="false">IF($A32="","",ROUND(SUMIFS('DAILY ENTRY'!$G$7:$G$1203,'DAILY ENTRY'!$A$7:$A$1203,$A32,'DAILY ENTRY'!$B$7:$B$1203,$B32)/60,1))</f>
        <v/>
      </c>
      <c r="D32" s="107" t="str">
        <f aca="false">IF($A32="","",SUMIFS('DAILY ENTRY'!$F$7:$F$1203,'DAILY ENTRY'!$A$7:$A$1203,$A32,'DAILY ENTRY'!$B$7:$B$1203,$B32,'DAILY ENTRY'!$D$7:$D$1203,"Lead researched (Sales Navigator)"))</f>
        <v/>
      </c>
      <c r="E32" s="107" t="str">
        <f aca="false">IF($A32="","",SUMIFS('DAILY ENTRY'!$F$7:$F$1203,'DAILY ENTRY'!$A$7:$A$1203,$A32,'DAILY ENTRY'!$B$7:$B$1203,$B32,'DAILY ENTRY'!$D$7:$D$1203,"Connection request sent"))</f>
        <v/>
      </c>
      <c r="F32" s="107" t="str">
        <f aca="false">IF($A32="","",SUMIFS('DAILY ENTRY'!$F$7:$F$1203,'DAILY ENTRY'!$A$7:$A$1203,$A32,'DAILY ENTRY'!$B$7:$B$1203,$B32,'DAILY ENTRY'!$D$7:$D$1203,"First message sent"))</f>
        <v/>
      </c>
      <c r="G32" s="107" t="str">
        <f aca="false">IF($A32="","",SUMIFS('DAILY ENTRY'!$F$7:$F$1203,'DAILY ENTRY'!$A$7:$A$1203,$A32,'DAILY ENTRY'!$B$7:$B$1203,$B32,'DAILY ENTRY'!$D$7:$D$1203,"Follow-up message sent"))</f>
        <v/>
      </c>
      <c r="H32" s="107" t="str">
        <f aca="false">IF($A32="","",SUMIFS('DAILY ENTRY'!$F$7:$F$1203,'DAILY ENTRY'!$A$7:$A$1203,$A32,'DAILY ENTRY'!$B$7:$B$1203,$B32,'DAILY ENTRY'!$D$7:$D$1203,"Post / content published"))</f>
        <v/>
      </c>
      <c r="I32" s="107" t="str">
        <f aca="false">IF($A32="","",SUMIFS('DAILY ENTRY'!$F$7:$F$1203,'DAILY ENTRY'!$A$7:$A$1203,$A32,'DAILY ENTRY'!$B$7:$B$1203,$B32,'DAILY ENTRY'!$D$7:$D$1203,"Community answer or comment"))</f>
        <v/>
      </c>
      <c r="J32" s="107" t="str">
        <f aca="false">IF($A32="","",SUMIFS('DAILY ENTRY'!$F$7:$F$1203,'DAILY ENTRY'!$A$7:$A$1203,$A32,'DAILY ENTRY'!$B$7:$B$1203,$B32,'DAILY ENTRY'!$D$7:$D$1203,"Partnership / PR contact"))</f>
        <v/>
      </c>
      <c r="K32" s="107" t="str">
        <f aca="false">IF($A32="","",SUMIFS('DAILY ENTRY'!$F$7:$F$1203,'DAILY ENTRY'!$A$7:$A$1203,$A32,'DAILY ENTRY'!$B$7:$B$1203,$B32,'DAILY ENTRY'!$D$7:$D$1203,"Engagement (commented on someone else)"))</f>
        <v/>
      </c>
      <c r="L32" s="107" t="str">
        <f aca="false">IF($A32="","",SUMIFS('DAILY ENTRY'!$F$7:$F$1203,'DAILY ENTRY'!$A$7:$A$1203,$A32,'DAILY ENTRY'!$B$7:$B$1203,$B32,'DAILY ENTRY'!$D$7:$D$1203,"Account created / profile completed"))</f>
        <v/>
      </c>
      <c r="M32" s="108" t="str">
        <f aca="false">IF($A32="","",IFERROR(INDEX('DAILY ENTRY'!$E$7:$E$1203,MATCH(1,INDEX(('DAILY ENTRY'!$A$7:$A$1203=$A32)*('DAILY ENTRY'!$B$7:$B$1203=$B32)*('DAILY ENTRY'!$I$7:$I$1203="Meeting booked"),0),0)),IFERROR(INDEX('DAILY ENTRY'!$E$7:$E$1203,MATCH(1,INDEX(('DAILY ENTRY'!$A$7:$A$1203=$A32)*('DAILY ENTRY'!$B$7:$B$1203=$B32)*('DAILY ENTRY'!$I$7:$I$1203="Positive reply"),0),0)),"")))</f>
        <v/>
      </c>
      <c r="N32" s="108" t="str">
        <f aca="false">IF($A32="","",IFERROR(INDEX('DAILY ENTRY'!$J$7:$J$1203,MATCH(1,INDEX(('DAILY ENTRY'!$A$7:$A$1203=$A32)*('DAILY ENTRY'!$B$7:$B$1203=$B32)*('DAILY ENTRY'!$I$7:$I$1203="Blocked"),0),0)),""))</f>
        <v/>
      </c>
      <c r="O32" s="65" t="str">
        <f aca="false">IF($A32="","",(D32&gt;='START HERE'!$B$25)+(E32&gt;='START HERE'!$B$26)+(F32&gt;='START HERE'!$B$27)+(G32&gt;='START HERE'!$B$28)+(H32&gt;='START HERE'!$B$29)+(I32&gt;='START HERE'!$B$30)+(J32&gt;='START HERE'!$B$31)+(K32&gt;='START HERE'!$B$32))</f>
        <v/>
      </c>
      <c r="P32" s="46" t="str">
        <f aca="false">IF($A32="","",IF(O32&gt;=7,"Full day",IF(O32&gt;=5,"Most targets met",IF(O32&gt;=3,"Half day","Below plan - explain in the blocker column"))))</f>
        <v/>
      </c>
    </row>
    <row r="33" customFormat="false" ht="24" hidden="false" customHeight="true" outlineLevel="0" collapsed="false">
      <c r="A33" s="36"/>
      <c r="B33" s="37"/>
      <c r="C33" s="107" t="str">
        <f aca="false">IF($A33="","",ROUND(SUMIFS('DAILY ENTRY'!$G$7:$G$1203,'DAILY ENTRY'!$A$7:$A$1203,$A33,'DAILY ENTRY'!$B$7:$B$1203,$B33)/60,1))</f>
        <v/>
      </c>
      <c r="D33" s="107" t="str">
        <f aca="false">IF($A33="","",SUMIFS('DAILY ENTRY'!$F$7:$F$1203,'DAILY ENTRY'!$A$7:$A$1203,$A33,'DAILY ENTRY'!$B$7:$B$1203,$B33,'DAILY ENTRY'!$D$7:$D$1203,"Lead researched (Sales Navigator)"))</f>
        <v/>
      </c>
      <c r="E33" s="107" t="str">
        <f aca="false">IF($A33="","",SUMIFS('DAILY ENTRY'!$F$7:$F$1203,'DAILY ENTRY'!$A$7:$A$1203,$A33,'DAILY ENTRY'!$B$7:$B$1203,$B33,'DAILY ENTRY'!$D$7:$D$1203,"Connection request sent"))</f>
        <v/>
      </c>
      <c r="F33" s="107" t="str">
        <f aca="false">IF($A33="","",SUMIFS('DAILY ENTRY'!$F$7:$F$1203,'DAILY ENTRY'!$A$7:$A$1203,$A33,'DAILY ENTRY'!$B$7:$B$1203,$B33,'DAILY ENTRY'!$D$7:$D$1203,"First message sent"))</f>
        <v/>
      </c>
      <c r="G33" s="107" t="str">
        <f aca="false">IF($A33="","",SUMIFS('DAILY ENTRY'!$F$7:$F$1203,'DAILY ENTRY'!$A$7:$A$1203,$A33,'DAILY ENTRY'!$B$7:$B$1203,$B33,'DAILY ENTRY'!$D$7:$D$1203,"Follow-up message sent"))</f>
        <v/>
      </c>
      <c r="H33" s="107" t="str">
        <f aca="false">IF($A33="","",SUMIFS('DAILY ENTRY'!$F$7:$F$1203,'DAILY ENTRY'!$A$7:$A$1203,$A33,'DAILY ENTRY'!$B$7:$B$1203,$B33,'DAILY ENTRY'!$D$7:$D$1203,"Post / content published"))</f>
        <v/>
      </c>
      <c r="I33" s="107" t="str">
        <f aca="false">IF($A33="","",SUMIFS('DAILY ENTRY'!$F$7:$F$1203,'DAILY ENTRY'!$A$7:$A$1203,$A33,'DAILY ENTRY'!$B$7:$B$1203,$B33,'DAILY ENTRY'!$D$7:$D$1203,"Community answer or comment"))</f>
        <v/>
      </c>
      <c r="J33" s="107" t="str">
        <f aca="false">IF($A33="","",SUMIFS('DAILY ENTRY'!$F$7:$F$1203,'DAILY ENTRY'!$A$7:$A$1203,$A33,'DAILY ENTRY'!$B$7:$B$1203,$B33,'DAILY ENTRY'!$D$7:$D$1203,"Partnership / PR contact"))</f>
        <v/>
      </c>
      <c r="K33" s="107" t="str">
        <f aca="false">IF($A33="","",SUMIFS('DAILY ENTRY'!$F$7:$F$1203,'DAILY ENTRY'!$A$7:$A$1203,$A33,'DAILY ENTRY'!$B$7:$B$1203,$B33,'DAILY ENTRY'!$D$7:$D$1203,"Engagement (commented on someone else)"))</f>
        <v/>
      </c>
      <c r="L33" s="107" t="str">
        <f aca="false">IF($A33="","",SUMIFS('DAILY ENTRY'!$F$7:$F$1203,'DAILY ENTRY'!$A$7:$A$1203,$A33,'DAILY ENTRY'!$B$7:$B$1203,$B33,'DAILY ENTRY'!$D$7:$D$1203,"Account created / profile completed"))</f>
        <v/>
      </c>
      <c r="M33" s="108" t="str">
        <f aca="false">IF($A33="","",IFERROR(INDEX('DAILY ENTRY'!$E$7:$E$1203,MATCH(1,INDEX(('DAILY ENTRY'!$A$7:$A$1203=$A33)*('DAILY ENTRY'!$B$7:$B$1203=$B33)*('DAILY ENTRY'!$I$7:$I$1203="Meeting booked"),0),0)),IFERROR(INDEX('DAILY ENTRY'!$E$7:$E$1203,MATCH(1,INDEX(('DAILY ENTRY'!$A$7:$A$1203=$A33)*('DAILY ENTRY'!$B$7:$B$1203=$B33)*('DAILY ENTRY'!$I$7:$I$1203="Positive reply"),0),0)),"")))</f>
        <v/>
      </c>
      <c r="N33" s="108" t="str">
        <f aca="false">IF($A33="","",IFERROR(INDEX('DAILY ENTRY'!$J$7:$J$1203,MATCH(1,INDEX(('DAILY ENTRY'!$A$7:$A$1203=$A33)*('DAILY ENTRY'!$B$7:$B$1203=$B33)*('DAILY ENTRY'!$I$7:$I$1203="Blocked"),0),0)),""))</f>
        <v/>
      </c>
      <c r="O33" s="65" t="str">
        <f aca="false">IF($A33="","",(D33&gt;='START HERE'!$B$25)+(E33&gt;='START HERE'!$B$26)+(F33&gt;='START HERE'!$B$27)+(G33&gt;='START HERE'!$B$28)+(H33&gt;='START HERE'!$B$29)+(I33&gt;='START HERE'!$B$30)+(J33&gt;='START HERE'!$B$31)+(K33&gt;='START HERE'!$B$32))</f>
        <v/>
      </c>
      <c r="P33" s="46" t="str">
        <f aca="false">IF($A33="","",IF(O33&gt;=7,"Full day",IF(O33&gt;=5,"Most targets met",IF(O33&gt;=3,"Half day","Below plan - explain in the blocker column"))))</f>
        <v/>
      </c>
    </row>
    <row r="34" customFormat="false" ht="24" hidden="false" customHeight="true" outlineLevel="0" collapsed="false">
      <c r="A34" s="36"/>
      <c r="B34" s="37"/>
      <c r="C34" s="107" t="str">
        <f aca="false">IF($A34="","",ROUND(SUMIFS('DAILY ENTRY'!$G$7:$G$1203,'DAILY ENTRY'!$A$7:$A$1203,$A34,'DAILY ENTRY'!$B$7:$B$1203,$B34)/60,1))</f>
        <v/>
      </c>
      <c r="D34" s="107" t="str">
        <f aca="false">IF($A34="","",SUMIFS('DAILY ENTRY'!$F$7:$F$1203,'DAILY ENTRY'!$A$7:$A$1203,$A34,'DAILY ENTRY'!$B$7:$B$1203,$B34,'DAILY ENTRY'!$D$7:$D$1203,"Lead researched (Sales Navigator)"))</f>
        <v/>
      </c>
      <c r="E34" s="107" t="str">
        <f aca="false">IF($A34="","",SUMIFS('DAILY ENTRY'!$F$7:$F$1203,'DAILY ENTRY'!$A$7:$A$1203,$A34,'DAILY ENTRY'!$B$7:$B$1203,$B34,'DAILY ENTRY'!$D$7:$D$1203,"Connection request sent"))</f>
        <v/>
      </c>
      <c r="F34" s="107" t="str">
        <f aca="false">IF($A34="","",SUMIFS('DAILY ENTRY'!$F$7:$F$1203,'DAILY ENTRY'!$A$7:$A$1203,$A34,'DAILY ENTRY'!$B$7:$B$1203,$B34,'DAILY ENTRY'!$D$7:$D$1203,"First message sent"))</f>
        <v/>
      </c>
      <c r="G34" s="107" t="str">
        <f aca="false">IF($A34="","",SUMIFS('DAILY ENTRY'!$F$7:$F$1203,'DAILY ENTRY'!$A$7:$A$1203,$A34,'DAILY ENTRY'!$B$7:$B$1203,$B34,'DAILY ENTRY'!$D$7:$D$1203,"Follow-up message sent"))</f>
        <v/>
      </c>
      <c r="H34" s="107" t="str">
        <f aca="false">IF($A34="","",SUMIFS('DAILY ENTRY'!$F$7:$F$1203,'DAILY ENTRY'!$A$7:$A$1203,$A34,'DAILY ENTRY'!$B$7:$B$1203,$B34,'DAILY ENTRY'!$D$7:$D$1203,"Post / content published"))</f>
        <v/>
      </c>
      <c r="I34" s="107" t="str">
        <f aca="false">IF($A34="","",SUMIFS('DAILY ENTRY'!$F$7:$F$1203,'DAILY ENTRY'!$A$7:$A$1203,$A34,'DAILY ENTRY'!$B$7:$B$1203,$B34,'DAILY ENTRY'!$D$7:$D$1203,"Community answer or comment"))</f>
        <v/>
      </c>
      <c r="J34" s="107" t="str">
        <f aca="false">IF($A34="","",SUMIFS('DAILY ENTRY'!$F$7:$F$1203,'DAILY ENTRY'!$A$7:$A$1203,$A34,'DAILY ENTRY'!$B$7:$B$1203,$B34,'DAILY ENTRY'!$D$7:$D$1203,"Partnership / PR contact"))</f>
        <v/>
      </c>
      <c r="K34" s="107" t="str">
        <f aca="false">IF($A34="","",SUMIFS('DAILY ENTRY'!$F$7:$F$1203,'DAILY ENTRY'!$A$7:$A$1203,$A34,'DAILY ENTRY'!$B$7:$B$1203,$B34,'DAILY ENTRY'!$D$7:$D$1203,"Engagement (commented on someone else)"))</f>
        <v/>
      </c>
      <c r="L34" s="107" t="str">
        <f aca="false">IF($A34="","",SUMIFS('DAILY ENTRY'!$F$7:$F$1203,'DAILY ENTRY'!$A$7:$A$1203,$A34,'DAILY ENTRY'!$B$7:$B$1203,$B34,'DAILY ENTRY'!$D$7:$D$1203,"Account created / profile completed"))</f>
        <v/>
      </c>
      <c r="M34" s="108" t="str">
        <f aca="false">IF($A34="","",IFERROR(INDEX('DAILY ENTRY'!$E$7:$E$1203,MATCH(1,INDEX(('DAILY ENTRY'!$A$7:$A$1203=$A34)*('DAILY ENTRY'!$B$7:$B$1203=$B34)*('DAILY ENTRY'!$I$7:$I$1203="Meeting booked"),0),0)),IFERROR(INDEX('DAILY ENTRY'!$E$7:$E$1203,MATCH(1,INDEX(('DAILY ENTRY'!$A$7:$A$1203=$A34)*('DAILY ENTRY'!$B$7:$B$1203=$B34)*('DAILY ENTRY'!$I$7:$I$1203="Positive reply"),0),0)),"")))</f>
        <v/>
      </c>
      <c r="N34" s="108" t="str">
        <f aca="false">IF($A34="","",IFERROR(INDEX('DAILY ENTRY'!$J$7:$J$1203,MATCH(1,INDEX(('DAILY ENTRY'!$A$7:$A$1203=$A34)*('DAILY ENTRY'!$B$7:$B$1203=$B34)*('DAILY ENTRY'!$I$7:$I$1203="Blocked"),0),0)),""))</f>
        <v/>
      </c>
      <c r="O34" s="65" t="str">
        <f aca="false">IF($A34="","",(D34&gt;='START HERE'!$B$25)+(E34&gt;='START HERE'!$B$26)+(F34&gt;='START HERE'!$B$27)+(G34&gt;='START HERE'!$B$28)+(H34&gt;='START HERE'!$B$29)+(I34&gt;='START HERE'!$B$30)+(J34&gt;='START HERE'!$B$31)+(K34&gt;='START HERE'!$B$32))</f>
        <v/>
      </c>
      <c r="P34" s="46" t="str">
        <f aca="false">IF($A34="","",IF(O34&gt;=7,"Full day",IF(O34&gt;=5,"Most targets met",IF(O34&gt;=3,"Half day","Below plan - explain in the blocker column"))))</f>
        <v/>
      </c>
    </row>
    <row r="35" customFormat="false" ht="24" hidden="false" customHeight="true" outlineLevel="0" collapsed="false">
      <c r="A35" s="36"/>
      <c r="B35" s="37"/>
      <c r="C35" s="107" t="str">
        <f aca="false">IF($A35="","",ROUND(SUMIFS('DAILY ENTRY'!$G$7:$G$1203,'DAILY ENTRY'!$A$7:$A$1203,$A35,'DAILY ENTRY'!$B$7:$B$1203,$B35)/60,1))</f>
        <v/>
      </c>
      <c r="D35" s="107" t="str">
        <f aca="false">IF($A35="","",SUMIFS('DAILY ENTRY'!$F$7:$F$1203,'DAILY ENTRY'!$A$7:$A$1203,$A35,'DAILY ENTRY'!$B$7:$B$1203,$B35,'DAILY ENTRY'!$D$7:$D$1203,"Lead researched (Sales Navigator)"))</f>
        <v/>
      </c>
      <c r="E35" s="107" t="str">
        <f aca="false">IF($A35="","",SUMIFS('DAILY ENTRY'!$F$7:$F$1203,'DAILY ENTRY'!$A$7:$A$1203,$A35,'DAILY ENTRY'!$B$7:$B$1203,$B35,'DAILY ENTRY'!$D$7:$D$1203,"Connection request sent"))</f>
        <v/>
      </c>
      <c r="F35" s="107" t="str">
        <f aca="false">IF($A35="","",SUMIFS('DAILY ENTRY'!$F$7:$F$1203,'DAILY ENTRY'!$A$7:$A$1203,$A35,'DAILY ENTRY'!$B$7:$B$1203,$B35,'DAILY ENTRY'!$D$7:$D$1203,"First message sent"))</f>
        <v/>
      </c>
      <c r="G35" s="107" t="str">
        <f aca="false">IF($A35="","",SUMIFS('DAILY ENTRY'!$F$7:$F$1203,'DAILY ENTRY'!$A$7:$A$1203,$A35,'DAILY ENTRY'!$B$7:$B$1203,$B35,'DAILY ENTRY'!$D$7:$D$1203,"Follow-up message sent"))</f>
        <v/>
      </c>
      <c r="H35" s="107" t="str">
        <f aca="false">IF($A35="","",SUMIFS('DAILY ENTRY'!$F$7:$F$1203,'DAILY ENTRY'!$A$7:$A$1203,$A35,'DAILY ENTRY'!$B$7:$B$1203,$B35,'DAILY ENTRY'!$D$7:$D$1203,"Post / content published"))</f>
        <v/>
      </c>
      <c r="I35" s="107" t="str">
        <f aca="false">IF($A35="","",SUMIFS('DAILY ENTRY'!$F$7:$F$1203,'DAILY ENTRY'!$A$7:$A$1203,$A35,'DAILY ENTRY'!$B$7:$B$1203,$B35,'DAILY ENTRY'!$D$7:$D$1203,"Community answer or comment"))</f>
        <v/>
      </c>
      <c r="J35" s="107" t="str">
        <f aca="false">IF($A35="","",SUMIFS('DAILY ENTRY'!$F$7:$F$1203,'DAILY ENTRY'!$A$7:$A$1203,$A35,'DAILY ENTRY'!$B$7:$B$1203,$B35,'DAILY ENTRY'!$D$7:$D$1203,"Partnership / PR contact"))</f>
        <v/>
      </c>
      <c r="K35" s="107" t="str">
        <f aca="false">IF($A35="","",SUMIFS('DAILY ENTRY'!$F$7:$F$1203,'DAILY ENTRY'!$A$7:$A$1203,$A35,'DAILY ENTRY'!$B$7:$B$1203,$B35,'DAILY ENTRY'!$D$7:$D$1203,"Engagement (commented on someone else)"))</f>
        <v/>
      </c>
      <c r="L35" s="107" t="str">
        <f aca="false">IF($A35="","",SUMIFS('DAILY ENTRY'!$F$7:$F$1203,'DAILY ENTRY'!$A$7:$A$1203,$A35,'DAILY ENTRY'!$B$7:$B$1203,$B35,'DAILY ENTRY'!$D$7:$D$1203,"Account created / profile completed"))</f>
        <v/>
      </c>
      <c r="M35" s="108" t="str">
        <f aca="false">IF($A35="","",IFERROR(INDEX('DAILY ENTRY'!$E$7:$E$1203,MATCH(1,INDEX(('DAILY ENTRY'!$A$7:$A$1203=$A35)*('DAILY ENTRY'!$B$7:$B$1203=$B35)*('DAILY ENTRY'!$I$7:$I$1203="Meeting booked"),0),0)),IFERROR(INDEX('DAILY ENTRY'!$E$7:$E$1203,MATCH(1,INDEX(('DAILY ENTRY'!$A$7:$A$1203=$A35)*('DAILY ENTRY'!$B$7:$B$1203=$B35)*('DAILY ENTRY'!$I$7:$I$1203="Positive reply"),0),0)),"")))</f>
        <v/>
      </c>
      <c r="N35" s="108" t="str">
        <f aca="false">IF($A35="","",IFERROR(INDEX('DAILY ENTRY'!$J$7:$J$1203,MATCH(1,INDEX(('DAILY ENTRY'!$A$7:$A$1203=$A35)*('DAILY ENTRY'!$B$7:$B$1203=$B35)*('DAILY ENTRY'!$I$7:$I$1203="Blocked"),0),0)),""))</f>
        <v/>
      </c>
      <c r="O35" s="65" t="str">
        <f aca="false">IF($A35="","",(D35&gt;='START HERE'!$B$25)+(E35&gt;='START HERE'!$B$26)+(F35&gt;='START HERE'!$B$27)+(G35&gt;='START HERE'!$B$28)+(H35&gt;='START HERE'!$B$29)+(I35&gt;='START HERE'!$B$30)+(J35&gt;='START HERE'!$B$31)+(K35&gt;='START HERE'!$B$32))</f>
        <v/>
      </c>
      <c r="P35" s="46" t="str">
        <f aca="false">IF($A35="","",IF(O35&gt;=7,"Full day",IF(O35&gt;=5,"Most targets met",IF(O35&gt;=3,"Half day","Below plan - explain in the blocker column"))))</f>
        <v/>
      </c>
    </row>
    <row r="36" customFormat="false" ht="24" hidden="false" customHeight="true" outlineLevel="0" collapsed="false">
      <c r="A36" s="36"/>
      <c r="B36" s="37"/>
      <c r="C36" s="107" t="str">
        <f aca="false">IF($A36="","",ROUND(SUMIFS('DAILY ENTRY'!$G$7:$G$1203,'DAILY ENTRY'!$A$7:$A$1203,$A36,'DAILY ENTRY'!$B$7:$B$1203,$B36)/60,1))</f>
        <v/>
      </c>
      <c r="D36" s="107" t="str">
        <f aca="false">IF($A36="","",SUMIFS('DAILY ENTRY'!$F$7:$F$1203,'DAILY ENTRY'!$A$7:$A$1203,$A36,'DAILY ENTRY'!$B$7:$B$1203,$B36,'DAILY ENTRY'!$D$7:$D$1203,"Lead researched (Sales Navigator)"))</f>
        <v/>
      </c>
      <c r="E36" s="107" t="str">
        <f aca="false">IF($A36="","",SUMIFS('DAILY ENTRY'!$F$7:$F$1203,'DAILY ENTRY'!$A$7:$A$1203,$A36,'DAILY ENTRY'!$B$7:$B$1203,$B36,'DAILY ENTRY'!$D$7:$D$1203,"Connection request sent"))</f>
        <v/>
      </c>
      <c r="F36" s="107" t="str">
        <f aca="false">IF($A36="","",SUMIFS('DAILY ENTRY'!$F$7:$F$1203,'DAILY ENTRY'!$A$7:$A$1203,$A36,'DAILY ENTRY'!$B$7:$B$1203,$B36,'DAILY ENTRY'!$D$7:$D$1203,"First message sent"))</f>
        <v/>
      </c>
      <c r="G36" s="107" t="str">
        <f aca="false">IF($A36="","",SUMIFS('DAILY ENTRY'!$F$7:$F$1203,'DAILY ENTRY'!$A$7:$A$1203,$A36,'DAILY ENTRY'!$B$7:$B$1203,$B36,'DAILY ENTRY'!$D$7:$D$1203,"Follow-up message sent"))</f>
        <v/>
      </c>
      <c r="H36" s="107" t="str">
        <f aca="false">IF($A36="","",SUMIFS('DAILY ENTRY'!$F$7:$F$1203,'DAILY ENTRY'!$A$7:$A$1203,$A36,'DAILY ENTRY'!$B$7:$B$1203,$B36,'DAILY ENTRY'!$D$7:$D$1203,"Post / content published"))</f>
        <v/>
      </c>
      <c r="I36" s="107" t="str">
        <f aca="false">IF($A36="","",SUMIFS('DAILY ENTRY'!$F$7:$F$1203,'DAILY ENTRY'!$A$7:$A$1203,$A36,'DAILY ENTRY'!$B$7:$B$1203,$B36,'DAILY ENTRY'!$D$7:$D$1203,"Community answer or comment"))</f>
        <v/>
      </c>
      <c r="J36" s="107" t="str">
        <f aca="false">IF($A36="","",SUMIFS('DAILY ENTRY'!$F$7:$F$1203,'DAILY ENTRY'!$A$7:$A$1203,$A36,'DAILY ENTRY'!$B$7:$B$1203,$B36,'DAILY ENTRY'!$D$7:$D$1203,"Partnership / PR contact"))</f>
        <v/>
      </c>
      <c r="K36" s="107" t="str">
        <f aca="false">IF($A36="","",SUMIFS('DAILY ENTRY'!$F$7:$F$1203,'DAILY ENTRY'!$A$7:$A$1203,$A36,'DAILY ENTRY'!$B$7:$B$1203,$B36,'DAILY ENTRY'!$D$7:$D$1203,"Engagement (commented on someone else)"))</f>
        <v/>
      </c>
      <c r="L36" s="107" t="str">
        <f aca="false">IF($A36="","",SUMIFS('DAILY ENTRY'!$F$7:$F$1203,'DAILY ENTRY'!$A$7:$A$1203,$A36,'DAILY ENTRY'!$B$7:$B$1203,$B36,'DAILY ENTRY'!$D$7:$D$1203,"Account created / profile completed"))</f>
        <v/>
      </c>
      <c r="M36" s="108" t="str">
        <f aca="false">IF($A36="","",IFERROR(INDEX('DAILY ENTRY'!$E$7:$E$1203,MATCH(1,INDEX(('DAILY ENTRY'!$A$7:$A$1203=$A36)*('DAILY ENTRY'!$B$7:$B$1203=$B36)*('DAILY ENTRY'!$I$7:$I$1203="Meeting booked"),0),0)),IFERROR(INDEX('DAILY ENTRY'!$E$7:$E$1203,MATCH(1,INDEX(('DAILY ENTRY'!$A$7:$A$1203=$A36)*('DAILY ENTRY'!$B$7:$B$1203=$B36)*('DAILY ENTRY'!$I$7:$I$1203="Positive reply"),0),0)),"")))</f>
        <v/>
      </c>
      <c r="N36" s="108" t="str">
        <f aca="false">IF($A36="","",IFERROR(INDEX('DAILY ENTRY'!$J$7:$J$1203,MATCH(1,INDEX(('DAILY ENTRY'!$A$7:$A$1203=$A36)*('DAILY ENTRY'!$B$7:$B$1203=$B36)*('DAILY ENTRY'!$I$7:$I$1203="Blocked"),0),0)),""))</f>
        <v/>
      </c>
      <c r="O36" s="65" t="str">
        <f aca="false">IF($A36="","",(D36&gt;='START HERE'!$B$25)+(E36&gt;='START HERE'!$B$26)+(F36&gt;='START HERE'!$B$27)+(G36&gt;='START HERE'!$B$28)+(H36&gt;='START HERE'!$B$29)+(I36&gt;='START HERE'!$B$30)+(J36&gt;='START HERE'!$B$31)+(K36&gt;='START HERE'!$B$32))</f>
        <v/>
      </c>
      <c r="P36" s="46" t="str">
        <f aca="false">IF($A36="","",IF(O36&gt;=7,"Full day",IF(O36&gt;=5,"Most targets met",IF(O36&gt;=3,"Half day","Below plan - explain in the blocker column"))))</f>
        <v/>
      </c>
    </row>
    <row r="37" customFormat="false" ht="24" hidden="false" customHeight="true" outlineLevel="0" collapsed="false">
      <c r="A37" s="36"/>
      <c r="B37" s="37"/>
      <c r="C37" s="107" t="str">
        <f aca="false">IF($A37="","",ROUND(SUMIFS('DAILY ENTRY'!$G$7:$G$1203,'DAILY ENTRY'!$A$7:$A$1203,$A37,'DAILY ENTRY'!$B$7:$B$1203,$B37)/60,1))</f>
        <v/>
      </c>
      <c r="D37" s="107" t="str">
        <f aca="false">IF($A37="","",SUMIFS('DAILY ENTRY'!$F$7:$F$1203,'DAILY ENTRY'!$A$7:$A$1203,$A37,'DAILY ENTRY'!$B$7:$B$1203,$B37,'DAILY ENTRY'!$D$7:$D$1203,"Lead researched (Sales Navigator)"))</f>
        <v/>
      </c>
      <c r="E37" s="107" t="str">
        <f aca="false">IF($A37="","",SUMIFS('DAILY ENTRY'!$F$7:$F$1203,'DAILY ENTRY'!$A$7:$A$1203,$A37,'DAILY ENTRY'!$B$7:$B$1203,$B37,'DAILY ENTRY'!$D$7:$D$1203,"Connection request sent"))</f>
        <v/>
      </c>
      <c r="F37" s="107" t="str">
        <f aca="false">IF($A37="","",SUMIFS('DAILY ENTRY'!$F$7:$F$1203,'DAILY ENTRY'!$A$7:$A$1203,$A37,'DAILY ENTRY'!$B$7:$B$1203,$B37,'DAILY ENTRY'!$D$7:$D$1203,"First message sent"))</f>
        <v/>
      </c>
      <c r="G37" s="107" t="str">
        <f aca="false">IF($A37="","",SUMIFS('DAILY ENTRY'!$F$7:$F$1203,'DAILY ENTRY'!$A$7:$A$1203,$A37,'DAILY ENTRY'!$B$7:$B$1203,$B37,'DAILY ENTRY'!$D$7:$D$1203,"Follow-up message sent"))</f>
        <v/>
      </c>
      <c r="H37" s="107" t="str">
        <f aca="false">IF($A37="","",SUMIFS('DAILY ENTRY'!$F$7:$F$1203,'DAILY ENTRY'!$A$7:$A$1203,$A37,'DAILY ENTRY'!$B$7:$B$1203,$B37,'DAILY ENTRY'!$D$7:$D$1203,"Post / content published"))</f>
        <v/>
      </c>
      <c r="I37" s="107" t="str">
        <f aca="false">IF($A37="","",SUMIFS('DAILY ENTRY'!$F$7:$F$1203,'DAILY ENTRY'!$A$7:$A$1203,$A37,'DAILY ENTRY'!$B$7:$B$1203,$B37,'DAILY ENTRY'!$D$7:$D$1203,"Community answer or comment"))</f>
        <v/>
      </c>
      <c r="J37" s="107" t="str">
        <f aca="false">IF($A37="","",SUMIFS('DAILY ENTRY'!$F$7:$F$1203,'DAILY ENTRY'!$A$7:$A$1203,$A37,'DAILY ENTRY'!$B$7:$B$1203,$B37,'DAILY ENTRY'!$D$7:$D$1203,"Partnership / PR contact"))</f>
        <v/>
      </c>
      <c r="K37" s="107" t="str">
        <f aca="false">IF($A37="","",SUMIFS('DAILY ENTRY'!$F$7:$F$1203,'DAILY ENTRY'!$A$7:$A$1203,$A37,'DAILY ENTRY'!$B$7:$B$1203,$B37,'DAILY ENTRY'!$D$7:$D$1203,"Engagement (commented on someone else)"))</f>
        <v/>
      </c>
      <c r="L37" s="107" t="str">
        <f aca="false">IF($A37="","",SUMIFS('DAILY ENTRY'!$F$7:$F$1203,'DAILY ENTRY'!$A$7:$A$1203,$A37,'DAILY ENTRY'!$B$7:$B$1203,$B37,'DAILY ENTRY'!$D$7:$D$1203,"Account created / profile completed"))</f>
        <v/>
      </c>
      <c r="M37" s="108" t="str">
        <f aca="false">IF($A37="","",IFERROR(INDEX('DAILY ENTRY'!$E$7:$E$1203,MATCH(1,INDEX(('DAILY ENTRY'!$A$7:$A$1203=$A37)*('DAILY ENTRY'!$B$7:$B$1203=$B37)*('DAILY ENTRY'!$I$7:$I$1203="Meeting booked"),0),0)),IFERROR(INDEX('DAILY ENTRY'!$E$7:$E$1203,MATCH(1,INDEX(('DAILY ENTRY'!$A$7:$A$1203=$A37)*('DAILY ENTRY'!$B$7:$B$1203=$B37)*('DAILY ENTRY'!$I$7:$I$1203="Positive reply"),0),0)),"")))</f>
        <v/>
      </c>
      <c r="N37" s="108" t="str">
        <f aca="false">IF($A37="","",IFERROR(INDEX('DAILY ENTRY'!$J$7:$J$1203,MATCH(1,INDEX(('DAILY ENTRY'!$A$7:$A$1203=$A37)*('DAILY ENTRY'!$B$7:$B$1203=$B37)*('DAILY ENTRY'!$I$7:$I$1203="Blocked"),0),0)),""))</f>
        <v/>
      </c>
      <c r="O37" s="65" t="str">
        <f aca="false">IF($A37="","",(D37&gt;='START HERE'!$B$25)+(E37&gt;='START HERE'!$B$26)+(F37&gt;='START HERE'!$B$27)+(G37&gt;='START HERE'!$B$28)+(H37&gt;='START HERE'!$B$29)+(I37&gt;='START HERE'!$B$30)+(J37&gt;='START HERE'!$B$31)+(K37&gt;='START HERE'!$B$32))</f>
        <v/>
      </c>
      <c r="P37" s="46" t="str">
        <f aca="false">IF($A37="","",IF(O37&gt;=7,"Full day",IF(O37&gt;=5,"Most targets met",IF(O37&gt;=3,"Half day","Below plan - explain in the blocker column"))))</f>
        <v/>
      </c>
    </row>
    <row r="38" customFormat="false" ht="24" hidden="false" customHeight="true" outlineLevel="0" collapsed="false">
      <c r="A38" s="36"/>
      <c r="B38" s="37"/>
      <c r="C38" s="107" t="str">
        <f aca="false">IF($A38="","",ROUND(SUMIFS('DAILY ENTRY'!$G$7:$G$1203,'DAILY ENTRY'!$A$7:$A$1203,$A38,'DAILY ENTRY'!$B$7:$B$1203,$B38)/60,1))</f>
        <v/>
      </c>
      <c r="D38" s="107" t="str">
        <f aca="false">IF($A38="","",SUMIFS('DAILY ENTRY'!$F$7:$F$1203,'DAILY ENTRY'!$A$7:$A$1203,$A38,'DAILY ENTRY'!$B$7:$B$1203,$B38,'DAILY ENTRY'!$D$7:$D$1203,"Lead researched (Sales Navigator)"))</f>
        <v/>
      </c>
      <c r="E38" s="107" t="str">
        <f aca="false">IF($A38="","",SUMIFS('DAILY ENTRY'!$F$7:$F$1203,'DAILY ENTRY'!$A$7:$A$1203,$A38,'DAILY ENTRY'!$B$7:$B$1203,$B38,'DAILY ENTRY'!$D$7:$D$1203,"Connection request sent"))</f>
        <v/>
      </c>
      <c r="F38" s="107" t="str">
        <f aca="false">IF($A38="","",SUMIFS('DAILY ENTRY'!$F$7:$F$1203,'DAILY ENTRY'!$A$7:$A$1203,$A38,'DAILY ENTRY'!$B$7:$B$1203,$B38,'DAILY ENTRY'!$D$7:$D$1203,"First message sent"))</f>
        <v/>
      </c>
      <c r="G38" s="107" t="str">
        <f aca="false">IF($A38="","",SUMIFS('DAILY ENTRY'!$F$7:$F$1203,'DAILY ENTRY'!$A$7:$A$1203,$A38,'DAILY ENTRY'!$B$7:$B$1203,$B38,'DAILY ENTRY'!$D$7:$D$1203,"Follow-up message sent"))</f>
        <v/>
      </c>
      <c r="H38" s="107" t="str">
        <f aca="false">IF($A38="","",SUMIFS('DAILY ENTRY'!$F$7:$F$1203,'DAILY ENTRY'!$A$7:$A$1203,$A38,'DAILY ENTRY'!$B$7:$B$1203,$B38,'DAILY ENTRY'!$D$7:$D$1203,"Post / content published"))</f>
        <v/>
      </c>
      <c r="I38" s="107" t="str">
        <f aca="false">IF($A38="","",SUMIFS('DAILY ENTRY'!$F$7:$F$1203,'DAILY ENTRY'!$A$7:$A$1203,$A38,'DAILY ENTRY'!$B$7:$B$1203,$B38,'DAILY ENTRY'!$D$7:$D$1203,"Community answer or comment"))</f>
        <v/>
      </c>
      <c r="J38" s="107" t="str">
        <f aca="false">IF($A38="","",SUMIFS('DAILY ENTRY'!$F$7:$F$1203,'DAILY ENTRY'!$A$7:$A$1203,$A38,'DAILY ENTRY'!$B$7:$B$1203,$B38,'DAILY ENTRY'!$D$7:$D$1203,"Partnership / PR contact"))</f>
        <v/>
      </c>
      <c r="K38" s="107" t="str">
        <f aca="false">IF($A38="","",SUMIFS('DAILY ENTRY'!$F$7:$F$1203,'DAILY ENTRY'!$A$7:$A$1203,$A38,'DAILY ENTRY'!$B$7:$B$1203,$B38,'DAILY ENTRY'!$D$7:$D$1203,"Engagement (commented on someone else)"))</f>
        <v/>
      </c>
      <c r="L38" s="107" t="str">
        <f aca="false">IF($A38="","",SUMIFS('DAILY ENTRY'!$F$7:$F$1203,'DAILY ENTRY'!$A$7:$A$1203,$A38,'DAILY ENTRY'!$B$7:$B$1203,$B38,'DAILY ENTRY'!$D$7:$D$1203,"Account created / profile completed"))</f>
        <v/>
      </c>
      <c r="M38" s="108" t="str">
        <f aca="false">IF($A38="","",IFERROR(INDEX('DAILY ENTRY'!$E$7:$E$1203,MATCH(1,INDEX(('DAILY ENTRY'!$A$7:$A$1203=$A38)*('DAILY ENTRY'!$B$7:$B$1203=$B38)*('DAILY ENTRY'!$I$7:$I$1203="Meeting booked"),0),0)),IFERROR(INDEX('DAILY ENTRY'!$E$7:$E$1203,MATCH(1,INDEX(('DAILY ENTRY'!$A$7:$A$1203=$A38)*('DAILY ENTRY'!$B$7:$B$1203=$B38)*('DAILY ENTRY'!$I$7:$I$1203="Positive reply"),0),0)),"")))</f>
        <v/>
      </c>
      <c r="N38" s="108" t="str">
        <f aca="false">IF($A38="","",IFERROR(INDEX('DAILY ENTRY'!$J$7:$J$1203,MATCH(1,INDEX(('DAILY ENTRY'!$A$7:$A$1203=$A38)*('DAILY ENTRY'!$B$7:$B$1203=$B38)*('DAILY ENTRY'!$I$7:$I$1203="Blocked"),0),0)),""))</f>
        <v/>
      </c>
      <c r="O38" s="65" t="str">
        <f aca="false">IF($A38="","",(D38&gt;='START HERE'!$B$25)+(E38&gt;='START HERE'!$B$26)+(F38&gt;='START HERE'!$B$27)+(G38&gt;='START HERE'!$B$28)+(H38&gt;='START HERE'!$B$29)+(I38&gt;='START HERE'!$B$30)+(J38&gt;='START HERE'!$B$31)+(K38&gt;='START HERE'!$B$32))</f>
        <v/>
      </c>
      <c r="P38" s="46" t="str">
        <f aca="false">IF($A38="","",IF(O38&gt;=7,"Full day",IF(O38&gt;=5,"Most targets met",IF(O38&gt;=3,"Half day","Below plan - explain in the blocker column"))))</f>
        <v/>
      </c>
    </row>
    <row r="39" customFormat="false" ht="24" hidden="false" customHeight="true" outlineLevel="0" collapsed="false">
      <c r="A39" s="36"/>
      <c r="B39" s="37"/>
      <c r="C39" s="107" t="str">
        <f aca="false">IF($A39="","",ROUND(SUMIFS('DAILY ENTRY'!$G$7:$G$1203,'DAILY ENTRY'!$A$7:$A$1203,$A39,'DAILY ENTRY'!$B$7:$B$1203,$B39)/60,1))</f>
        <v/>
      </c>
      <c r="D39" s="107" t="str">
        <f aca="false">IF($A39="","",SUMIFS('DAILY ENTRY'!$F$7:$F$1203,'DAILY ENTRY'!$A$7:$A$1203,$A39,'DAILY ENTRY'!$B$7:$B$1203,$B39,'DAILY ENTRY'!$D$7:$D$1203,"Lead researched (Sales Navigator)"))</f>
        <v/>
      </c>
      <c r="E39" s="107" t="str">
        <f aca="false">IF($A39="","",SUMIFS('DAILY ENTRY'!$F$7:$F$1203,'DAILY ENTRY'!$A$7:$A$1203,$A39,'DAILY ENTRY'!$B$7:$B$1203,$B39,'DAILY ENTRY'!$D$7:$D$1203,"Connection request sent"))</f>
        <v/>
      </c>
      <c r="F39" s="107" t="str">
        <f aca="false">IF($A39="","",SUMIFS('DAILY ENTRY'!$F$7:$F$1203,'DAILY ENTRY'!$A$7:$A$1203,$A39,'DAILY ENTRY'!$B$7:$B$1203,$B39,'DAILY ENTRY'!$D$7:$D$1203,"First message sent"))</f>
        <v/>
      </c>
      <c r="G39" s="107" t="str">
        <f aca="false">IF($A39="","",SUMIFS('DAILY ENTRY'!$F$7:$F$1203,'DAILY ENTRY'!$A$7:$A$1203,$A39,'DAILY ENTRY'!$B$7:$B$1203,$B39,'DAILY ENTRY'!$D$7:$D$1203,"Follow-up message sent"))</f>
        <v/>
      </c>
      <c r="H39" s="107" t="str">
        <f aca="false">IF($A39="","",SUMIFS('DAILY ENTRY'!$F$7:$F$1203,'DAILY ENTRY'!$A$7:$A$1203,$A39,'DAILY ENTRY'!$B$7:$B$1203,$B39,'DAILY ENTRY'!$D$7:$D$1203,"Post / content published"))</f>
        <v/>
      </c>
      <c r="I39" s="107" t="str">
        <f aca="false">IF($A39="","",SUMIFS('DAILY ENTRY'!$F$7:$F$1203,'DAILY ENTRY'!$A$7:$A$1203,$A39,'DAILY ENTRY'!$B$7:$B$1203,$B39,'DAILY ENTRY'!$D$7:$D$1203,"Community answer or comment"))</f>
        <v/>
      </c>
      <c r="J39" s="107" t="str">
        <f aca="false">IF($A39="","",SUMIFS('DAILY ENTRY'!$F$7:$F$1203,'DAILY ENTRY'!$A$7:$A$1203,$A39,'DAILY ENTRY'!$B$7:$B$1203,$B39,'DAILY ENTRY'!$D$7:$D$1203,"Partnership / PR contact"))</f>
        <v/>
      </c>
      <c r="K39" s="107" t="str">
        <f aca="false">IF($A39="","",SUMIFS('DAILY ENTRY'!$F$7:$F$1203,'DAILY ENTRY'!$A$7:$A$1203,$A39,'DAILY ENTRY'!$B$7:$B$1203,$B39,'DAILY ENTRY'!$D$7:$D$1203,"Engagement (commented on someone else)"))</f>
        <v/>
      </c>
      <c r="L39" s="107" t="str">
        <f aca="false">IF($A39="","",SUMIFS('DAILY ENTRY'!$F$7:$F$1203,'DAILY ENTRY'!$A$7:$A$1203,$A39,'DAILY ENTRY'!$B$7:$B$1203,$B39,'DAILY ENTRY'!$D$7:$D$1203,"Account created / profile completed"))</f>
        <v/>
      </c>
      <c r="M39" s="108" t="str">
        <f aca="false">IF($A39="","",IFERROR(INDEX('DAILY ENTRY'!$E$7:$E$1203,MATCH(1,INDEX(('DAILY ENTRY'!$A$7:$A$1203=$A39)*('DAILY ENTRY'!$B$7:$B$1203=$B39)*('DAILY ENTRY'!$I$7:$I$1203="Meeting booked"),0),0)),IFERROR(INDEX('DAILY ENTRY'!$E$7:$E$1203,MATCH(1,INDEX(('DAILY ENTRY'!$A$7:$A$1203=$A39)*('DAILY ENTRY'!$B$7:$B$1203=$B39)*('DAILY ENTRY'!$I$7:$I$1203="Positive reply"),0),0)),"")))</f>
        <v/>
      </c>
      <c r="N39" s="108" t="str">
        <f aca="false">IF($A39="","",IFERROR(INDEX('DAILY ENTRY'!$J$7:$J$1203,MATCH(1,INDEX(('DAILY ENTRY'!$A$7:$A$1203=$A39)*('DAILY ENTRY'!$B$7:$B$1203=$B39)*('DAILY ENTRY'!$I$7:$I$1203="Blocked"),0),0)),""))</f>
        <v/>
      </c>
      <c r="O39" s="65" t="str">
        <f aca="false">IF($A39="","",(D39&gt;='START HERE'!$B$25)+(E39&gt;='START HERE'!$B$26)+(F39&gt;='START HERE'!$B$27)+(G39&gt;='START HERE'!$B$28)+(H39&gt;='START HERE'!$B$29)+(I39&gt;='START HERE'!$B$30)+(J39&gt;='START HERE'!$B$31)+(K39&gt;='START HERE'!$B$32))</f>
        <v/>
      </c>
      <c r="P39" s="46" t="str">
        <f aca="false">IF($A39="","",IF(O39&gt;=7,"Full day",IF(O39&gt;=5,"Most targets met",IF(O39&gt;=3,"Half day","Below plan - explain in the blocker column"))))</f>
        <v/>
      </c>
    </row>
    <row r="40" customFormat="false" ht="24" hidden="false" customHeight="true" outlineLevel="0" collapsed="false">
      <c r="A40" s="36"/>
      <c r="B40" s="37"/>
      <c r="C40" s="107" t="str">
        <f aca="false">IF($A40="","",ROUND(SUMIFS('DAILY ENTRY'!$G$7:$G$1203,'DAILY ENTRY'!$A$7:$A$1203,$A40,'DAILY ENTRY'!$B$7:$B$1203,$B40)/60,1))</f>
        <v/>
      </c>
      <c r="D40" s="107" t="str">
        <f aca="false">IF($A40="","",SUMIFS('DAILY ENTRY'!$F$7:$F$1203,'DAILY ENTRY'!$A$7:$A$1203,$A40,'DAILY ENTRY'!$B$7:$B$1203,$B40,'DAILY ENTRY'!$D$7:$D$1203,"Lead researched (Sales Navigator)"))</f>
        <v/>
      </c>
      <c r="E40" s="107" t="str">
        <f aca="false">IF($A40="","",SUMIFS('DAILY ENTRY'!$F$7:$F$1203,'DAILY ENTRY'!$A$7:$A$1203,$A40,'DAILY ENTRY'!$B$7:$B$1203,$B40,'DAILY ENTRY'!$D$7:$D$1203,"Connection request sent"))</f>
        <v/>
      </c>
      <c r="F40" s="107" t="str">
        <f aca="false">IF($A40="","",SUMIFS('DAILY ENTRY'!$F$7:$F$1203,'DAILY ENTRY'!$A$7:$A$1203,$A40,'DAILY ENTRY'!$B$7:$B$1203,$B40,'DAILY ENTRY'!$D$7:$D$1203,"First message sent"))</f>
        <v/>
      </c>
      <c r="G40" s="107" t="str">
        <f aca="false">IF($A40="","",SUMIFS('DAILY ENTRY'!$F$7:$F$1203,'DAILY ENTRY'!$A$7:$A$1203,$A40,'DAILY ENTRY'!$B$7:$B$1203,$B40,'DAILY ENTRY'!$D$7:$D$1203,"Follow-up message sent"))</f>
        <v/>
      </c>
      <c r="H40" s="107" t="str">
        <f aca="false">IF($A40="","",SUMIFS('DAILY ENTRY'!$F$7:$F$1203,'DAILY ENTRY'!$A$7:$A$1203,$A40,'DAILY ENTRY'!$B$7:$B$1203,$B40,'DAILY ENTRY'!$D$7:$D$1203,"Post / content published"))</f>
        <v/>
      </c>
      <c r="I40" s="107" t="str">
        <f aca="false">IF($A40="","",SUMIFS('DAILY ENTRY'!$F$7:$F$1203,'DAILY ENTRY'!$A$7:$A$1203,$A40,'DAILY ENTRY'!$B$7:$B$1203,$B40,'DAILY ENTRY'!$D$7:$D$1203,"Community answer or comment"))</f>
        <v/>
      </c>
      <c r="J40" s="107" t="str">
        <f aca="false">IF($A40="","",SUMIFS('DAILY ENTRY'!$F$7:$F$1203,'DAILY ENTRY'!$A$7:$A$1203,$A40,'DAILY ENTRY'!$B$7:$B$1203,$B40,'DAILY ENTRY'!$D$7:$D$1203,"Partnership / PR contact"))</f>
        <v/>
      </c>
      <c r="K40" s="107" t="str">
        <f aca="false">IF($A40="","",SUMIFS('DAILY ENTRY'!$F$7:$F$1203,'DAILY ENTRY'!$A$7:$A$1203,$A40,'DAILY ENTRY'!$B$7:$B$1203,$B40,'DAILY ENTRY'!$D$7:$D$1203,"Engagement (commented on someone else)"))</f>
        <v/>
      </c>
      <c r="L40" s="107" t="str">
        <f aca="false">IF($A40="","",SUMIFS('DAILY ENTRY'!$F$7:$F$1203,'DAILY ENTRY'!$A$7:$A$1203,$A40,'DAILY ENTRY'!$B$7:$B$1203,$B40,'DAILY ENTRY'!$D$7:$D$1203,"Account created / profile completed"))</f>
        <v/>
      </c>
      <c r="M40" s="108" t="str">
        <f aca="false">IF($A40="","",IFERROR(INDEX('DAILY ENTRY'!$E$7:$E$1203,MATCH(1,INDEX(('DAILY ENTRY'!$A$7:$A$1203=$A40)*('DAILY ENTRY'!$B$7:$B$1203=$B40)*('DAILY ENTRY'!$I$7:$I$1203="Meeting booked"),0),0)),IFERROR(INDEX('DAILY ENTRY'!$E$7:$E$1203,MATCH(1,INDEX(('DAILY ENTRY'!$A$7:$A$1203=$A40)*('DAILY ENTRY'!$B$7:$B$1203=$B40)*('DAILY ENTRY'!$I$7:$I$1203="Positive reply"),0),0)),"")))</f>
        <v/>
      </c>
      <c r="N40" s="108" t="str">
        <f aca="false">IF($A40="","",IFERROR(INDEX('DAILY ENTRY'!$J$7:$J$1203,MATCH(1,INDEX(('DAILY ENTRY'!$A$7:$A$1203=$A40)*('DAILY ENTRY'!$B$7:$B$1203=$B40)*('DAILY ENTRY'!$I$7:$I$1203="Blocked"),0),0)),""))</f>
        <v/>
      </c>
      <c r="O40" s="65" t="str">
        <f aca="false">IF($A40="","",(D40&gt;='START HERE'!$B$25)+(E40&gt;='START HERE'!$B$26)+(F40&gt;='START HERE'!$B$27)+(G40&gt;='START HERE'!$B$28)+(H40&gt;='START HERE'!$B$29)+(I40&gt;='START HERE'!$B$30)+(J40&gt;='START HERE'!$B$31)+(K40&gt;='START HERE'!$B$32))</f>
        <v/>
      </c>
      <c r="P40" s="46" t="str">
        <f aca="false">IF($A40="","",IF(O40&gt;=7,"Full day",IF(O40&gt;=5,"Most targets met",IF(O40&gt;=3,"Half day","Below plan - explain in the blocker column"))))</f>
        <v/>
      </c>
    </row>
    <row r="41" customFormat="false" ht="24" hidden="false" customHeight="true" outlineLevel="0" collapsed="false">
      <c r="A41" s="36"/>
      <c r="B41" s="37"/>
      <c r="C41" s="107" t="str">
        <f aca="false">IF($A41="","",ROUND(SUMIFS('DAILY ENTRY'!$G$7:$G$1203,'DAILY ENTRY'!$A$7:$A$1203,$A41,'DAILY ENTRY'!$B$7:$B$1203,$B41)/60,1))</f>
        <v/>
      </c>
      <c r="D41" s="107" t="str">
        <f aca="false">IF($A41="","",SUMIFS('DAILY ENTRY'!$F$7:$F$1203,'DAILY ENTRY'!$A$7:$A$1203,$A41,'DAILY ENTRY'!$B$7:$B$1203,$B41,'DAILY ENTRY'!$D$7:$D$1203,"Lead researched (Sales Navigator)"))</f>
        <v/>
      </c>
      <c r="E41" s="107" t="str">
        <f aca="false">IF($A41="","",SUMIFS('DAILY ENTRY'!$F$7:$F$1203,'DAILY ENTRY'!$A$7:$A$1203,$A41,'DAILY ENTRY'!$B$7:$B$1203,$B41,'DAILY ENTRY'!$D$7:$D$1203,"Connection request sent"))</f>
        <v/>
      </c>
      <c r="F41" s="107" t="str">
        <f aca="false">IF($A41="","",SUMIFS('DAILY ENTRY'!$F$7:$F$1203,'DAILY ENTRY'!$A$7:$A$1203,$A41,'DAILY ENTRY'!$B$7:$B$1203,$B41,'DAILY ENTRY'!$D$7:$D$1203,"First message sent"))</f>
        <v/>
      </c>
      <c r="G41" s="107" t="str">
        <f aca="false">IF($A41="","",SUMIFS('DAILY ENTRY'!$F$7:$F$1203,'DAILY ENTRY'!$A$7:$A$1203,$A41,'DAILY ENTRY'!$B$7:$B$1203,$B41,'DAILY ENTRY'!$D$7:$D$1203,"Follow-up message sent"))</f>
        <v/>
      </c>
      <c r="H41" s="107" t="str">
        <f aca="false">IF($A41="","",SUMIFS('DAILY ENTRY'!$F$7:$F$1203,'DAILY ENTRY'!$A$7:$A$1203,$A41,'DAILY ENTRY'!$B$7:$B$1203,$B41,'DAILY ENTRY'!$D$7:$D$1203,"Post / content published"))</f>
        <v/>
      </c>
      <c r="I41" s="107" t="str">
        <f aca="false">IF($A41="","",SUMIFS('DAILY ENTRY'!$F$7:$F$1203,'DAILY ENTRY'!$A$7:$A$1203,$A41,'DAILY ENTRY'!$B$7:$B$1203,$B41,'DAILY ENTRY'!$D$7:$D$1203,"Community answer or comment"))</f>
        <v/>
      </c>
      <c r="J41" s="107" t="str">
        <f aca="false">IF($A41="","",SUMIFS('DAILY ENTRY'!$F$7:$F$1203,'DAILY ENTRY'!$A$7:$A$1203,$A41,'DAILY ENTRY'!$B$7:$B$1203,$B41,'DAILY ENTRY'!$D$7:$D$1203,"Partnership / PR contact"))</f>
        <v/>
      </c>
      <c r="K41" s="107" t="str">
        <f aca="false">IF($A41="","",SUMIFS('DAILY ENTRY'!$F$7:$F$1203,'DAILY ENTRY'!$A$7:$A$1203,$A41,'DAILY ENTRY'!$B$7:$B$1203,$B41,'DAILY ENTRY'!$D$7:$D$1203,"Engagement (commented on someone else)"))</f>
        <v/>
      </c>
      <c r="L41" s="107" t="str">
        <f aca="false">IF($A41="","",SUMIFS('DAILY ENTRY'!$F$7:$F$1203,'DAILY ENTRY'!$A$7:$A$1203,$A41,'DAILY ENTRY'!$B$7:$B$1203,$B41,'DAILY ENTRY'!$D$7:$D$1203,"Account created / profile completed"))</f>
        <v/>
      </c>
      <c r="M41" s="108" t="str">
        <f aca="false">IF($A41="","",IFERROR(INDEX('DAILY ENTRY'!$E$7:$E$1203,MATCH(1,INDEX(('DAILY ENTRY'!$A$7:$A$1203=$A41)*('DAILY ENTRY'!$B$7:$B$1203=$B41)*('DAILY ENTRY'!$I$7:$I$1203="Meeting booked"),0),0)),IFERROR(INDEX('DAILY ENTRY'!$E$7:$E$1203,MATCH(1,INDEX(('DAILY ENTRY'!$A$7:$A$1203=$A41)*('DAILY ENTRY'!$B$7:$B$1203=$B41)*('DAILY ENTRY'!$I$7:$I$1203="Positive reply"),0),0)),"")))</f>
        <v/>
      </c>
      <c r="N41" s="108" t="str">
        <f aca="false">IF($A41="","",IFERROR(INDEX('DAILY ENTRY'!$J$7:$J$1203,MATCH(1,INDEX(('DAILY ENTRY'!$A$7:$A$1203=$A41)*('DAILY ENTRY'!$B$7:$B$1203=$B41)*('DAILY ENTRY'!$I$7:$I$1203="Blocked"),0),0)),""))</f>
        <v/>
      </c>
      <c r="O41" s="65" t="str">
        <f aca="false">IF($A41="","",(D41&gt;='START HERE'!$B$25)+(E41&gt;='START HERE'!$B$26)+(F41&gt;='START HERE'!$B$27)+(G41&gt;='START HERE'!$B$28)+(H41&gt;='START HERE'!$B$29)+(I41&gt;='START HERE'!$B$30)+(J41&gt;='START HERE'!$B$31)+(K41&gt;='START HERE'!$B$32))</f>
        <v/>
      </c>
      <c r="P41" s="46" t="str">
        <f aca="false">IF($A41="","",IF(O41&gt;=7,"Full day",IF(O41&gt;=5,"Most targets met",IF(O41&gt;=3,"Half day","Below plan - explain in the blocker column"))))</f>
        <v/>
      </c>
    </row>
    <row r="42" customFormat="false" ht="24" hidden="false" customHeight="true" outlineLevel="0" collapsed="false">
      <c r="A42" s="36"/>
      <c r="B42" s="37"/>
      <c r="C42" s="107" t="str">
        <f aca="false">IF($A42="","",ROUND(SUMIFS('DAILY ENTRY'!$G$7:$G$1203,'DAILY ENTRY'!$A$7:$A$1203,$A42,'DAILY ENTRY'!$B$7:$B$1203,$B42)/60,1))</f>
        <v/>
      </c>
      <c r="D42" s="107" t="str">
        <f aca="false">IF($A42="","",SUMIFS('DAILY ENTRY'!$F$7:$F$1203,'DAILY ENTRY'!$A$7:$A$1203,$A42,'DAILY ENTRY'!$B$7:$B$1203,$B42,'DAILY ENTRY'!$D$7:$D$1203,"Lead researched (Sales Navigator)"))</f>
        <v/>
      </c>
      <c r="E42" s="107" t="str">
        <f aca="false">IF($A42="","",SUMIFS('DAILY ENTRY'!$F$7:$F$1203,'DAILY ENTRY'!$A$7:$A$1203,$A42,'DAILY ENTRY'!$B$7:$B$1203,$B42,'DAILY ENTRY'!$D$7:$D$1203,"Connection request sent"))</f>
        <v/>
      </c>
      <c r="F42" s="107" t="str">
        <f aca="false">IF($A42="","",SUMIFS('DAILY ENTRY'!$F$7:$F$1203,'DAILY ENTRY'!$A$7:$A$1203,$A42,'DAILY ENTRY'!$B$7:$B$1203,$B42,'DAILY ENTRY'!$D$7:$D$1203,"First message sent"))</f>
        <v/>
      </c>
      <c r="G42" s="107" t="str">
        <f aca="false">IF($A42="","",SUMIFS('DAILY ENTRY'!$F$7:$F$1203,'DAILY ENTRY'!$A$7:$A$1203,$A42,'DAILY ENTRY'!$B$7:$B$1203,$B42,'DAILY ENTRY'!$D$7:$D$1203,"Follow-up message sent"))</f>
        <v/>
      </c>
      <c r="H42" s="107" t="str">
        <f aca="false">IF($A42="","",SUMIFS('DAILY ENTRY'!$F$7:$F$1203,'DAILY ENTRY'!$A$7:$A$1203,$A42,'DAILY ENTRY'!$B$7:$B$1203,$B42,'DAILY ENTRY'!$D$7:$D$1203,"Post / content published"))</f>
        <v/>
      </c>
      <c r="I42" s="107" t="str">
        <f aca="false">IF($A42="","",SUMIFS('DAILY ENTRY'!$F$7:$F$1203,'DAILY ENTRY'!$A$7:$A$1203,$A42,'DAILY ENTRY'!$B$7:$B$1203,$B42,'DAILY ENTRY'!$D$7:$D$1203,"Community answer or comment"))</f>
        <v/>
      </c>
      <c r="J42" s="107" t="str">
        <f aca="false">IF($A42="","",SUMIFS('DAILY ENTRY'!$F$7:$F$1203,'DAILY ENTRY'!$A$7:$A$1203,$A42,'DAILY ENTRY'!$B$7:$B$1203,$B42,'DAILY ENTRY'!$D$7:$D$1203,"Partnership / PR contact"))</f>
        <v/>
      </c>
      <c r="K42" s="107" t="str">
        <f aca="false">IF($A42="","",SUMIFS('DAILY ENTRY'!$F$7:$F$1203,'DAILY ENTRY'!$A$7:$A$1203,$A42,'DAILY ENTRY'!$B$7:$B$1203,$B42,'DAILY ENTRY'!$D$7:$D$1203,"Engagement (commented on someone else)"))</f>
        <v/>
      </c>
      <c r="L42" s="107" t="str">
        <f aca="false">IF($A42="","",SUMIFS('DAILY ENTRY'!$F$7:$F$1203,'DAILY ENTRY'!$A$7:$A$1203,$A42,'DAILY ENTRY'!$B$7:$B$1203,$B42,'DAILY ENTRY'!$D$7:$D$1203,"Account created / profile completed"))</f>
        <v/>
      </c>
      <c r="M42" s="108" t="str">
        <f aca="false">IF($A42="","",IFERROR(INDEX('DAILY ENTRY'!$E$7:$E$1203,MATCH(1,INDEX(('DAILY ENTRY'!$A$7:$A$1203=$A42)*('DAILY ENTRY'!$B$7:$B$1203=$B42)*('DAILY ENTRY'!$I$7:$I$1203="Meeting booked"),0),0)),IFERROR(INDEX('DAILY ENTRY'!$E$7:$E$1203,MATCH(1,INDEX(('DAILY ENTRY'!$A$7:$A$1203=$A42)*('DAILY ENTRY'!$B$7:$B$1203=$B42)*('DAILY ENTRY'!$I$7:$I$1203="Positive reply"),0),0)),"")))</f>
        <v/>
      </c>
      <c r="N42" s="108" t="str">
        <f aca="false">IF($A42="","",IFERROR(INDEX('DAILY ENTRY'!$J$7:$J$1203,MATCH(1,INDEX(('DAILY ENTRY'!$A$7:$A$1203=$A42)*('DAILY ENTRY'!$B$7:$B$1203=$B42)*('DAILY ENTRY'!$I$7:$I$1203="Blocked"),0),0)),""))</f>
        <v/>
      </c>
      <c r="O42" s="65" t="str">
        <f aca="false">IF($A42="","",(D42&gt;='START HERE'!$B$25)+(E42&gt;='START HERE'!$B$26)+(F42&gt;='START HERE'!$B$27)+(G42&gt;='START HERE'!$B$28)+(H42&gt;='START HERE'!$B$29)+(I42&gt;='START HERE'!$B$30)+(J42&gt;='START HERE'!$B$31)+(K42&gt;='START HERE'!$B$32))</f>
        <v/>
      </c>
      <c r="P42" s="46" t="str">
        <f aca="false">IF($A42="","",IF(O42&gt;=7,"Full day",IF(O42&gt;=5,"Most targets met",IF(O42&gt;=3,"Half day","Below plan - explain in the blocker column"))))</f>
        <v/>
      </c>
    </row>
    <row r="43" customFormat="false" ht="24" hidden="false" customHeight="true" outlineLevel="0" collapsed="false">
      <c r="A43" s="36"/>
      <c r="B43" s="37"/>
      <c r="C43" s="107" t="str">
        <f aca="false">IF($A43="","",ROUND(SUMIFS('DAILY ENTRY'!$G$7:$G$1203,'DAILY ENTRY'!$A$7:$A$1203,$A43,'DAILY ENTRY'!$B$7:$B$1203,$B43)/60,1))</f>
        <v/>
      </c>
      <c r="D43" s="107" t="str">
        <f aca="false">IF($A43="","",SUMIFS('DAILY ENTRY'!$F$7:$F$1203,'DAILY ENTRY'!$A$7:$A$1203,$A43,'DAILY ENTRY'!$B$7:$B$1203,$B43,'DAILY ENTRY'!$D$7:$D$1203,"Lead researched (Sales Navigator)"))</f>
        <v/>
      </c>
      <c r="E43" s="107" t="str">
        <f aca="false">IF($A43="","",SUMIFS('DAILY ENTRY'!$F$7:$F$1203,'DAILY ENTRY'!$A$7:$A$1203,$A43,'DAILY ENTRY'!$B$7:$B$1203,$B43,'DAILY ENTRY'!$D$7:$D$1203,"Connection request sent"))</f>
        <v/>
      </c>
      <c r="F43" s="107" t="str">
        <f aca="false">IF($A43="","",SUMIFS('DAILY ENTRY'!$F$7:$F$1203,'DAILY ENTRY'!$A$7:$A$1203,$A43,'DAILY ENTRY'!$B$7:$B$1203,$B43,'DAILY ENTRY'!$D$7:$D$1203,"First message sent"))</f>
        <v/>
      </c>
      <c r="G43" s="107" t="str">
        <f aca="false">IF($A43="","",SUMIFS('DAILY ENTRY'!$F$7:$F$1203,'DAILY ENTRY'!$A$7:$A$1203,$A43,'DAILY ENTRY'!$B$7:$B$1203,$B43,'DAILY ENTRY'!$D$7:$D$1203,"Follow-up message sent"))</f>
        <v/>
      </c>
      <c r="H43" s="107" t="str">
        <f aca="false">IF($A43="","",SUMIFS('DAILY ENTRY'!$F$7:$F$1203,'DAILY ENTRY'!$A$7:$A$1203,$A43,'DAILY ENTRY'!$B$7:$B$1203,$B43,'DAILY ENTRY'!$D$7:$D$1203,"Post / content published"))</f>
        <v/>
      </c>
      <c r="I43" s="107" t="str">
        <f aca="false">IF($A43="","",SUMIFS('DAILY ENTRY'!$F$7:$F$1203,'DAILY ENTRY'!$A$7:$A$1203,$A43,'DAILY ENTRY'!$B$7:$B$1203,$B43,'DAILY ENTRY'!$D$7:$D$1203,"Community answer or comment"))</f>
        <v/>
      </c>
      <c r="J43" s="107" t="str">
        <f aca="false">IF($A43="","",SUMIFS('DAILY ENTRY'!$F$7:$F$1203,'DAILY ENTRY'!$A$7:$A$1203,$A43,'DAILY ENTRY'!$B$7:$B$1203,$B43,'DAILY ENTRY'!$D$7:$D$1203,"Partnership / PR contact"))</f>
        <v/>
      </c>
      <c r="K43" s="107" t="str">
        <f aca="false">IF($A43="","",SUMIFS('DAILY ENTRY'!$F$7:$F$1203,'DAILY ENTRY'!$A$7:$A$1203,$A43,'DAILY ENTRY'!$B$7:$B$1203,$B43,'DAILY ENTRY'!$D$7:$D$1203,"Engagement (commented on someone else)"))</f>
        <v/>
      </c>
      <c r="L43" s="107" t="str">
        <f aca="false">IF($A43="","",SUMIFS('DAILY ENTRY'!$F$7:$F$1203,'DAILY ENTRY'!$A$7:$A$1203,$A43,'DAILY ENTRY'!$B$7:$B$1203,$B43,'DAILY ENTRY'!$D$7:$D$1203,"Account created / profile completed"))</f>
        <v/>
      </c>
      <c r="M43" s="108" t="str">
        <f aca="false">IF($A43="","",IFERROR(INDEX('DAILY ENTRY'!$E$7:$E$1203,MATCH(1,INDEX(('DAILY ENTRY'!$A$7:$A$1203=$A43)*('DAILY ENTRY'!$B$7:$B$1203=$B43)*('DAILY ENTRY'!$I$7:$I$1203="Meeting booked"),0),0)),IFERROR(INDEX('DAILY ENTRY'!$E$7:$E$1203,MATCH(1,INDEX(('DAILY ENTRY'!$A$7:$A$1203=$A43)*('DAILY ENTRY'!$B$7:$B$1203=$B43)*('DAILY ENTRY'!$I$7:$I$1203="Positive reply"),0),0)),"")))</f>
        <v/>
      </c>
      <c r="N43" s="108" t="str">
        <f aca="false">IF($A43="","",IFERROR(INDEX('DAILY ENTRY'!$J$7:$J$1203,MATCH(1,INDEX(('DAILY ENTRY'!$A$7:$A$1203=$A43)*('DAILY ENTRY'!$B$7:$B$1203=$B43)*('DAILY ENTRY'!$I$7:$I$1203="Blocked"),0),0)),""))</f>
        <v/>
      </c>
      <c r="O43" s="65" t="str">
        <f aca="false">IF($A43="","",(D43&gt;='START HERE'!$B$25)+(E43&gt;='START HERE'!$B$26)+(F43&gt;='START HERE'!$B$27)+(G43&gt;='START HERE'!$B$28)+(H43&gt;='START HERE'!$B$29)+(I43&gt;='START HERE'!$B$30)+(J43&gt;='START HERE'!$B$31)+(K43&gt;='START HERE'!$B$32))</f>
        <v/>
      </c>
      <c r="P43" s="46" t="str">
        <f aca="false">IF($A43="","",IF(O43&gt;=7,"Full day",IF(O43&gt;=5,"Most targets met",IF(O43&gt;=3,"Half day","Below plan - explain in the blocker column"))))</f>
        <v/>
      </c>
    </row>
    <row r="44" customFormat="false" ht="24" hidden="false" customHeight="true" outlineLevel="0" collapsed="false">
      <c r="A44" s="36"/>
      <c r="B44" s="37"/>
      <c r="C44" s="107" t="str">
        <f aca="false">IF($A44="","",ROUND(SUMIFS('DAILY ENTRY'!$G$7:$G$1203,'DAILY ENTRY'!$A$7:$A$1203,$A44,'DAILY ENTRY'!$B$7:$B$1203,$B44)/60,1))</f>
        <v/>
      </c>
      <c r="D44" s="107" t="str">
        <f aca="false">IF($A44="","",SUMIFS('DAILY ENTRY'!$F$7:$F$1203,'DAILY ENTRY'!$A$7:$A$1203,$A44,'DAILY ENTRY'!$B$7:$B$1203,$B44,'DAILY ENTRY'!$D$7:$D$1203,"Lead researched (Sales Navigator)"))</f>
        <v/>
      </c>
      <c r="E44" s="107" t="str">
        <f aca="false">IF($A44="","",SUMIFS('DAILY ENTRY'!$F$7:$F$1203,'DAILY ENTRY'!$A$7:$A$1203,$A44,'DAILY ENTRY'!$B$7:$B$1203,$B44,'DAILY ENTRY'!$D$7:$D$1203,"Connection request sent"))</f>
        <v/>
      </c>
      <c r="F44" s="107" t="str">
        <f aca="false">IF($A44="","",SUMIFS('DAILY ENTRY'!$F$7:$F$1203,'DAILY ENTRY'!$A$7:$A$1203,$A44,'DAILY ENTRY'!$B$7:$B$1203,$B44,'DAILY ENTRY'!$D$7:$D$1203,"First message sent"))</f>
        <v/>
      </c>
      <c r="G44" s="107" t="str">
        <f aca="false">IF($A44="","",SUMIFS('DAILY ENTRY'!$F$7:$F$1203,'DAILY ENTRY'!$A$7:$A$1203,$A44,'DAILY ENTRY'!$B$7:$B$1203,$B44,'DAILY ENTRY'!$D$7:$D$1203,"Follow-up message sent"))</f>
        <v/>
      </c>
      <c r="H44" s="107" t="str">
        <f aca="false">IF($A44="","",SUMIFS('DAILY ENTRY'!$F$7:$F$1203,'DAILY ENTRY'!$A$7:$A$1203,$A44,'DAILY ENTRY'!$B$7:$B$1203,$B44,'DAILY ENTRY'!$D$7:$D$1203,"Post / content published"))</f>
        <v/>
      </c>
      <c r="I44" s="107" t="str">
        <f aca="false">IF($A44="","",SUMIFS('DAILY ENTRY'!$F$7:$F$1203,'DAILY ENTRY'!$A$7:$A$1203,$A44,'DAILY ENTRY'!$B$7:$B$1203,$B44,'DAILY ENTRY'!$D$7:$D$1203,"Community answer or comment"))</f>
        <v/>
      </c>
      <c r="J44" s="107" t="str">
        <f aca="false">IF($A44="","",SUMIFS('DAILY ENTRY'!$F$7:$F$1203,'DAILY ENTRY'!$A$7:$A$1203,$A44,'DAILY ENTRY'!$B$7:$B$1203,$B44,'DAILY ENTRY'!$D$7:$D$1203,"Partnership / PR contact"))</f>
        <v/>
      </c>
      <c r="K44" s="107" t="str">
        <f aca="false">IF($A44="","",SUMIFS('DAILY ENTRY'!$F$7:$F$1203,'DAILY ENTRY'!$A$7:$A$1203,$A44,'DAILY ENTRY'!$B$7:$B$1203,$B44,'DAILY ENTRY'!$D$7:$D$1203,"Engagement (commented on someone else)"))</f>
        <v/>
      </c>
      <c r="L44" s="107" t="str">
        <f aca="false">IF($A44="","",SUMIFS('DAILY ENTRY'!$F$7:$F$1203,'DAILY ENTRY'!$A$7:$A$1203,$A44,'DAILY ENTRY'!$B$7:$B$1203,$B44,'DAILY ENTRY'!$D$7:$D$1203,"Account created / profile completed"))</f>
        <v/>
      </c>
      <c r="M44" s="108" t="str">
        <f aca="false">IF($A44="","",IFERROR(INDEX('DAILY ENTRY'!$E$7:$E$1203,MATCH(1,INDEX(('DAILY ENTRY'!$A$7:$A$1203=$A44)*('DAILY ENTRY'!$B$7:$B$1203=$B44)*('DAILY ENTRY'!$I$7:$I$1203="Meeting booked"),0),0)),IFERROR(INDEX('DAILY ENTRY'!$E$7:$E$1203,MATCH(1,INDEX(('DAILY ENTRY'!$A$7:$A$1203=$A44)*('DAILY ENTRY'!$B$7:$B$1203=$B44)*('DAILY ENTRY'!$I$7:$I$1203="Positive reply"),0),0)),"")))</f>
        <v/>
      </c>
      <c r="N44" s="108" t="str">
        <f aca="false">IF($A44="","",IFERROR(INDEX('DAILY ENTRY'!$J$7:$J$1203,MATCH(1,INDEX(('DAILY ENTRY'!$A$7:$A$1203=$A44)*('DAILY ENTRY'!$B$7:$B$1203=$B44)*('DAILY ENTRY'!$I$7:$I$1203="Blocked"),0),0)),""))</f>
        <v/>
      </c>
      <c r="O44" s="65" t="str">
        <f aca="false">IF($A44="","",(D44&gt;='START HERE'!$B$25)+(E44&gt;='START HERE'!$B$26)+(F44&gt;='START HERE'!$B$27)+(G44&gt;='START HERE'!$B$28)+(H44&gt;='START HERE'!$B$29)+(I44&gt;='START HERE'!$B$30)+(J44&gt;='START HERE'!$B$31)+(K44&gt;='START HERE'!$B$32))</f>
        <v/>
      </c>
      <c r="P44" s="46" t="str">
        <f aca="false">IF($A44="","",IF(O44&gt;=7,"Full day",IF(O44&gt;=5,"Most targets met",IF(O44&gt;=3,"Half day","Below plan - explain in the blocker column"))))</f>
        <v/>
      </c>
    </row>
    <row r="45" customFormat="false" ht="24" hidden="false" customHeight="true" outlineLevel="0" collapsed="false">
      <c r="A45" s="36"/>
      <c r="B45" s="37"/>
      <c r="C45" s="107" t="str">
        <f aca="false">IF($A45="","",ROUND(SUMIFS('DAILY ENTRY'!$G$7:$G$1203,'DAILY ENTRY'!$A$7:$A$1203,$A45,'DAILY ENTRY'!$B$7:$B$1203,$B45)/60,1))</f>
        <v/>
      </c>
      <c r="D45" s="107" t="str">
        <f aca="false">IF($A45="","",SUMIFS('DAILY ENTRY'!$F$7:$F$1203,'DAILY ENTRY'!$A$7:$A$1203,$A45,'DAILY ENTRY'!$B$7:$B$1203,$B45,'DAILY ENTRY'!$D$7:$D$1203,"Lead researched (Sales Navigator)"))</f>
        <v/>
      </c>
      <c r="E45" s="107" t="str">
        <f aca="false">IF($A45="","",SUMIFS('DAILY ENTRY'!$F$7:$F$1203,'DAILY ENTRY'!$A$7:$A$1203,$A45,'DAILY ENTRY'!$B$7:$B$1203,$B45,'DAILY ENTRY'!$D$7:$D$1203,"Connection request sent"))</f>
        <v/>
      </c>
      <c r="F45" s="107" t="str">
        <f aca="false">IF($A45="","",SUMIFS('DAILY ENTRY'!$F$7:$F$1203,'DAILY ENTRY'!$A$7:$A$1203,$A45,'DAILY ENTRY'!$B$7:$B$1203,$B45,'DAILY ENTRY'!$D$7:$D$1203,"First message sent"))</f>
        <v/>
      </c>
      <c r="G45" s="107" t="str">
        <f aca="false">IF($A45="","",SUMIFS('DAILY ENTRY'!$F$7:$F$1203,'DAILY ENTRY'!$A$7:$A$1203,$A45,'DAILY ENTRY'!$B$7:$B$1203,$B45,'DAILY ENTRY'!$D$7:$D$1203,"Follow-up message sent"))</f>
        <v/>
      </c>
      <c r="H45" s="107" t="str">
        <f aca="false">IF($A45="","",SUMIFS('DAILY ENTRY'!$F$7:$F$1203,'DAILY ENTRY'!$A$7:$A$1203,$A45,'DAILY ENTRY'!$B$7:$B$1203,$B45,'DAILY ENTRY'!$D$7:$D$1203,"Post / content published"))</f>
        <v/>
      </c>
      <c r="I45" s="107" t="str">
        <f aca="false">IF($A45="","",SUMIFS('DAILY ENTRY'!$F$7:$F$1203,'DAILY ENTRY'!$A$7:$A$1203,$A45,'DAILY ENTRY'!$B$7:$B$1203,$B45,'DAILY ENTRY'!$D$7:$D$1203,"Community answer or comment"))</f>
        <v/>
      </c>
      <c r="J45" s="107" t="str">
        <f aca="false">IF($A45="","",SUMIFS('DAILY ENTRY'!$F$7:$F$1203,'DAILY ENTRY'!$A$7:$A$1203,$A45,'DAILY ENTRY'!$B$7:$B$1203,$B45,'DAILY ENTRY'!$D$7:$D$1203,"Partnership / PR contact"))</f>
        <v/>
      </c>
      <c r="K45" s="107" t="str">
        <f aca="false">IF($A45="","",SUMIFS('DAILY ENTRY'!$F$7:$F$1203,'DAILY ENTRY'!$A$7:$A$1203,$A45,'DAILY ENTRY'!$B$7:$B$1203,$B45,'DAILY ENTRY'!$D$7:$D$1203,"Engagement (commented on someone else)"))</f>
        <v/>
      </c>
      <c r="L45" s="107" t="str">
        <f aca="false">IF($A45="","",SUMIFS('DAILY ENTRY'!$F$7:$F$1203,'DAILY ENTRY'!$A$7:$A$1203,$A45,'DAILY ENTRY'!$B$7:$B$1203,$B45,'DAILY ENTRY'!$D$7:$D$1203,"Account created / profile completed"))</f>
        <v/>
      </c>
      <c r="M45" s="108" t="str">
        <f aca="false">IF($A45="","",IFERROR(INDEX('DAILY ENTRY'!$E$7:$E$1203,MATCH(1,INDEX(('DAILY ENTRY'!$A$7:$A$1203=$A45)*('DAILY ENTRY'!$B$7:$B$1203=$B45)*('DAILY ENTRY'!$I$7:$I$1203="Meeting booked"),0),0)),IFERROR(INDEX('DAILY ENTRY'!$E$7:$E$1203,MATCH(1,INDEX(('DAILY ENTRY'!$A$7:$A$1203=$A45)*('DAILY ENTRY'!$B$7:$B$1203=$B45)*('DAILY ENTRY'!$I$7:$I$1203="Positive reply"),0),0)),"")))</f>
        <v/>
      </c>
      <c r="N45" s="108" t="str">
        <f aca="false">IF($A45="","",IFERROR(INDEX('DAILY ENTRY'!$J$7:$J$1203,MATCH(1,INDEX(('DAILY ENTRY'!$A$7:$A$1203=$A45)*('DAILY ENTRY'!$B$7:$B$1203=$B45)*('DAILY ENTRY'!$I$7:$I$1203="Blocked"),0),0)),""))</f>
        <v/>
      </c>
      <c r="O45" s="65" t="str">
        <f aca="false">IF($A45="","",(D45&gt;='START HERE'!$B$25)+(E45&gt;='START HERE'!$B$26)+(F45&gt;='START HERE'!$B$27)+(G45&gt;='START HERE'!$B$28)+(H45&gt;='START HERE'!$B$29)+(I45&gt;='START HERE'!$B$30)+(J45&gt;='START HERE'!$B$31)+(K45&gt;='START HERE'!$B$32))</f>
        <v/>
      </c>
      <c r="P45" s="46" t="str">
        <f aca="false">IF($A45="","",IF(O45&gt;=7,"Full day",IF(O45&gt;=5,"Most targets met",IF(O45&gt;=3,"Half day","Below plan - explain in the blocker column"))))</f>
        <v/>
      </c>
    </row>
    <row r="46" customFormat="false" ht="24" hidden="false" customHeight="true" outlineLevel="0" collapsed="false">
      <c r="A46" s="36"/>
      <c r="B46" s="37"/>
      <c r="C46" s="107" t="str">
        <f aca="false">IF($A46="","",ROUND(SUMIFS('DAILY ENTRY'!$G$7:$G$1203,'DAILY ENTRY'!$A$7:$A$1203,$A46,'DAILY ENTRY'!$B$7:$B$1203,$B46)/60,1))</f>
        <v/>
      </c>
      <c r="D46" s="107" t="str">
        <f aca="false">IF($A46="","",SUMIFS('DAILY ENTRY'!$F$7:$F$1203,'DAILY ENTRY'!$A$7:$A$1203,$A46,'DAILY ENTRY'!$B$7:$B$1203,$B46,'DAILY ENTRY'!$D$7:$D$1203,"Lead researched (Sales Navigator)"))</f>
        <v/>
      </c>
      <c r="E46" s="107" t="str">
        <f aca="false">IF($A46="","",SUMIFS('DAILY ENTRY'!$F$7:$F$1203,'DAILY ENTRY'!$A$7:$A$1203,$A46,'DAILY ENTRY'!$B$7:$B$1203,$B46,'DAILY ENTRY'!$D$7:$D$1203,"Connection request sent"))</f>
        <v/>
      </c>
      <c r="F46" s="107" t="str">
        <f aca="false">IF($A46="","",SUMIFS('DAILY ENTRY'!$F$7:$F$1203,'DAILY ENTRY'!$A$7:$A$1203,$A46,'DAILY ENTRY'!$B$7:$B$1203,$B46,'DAILY ENTRY'!$D$7:$D$1203,"First message sent"))</f>
        <v/>
      </c>
      <c r="G46" s="107" t="str">
        <f aca="false">IF($A46="","",SUMIFS('DAILY ENTRY'!$F$7:$F$1203,'DAILY ENTRY'!$A$7:$A$1203,$A46,'DAILY ENTRY'!$B$7:$B$1203,$B46,'DAILY ENTRY'!$D$7:$D$1203,"Follow-up message sent"))</f>
        <v/>
      </c>
      <c r="H46" s="107" t="str">
        <f aca="false">IF($A46="","",SUMIFS('DAILY ENTRY'!$F$7:$F$1203,'DAILY ENTRY'!$A$7:$A$1203,$A46,'DAILY ENTRY'!$B$7:$B$1203,$B46,'DAILY ENTRY'!$D$7:$D$1203,"Post / content published"))</f>
        <v/>
      </c>
      <c r="I46" s="107" t="str">
        <f aca="false">IF($A46="","",SUMIFS('DAILY ENTRY'!$F$7:$F$1203,'DAILY ENTRY'!$A$7:$A$1203,$A46,'DAILY ENTRY'!$B$7:$B$1203,$B46,'DAILY ENTRY'!$D$7:$D$1203,"Community answer or comment"))</f>
        <v/>
      </c>
      <c r="J46" s="107" t="str">
        <f aca="false">IF($A46="","",SUMIFS('DAILY ENTRY'!$F$7:$F$1203,'DAILY ENTRY'!$A$7:$A$1203,$A46,'DAILY ENTRY'!$B$7:$B$1203,$B46,'DAILY ENTRY'!$D$7:$D$1203,"Partnership / PR contact"))</f>
        <v/>
      </c>
      <c r="K46" s="107" t="str">
        <f aca="false">IF($A46="","",SUMIFS('DAILY ENTRY'!$F$7:$F$1203,'DAILY ENTRY'!$A$7:$A$1203,$A46,'DAILY ENTRY'!$B$7:$B$1203,$B46,'DAILY ENTRY'!$D$7:$D$1203,"Engagement (commented on someone else)"))</f>
        <v/>
      </c>
      <c r="L46" s="107" t="str">
        <f aca="false">IF($A46="","",SUMIFS('DAILY ENTRY'!$F$7:$F$1203,'DAILY ENTRY'!$A$7:$A$1203,$A46,'DAILY ENTRY'!$B$7:$B$1203,$B46,'DAILY ENTRY'!$D$7:$D$1203,"Account created / profile completed"))</f>
        <v/>
      </c>
      <c r="M46" s="108" t="str">
        <f aca="false">IF($A46="","",IFERROR(INDEX('DAILY ENTRY'!$E$7:$E$1203,MATCH(1,INDEX(('DAILY ENTRY'!$A$7:$A$1203=$A46)*('DAILY ENTRY'!$B$7:$B$1203=$B46)*('DAILY ENTRY'!$I$7:$I$1203="Meeting booked"),0),0)),IFERROR(INDEX('DAILY ENTRY'!$E$7:$E$1203,MATCH(1,INDEX(('DAILY ENTRY'!$A$7:$A$1203=$A46)*('DAILY ENTRY'!$B$7:$B$1203=$B46)*('DAILY ENTRY'!$I$7:$I$1203="Positive reply"),0),0)),"")))</f>
        <v/>
      </c>
      <c r="N46" s="108" t="str">
        <f aca="false">IF($A46="","",IFERROR(INDEX('DAILY ENTRY'!$J$7:$J$1203,MATCH(1,INDEX(('DAILY ENTRY'!$A$7:$A$1203=$A46)*('DAILY ENTRY'!$B$7:$B$1203=$B46)*('DAILY ENTRY'!$I$7:$I$1203="Blocked"),0),0)),""))</f>
        <v/>
      </c>
      <c r="O46" s="65" t="str">
        <f aca="false">IF($A46="","",(D46&gt;='START HERE'!$B$25)+(E46&gt;='START HERE'!$B$26)+(F46&gt;='START HERE'!$B$27)+(G46&gt;='START HERE'!$B$28)+(H46&gt;='START HERE'!$B$29)+(I46&gt;='START HERE'!$B$30)+(J46&gt;='START HERE'!$B$31)+(K46&gt;='START HERE'!$B$32))</f>
        <v/>
      </c>
      <c r="P46" s="46" t="str">
        <f aca="false">IF($A46="","",IF(O46&gt;=7,"Full day",IF(O46&gt;=5,"Most targets met",IF(O46&gt;=3,"Half day","Below plan - explain in the blocker column"))))</f>
        <v/>
      </c>
    </row>
    <row r="47" customFormat="false" ht="24" hidden="false" customHeight="true" outlineLevel="0" collapsed="false">
      <c r="A47" s="36"/>
      <c r="B47" s="37"/>
      <c r="C47" s="107" t="str">
        <f aca="false">IF($A47="","",ROUND(SUMIFS('DAILY ENTRY'!$G$7:$G$1203,'DAILY ENTRY'!$A$7:$A$1203,$A47,'DAILY ENTRY'!$B$7:$B$1203,$B47)/60,1))</f>
        <v/>
      </c>
      <c r="D47" s="107" t="str">
        <f aca="false">IF($A47="","",SUMIFS('DAILY ENTRY'!$F$7:$F$1203,'DAILY ENTRY'!$A$7:$A$1203,$A47,'DAILY ENTRY'!$B$7:$B$1203,$B47,'DAILY ENTRY'!$D$7:$D$1203,"Lead researched (Sales Navigator)"))</f>
        <v/>
      </c>
      <c r="E47" s="107" t="str">
        <f aca="false">IF($A47="","",SUMIFS('DAILY ENTRY'!$F$7:$F$1203,'DAILY ENTRY'!$A$7:$A$1203,$A47,'DAILY ENTRY'!$B$7:$B$1203,$B47,'DAILY ENTRY'!$D$7:$D$1203,"Connection request sent"))</f>
        <v/>
      </c>
      <c r="F47" s="107" t="str">
        <f aca="false">IF($A47="","",SUMIFS('DAILY ENTRY'!$F$7:$F$1203,'DAILY ENTRY'!$A$7:$A$1203,$A47,'DAILY ENTRY'!$B$7:$B$1203,$B47,'DAILY ENTRY'!$D$7:$D$1203,"First message sent"))</f>
        <v/>
      </c>
      <c r="G47" s="107" t="str">
        <f aca="false">IF($A47="","",SUMIFS('DAILY ENTRY'!$F$7:$F$1203,'DAILY ENTRY'!$A$7:$A$1203,$A47,'DAILY ENTRY'!$B$7:$B$1203,$B47,'DAILY ENTRY'!$D$7:$D$1203,"Follow-up message sent"))</f>
        <v/>
      </c>
      <c r="H47" s="107" t="str">
        <f aca="false">IF($A47="","",SUMIFS('DAILY ENTRY'!$F$7:$F$1203,'DAILY ENTRY'!$A$7:$A$1203,$A47,'DAILY ENTRY'!$B$7:$B$1203,$B47,'DAILY ENTRY'!$D$7:$D$1203,"Post / content published"))</f>
        <v/>
      </c>
      <c r="I47" s="107" t="str">
        <f aca="false">IF($A47="","",SUMIFS('DAILY ENTRY'!$F$7:$F$1203,'DAILY ENTRY'!$A$7:$A$1203,$A47,'DAILY ENTRY'!$B$7:$B$1203,$B47,'DAILY ENTRY'!$D$7:$D$1203,"Community answer or comment"))</f>
        <v/>
      </c>
      <c r="J47" s="107" t="str">
        <f aca="false">IF($A47="","",SUMIFS('DAILY ENTRY'!$F$7:$F$1203,'DAILY ENTRY'!$A$7:$A$1203,$A47,'DAILY ENTRY'!$B$7:$B$1203,$B47,'DAILY ENTRY'!$D$7:$D$1203,"Partnership / PR contact"))</f>
        <v/>
      </c>
      <c r="K47" s="107" t="str">
        <f aca="false">IF($A47="","",SUMIFS('DAILY ENTRY'!$F$7:$F$1203,'DAILY ENTRY'!$A$7:$A$1203,$A47,'DAILY ENTRY'!$B$7:$B$1203,$B47,'DAILY ENTRY'!$D$7:$D$1203,"Engagement (commented on someone else)"))</f>
        <v/>
      </c>
      <c r="L47" s="107" t="str">
        <f aca="false">IF($A47="","",SUMIFS('DAILY ENTRY'!$F$7:$F$1203,'DAILY ENTRY'!$A$7:$A$1203,$A47,'DAILY ENTRY'!$B$7:$B$1203,$B47,'DAILY ENTRY'!$D$7:$D$1203,"Account created / profile completed"))</f>
        <v/>
      </c>
      <c r="M47" s="108" t="str">
        <f aca="false">IF($A47="","",IFERROR(INDEX('DAILY ENTRY'!$E$7:$E$1203,MATCH(1,INDEX(('DAILY ENTRY'!$A$7:$A$1203=$A47)*('DAILY ENTRY'!$B$7:$B$1203=$B47)*('DAILY ENTRY'!$I$7:$I$1203="Meeting booked"),0),0)),IFERROR(INDEX('DAILY ENTRY'!$E$7:$E$1203,MATCH(1,INDEX(('DAILY ENTRY'!$A$7:$A$1203=$A47)*('DAILY ENTRY'!$B$7:$B$1203=$B47)*('DAILY ENTRY'!$I$7:$I$1203="Positive reply"),0),0)),"")))</f>
        <v/>
      </c>
      <c r="N47" s="108" t="str">
        <f aca="false">IF($A47="","",IFERROR(INDEX('DAILY ENTRY'!$J$7:$J$1203,MATCH(1,INDEX(('DAILY ENTRY'!$A$7:$A$1203=$A47)*('DAILY ENTRY'!$B$7:$B$1203=$B47)*('DAILY ENTRY'!$I$7:$I$1203="Blocked"),0),0)),""))</f>
        <v/>
      </c>
      <c r="O47" s="65" t="str">
        <f aca="false">IF($A47="","",(D47&gt;='START HERE'!$B$25)+(E47&gt;='START HERE'!$B$26)+(F47&gt;='START HERE'!$B$27)+(G47&gt;='START HERE'!$B$28)+(H47&gt;='START HERE'!$B$29)+(I47&gt;='START HERE'!$B$30)+(J47&gt;='START HERE'!$B$31)+(K47&gt;='START HERE'!$B$32))</f>
        <v/>
      </c>
      <c r="P47" s="46" t="str">
        <f aca="false">IF($A47="","",IF(O47&gt;=7,"Full day",IF(O47&gt;=5,"Most targets met",IF(O47&gt;=3,"Half day","Below plan - explain in the blocker column"))))</f>
        <v/>
      </c>
    </row>
    <row r="48" customFormat="false" ht="24" hidden="false" customHeight="true" outlineLevel="0" collapsed="false">
      <c r="A48" s="36"/>
      <c r="B48" s="37"/>
      <c r="C48" s="107" t="str">
        <f aca="false">IF($A48="","",ROUND(SUMIFS('DAILY ENTRY'!$G$7:$G$1203,'DAILY ENTRY'!$A$7:$A$1203,$A48,'DAILY ENTRY'!$B$7:$B$1203,$B48)/60,1))</f>
        <v/>
      </c>
      <c r="D48" s="107" t="str">
        <f aca="false">IF($A48="","",SUMIFS('DAILY ENTRY'!$F$7:$F$1203,'DAILY ENTRY'!$A$7:$A$1203,$A48,'DAILY ENTRY'!$B$7:$B$1203,$B48,'DAILY ENTRY'!$D$7:$D$1203,"Lead researched (Sales Navigator)"))</f>
        <v/>
      </c>
      <c r="E48" s="107" t="str">
        <f aca="false">IF($A48="","",SUMIFS('DAILY ENTRY'!$F$7:$F$1203,'DAILY ENTRY'!$A$7:$A$1203,$A48,'DAILY ENTRY'!$B$7:$B$1203,$B48,'DAILY ENTRY'!$D$7:$D$1203,"Connection request sent"))</f>
        <v/>
      </c>
      <c r="F48" s="107" t="str">
        <f aca="false">IF($A48="","",SUMIFS('DAILY ENTRY'!$F$7:$F$1203,'DAILY ENTRY'!$A$7:$A$1203,$A48,'DAILY ENTRY'!$B$7:$B$1203,$B48,'DAILY ENTRY'!$D$7:$D$1203,"First message sent"))</f>
        <v/>
      </c>
      <c r="G48" s="107" t="str">
        <f aca="false">IF($A48="","",SUMIFS('DAILY ENTRY'!$F$7:$F$1203,'DAILY ENTRY'!$A$7:$A$1203,$A48,'DAILY ENTRY'!$B$7:$B$1203,$B48,'DAILY ENTRY'!$D$7:$D$1203,"Follow-up message sent"))</f>
        <v/>
      </c>
      <c r="H48" s="107" t="str">
        <f aca="false">IF($A48="","",SUMIFS('DAILY ENTRY'!$F$7:$F$1203,'DAILY ENTRY'!$A$7:$A$1203,$A48,'DAILY ENTRY'!$B$7:$B$1203,$B48,'DAILY ENTRY'!$D$7:$D$1203,"Post / content published"))</f>
        <v/>
      </c>
      <c r="I48" s="107" t="str">
        <f aca="false">IF($A48="","",SUMIFS('DAILY ENTRY'!$F$7:$F$1203,'DAILY ENTRY'!$A$7:$A$1203,$A48,'DAILY ENTRY'!$B$7:$B$1203,$B48,'DAILY ENTRY'!$D$7:$D$1203,"Community answer or comment"))</f>
        <v/>
      </c>
      <c r="J48" s="107" t="str">
        <f aca="false">IF($A48="","",SUMIFS('DAILY ENTRY'!$F$7:$F$1203,'DAILY ENTRY'!$A$7:$A$1203,$A48,'DAILY ENTRY'!$B$7:$B$1203,$B48,'DAILY ENTRY'!$D$7:$D$1203,"Partnership / PR contact"))</f>
        <v/>
      </c>
      <c r="K48" s="107" t="str">
        <f aca="false">IF($A48="","",SUMIFS('DAILY ENTRY'!$F$7:$F$1203,'DAILY ENTRY'!$A$7:$A$1203,$A48,'DAILY ENTRY'!$B$7:$B$1203,$B48,'DAILY ENTRY'!$D$7:$D$1203,"Engagement (commented on someone else)"))</f>
        <v/>
      </c>
      <c r="L48" s="107" t="str">
        <f aca="false">IF($A48="","",SUMIFS('DAILY ENTRY'!$F$7:$F$1203,'DAILY ENTRY'!$A$7:$A$1203,$A48,'DAILY ENTRY'!$B$7:$B$1203,$B48,'DAILY ENTRY'!$D$7:$D$1203,"Account created / profile completed"))</f>
        <v/>
      </c>
      <c r="M48" s="108" t="str">
        <f aca="false">IF($A48="","",IFERROR(INDEX('DAILY ENTRY'!$E$7:$E$1203,MATCH(1,INDEX(('DAILY ENTRY'!$A$7:$A$1203=$A48)*('DAILY ENTRY'!$B$7:$B$1203=$B48)*('DAILY ENTRY'!$I$7:$I$1203="Meeting booked"),0),0)),IFERROR(INDEX('DAILY ENTRY'!$E$7:$E$1203,MATCH(1,INDEX(('DAILY ENTRY'!$A$7:$A$1203=$A48)*('DAILY ENTRY'!$B$7:$B$1203=$B48)*('DAILY ENTRY'!$I$7:$I$1203="Positive reply"),0),0)),"")))</f>
        <v/>
      </c>
      <c r="N48" s="108" t="str">
        <f aca="false">IF($A48="","",IFERROR(INDEX('DAILY ENTRY'!$J$7:$J$1203,MATCH(1,INDEX(('DAILY ENTRY'!$A$7:$A$1203=$A48)*('DAILY ENTRY'!$B$7:$B$1203=$B48)*('DAILY ENTRY'!$I$7:$I$1203="Blocked"),0),0)),""))</f>
        <v/>
      </c>
      <c r="O48" s="65" t="str">
        <f aca="false">IF($A48="","",(D48&gt;='START HERE'!$B$25)+(E48&gt;='START HERE'!$B$26)+(F48&gt;='START HERE'!$B$27)+(G48&gt;='START HERE'!$B$28)+(H48&gt;='START HERE'!$B$29)+(I48&gt;='START HERE'!$B$30)+(J48&gt;='START HERE'!$B$31)+(K48&gt;='START HERE'!$B$32))</f>
        <v/>
      </c>
      <c r="P48" s="46" t="str">
        <f aca="false">IF($A48="","",IF(O48&gt;=7,"Full day",IF(O48&gt;=5,"Most targets met",IF(O48&gt;=3,"Half day","Below plan - explain in the blocker column"))))</f>
        <v/>
      </c>
    </row>
    <row r="49" customFormat="false" ht="24" hidden="false" customHeight="true" outlineLevel="0" collapsed="false">
      <c r="A49" s="36"/>
      <c r="B49" s="37"/>
      <c r="C49" s="107" t="str">
        <f aca="false">IF($A49="","",ROUND(SUMIFS('DAILY ENTRY'!$G$7:$G$1203,'DAILY ENTRY'!$A$7:$A$1203,$A49,'DAILY ENTRY'!$B$7:$B$1203,$B49)/60,1))</f>
        <v/>
      </c>
      <c r="D49" s="107" t="str">
        <f aca="false">IF($A49="","",SUMIFS('DAILY ENTRY'!$F$7:$F$1203,'DAILY ENTRY'!$A$7:$A$1203,$A49,'DAILY ENTRY'!$B$7:$B$1203,$B49,'DAILY ENTRY'!$D$7:$D$1203,"Lead researched (Sales Navigator)"))</f>
        <v/>
      </c>
      <c r="E49" s="107" t="str">
        <f aca="false">IF($A49="","",SUMIFS('DAILY ENTRY'!$F$7:$F$1203,'DAILY ENTRY'!$A$7:$A$1203,$A49,'DAILY ENTRY'!$B$7:$B$1203,$B49,'DAILY ENTRY'!$D$7:$D$1203,"Connection request sent"))</f>
        <v/>
      </c>
      <c r="F49" s="107" t="str">
        <f aca="false">IF($A49="","",SUMIFS('DAILY ENTRY'!$F$7:$F$1203,'DAILY ENTRY'!$A$7:$A$1203,$A49,'DAILY ENTRY'!$B$7:$B$1203,$B49,'DAILY ENTRY'!$D$7:$D$1203,"First message sent"))</f>
        <v/>
      </c>
      <c r="G49" s="107" t="str">
        <f aca="false">IF($A49="","",SUMIFS('DAILY ENTRY'!$F$7:$F$1203,'DAILY ENTRY'!$A$7:$A$1203,$A49,'DAILY ENTRY'!$B$7:$B$1203,$B49,'DAILY ENTRY'!$D$7:$D$1203,"Follow-up message sent"))</f>
        <v/>
      </c>
      <c r="H49" s="107" t="str">
        <f aca="false">IF($A49="","",SUMIFS('DAILY ENTRY'!$F$7:$F$1203,'DAILY ENTRY'!$A$7:$A$1203,$A49,'DAILY ENTRY'!$B$7:$B$1203,$B49,'DAILY ENTRY'!$D$7:$D$1203,"Post / content published"))</f>
        <v/>
      </c>
      <c r="I49" s="107" t="str">
        <f aca="false">IF($A49="","",SUMIFS('DAILY ENTRY'!$F$7:$F$1203,'DAILY ENTRY'!$A$7:$A$1203,$A49,'DAILY ENTRY'!$B$7:$B$1203,$B49,'DAILY ENTRY'!$D$7:$D$1203,"Community answer or comment"))</f>
        <v/>
      </c>
      <c r="J49" s="107" t="str">
        <f aca="false">IF($A49="","",SUMIFS('DAILY ENTRY'!$F$7:$F$1203,'DAILY ENTRY'!$A$7:$A$1203,$A49,'DAILY ENTRY'!$B$7:$B$1203,$B49,'DAILY ENTRY'!$D$7:$D$1203,"Partnership / PR contact"))</f>
        <v/>
      </c>
      <c r="K49" s="107" t="str">
        <f aca="false">IF($A49="","",SUMIFS('DAILY ENTRY'!$F$7:$F$1203,'DAILY ENTRY'!$A$7:$A$1203,$A49,'DAILY ENTRY'!$B$7:$B$1203,$B49,'DAILY ENTRY'!$D$7:$D$1203,"Engagement (commented on someone else)"))</f>
        <v/>
      </c>
      <c r="L49" s="107" t="str">
        <f aca="false">IF($A49="","",SUMIFS('DAILY ENTRY'!$F$7:$F$1203,'DAILY ENTRY'!$A$7:$A$1203,$A49,'DAILY ENTRY'!$B$7:$B$1203,$B49,'DAILY ENTRY'!$D$7:$D$1203,"Account created / profile completed"))</f>
        <v/>
      </c>
      <c r="M49" s="108" t="str">
        <f aca="false">IF($A49="","",IFERROR(INDEX('DAILY ENTRY'!$E$7:$E$1203,MATCH(1,INDEX(('DAILY ENTRY'!$A$7:$A$1203=$A49)*('DAILY ENTRY'!$B$7:$B$1203=$B49)*('DAILY ENTRY'!$I$7:$I$1203="Meeting booked"),0),0)),IFERROR(INDEX('DAILY ENTRY'!$E$7:$E$1203,MATCH(1,INDEX(('DAILY ENTRY'!$A$7:$A$1203=$A49)*('DAILY ENTRY'!$B$7:$B$1203=$B49)*('DAILY ENTRY'!$I$7:$I$1203="Positive reply"),0),0)),"")))</f>
        <v/>
      </c>
      <c r="N49" s="108" t="str">
        <f aca="false">IF($A49="","",IFERROR(INDEX('DAILY ENTRY'!$J$7:$J$1203,MATCH(1,INDEX(('DAILY ENTRY'!$A$7:$A$1203=$A49)*('DAILY ENTRY'!$B$7:$B$1203=$B49)*('DAILY ENTRY'!$I$7:$I$1203="Blocked"),0),0)),""))</f>
        <v/>
      </c>
      <c r="O49" s="65" t="str">
        <f aca="false">IF($A49="","",(D49&gt;='START HERE'!$B$25)+(E49&gt;='START HERE'!$B$26)+(F49&gt;='START HERE'!$B$27)+(G49&gt;='START HERE'!$B$28)+(H49&gt;='START HERE'!$B$29)+(I49&gt;='START HERE'!$B$30)+(J49&gt;='START HERE'!$B$31)+(K49&gt;='START HERE'!$B$32))</f>
        <v/>
      </c>
      <c r="P49" s="46" t="str">
        <f aca="false">IF($A49="","",IF(O49&gt;=7,"Full day",IF(O49&gt;=5,"Most targets met",IF(O49&gt;=3,"Half day","Below plan - explain in the blocker column"))))</f>
        <v/>
      </c>
    </row>
    <row r="50" customFormat="false" ht="24" hidden="false" customHeight="true" outlineLevel="0" collapsed="false">
      <c r="A50" s="36"/>
      <c r="B50" s="37"/>
      <c r="C50" s="107" t="str">
        <f aca="false">IF($A50="","",ROUND(SUMIFS('DAILY ENTRY'!$G$7:$G$1203,'DAILY ENTRY'!$A$7:$A$1203,$A50,'DAILY ENTRY'!$B$7:$B$1203,$B50)/60,1))</f>
        <v/>
      </c>
      <c r="D50" s="107" t="str">
        <f aca="false">IF($A50="","",SUMIFS('DAILY ENTRY'!$F$7:$F$1203,'DAILY ENTRY'!$A$7:$A$1203,$A50,'DAILY ENTRY'!$B$7:$B$1203,$B50,'DAILY ENTRY'!$D$7:$D$1203,"Lead researched (Sales Navigator)"))</f>
        <v/>
      </c>
      <c r="E50" s="107" t="str">
        <f aca="false">IF($A50="","",SUMIFS('DAILY ENTRY'!$F$7:$F$1203,'DAILY ENTRY'!$A$7:$A$1203,$A50,'DAILY ENTRY'!$B$7:$B$1203,$B50,'DAILY ENTRY'!$D$7:$D$1203,"Connection request sent"))</f>
        <v/>
      </c>
      <c r="F50" s="107" t="str">
        <f aca="false">IF($A50="","",SUMIFS('DAILY ENTRY'!$F$7:$F$1203,'DAILY ENTRY'!$A$7:$A$1203,$A50,'DAILY ENTRY'!$B$7:$B$1203,$B50,'DAILY ENTRY'!$D$7:$D$1203,"First message sent"))</f>
        <v/>
      </c>
      <c r="G50" s="107" t="str">
        <f aca="false">IF($A50="","",SUMIFS('DAILY ENTRY'!$F$7:$F$1203,'DAILY ENTRY'!$A$7:$A$1203,$A50,'DAILY ENTRY'!$B$7:$B$1203,$B50,'DAILY ENTRY'!$D$7:$D$1203,"Follow-up message sent"))</f>
        <v/>
      </c>
      <c r="H50" s="107" t="str">
        <f aca="false">IF($A50="","",SUMIFS('DAILY ENTRY'!$F$7:$F$1203,'DAILY ENTRY'!$A$7:$A$1203,$A50,'DAILY ENTRY'!$B$7:$B$1203,$B50,'DAILY ENTRY'!$D$7:$D$1203,"Post / content published"))</f>
        <v/>
      </c>
      <c r="I50" s="107" t="str">
        <f aca="false">IF($A50="","",SUMIFS('DAILY ENTRY'!$F$7:$F$1203,'DAILY ENTRY'!$A$7:$A$1203,$A50,'DAILY ENTRY'!$B$7:$B$1203,$B50,'DAILY ENTRY'!$D$7:$D$1203,"Community answer or comment"))</f>
        <v/>
      </c>
      <c r="J50" s="107" t="str">
        <f aca="false">IF($A50="","",SUMIFS('DAILY ENTRY'!$F$7:$F$1203,'DAILY ENTRY'!$A$7:$A$1203,$A50,'DAILY ENTRY'!$B$7:$B$1203,$B50,'DAILY ENTRY'!$D$7:$D$1203,"Partnership / PR contact"))</f>
        <v/>
      </c>
      <c r="K50" s="107" t="str">
        <f aca="false">IF($A50="","",SUMIFS('DAILY ENTRY'!$F$7:$F$1203,'DAILY ENTRY'!$A$7:$A$1203,$A50,'DAILY ENTRY'!$B$7:$B$1203,$B50,'DAILY ENTRY'!$D$7:$D$1203,"Engagement (commented on someone else)"))</f>
        <v/>
      </c>
      <c r="L50" s="107" t="str">
        <f aca="false">IF($A50="","",SUMIFS('DAILY ENTRY'!$F$7:$F$1203,'DAILY ENTRY'!$A$7:$A$1203,$A50,'DAILY ENTRY'!$B$7:$B$1203,$B50,'DAILY ENTRY'!$D$7:$D$1203,"Account created / profile completed"))</f>
        <v/>
      </c>
      <c r="M50" s="108" t="str">
        <f aca="false">IF($A50="","",IFERROR(INDEX('DAILY ENTRY'!$E$7:$E$1203,MATCH(1,INDEX(('DAILY ENTRY'!$A$7:$A$1203=$A50)*('DAILY ENTRY'!$B$7:$B$1203=$B50)*('DAILY ENTRY'!$I$7:$I$1203="Meeting booked"),0),0)),IFERROR(INDEX('DAILY ENTRY'!$E$7:$E$1203,MATCH(1,INDEX(('DAILY ENTRY'!$A$7:$A$1203=$A50)*('DAILY ENTRY'!$B$7:$B$1203=$B50)*('DAILY ENTRY'!$I$7:$I$1203="Positive reply"),0),0)),"")))</f>
        <v/>
      </c>
      <c r="N50" s="108" t="str">
        <f aca="false">IF($A50="","",IFERROR(INDEX('DAILY ENTRY'!$J$7:$J$1203,MATCH(1,INDEX(('DAILY ENTRY'!$A$7:$A$1203=$A50)*('DAILY ENTRY'!$B$7:$B$1203=$B50)*('DAILY ENTRY'!$I$7:$I$1203="Blocked"),0),0)),""))</f>
        <v/>
      </c>
      <c r="O50" s="65" t="str">
        <f aca="false">IF($A50="","",(D50&gt;='START HERE'!$B$25)+(E50&gt;='START HERE'!$B$26)+(F50&gt;='START HERE'!$B$27)+(G50&gt;='START HERE'!$B$28)+(H50&gt;='START HERE'!$B$29)+(I50&gt;='START HERE'!$B$30)+(J50&gt;='START HERE'!$B$31)+(K50&gt;='START HERE'!$B$32))</f>
        <v/>
      </c>
      <c r="P50" s="46" t="str">
        <f aca="false">IF($A50="","",IF(O50&gt;=7,"Full day",IF(O50&gt;=5,"Most targets met",IF(O50&gt;=3,"Half day","Below plan - explain in the blocker column"))))</f>
        <v/>
      </c>
    </row>
    <row r="51" customFormat="false" ht="24" hidden="false" customHeight="true" outlineLevel="0" collapsed="false">
      <c r="A51" s="36"/>
      <c r="B51" s="37"/>
      <c r="C51" s="107" t="str">
        <f aca="false">IF($A51="","",ROUND(SUMIFS('DAILY ENTRY'!$G$7:$G$1203,'DAILY ENTRY'!$A$7:$A$1203,$A51,'DAILY ENTRY'!$B$7:$B$1203,$B51)/60,1))</f>
        <v/>
      </c>
      <c r="D51" s="107" t="str">
        <f aca="false">IF($A51="","",SUMIFS('DAILY ENTRY'!$F$7:$F$1203,'DAILY ENTRY'!$A$7:$A$1203,$A51,'DAILY ENTRY'!$B$7:$B$1203,$B51,'DAILY ENTRY'!$D$7:$D$1203,"Lead researched (Sales Navigator)"))</f>
        <v/>
      </c>
      <c r="E51" s="107" t="str">
        <f aca="false">IF($A51="","",SUMIFS('DAILY ENTRY'!$F$7:$F$1203,'DAILY ENTRY'!$A$7:$A$1203,$A51,'DAILY ENTRY'!$B$7:$B$1203,$B51,'DAILY ENTRY'!$D$7:$D$1203,"Connection request sent"))</f>
        <v/>
      </c>
      <c r="F51" s="107" t="str">
        <f aca="false">IF($A51="","",SUMIFS('DAILY ENTRY'!$F$7:$F$1203,'DAILY ENTRY'!$A$7:$A$1203,$A51,'DAILY ENTRY'!$B$7:$B$1203,$B51,'DAILY ENTRY'!$D$7:$D$1203,"First message sent"))</f>
        <v/>
      </c>
      <c r="G51" s="107" t="str">
        <f aca="false">IF($A51="","",SUMIFS('DAILY ENTRY'!$F$7:$F$1203,'DAILY ENTRY'!$A$7:$A$1203,$A51,'DAILY ENTRY'!$B$7:$B$1203,$B51,'DAILY ENTRY'!$D$7:$D$1203,"Follow-up message sent"))</f>
        <v/>
      </c>
      <c r="H51" s="107" t="str">
        <f aca="false">IF($A51="","",SUMIFS('DAILY ENTRY'!$F$7:$F$1203,'DAILY ENTRY'!$A$7:$A$1203,$A51,'DAILY ENTRY'!$B$7:$B$1203,$B51,'DAILY ENTRY'!$D$7:$D$1203,"Post / content published"))</f>
        <v/>
      </c>
      <c r="I51" s="107" t="str">
        <f aca="false">IF($A51="","",SUMIFS('DAILY ENTRY'!$F$7:$F$1203,'DAILY ENTRY'!$A$7:$A$1203,$A51,'DAILY ENTRY'!$B$7:$B$1203,$B51,'DAILY ENTRY'!$D$7:$D$1203,"Community answer or comment"))</f>
        <v/>
      </c>
      <c r="J51" s="107" t="str">
        <f aca="false">IF($A51="","",SUMIFS('DAILY ENTRY'!$F$7:$F$1203,'DAILY ENTRY'!$A$7:$A$1203,$A51,'DAILY ENTRY'!$B$7:$B$1203,$B51,'DAILY ENTRY'!$D$7:$D$1203,"Partnership / PR contact"))</f>
        <v/>
      </c>
      <c r="K51" s="107" t="str">
        <f aca="false">IF($A51="","",SUMIFS('DAILY ENTRY'!$F$7:$F$1203,'DAILY ENTRY'!$A$7:$A$1203,$A51,'DAILY ENTRY'!$B$7:$B$1203,$B51,'DAILY ENTRY'!$D$7:$D$1203,"Engagement (commented on someone else)"))</f>
        <v/>
      </c>
      <c r="L51" s="107" t="str">
        <f aca="false">IF($A51="","",SUMIFS('DAILY ENTRY'!$F$7:$F$1203,'DAILY ENTRY'!$A$7:$A$1203,$A51,'DAILY ENTRY'!$B$7:$B$1203,$B51,'DAILY ENTRY'!$D$7:$D$1203,"Account created / profile completed"))</f>
        <v/>
      </c>
      <c r="M51" s="108" t="str">
        <f aca="false">IF($A51="","",IFERROR(INDEX('DAILY ENTRY'!$E$7:$E$1203,MATCH(1,INDEX(('DAILY ENTRY'!$A$7:$A$1203=$A51)*('DAILY ENTRY'!$B$7:$B$1203=$B51)*('DAILY ENTRY'!$I$7:$I$1203="Meeting booked"),0),0)),IFERROR(INDEX('DAILY ENTRY'!$E$7:$E$1203,MATCH(1,INDEX(('DAILY ENTRY'!$A$7:$A$1203=$A51)*('DAILY ENTRY'!$B$7:$B$1203=$B51)*('DAILY ENTRY'!$I$7:$I$1203="Positive reply"),0),0)),"")))</f>
        <v/>
      </c>
      <c r="N51" s="108" t="str">
        <f aca="false">IF($A51="","",IFERROR(INDEX('DAILY ENTRY'!$J$7:$J$1203,MATCH(1,INDEX(('DAILY ENTRY'!$A$7:$A$1203=$A51)*('DAILY ENTRY'!$B$7:$B$1203=$B51)*('DAILY ENTRY'!$I$7:$I$1203="Blocked"),0),0)),""))</f>
        <v/>
      </c>
      <c r="O51" s="65" t="str">
        <f aca="false">IF($A51="","",(D51&gt;='START HERE'!$B$25)+(E51&gt;='START HERE'!$B$26)+(F51&gt;='START HERE'!$B$27)+(G51&gt;='START HERE'!$B$28)+(H51&gt;='START HERE'!$B$29)+(I51&gt;='START HERE'!$B$30)+(J51&gt;='START HERE'!$B$31)+(K51&gt;='START HERE'!$B$32))</f>
        <v/>
      </c>
      <c r="P51" s="46" t="str">
        <f aca="false">IF($A51="","",IF(O51&gt;=7,"Full day",IF(O51&gt;=5,"Most targets met",IF(O51&gt;=3,"Half day","Below plan - explain in the blocker column"))))</f>
        <v/>
      </c>
    </row>
    <row r="52" customFormat="false" ht="24" hidden="false" customHeight="true" outlineLevel="0" collapsed="false">
      <c r="A52" s="36"/>
      <c r="B52" s="37"/>
      <c r="C52" s="107" t="str">
        <f aca="false">IF($A52="","",ROUND(SUMIFS('DAILY ENTRY'!$G$7:$G$1203,'DAILY ENTRY'!$A$7:$A$1203,$A52,'DAILY ENTRY'!$B$7:$B$1203,$B52)/60,1))</f>
        <v/>
      </c>
      <c r="D52" s="107" t="str">
        <f aca="false">IF($A52="","",SUMIFS('DAILY ENTRY'!$F$7:$F$1203,'DAILY ENTRY'!$A$7:$A$1203,$A52,'DAILY ENTRY'!$B$7:$B$1203,$B52,'DAILY ENTRY'!$D$7:$D$1203,"Lead researched (Sales Navigator)"))</f>
        <v/>
      </c>
      <c r="E52" s="107" t="str">
        <f aca="false">IF($A52="","",SUMIFS('DAILY ENTRY'!$F$7:$F$1203,'DAILY ENTRY'!$A$7:$A$1203,$A52,'DAILY ENTRY'!$B$7:$B$1203,$B52,'DAILY ENTRY'!$D$7:$D$1203,"Connection request sent"))</f>
        <v/>
      </c>
      <c r="F52" s="107" t="str">
        <f aca="false">IF($A52="","",SUMIFS('DAILY ENTRY'!$F$7:$F$1203,'DAILY ENTRY'!$A$7:$A$1203,$A52,'DAILY ENTRY'!$B$7:$B$1203,$B52,'DAILY ENTRY'!$D$7:$D$1203,"First message sent"))</f>
        <v/>
      </c>
      <c r="G52" s="107" t="str">
        <f aca="false">IF($A52="","",SUMIFS('DAILY ENTRY'!$F$7:$F$1203,'DAILY ENTRY'!$A$7:$A$1203,$A52,'DAILY ENTRY'!$B$7:$B$1203,$B52,'DAILY ENTRY'!$D$7:$D$1203,"Follow-up message sent"))</f>
        <v/>
      </c>
      <c r="H52" s="107" t="str">
        <f aca="false">IF($A52="","",SUMIFS('DAILY ENTRY'!$F$7:$F$1203,'DAILY ENTRY'!$A$7:$A$1203,$A52,'DAILY ENTRY'!$B$7:$B$1203,$B52,'DAILY ENTRY'!$D$7:$D$1203,"Post / content published"))</f>
        <v/>
      </c>
      <c r="I52" s="107" t="str">
        <f aca="false">IF($A52="","",SUMIFS('DAILY ENTRY'!$F$7:$F$1203,'DAILY ENTRY'!$A$7:$A$1203,$A52,'DAILY ENTRY'!$B$7:$B$1203,$B52,'DAILY ENTRY'!$D$7:$D$1203,"Community answer or comment"))</f>
        <v/>
      </c>
      <c r="J52" s="107" t="str">
        <f aca="false">IF($A52="","",SUMIFS('DAILY ENTRY'!$F$7:$F$1203,'DAILY ENTRY'!$A$7:$A$1203,$A52,'DAILY ENTRY'!$B$7:$B$1203,$B52,'DAILY ENTRY'!$D$7:$D$1203,"Partnership / PR contact"))</f>
        <v/>
      </c>
      <c r="K52" s="107" t="str">
        <f aca="false">IF($A52="","",SUMIFS('DAILY ENTRY'!$F$7:$F$1203,'DAILY ENTRY'!$A$7:$A$1203,$A52,'DAILY ENTRY'!$B$7:$B$1203,$B52,'DAILY ENTRY'!$D$7:$D$1203,"Engagement (commented on someone else)"))</f>
        <v/>
      </c>
      <c r="L52" s="107" t="str">
        <f aca="false">IF($A52="","",SUMIFS('DAILY ENTRY'!$F$7:$F$1203,'DAILY ENTRY'!$A$7:$A$1203,$A52,'DAILY ENTRY'!$B$7:$B$1203,$B52,'DAILY ENTRY'!$D$7:$D$1203,"Account created / profile completed"))</f>
        <v/>
      </c>
      <c r="M52" s="108" t="str">
        <f aca="false">IF($A52="","",IFERROR(INDEX('DAILY ENTRY'!$E$7:$E$1203,MATCH(1,INDEX(('DAILY ENTRY'!$A$7:$A$1203=$A52)*('DAILY ENTRY'!$B$7:$B$1203=$B52)*('DAILY ENTRY'!$I$7:$I$1203="Meeting booked"),0),0)),IFERROR(INDEX('DAILY ENTRY'!$E$7:$E$1203,MATCH(1,INDEX(('DAILY ENTRY'!$A$7:$A$1203=$A52)*('DAILY ENTRY'!$B$7:$B$1203=$B52)*('DAILY ENTRY'!$I$7:$I$1203="Positive reply"),0),0)),"")))</f>
        <v/>
      </c>
      <c r="N52" s="108" t="str">
        <f aca="false">IF($A52="","",IFERROR(INDEX('DAILY ENTRY'!$J$7:$J$1203,MATCH(1,INDEX(('DAILY ENTRY'!$A$7:$A$1203=$A52)*('DAILY ENTRY'!$B$7:$B$1203=$B52)*('DAILY ENTRY'!$I$7:$I$1203="Blocked"),0),0)),""))</f>
        <v/>
      </c>
      <c r="O52" s="65" t="str">
        <f aca="false">IF($A52="","",(D52&gt;='START HERE'!$B$25)+(E52&gt;='START HERE'!$B$26)+(F52&gt;='START HERE'!$B$27)+(G52&gt;='START HERE'!$B$28)+(H52&gt;='START HERE'!$B$29)+(I52&gt;='START HERE'!$B$30)+(J52&gt;='START HERE'!$B$31)+(K52&gt;='START HERE'!$B$32))</f>
        <v/>
      </c>
      <c r="P52" s="46" t="str">
        <f aca="false">IF($A52="","",IF(O52&gt;=7,"Full day",IF(O52&gt;=5,"Most targets met",IF(O52&gt;=3,"Half day","Below plan - explain in the blocker column"))))</f>
        <v/>
      </c>
    </row>
    <row r="53" customFormat="false" ht="24" hidden="false" customHeight="true" outlineLevel="0" collapsed="false">
      <c r="A53" s="36"/>
      <c r="B53" s="37"/>
      <c r="C53" s="107" t="str">
        <f aca="false">IF($A53="","",ROUND(SUMIFS('DAILY ENTRY'!$G$7:$G$1203,'DAILY ENTRY'!$A$7:$A$1203,$A53,'DAILY ENTRY'!$B$7:$B$1203,$B53)/60,1))</f>
        <v/>
      </c>
      <c r="D53" s="107" t="str">
        <f aca="false">IF($A53="","",SUMIFS('DAILY ENTRY'!$F$7:$F$1203,'DAILY ENTRY'!$A$7:$A$1203,$A53,'DAILY ENTRY'!$B$7:$B$1203,$B53,'DAILY ENTRY'!$D$7:$D$1203,"Lead researched (Sales Navigator)"))</f>
        <v/>
      </c>
      <c r="E53" s="107" t="str">
        <f aca="false">IF($A53="","",SUMIFS('DAILY ENTRY'!$F$7:$F$1203,'DAILY ENTRY'!$A$7:$A$1203,$A53,'DAILY ENTRY'!$B$7:$B$1203,$B53,'DAILY ENTRY'!$D$7:$D$1203,"Connection request sent"))</f>
        <v/>
      </c>
      <c r="F53" s="107" t="str">
        <f aca="false">IF($A53="","",SUMIFS('DAILY ENTRY'!$F$7:$F$1203,'DAILY ENTRY'!$A$7:$A$1203,$A53,'DAILY ENTRY'!$B$7:$B$1203,$B53,'DAILY ENTRY'!$D$7:$D$1203,"First message sent"))</f>
        <v/>
      </c>
      <c r="G53" s="107" t="str">
        <f aca="false">IF($A53="","",SUMIFS('DAILY ENTRY'!$F$7:$F$1203,'DAILY ENTRY'!$A$7:$A$1203,$A53,'DAILY ENTRY'!$B$7:$B$1203,$B53,'DAILY ENTRY'!$D$7:$D$1203,"Follow-up message sent"))</f>
        <v/>
      </c>
      <c r="H53" s="107" t="str">
        <f aca="false">IF($A53="","",SUMIFS('DAILY ENTRY'!$F$7:$F$1203,'DAILY ENTRY'!$A$7:$A$1203,$A53,'DAILY ENTRY'!$B$7:$B$1203,$B53,'DAILY ENTRY'!$D$7:$D$1203,"Post / content published"))</f>
        <v/>
      </c>
      <c r="I53" s="107" t="str">
        <f aca="false">IF($A53="","",SUMIFS('DAILY ENTRY'!$F$7:$F$1203,'DAILY ENTRY'!$A$7:$A$1203,$A53,'DAILY ENTRY'!$B$7:$B$1203,$B53,'DAILY ENTRY'!$D$7:$D$1203,"Community answer or comment"))</f>
        <v/>
      </c>
      <c r="J53" s="107" t="str">
        <f aca="false">IF($A53="","",SUMIFS('DAILY ENTRY'!$F$7:$F$1203,'DAILY ENTRY'!$A$7:$A$1203,$A53,'DAILY ENTRY'!$B$7:$B$1203,$B53,'DAILY ENTRY'!$D$7:$D$1203,"Partnership / PR contact"))</f>
        <v/>
      </c>
      <c r="K53" s="107" t="str">
        <f aca="false">IF($A53="","",SUMIFS('DAILY ENTRY'!$F$7:$F$1203,'DAILY ENTRY'!$A$7:$A$1203,$A53,'DAILY ENTRY'!$B$7:$B$1203,$B53,'DAILY ENTRY'!$D$7:$D$1203,"Engagement (commented on someone else)"))</f>
        <v/>
      </c>
      <c r="L53" s="107" t="str">
        <f aca="false">IF($A53="","",SUMIFS('DAILY ENTRY'!$F$7:$F$1203,'DAILY ENTRY'!$A$7:$A$1203,$A53,'DAILY ENTRY'!$B$7:$B$1203,$B53,'DAILY ENTRY'!$D$7:$D$1203,"Account created / profile completed"))</f>
        <v/>
      </c>
      <c r="M53" s="108" t="str">
        <f aca="false">IF($A53="","",IFERROR(INDEX('DAILY ENTRY'!$E$7:$E$1203,MATCH(1,INDEX(('DAILY ENTRY'!$A$7:$A$1203=$A53)*('DAILY ENTRY'!$B$7:$B$1203=$B53)*('DAILY ENTRY'!$I$7:$I$1203="Meeting booked"),0),0)),IFERROR(INDEX('DAILY ENTRY'!$E$7:$E$1203,MATCH(1,INDEX(('DAILY ENTRY'!$A$7:$A$1203=$A53)*('DAILY ENTRY'!$B$7:$B$1203=$B53)*('DAILY ENTRY'!$I$7:$I$1203="Positive reply"),0),0)),"")))</f>
        <v/>
      </c>
      <c r="N53" s="108" t="str">
        <f aca="false">IF($A53="","",IFERROR(INDEX('DAILY ENTRY'!$J$7:$J$1203,MATCH(1,INDEX(('DAILY ENTRY'!$A$7:$A$1203=$A53)*('DAILY ENTRY'!$B$7:$B$1203=$B53)*('DAILY ENTRY'!$I$7:$I$1203="Blocked"),0),0)),""))</f>
        <v/>
      </c>
      <c r="O53" s="65" t="str">
        <f aca="false">IF($A53="","",(D53&gt;='START HERE'!$B$25)+(E53&gt;='START HERE'!$B$26)+(F53&gt;='START HERE'!$B$27)+(G53&gt;='START HERE'!$B$28)+(H53&gt;='START HERE'!$B$29)+(I53&gt;='START HERE'!$B$30)+(J53&gt;='START HERE'!$B$31)+(K53&gt;='START HERE'!$B$32))</f>
        <v/>
      </c>
      <c r="P53" s="46" t="str">
        <f aca="false">IF($A53="","",IF(O53&gt;=7,"Full day",IF(O53&gt;=5,"Most targets met",IF(O53&gt;=3,"Half day","Below plan - explain in the blocker column"))))</f>
        <v/>
      </c>
    </row>
    <row r="54" customFormat="false" ht="24" hidden="false" customHeight="true" outlineLevel="0" collapsed="false">
      <c r="A54" s="36"/>
      <c r="B54" s="37"/>
      <c r="C54" s="107" t="str">
        <f aca="false">IF($A54="","",ROUND(SUMIFS('DAILY ENTRY'!$G$7:$G$1203,'DAILY ENTRY'!$A$7:$A$1203,$A54,'DAILY ENTRY'!$B$7:$B$1203,$B54)/60,1))</f>
        <v/>
      </c>
      <c r="D54" s="107" t="str">
        <f aca="false">IF($A54="","",SUMIFS('DAILY ENTRY'!$F$7:$F$1203,'DAILY ENTRY'!$A$7:$A$1203,$A54,'DAILY ENTRY'!$B$7:$B$1203,$B54,'DAILY ENTRY'!$D$7:$D$1203,"Lead researched (Sales Navigator)"))</f>
        <v/>
      </c>
      <c r="E54" s="107" t="str">
        <f aca="false">IF($A54="","",SUMIFS('DAILY ENTRY'!$F$7:$F$1203,'DAILY ENTRY'!$A$7:$A$1203,$A54,'DAILY ENTRY'!$B$7:$B$1203,$B54,'DAILY ENTRY'!$D$7:$D$1203,"Connection request sent"))</f>
        <v/>
      </c>
      <c r="F54" s="107" t="str">
        <f aca="false">IF($A54="","",SUMIFS('DAILY ENTRY'!$F$7:$F$1203,'DAILY ENTRY'!$A$7:$A$1203,$A54,'DAILY ENTRY'!$B$7:$B$1203,$B54,'DAILY ENTRY'!$D$7:$D$1203,"First message sent"))</f>
        <v/>
      </c>
      <c r="G54" s="107" t="str">
        <f aca="false">IF($A54="","",SUMIFS('DAILY ENTRY'!$F$7:$F$1203,'DAILY ENTRY'!$A$7:$A$1203,$A54,'DAILY ENTRY'!$B$7:$B$1203,$B54,'DAILY ENTRY'!$D$7:$D$1203,"Follow-up message sent"))</f>
        <v/>
      </c>
      <c r="H54" s="107" t="str">
        <f aca="false">IF($A54="","",SUMIFS('DAILY ENTRY'!$F$7:$F$1203,'DAILY ENTRY'!$A$7:$A$1203,$A54,'DAILY ENTRY'!$B$7:$B$1203,$B54,'DAILY ENTRY'!$D$7:$D$1203,"Post / content published"))</f>
        <v/>
      </c>
      <c r="I54" s="107" t="str">
        <f aca="false">IF($A54="","",SUMIFS('DAILY ENTRY'!$F$7:$F$1203,'DAILY ENTRY'!$A$7:$A$1203,$A54,'DAILY ENTRY'!$B$7:$B$1203,$B54,'DAILY ENTRY'!$D$7:$D$1203,"Community answer or comment"))</f>
        <v/>
      </c>
      <c r="J54" s="107" t="str">
        <f aca="false">IF($A54="","",SUMIFS('DAILY ENTRY'!$F$7:$F$1203,'DAILY ENTRY'!$A$7:$A$1203,$A54,'DAILY ENTRY'!$B$7:$B$1203,$B54,'DAILY ENTRY'!$D$7:$D$1203,"Partnership / PR contact"))</f>
        <v/>
      </c>
      <c r="K54" s="107" t="str">
        <f aca="false">IF($A54="","",SUMIFS('DAILY ENTRY'!$F$7:$F$1203,'DAILY ENTRY'!$A$7:$A$1203,$A54,'DAILY ENTRY'!$B$7:$B$1203,$B54,'DAILY ENTRY'!$D$7:$D$1203,"Engagement (commented on someone else)"))</f>
        <v/>
      </c>
      <c r="L54" s="107" t="str">
        <f aca="false">IF($A54="","",SUMIFS('DAILY ENTRY'!$F$7:$F$1203,'DAILY ENTRY'!$A$7:$A$1203,$A54,'DAILY ENTRY'!$B$7:$B$1203,$B54,'DAILY ENTRY'!$D$7:$D$1203,"Account created / profile completed"))</f>
        <v/>
      </c>
      <c r="M54" s="108" t="str">
        <f aca="false">IF($A54="","",IFERROR(INDEX('DAILY ENTRY'!$E$7:$E$1203,MATCH(1,INDEX(('DAILY ENTRY'!$A$7:$A$1203=$A54)*('DAILY ENTRY'!$B$7:$B$1203=$B54)*('DAILY ENTRY'!$I$7:$I$1203="Meeting booked"),0),0)),IFERROR(INDEX('DAILY ENTRY'!$E$7:$E$1203,MATCH(1,INDEX(('DAILY ENTRY'!$A$7:$A$1203=$A54)*('DAILY ENTRY'!$B$7:$B$1203=$B54)*('DAILY ENTRY'!$I$7:$I$1203="Positive reply"),0),0)),"")))</f>
        <v/>
      </c>
      <c r="N54" s="108" t="str">
        <f aca="false">IF($A54="","",IFERROR(INDEX('DAILY ENTRY'!$J$7:$J$1203,MATCH(1,INDEX(('DAILY ENTRY'!$A$7:$A$1203=$A54)*('DAILY ENTRY'!$B$7:$B$1203=$B54)*('DAILY ENTRY'!$I$7:$I$1203="Blocked"),0),0)),""))</f>
        <v/>
      </c>
      <c r="O54" s="65" t="str">
        <f aca="false">IF($A54="","",(D54&gt;='START HERE'!$B$25)+(E54&gt;='START HERE'!$B$26)+(F54&gt;='START HERE'!$B$27)+(G54&gt;='START HERE'!$B$28)+(H54&gt;='START HERE'!$B$29)+(I54&gt;='START HERE'!$B$30)+(J54&gt;='START HERE'!$B$31)+(K54&gt;='START HERE'!$B$32))</f>
        <v/>
      </c>
      <c r="P54" s="46" t="str">
        <f aca="false">IF($A54="","",IF(O54&gt;=7,"Full day",IF(O54&gt;=5,"Most targets met",IF(O54&gt;=3,"Half day","Below plan - explain in the blocker column"))))</f>
        <v/>
      </c>
    </row>
    <row r="55" customFormat="false" ht="24" hidden="false" customHeight="true" outlineLevel="0" collapsed="false">
      <c r="A55" s="36"/>
      <c r="B55" s="37"/>
      <c r="C55" s="107" t="str">
        <f aca="false">IF($A55="","",ROUND(SUMIFS('DAILY ENTRY'!$G$7:$G$1203,'DAILY ENTRY'!$A$7:$A$1203,$A55,'DAILY ENTRY'!$B$7:$B$1203,$B55)/60,1))</f>
        <v/>
      </c>
      <c r="D55" s="107" t="str">
        <f aca="false">IF($A55="","",SUMIFS('DAILY ENTRY'!$F$7:$F$1203,'DAILY ENTRY'!$A$7:$A$1203,$A55,'DAILY ENTRY'!$B$7:$B$1203,$B55,'DAILY ENTRY'!$D$7:$D$1203,"Lead researched (Sales Navigator)"))</f>
        <v/>
      </c>
      <c r="E55" s="107" t="str">
        <f aca="false">IF($A55="","",SUMIFS('DAILY ENTRY'!$F$7:$F$1203,'DAILY ENTRY'!$A$7:$A$1203,$A55,'DAILY ENTRY'!$B$7:$B$1203,$B55,'DAILY ENTRY'!$D$7:$D$1203,"Connection request sent"))</f>
        <v/>
      </c>
      <c r="F55" s="107" t="str">
        <f aca="false">IF($A55="","",SUMIFS('DAILY ENTRY'!$F$7:$F$1203,'DAILY ENTRY'!$A$7:$A$1203,$A55,'DAILY ENTRY'!$B$7:$B$1203,$B55,'DAILY ENTRY'!$D$7:$D$1203,"First message sent"))</f>
        <v/>
      </c>
      <c r="G55" s="107" t="str">
        <f aca="false">IF($A55="","",SUMIFS('DAILY ENTRY'!$F$7:$F$1203,'DAILY ENTRY'!$A$7:$A$1203,$A55,'DAILY ENTRY'!$B$7:$B$1203,$B55,'DAILY ENTRY'!$D$7:$D$1203,"Follow-up message sent"))</f>
        <v/>
      </c>
      <c r="H55" s="107" t="str">
        <f aca="false">IF($A55="","",SUMIFS('DAILY ENTRY'!$F$7:$F$1203,'DAILY ENTRY'!$A$7:$A$1203,$A55,'DAILY ENTRY'!$B$7:$B$1203,$B55,'DAILY ENTRY'!$D$7:$D$1203,"Post / content published"))</f>
        <v/>
      </c>
      <c r="I55" s="107" t="str">
        <f aca="false">IF($A55="","",SUMIFS('DAILY ENTRY'!$F$7:$F$1203,'DAILY ENTRY'!$A$7:$A$1203,$A55,'DAILY ENTRY'!$B$7:$B$1203,$B55,'DAILY ENTRY'!$D$7:$D$1203,"Community answer or comment"))</f>
        <v/>
      </c>
      <c r="J55" s="107" t="str">
        <f aca="false">IF($A55="","",SUMIFS('DAILY ENTRY'!$F$7:$F$1203,'DAILY ENTRY'!$A$7:$A$1203,$A55,'DAILY ENTRY'!$B$7:$B$1203,$B55,'DAILY ENTRY'!$D$7:$D$1203,"Partnership / PR contact"))</f>
        <v/>
      </c>
      <c r="K55" s="107" t="str">
        <f aca="false">IF($A55="","",SUMIFS('DAILY ENTRY'!$F$7:$F$1203,'DAILY ENTRY'!$A$7:$A$1203,$A55,'DAILY ENTRY'!$B$7:$B$1203,$B55,'DAILY ENTRY'!$D$7:$D$1203,"Engagement (commented on someone else)"))</f>
        <v/>
      </c>
      <c r="L55" s="107" t="str">
        <f aca="false">IF($A55="","",SUMIFS('DAILY ENTRY'!$F$7:$F$1203,'DAILY ENTRY'!$A$7:$A$1203,$A55,'DAILY ENTRY'!$B$7:$B$1203,$B55,'DAILY ENTRY'!$D$7:$D$1203,"Account created / profile completed"))</f>
        <v/>
      </c>
      <c r="M55" s="108" t="str">
        <f aca="false">IF($A55="","",IFERROR(INDEX('DAILY ENTRY'!$E$7:$E$1203,MATCH(1,INDEX(('DAILY ENTRY'!$A$7:$A$1203=$A55)*('DAILY ENTRY'!$B$7:$B$1203=$B55)*('DAILY ENTRY'!$I$7:$I$1203="Meeting booked"),0),0)),IFERROR(INDEX('DAILY ENTRY'!$E$7:$E$1203,MATCH(1,INDEX(('DAILY ENTRY'!$A$7:$A$1203=$A55)*('DAILY ENTRY'!$B$7:$B$1203=$B55)*('DAILY ENTRY'!$I$7:$I$1203="Positive reply"),0),0)),"")))</f>
        <v/>
      </c>
      <c r="N55" s="108" t="str">
        <f aca="false">IF($A55="","",IFERROR(INDEX('DAILY ENTRY'!$J$7:$J$1203,MATCH(1,INDEX(('DAILY ENTRY'!$A$7:$A$1203=$A55)*('DAILY ENTRY'!$B$7:$B$1203=$B55)*('DAILY ENTRY'!$I$7:$I$1203="Blocked"),0),0)),""))</f>
        <v/>
      </c>
      <c r="O55" s="65" t="str">
        <f aca="false">IF($A55="","",(D55&gt;='START HERE'!$B$25)+(E55&gt;='START HERE'!$B$26)+(F55&gt;='START HERE'!$B$27)+(G55&gt;='START HERE'!$B$28)+(H55&gt;='START HERE'!$B$29)+(I55&gt;='START HERE'!$B$30)+(J55&gt;='START HERE'!$B$31)+(K55&gt;='START HERE'!$B$32))</f>
        <v/>
      </c>
      <c r="P55" s="46" t="str">
        <f aca="false">IF($A55="","",IF(O55&gt;=7,"Full day",IF(O55&gt;=5,"Most targets met",IF(O55&gt;=3,"Half day","Below plan - explain in the blocker column"))))</f>
        <v/>
      </c>
    </row>
    <row r="56" customFormat="false" ht="24" hidden="false" customHeight="true" outlineLevel="0" collapsed="false">
      <c r="A56" s="36"/>
      <c r="B56" s="37"/>
      <c r="C56" s="107" t="str">
        <f aca="false">IF($A56="","",ROUND(SUMIFS('DAILY ENTRY'!$G$7:$G$1203,'DAILY ENTRY'!$A$7:$A$1203,$A56,'DAILY ENTRY'!$B$7:$B$1203,$B56)/60,1))</f>
        <v/>
      </c>
      <c r="D56" s="107" t="str">
        <f aca="false">IF($A56="","",SUMIFS('DAILY ENTRY'!$F$7:$F$1203,'DAILY ENTRY'!$A$7:$A$1203,$A56,'DAILY ENTRY'!$B$7:$B$1203,$B56,'DAILY ENTRY'!$D$7:$D$1203,"Lead researched (Sales Navigator)"))</f>
        <v/>
      </c>
      <c r="E56" s="107" t="str">
        <f aca="false">IF($A56="","",SUMIFS('DAILY ENTRY'!$F$7:$F$1203,'DAILY ENTRY'!$A$7:$A$1203,$A56,'DAILY ENTRY'!$B$7:$B$1203,$B56,'DAILY ENTRY'!$D$7:$D$1203,"Connection request sent"))</f>
        <v/>
      </c>
      <c r="F56" s="107" t="str">
        <f aca="false">IF($A56="","",SUMIFS('DAILY ENTRY'!$F$7:$F$1203,'DAILY ENTRY'!$A$7:$A$1203,$A56,'DAILY ENTRY'!$B$7:$B$1203,$B56,'DAILY ENTRY'!$D$7:$D$1203,"First message sent"))</f>
        <v/>
      </c>
      <c r="G56" s="107" t="str">
        <f aca="false">IF($A56="","",SUMIFS('DAILY ENTRY'!$F$7:$F$1203,'DAILY ENTRY'!$A$7:$A$1203,$A56,'DAILY ENTRY'!$B$7:$B$1203,$B56,'DAILY ENTRY'!$D$7:$D$1203,"Follow-up message sent"))</f>
        <v/>
      </c>
      <c r="H56" s="107" t="str">
        <f aca="false">IF($A56="","",SUMIFS('DAILY ENTRY'!$F$7:$F$1203,'DAILY ENTRY'!$A$7:$A$1203,$A56,'DAILY ENTRY'!$B$7:$B$1203,$B56,'DAILY ENTRY'!$D$7:$D$1203,"Post / content published"))</f>
        <v/>
      </c>
      <c r="I56" s="107" t="str">
        <f aca="false">IF($A56="","",SUMIFS('DAILY ENTRY'!$F$7:$F$1203,'DAILY ENTRY'!$A$7:$A$1203,$A56,'DAILY ENTRY'!$B$7:$B$1203,$B56,'DAILY ENTRY'!$D$7:$D$1203,"Community answer or comment"))</f>
        <v/>
      </c>
      <c r="J56" s="107" t="str">
        <f aca="false">IF($A56="","",SUMIFS('DAILY ENTRY'!$F$7:$F$1203,'DAILY ENTRY'!$A$7:$A$1203,$A56,'DAILY ENTRY'!$B$7:$B$1203,$B56,'DAILY ENTRY'!$D$7:$D$1203,"Partnership / PR contact"))</f>
        <v/>
      </c>
      <c r="K56" s="107" t="str">
        <f aca="false">IF($A56="","",SUMIFS('DAILY ENTRY'!$F$7:$F$1203,'DAILY ENTRY'!$A$7:$A$1203,$A56,'DAILY ENTRY'!$B$7:$B$1203,$B56,'DAILY ENTRY'!$D$7:$D$1203,"Engagement (commented on someone else)"))</f>
        <v/>
      </c>
      <c r="L56" s="107" t="str">
        <f aca="false">IF($A56="","",SUMIFS('DAILY ENTRY'!$F$7:$F$1203,'DAILY ENTRY'!$A$7:$A$1203,$A56,'DAILY ENTRY'!$B$7:$B$1203,$B56,'DAILY ENTRY'!$D$7:$D$1203,"Account created / profile completed"))</f>
        <v/>
      </c>
      <c r="M56" s="108" t="str">
        <f aca="false">IF($A56="","",IFERROR(INDEX('DAILY ENTRY'!$E$7:$E$1203,MATCH(1,INDEX(('DAILY ENTRY'!$A$7:$A$1203=$A56)*('DAILY ENTRY'!$B$7:$B$1203=$B56)*('DAILY ENTRY'!$I$7:$I$1203="Meeting booked"),0),0)),IFERROR(INDEX('DAILY ENTRY'!$E$7:$E$1203,MATCH(1,INDEX(('DAILY ENTRY'!$A$7:$A$1203=$A56)*('DAILY ENTRY'!$B$7:$B$1203=$B56)*('DAILY ENTRY'!$I$7:$I$1203="Positive reply"),0),0)),"")))</f>
        <v/>
      </c>
      <c r="N56" s="108" t="str">
        <f aca="false">IF($A56="","",IFERROR(INDEX('DAILY ENTRY'!$J$7:$J$1203,MATCH(1,INDEX(('DAILY ENTRY'!$A$7:$A$1203=$A56)*('DAILY ENTRY'!$B$7:$B$1203=$B56)*('DAILY ENTRY'!$I$7:$I$1203="Blocked"),0),0)),""))</f>
        <v/>
      </c>
      <c r="O56" s="65" t="str">
        <f aca="false">IF($A56="","",(D56&gt;='START HERE'!$B$25)+(E56&gt;='START HERE'!$B$26)+(F56&gt;='START HERE'!$B$27)+(G56&gt;='START HERE'!$B$28)+(H56&gt;='START HERE'!$B$29)+(I56&gt;='START HERE'!$B$30)+(J56&gt;='START HERE'!$B$31)+(K56&gt;='START HERE'!$B$32))</f>
        <v/>
      </c>
      <c r="P56" s="46" t="str">
        <f aca="false">IF($A56="","",IF(O56&gt;=7,"Full day",IF(O56&gt;=5,"Most targets met",IF(O56&gt;=3,"Half day","Below plan - explain in the blocker column"))))</f>
        <v/>
      </c>
    </row>
    <row r="57" customFormat="false" ht="24" hidden="false" customHeight="true" outlineLevel="0" collapsed="false">
      <c r="A57" s="36"/>
      <c r="B57" s="37"/>
      <c r="C57" s="107" t="str">
        <f aca="false">IF($A57="","",ROUND(SUMIFS('DAILY ENTRY'!$G$7:$G$1203,'DAILY ENTRY'!$A$7:$A$1203,$A57,'DAILY ENTRY'!$B$7:$B$1203,$B57)/60,1))</f>
        <v/>
      </c>
      <c r="D57" s="107" t="str">
        <f aca="false">IF($A57="","",SUMIFS('DAILY ENTRY'!$F$7:$F$1203,'DAILY ENTRY'!$A$7:$A$1203,$A57,'DAILY ENTRY'!$B$7:$B$1203,$B57,'DAILY ENTRY'!$D$7:$D$1203,"Lead researched (Sales Navigator)"))</f>
        <v/>
      </c>
      <c r="E57" s="107" t="str">
        <f aca="false">IF($A57="","",SUMIFS('DAILY ENTRY'!$F$7:$F$1203,'DAILY ENTRY'!$A$7:$A$1203,$A57,'DAILY ENTRY'!$B$7:$B$1203,$B57,'DAILY ENTRY'!$D$7:$D$1203,"Connection request sent"))</f>
        <v/>
      </c>
      <c r="F57" s="107" t="str">
        <f aca="false">IF($A57="","",SUMIFS('DAILY ENTRY'!$F$7:$F$1203,'DAILY ENTRY'!$A$7:$A$1203,$A57,'DAILY ENTRY'!$B$7:$B$1203,$B57,'DAILY ENTRY'!$D$7:$D$1203,"First message sent"))</f>
        <v/>
      </c>
      <c r="G57" s="107" t="str">
        <f aca="false">IF($A57="","",SUMIFS('DAILY ENTRY'!$F$7:$F$1203,'DAILY ENTRY'!$A$7:$A$1203,$A57,'DAILY ENTRY'!$B$7:$B$1203,$B57,'DAILY ENTRY'!$D$7:$D$1203,"Follow-up message sent"))</f>
        <v/>
      </c>
      <c r="H57" s="107" t="str">
        <f aca="false">IF($A57="","",SUMIFS('DAILY ENTRY'!$F$7:$F$1203,'DAILY ENTRY'!$A$7:$A$1203,$A57,'DAILY ENTRY'!$B$7:$B$1203,$B57,'DAILY ENTRY'!$D$7:$D$1203,"Post / content published"))</f>
        <v/>
      </c>
      <c r="I57" s="107" t="str">
        <f aca="false">IF($A57="","",SUMIFS('DAILY ENTRY'!$F$7:$F$1203,'DAILY ENTRY'!$A$7:$A$1203,$A57,'DAILY ENTRY'!$B$7:$B$1203,$B57,'DAILY ENTRY'!$D$7:$D$1203,"Community answer or comment"))</f>
        <v/>
      </c>
      <c r="J57" s="107" t="str">
        <f aca="false">IF($A57="","",SUMIFS('DAILY ENTRY'!$F$7:$F$1203,'DAILY ENTRY'!$A$7:$A$1203,$A57,'DAILY ENTRY'!$B$7:$B$1203,$B57,'DAILY ENTRY'!$D$7:$D$1203,"Partnership / PR contact"))</f>
        <v/>
      </c>
      <c r="K57" s="107" t="str">
        <f aca="false">IF($A57="","",SUMIFS('DAILY ENTRY'!$F$7:$F$1203,'DAILY ENTRY'!$A$7:$A$1203,$A57,'DAILY ENTRY'!$B$7:$B$1203,$B57,'DAILY ENTRY'!$D$7:$D$1203,"Engagement (commented on someone else)"))</f>
        <v/>
      </c>
      <c r="L57" s="107" t="str">
        <f aca="false">IF($A57="","",SUMIFS('DAILY ENTRY'!$F$7:$F$1203,'DAILY ENTRY'!$A$7:$A$1203,$A57,'DAILY ENTRY'!$B$7:$B$1203,$B57,'DAILY ENTRY'!$D$7:$D$1203,"Account created / profile completed"))</f>
        <v/>
      </c>
      <c r="M57" s="108" t="str">
        <f aca="false">IF($A57="","",IFERROR(INDEX('DAILY ENTRY'!$E$7:$E$1203,MATCH(1,INDEX(('DAILY ENTRY'!$A$7:$A$1203=$A57)*('DAILY ENTRY'!$B$7:$B$1203=$B57)*('DAILY ENTRY'!$I$7:$I$1203="Meeting booked"),0),0)),IFERROR(INDEX('DAILY ENTRY'!$E$7:$E$1203,MATCH(1,INDEX(('DAILY ENTRY'!$A$7:$A$1203=$A57)*('DAILY ENTRY'!$B$7:$B$1203=$B57)*('DAILY ENTRY'!$I$7:$I$1203="Positive reply"),0),0)),"")))</f>
        <v/>
      </c>
      <c r="N57" s="108" t="str">
        <f aca="false">IF($A57="","",IFERROR(INDEX('DAILY ENTRY'!$J$7:$J$1203,MATCH(1,INDEX(('DAILY ENTRY'!$A$7:$A$1203=$A57)*('DAILY ENTRY'!$B$7:$B$1203=$B57)*('DAILY ENTRY'!$I$7:$I$1203="Blocked"),0),0)),""))</f>
        <v/>
      </c>
      <c r="O57" s="65" t="str">
        <f aca="false">IF($A57="","",(D57&gt;='START HERE'!$B$25)+(E57&gt;='START HERE'!$B$26)+(F57&gt;='START HERE'!$B$27)+(G57&gt;='START HERE'!$B$28)+(H57&gt;='START HERE'!$B$29)+(I57&gt;='START HERE'!$B$30)+(J57&gt;='START HERE'!$B$31)+(K57&gt;='START HERE'!$B$32))</f>
        <v/>
      </c>
      <c r="P57" s="46" t="str">
        <f aca="false">IF($A57="","",IF(O57&gt;=7,"Full day",IF(O57&gt;=5,"Most targets met",IF(O57&gt;=3,"Half day","Below plan - explain in the blocker column"))))</f>
        <v/>
      </c>
    </row>
    <row r="58" customFormat="false" ht="24" hidden="false" customHeight="true" outlineLevel="0" collapsed="false">
      <c r="A58" s="36"/>
      <c r="B58" s="37"/>
      <c r="C58" s="107" t="str">
        <f aca="false">IF($A58="","",ROUND(SUMIFS('DAILY ENTRY'!$G$7:$G$1203,'DAILY ENTRY'!$A$7:$A$1203,$A58,'DAILY ENTRY'!$B$7:$B$1203,$B58)/60,1))</f>
        <v/>
      </c>
      <c r="D58" s="107" t="str">
        <f aca="false">IF($A58="","",SUMIFS('DAILY ENTRY'!$F$7:$F$1203,'DAILY ENTRY'!$A$7:$A$1203,$A58,'DAILY ENTRY'!$B$7:$B$1203,$B58,'DAILY ENTRY'!$D$7:$D$1203,"Lead researched (Sales Navigator)"))</f>
        <v/>
      </c>
      <c r="E58" s="107" t="str">
        <f aca="false">IF($A58="","",SUMIFS('DAILY ENTRY'!$F$7:$F$1203,'DAILY ENTRY'!$A$7:$A$1203,$A58,'DAILY ENTRY'!$B$7:$B$1203,$B58,'DAILY ENTRY'!$D$7:$D$1203,"Connection request sent"))</f>
        <v/>
      </c>
      <c r="F58" s="107" t="str">
        <f aca="false">IF($A58="","",SUMIFS('DAILY ENTRY'!$F$7:$F$1203,'DAILY ENTRY'!$A$7:$A$1203,$A58,'DAILY ENTRY'!$B$7:$B$1203,$B58,'DAILY ENTRY'!$D$7:$D$1203,"First message sent"))</f>
        <v/>
      </c>
      <c r="G58" s="107" t="str">
        <f aca="false">IF($A58="","",SUMIFS('DAILY ENTRY'!$F$7:$F$1203,'DAILY ENTRY'!$A$7:$A$1203,$A58,'DAILY ENTRY'!$B$7:$B$1203,$B58,'DAILY ENTRY'!$D$7:$D$1203,"Follow-up message sent"))</f>
        <v/>
      </c>
      <c r="H58" s="107" t="str">
        <f aca="false">IF($A58="","",SUMIFS('DAILY ENTRY'!$F$7:$F$1203,'DAILY ENTRY'!$A$7:$A$1203,$A58,'DAILY ENTRY'!$B$7:$B$1203,$B58,'DAILY ENTRY'!$D$7:$D$1203,"Post / content published"))</f>
        <v/>
      </c>
      <c r="I58" s="107" t="str">
        <f aca="false">IF($A58="","",SUMIFS('DAILY ENTRY'!$F$7:$F$1203,'DAILY ENTRY'!$A$7:$A$1203,$A58,'DAILY ENTRY'!$B$7:$B$1203,$B58,'DAILY ENTRY'!$D$7:$D$1203,"Community answer or comment"))</f>
        <v/>
      </c>
      <c r="J58" s="107" t="str">
        <f aca="false">IF($A58="","",SUMIFS('DAILY ENTRY'!$F$7:$F$1203,'DAILY ENTRY'!$A$7:$A$1203,$A58,'DAILY ENTRY'!$B$7:$B$1203,$B58,'DAILY ENTRY'!$D$7:$D$1203,"Partnership / PR contact"))</f>
        <v/>
      </c>
      <c r="K58" s="107" t="str">
        <f aca="false">IF($A58="","",SUMIFS('DAILY ENTRY'!$F$7:$F$1203,'DAILY ENTRY'!$A$7:$A$1203,$A58,'DAILY ENTRY'!$B$7:$B$1203,$B58,'DAILY ENTRY'!$D$7:$D$1203,"Engagement (commented on someone else)"))</f>
        <v/>
      </c>
      <c r="L58" s="107" t="str">
        <f aca="false">IF($A58="","",SUMIFS('DAILY ENTRY'!$F$7:$F$1203,'DAILY ENTRY'!$A$7:$A$1203,$A58,'DAILY ENTRY'!$B$7:$B$1203,$B58,'DAILY ENTRY'!$D$7:$D$1203,"Account created / profile completed"))</f>
        <v/>
      </c>
      <c r="M58" s="108" t="str">
        <f aca="false">IF($A58="","",IFERROR(INDEX('DAILY ENTRY'!$E$7:$E$1203,MATCH(1,INDEX(('DAILY ENTRY'!$A$7:$A$1203=$A58)*('DAILY ENTRY'!$B$7:$B$1203=$B58)*('DAILY ENTRY'!$I$7:$I$1203="Meeting booked"),0),0)),IFERROR(INDEX('DAILY ENTRY'!$E$7:$E$1203,MATCH(1,INDEX(('DAILY ENTRY'!$A$7:$A$1203=$A58)*('DAILY ENTRY'!$B$7:$B$1203=$B58)*('DAILY ENTRY'!$I$7:$I$1203="Positive reply"),0),0)),"")))</f>
        <v/>
      </c>
      <c r="N58" s="108" t="str">
        <f aca="false">IF($A58="","",IFERROR(INDEX('DAILY ENTRY'!$J$7:$J$1203,MATCH(1,INDEX(('DAILY ENTRY'!$A$7:$A$1203=$A58)*('DAILY ENTRY'!$B$7:$B$1203=$B58)*('DAILY ENTRY'!$I$7:$I$1203="Blocked"),0),0)),""))</f>
        <v/>
      </c>
      <c r="O58" s="65" t="str">
        <f aca="false">IF($A58="","",(D58&gt;='START HERE'!$B$25)+(E58&gt;='START HERE'!$B$26)+(F58&gt;='START HERE'!$B$27)+(G58&gt;='START HERE'!$B$28)+(H58&gt;='START HERE'!$B$29)+(I58&gt;='START HERE'!$B$30)+(J58&gt;='START HERE'!$B$31)+(K58&gt;='START HERE'!$B$32))</f>
        <v/>
      </c>
      <c r="P58" s="46" t="str">
        <f aca="false">IF($A58="","",IF(O58&gt;=7,"Full day",IF(O58&gt;=5,"Most targets met",IF(O58&gt;=3,"Half day","Below plan - explain in the blocker column"))))</f>
        <v/>
      </c>
    </row>
    <row r="59" customFormat="false" ht="24" hidden="false" customHeight="true" outlineLevel="0" collapsed="false">
      <c r="A59" s="36"/>
      <c r="B59" s="37"/>
      <c r="C59" s="107" t="str">
        <f aca="false">IF($A59="","",ROUND(SUMIFS('DAILY ENTRY'!$G$7:$G$1203,'DAILY ENTRY'!$A$7:$A$1203,$A59,'DAILY ENTRY'!$B$7:$B$1203,$B59)/60,1))</f>
        <v/>
      </c>
      <c r="D59" s="107" t="str">
        <f aca="false">IF($A59="","",SUMIFS('DAILY ENTRY'!$F$7:$F$1203,'DAILY ENTRY'!$A$7:$A$1203,$A59,'DAILY ENTRY'!$B$7:$B$1203,$B59,'DAILY ENTRY'!$D$7:$D$1203,"Lead researched (Sales Navigator)"))</f>
        <v/>
      </c>
      <c r="E59" s="107" t="str">
        <f aca="false">IF($A59="","",SUMIFS('DAILY ENTRY'!$F$7:$F$1203,'DAILY ENTRY'!$A$7:$A$1203,$A59,'DAILY ENTRY'!$B$7:$B$1203,$B59,'DAILY ENTRY'!$D$7:$D$1203,"Connection request sent"))</f>
        <v/>
      </c>
      <c r="F59" s="107" t="str">
        <f aca="false">IF($A59="","",SUMIFS('DAILY ENTRY'!$F$7:$F$1203,'DAILY ENTRY'!$A$7:$A$1203,$A59,'DAILY ENTRY'!$B$7:$B$1203,$B59,'DAILY ENTRY'!$D$7:$D$1203,"First message sent"))</f>
        <v/>
      </c>
      <c r="G59" s="107" t="str">
        <f aca="false">IF($A59="","",SUMIFS('DAILY ENTRY'!$F$7:$F$1203,'DAILY ENTRY'!$A$7:$A$1203,$A59,'DAILY ENTRY'!$B$7:$B$1203,$B59,'DAILY ENTRY'!$D$7:$D$1203,"Follow-up message sent"))</f>
        <v/>
      </c>
      <c r="H59" s="107" t="str">
        <f aca="false">IF($A59="","",SUMIFS('DAILY ENTRY'!$F$7:$F$1203,'DAILY ENTRY'!$A$7:$A$1203,$A59,'DAILY ENTRY'!$B$7:$B$1203,$B59,'DAILY ENTRY'!$D$7:$D$1203,"Post / content published"))</f>
        <v/>
      </c>
      <c r="I59" s="107" t="str">
        <f aca="false">IF($A59="","",SUMIFS('DAILY ENTRY'!$F$7:$F$1203,'DAILY ENTRY'!$A$7:$A$1203,$A59,'DAILY ENTRY'!$B$7:$B$1203,$B59,'DAILY ENTRY'!$D$7:$D$1203,"Community answer or comment"))</f>
        <v/>
      </c>
      <c r="J59" s="107" t="str">
        <f aca="false">IF($A59="","",SUMIFS('DAILY ENTRY'!$F$7:$F$1203,'DAILY ENTRY'!$A$7:$A$1203,$A59,'DAILY ENTRY'!$B$7:$B$1203,$B59,'DAILY ENTRY'!$D$7:$D$1203,"Partnership / PR contact"))</f>
        <v/>
      </c>
      <c r="K59" s="107" t="str">
        <f aca="false">IF($A59="","",SUMIFS('DAILY ENTRY'!$F$7:$F$1203,'DAILY ENTRY'!$A$7:$A$1203,$A59,'DAILY ENTRY'!$B$7:$B$1203,$B59,'DAILY ENTRY'!$D$7:$D$1203,"Engagement (commented on someone else)"))</f>
        <v/>
      </c>
      <c r="L59" s="107" t="str">
        <f aca="false">IF($A59="","",SUMIFS('DAILY ENTRY'!$F$7:$F$1203,'DAILY ENTRY'!$A$7:$A$1203,$A59,'DAILY ENTRY'!$B$7:$B$1203,$B59,'DAILY ENTRY'!$D$7:$D$1203,"Account created / profile completed"))</f>
        <v/>
      </c>
      <c r="M59" s="108" t="str">
        <f aca="false">IF($A59="","",IFERROR(INDEX('DAILY ENTRY'!$E$7:$E$1203,MATCH(1,INDEX(('DAILY ENTRY'!$A$7:$A$1203=$A59)*('DAILY ENTRY'!$B$7:$B$1203=$B59)*('DAILY ENTRY'!$I$7:$I$1203="Meeting booked"),0),0)),IFERROR(INDEX('DAILY ENTRY'!$E$7:$E$1203,MATCH(1,INDEX(('DAILY ENTRY'!$A$7:$A$1203=$A59)*('DAILY ENTRY'!$B$7:$B$1203=$B59)*('DAILY ENTRY'!$I$7:$I$1203="Positive reply"),0),0)),"")))</f>
        <v/>
      </c>
      <c r="N59" s="108" t="str">
        <f aca="false">IF($A59="","",IFERROR(INDEX('DAILY ENTRY'!$J$7:$J$1203,MATCH(1,INDEX(('DAILY ENTRY'!$A$7:$A$1203=$A59)*('DAILY ENTRY'!$B$7:$B$1203=$B59)*('DAILY ENTRY'!$I$7:$I$1203="Blocked"),0),0)),""))</f>
        <v/>
      </c>
      <c r="O59" s="65" t="str">
        <f aca="false">IF($A59="","",(D59&gt;='START HERE'!$B$25)+(E59&gt;='START HERE'!$B$26)+(F59&gt;='START HERE'!$B$27)+(G59&gt;='START HERE'!$B$28)+(H59&gt;='START HERE'!$B$29)+(I59&gt;='START HERE'!$B$30)+(J59&gt;='START HERE'!$B$31)+(K59&gt;='START HERE'!$B$32))</f>
        <v/>
      </c>
      <c r="P59" s="46" t="str">
        <f aca="false">IF($A59="","",IF(O59&gt;=7,"Full day",IF(O59&gt;=5,"Most targets met",IF(O59&gt;=3,"Half day","Below plan - explain in the blocker column"))))</f>
        <v/>
      </c>
    </row>
    <row r="60" customFormat="false" ht="24" hidden="false" customHeight="true" outlineLevel="0" collapsed="false">
      <c r="A60" s="36"/>
      <c r="B60" s="37"/>
      <c r="C60" s="107" t="str">
        <f aca="false">IF($A60="","",ROUND(SUMIFS('DAILY ENTRY'!$G$7:$G$1203,'DAILY ENTRY'!$A$7:$A$1203,$A60,'DAILY ENTRY'!$B$7:$B$1203,$B60)/60,1))</f>
        <v/>
      </c>
      <c r="D60" s="107" t="str">
        <f aca="false">IF($A60="","",SUMIFS('DAILY ENTRY'!$F$7:$F$1203,'DAILY ENTRY'!$A$7:$A$1203,$A60,'DAILY ENTRY'!$B$7:$B$1203,$B60,'DAILY ENTRY'!$D$7:$D$1203,"Lead researched (Sales Navigator)"))</f>
        <v/>
      </c>
      <c r="E60" s="107" t="str">
        <f aca="false">IF($A60="","",SUMIFS('DAILY ENTRY'!$F$7:$F$1203,'DAILY ENTRY'!$A$7:$A$1203,$A60,'DAILY ENTRY'!$B$7:$B$1203,$B60,'DAILY ENTRY'!$D$7:$D$1203,"Connection request sent"))</f>
        <v/>
      </c>
      <c r="F60" s="107" t="str">
        <f aca="false">IF($A60="","",SUMIFS('DAILY ENTRY'!$F$7:$F$1203,'DAILY ENTRY'!$A$7:$A$1203,$A60,'DAILY ENTRY'!$B$7:$B$1203,$B60,'DAILY ENTRY'!$D$7:$D$1203,"First message sent"))</f>
        <v/>
      </c>
      <c r="G60" s="107" t="str">
        <f aca="false">IF($A60="","",SUMIFS('DAILY ENTRY'!$F$7:$F$1203,'DAILY ENTRY'!$A$7:$A$1203,$A60,'DAILY ENTRY'!$B$7:$B$1203,$B60,'DAILY ENTRY'!$D$7:$D$1203,"Follow-up message sent"))</f>
        <v/>
      </c>
      <c r="H60" s="107" t="str">
        <f aca="false">IF($A60="","",SUMIFS('DAILY ENTRY'!$F$7:$F$1203,'DAILY ENTRY'!$A$7:$A$1203,$A60,'DAILY ENTRY'!$B$7:$B$1203,$B60,'DAILY ENTRY'!$D$7:$D$1203,"Post / content published"))</f>
        <v/>
      </c>
      <c r="I60" s="107" t="str">
        <f aca="false">IF($A60="","",SUMIFS('DAILY ENTRY'!$F$7:$F$1203,'DAILY ENTRY'!$A$7:$A$1203,$A60,'DAILY ENTRY'!$B$7:$B$1203,$B60,'DAILY ENTRY'!$D$7:$D$1203,"Community answer or comment"))</f>
        <v/>
      </c>
      <c r="J60" s="107" t="str">
        <f aca="false">IF($A60="","",SUMIFS('DAILY ENTRY'!$F$7:$F$1203,'DAILY ENTRY'!$A$7:$A$1203,$A60,'DAILY ENTRY'!$B$7:$B$1203,$B60,'DAILY ENTRY'!$D$7:$D$1203,"Partnership / PR contact"))</f>
        <v/>
      </c>
      <c r="K60" s="107" t="str">
        <f aca="false">IF($A60="","",SUMIFS('DAILY ENTRY'!$F$7:$F$1203,'DAILY ENTRY'!$A$7:$A$1203,$A60,'DAILY ENTRY'!$B$7:$B$1203,$B60,'DAILY ENTRY'!$D$7:$D$1203,"Engagement (commented on someone else)"))</f>
        <v/>
      </c>
      <c r="L60" s="107" t="str">
        <f aca="false">IF($A60="","",SUMIFS('DAILY ENTRY'!$F$7:$F$1203,'DAILY ENTRY'!$A$7:$A$1203,$A60,'DAILY ENTRY'!$B$7:$B$1203,$B60,'DAILY ENTRY'!$D$7:$D$1203,"Account created / profile completed"))</f>
        <v/>
      </c>
      <c r="M60" s="108" t="str">
        <f aca="false">IF($A60="","",IFERROR(INDEX('DAILY ENTRY'!$E$7:$E$1203,MATCH(1,INDEX(('DAILY ENTRY'!$A$7:$A$1203=$A60)*('DAILY ENTRY'!$B$7:$B$1203=$B60)*('DAILY ENTRY'!$I$7:$I$1203="Meeting booked"),0),0)),IFERROR(INDEX('DAILY ENTRY'!$E$7:$E$1203,MATCH(1,INDEX(('DAILY ENTRY'!$A$7:$A$1203=$A60)*('DAILY ENTRY'!$B$7:$B$1203=$B60)*('DAILY ENTRY'!$I$7:$I$1203="Positive reply"),0),0)),"")))</f>
        <v/>
      </c>
      <c r="N60" s="108" t="str">
        <f aca="false">IF($A60="","",IFERROR(INDEX('DAILY ENTRY'!$J$7:$J$1203,MATCH(1,INDEX(('DAILY ENTRY'!$A$7:$A$1203=$A60)*('DAILY ENTRY'!$B$7:$B$1203=$B60)*('DAILY ENTRY'!$I$7:$I$1203="Blocked"),0),0)),""))</f>
        <v/>
      </c>
      <c r="O60" s="65" t="str">
        <f aca="false">IF($A60="","",(D60&gt;='START HERE'!$B$25)+(E60&gt;='START HERE'!$B$26)+(F60&gt;='START HERE'!$B$27)+(G60&gt;='START HERE'!$B$28)+(H60&gt;='START HERE'!$B$29)+(I60&gt;='START HERE'!$B$30)+(J60&gt;='START HERE'!$B$31)+(K60&gt;='START HERE'!$B$32))</f>
        <v/>
      </c>
      <c r="P60" s="46" t="str">
        <f aca="false">IF($A60="","",IF(O60&gt;=7,"Full day",IF(O60&gt;=5,"Most targets met",IF(O60&gt;=3,"Half day","Below plan - explain in the blocker column"))))</f>
        <v/>
      </c>
    </row>
    <row r="61" customFormat="false" ht="24" hidden="false" customHeight="true" outlineLevel="0" collapsed="false">
      <c r="A61" s="36"/>
      <c r="B61" s="37"/>
      <c r="C61" s="107" t="str">
        <f aca="false">IF($A61="","",ROUND(SUMIFS('DAILY ENTRY'!$G$7:$G$1203,'DAILY ENTRY'!$A$7:$A$1203,$A61,'DAILY ENTRY'!$B$7:$B$1203,$B61)/60,1))</f>
        <v/>
      </c>
      <c r="D61" s="107" t="str">
        <f aca="false">IF($A61="","",SUMIFS('DAILY ENTRY'!$F$7:$F$1203,'DAILY ENTRY'!$A$7:$A$1203,$A61,'DAILY ENTRY'!$B$7:$B$1203,$B61,'DAILY ENTRY'!$D$7:$D$1203,"Lead researched (Sales Navigator)"))</f>
        <v/>
      </c>
      <c r="E61" s="107" t="str">
        <f aca="false">IF($A61="","",SUMIFS('DAILY ENTRY'!$F$7:$F$1203,'DAILY ENTRY'!$A$7:$A$1203,$A61,'DAILY ENTRY'!$B$7:$B$1203,$B61,'DAILY ENTRY'!$D$7:$D$1203,"Connection request sent"))</f>
        <v/>
      </c>
      <c r="F61" s="107" t="str">
        <f aca="false">IF($A61="","",SUMIFS('DAILY ENTRY'!$F$7:$F$1203,'DAILY ENTRY'!$A$7:$A$1203,$A61,'DAILY ENTRY'!$B$7:$B$1203,$B61,'DAILY ENTRY'!$D$7:$D$1203,"First message sent"))</f>
        <v/>
      </c>
      <c r="G61" s="107" t="str">
        <f aca="false">IF($A61="","",SUMIFS('DAILY ENTRY'!$F$7:$F$1203,'DAILY ENTRY'!$A$7:$A$1203,$A61,'DAILY ENTRY'!$B$7:$B$1203,$B61,'DAILY ENTRY'!$D$7:$D$1203,"Follow-up message sent"))</f>
        <v/>
      </c>
      <c r="H61" s="107" t="str">
        <f aca="false">IF($A61="","",SUMIFS('DAILY ENTRY'!$F$7:$F$1203,'DAILY ENTRY'!$A$7:$A$1203,$A61,'DAILY ENTRY'!$B$7:$B$1203,$B61,'DAILY ENTRY'!$D$7:$D$1203,"Post / content published"))</f>
        <v/>
      </c>
      <c r="I61" s="107" t="str">
        <f aca="false">IF($A61="","",SUMIFS('DAILY ENTRY'!$F$7:$F$1203,'DAILY ENTRY'!$A$7:$A$1203,$A61,'DAILY ENTRY'!$B$7:$B$1203,$B61,'DAILY ENTRY'!$D$7:$D$1203,"Community answer or comment"))</f>
        <v/>
      </c>
      <c r="J61" s="107" t="str">
        <f aca="false">IF($A61="","",SUMIFS('DAILY ENTRY'!$F$7:$F$1203,'DAILY ENTRY'!$A$7:$A$1203,$A61,'DAILY ENTRY'!$B$7:$B$1203,$B61,'DAILY ENTRY'!$D$7:$D$1203,"Partnership / PR contact"))</f>
        <v/>
      </c>
      <c r="K61" s="107" t="str">
        <f aca="false">IF($A61="","",SUMIFS('DAILY ENTRY'!$F$7:$F$1203,'DAILY ENTRY'!$A$7:$A$1203,$A61,'DAILY ENTRY'!$B$7:$B$1203,$B61,'DAILY ENTRY'!$D$7:$D$1203,"Engagement (commented on someone else)"))</f>
        <v/>
      </c>
      <c r="L61" s="107" t="str">
        <f aca="false">IF($A61="","",SUMIFS('DAILY ENTRY'!$F$7:$F$1203,'DAILY ENTRY'!$A$7:$A$1203,$A61,'DAILY ENTRY'!$B$7:$B$1203,$B61,'DAILY ENTRY'!$D$7:$D$1203,"Account created / profile completed"))</f>
        <v/>
      </c>
      <c r="M61" s="108" t="str">
        <f aca="false">IF($A61="","",IFERROR(INDEX('DAILY ENTRY'!$E$7:$E$1203,MATCH(1,INDEX(('DAILY ENTRY'!$A$7:$A$1203=$A61)*('DAILY ENTRY'!$B$7:$B$1203=$B61)*('DAILY ENTRY'!$I$7:$I$1203="Meeting booked"),0),0)),IFERROR(INDEX('DAILY ENTRY'!$E$7:$E$1203,MATCH(1,INDEX(('DAILY ENTRY'!$A$7:$A$1203=$A61)*('DAILY ENTRY'!$B$7:$B$1203=$B61)*('DAILY ENTRY'!$I$7:$I$1203="Positive reply"),0),0)),"")))</f>
        <v/>
      </c>
      <c r="N61" s="108" t="str">
        <f aca="false">IF($A61="","",IFERROR(INDEX('DAILY ENTRY'!$J$7:$J$1203,MATCH(1,INDEX(('DAILY ENTRY'!$A$7:$A$1203=$A61)*('DAILY ENTRY'!$B$7:$B$1203=$B61)*('DAILY ENTRY'!$I$7:$I$1203="Blocked"),0),0)),""))</f>
        <v/>
      </c>
      <c r="O61" s="65" t="str">
        <f aca="false">IF($A61="","",(D61&gt;='START HERE'!$B$25)+(E61&gt;='START HERE'!$B$26)+(F61&gt;='START HERE'!$B$27)+(G61&gt;='START HERE'!$B$28)+(H61&gt;='START HERE'!$B$29)+(I61&gt;='START HERE'!$B$30)+(J61&gt;='START HERE'!$B$31)+(K61&gt;='START HERE'!$B$32))</f>
        <v/>
      </c>
      <c r="P61" s="46" t="str">
        <f aca="false">IF($A61="","",IF(O61&gt;=7,"Full day",IF(O61&gt;=5,"Most targets met",IF(O61&gt;=3,"Half day","Below plan - explain in the blocker column"))))</f>
        <v/>
      </c>
    </row>
    <row r="62" customFormat="false" ht="24" hidden="false" customHeight="true" outlineLevel="0" collapsed="false">
      <c r="A62" s="36"/>
      <c r="B62" s="37"/>
      <c r="C62" s="107" t="str">
        <f aca="false">IF($A62="","",ROUND(SUMIFS('DAILY ENTRY'!$G$7:$G$1203,'DAILY ENTRY'!$A$7:$A$1203,$A62,'DAILY ENTRY'!$B$7:$B$1203,$B62)/60,1))</f>
        <v/>
      </c>
      <c r="D62" s="107" t="str">
        <f aca="false">IF($A62="","",SUMIFS('DAILY ENTRY'!$F$7:$F$1203,'DAILY ENTRY'!$A$7:$A$1203,$A62,'DAILY ENTRY'!$B$7:$B$1203,$B62,'DAILY ENTRY'!$D$7:$D$1203,"Lead researched (Sales Navigator)"))</f>
        <v/>
      </c>
      <c r="E62" s="107" t="str">
        <f aca="false">IF($A62="","",SUMIFS('DAILY ENTRY'!$F$7:$F$1203,'DAILY ENTRY'!$A$7:$A$1203,$A62,'DAILY ENTRY'!$B$7:$B$1203,$B62,'DAILY ENTRY'!$D$7:$D$1203,"Connection request sent"))</f>
        <v/>
      </c>
      <c r="F62" s="107" t="str">
        <f aca="false">IF($A62="","",SUMIFS('DAILY ENTRY'!$F$7:$F$1203,'DAILY ENTRY'!$A$7:$A$1203,$A62,'DAILY ENTRY'!$B$7:$B$1203,$B62,'DAILY ENTRY'!$D$7:$D$1203,"First message sent"))</f>
        <v/>
      </c>
      <c r="G62" s="107" t="str">
        <f aca="false">IF($A62="","",SUMIFS('DAILY ENTRY'!$F$7:$F$1203,'DAILY ENTRY'!$A$7:$A$1203,$A62,'DAILY ENTRY'!$B$7:$B$1203,$B62,'DAILY ENTRY'!$D$7:$D$1203,"Follow-up message sent"))</f>
        <v/>
      </c>
      <c r="H62" s="107" t="str">
        <f aca="false">IF($A62="","",SUMIFS('DAILY ENTRY'!$F$7:$F$1203,'DAILY ENTRY'!$A$7:$A$1203,$A62,'DAILY ENTRY'!$B$7:$B$1203,$B62,'DAILY ENTRY'!$D$7:$D$1203,"Post / content published"))</f>
        <v/>
      </c>
      <c r="I62" s="107" t="str">
        <f aca="false">IF($A62="","",SUMIFS('DAILY ENTRY'!$F$7:$F$1203,'DAILY ENTRY'!$A$7:$A$1203,$A62,'DAILY ENTRY'!$B$7:$B$1203,$B62,'DAILY ENTRY'!$D$7:$D$1203,"Community answer or comment"))</f>
        <v/>
      </c>
      <c r="J62" s="107" t="str">
        <f aca="false">IF($A62="","",SUMIFS('DAILY ENTRY'!$F$7:$F$1203,'DAILY ENTRY'!$A$7:$A$1203,$A62,'DAILY ENTRY'!$B$7:$B$1203,$B62,'DAILY ENTRY'!$D$7:$D$1203,"Partnership / PR contact"))</f>
        <v/>
      </c>
      <c r="K62" s="107" t="str">
        <f aca="false">IF($A62="","",SUMIFS('DAILY ENTRY'!$F$7:$F$1203,'DAILY ENTRY'!$A$7:$A$1203,$A62,'DAILY ENTRY'!$B$7:$B$1203,$B62,'DAILY ENTRY'!$D$7:$D$1203,"Engagement (commented on someone else)"))</f>
        <v/>
      </c>
      <c r="L62" s="107" t="str">
        <f aca="false">IF($A62="","",SUMIFS('DAILY ENTRY'!$F$7:$F$1203,'DAILY ENTRY'!$A$7:$A$1203,$A62,'DAILY ENTRY'!$B$7:$B$1203,$B62,'DAILY ENTRY'!$D$7:$D$1203,"Account created / profile completed"))</f>
        <v/>
      </c>
      <c r="M62" s="108" t="str">
        <f aca="false">IF($A62="","",IFERROR(INDEX('DAILY ENTRY'!$E$7:$E$1203,MATCH(1,INDEX(('DAILY ENTRY'!$A$7:$A$1203=$A62)*('DAILY ENTRY'!$B$7:$B$1203=$B62)*('DAILY ENTRY'!$I$7:$I$1203="Meeting booked"),0),0)),IFERROR(INDEX('DAILY ENTRY'!$E$7:$E$1203,MATCH(1,INDEX(('DAILY ENTRY'!$A$7:$A$1203=$A62)*('DAILY ENTRY'!$B$7:$B$1203=$B62)*('DAILY ENTRY'!$I$7:$I$1203="Positive reply"),0),0)),"")))</f>
        <v/>
      </c>
      <c r="N62" s="108" t="str">
        <f aca="false">IF($A62="","",IFERROR(INDEX('DAILY ENTRY'!$J$7:$J$1203,MATCH(1,INDEX(('DAILY ENTRY'!$A$7:$A$1203=$A62)*('DAILY ENTRY'!$B$7:$B$1203=$B62)*('DAILY ENTRY'!$I$7:$I$1203="Blocked"),0),0)),""))</f>
        <v/>
      </c>
      <c r="O62" s="65" t="str">
        <f aca="false">IF($A62="","",(D62&gt;='START HERE'!$B$25)+(E62&gt;='START HERE'!$B$26)+(F62&gt;='START HERE'!$B$27)+(G62&gt;='START HERE'!$B$28)+(H62&gt;='START HERE'!$B$29)+(I62&gt;='START HERE'!$B$30)+(J62&gt;='START HERE'!$B$31)+(K62&gt;='START HERE'!$B$32))</f>
        <v/>
      </c>
      <c r="P62" s="46" t="str">
        <f aca="false">IF($A62="","",IF(O62&gt;=7,"Full day",IF(O62&gt;=5,"Most targets met",IF(O62&gt;=3,"Half day","Below plan - explain in the blocker column"))))</f>
        <v/>
      </c>
    </row>
    <row r="63" customFormat="false" ht="24" hidden="false" customHeight="true" outlineLevel="0" collapsed="false">
      <c r="A63" s="36"/>
      <c r="B63" s="37"/>
      <c r="C63" s="107" t="str">
        <f aca="false">IF($A63="","",ROUND(SUMIFS('DAILY ENTRY'!$G$7:$G$1203,'DAILY ENTRY'!$A$7:$A$1203,$A63,'DAILY ENTRY'!$B$7:$B$1203,$B63)/60,1))</f>
        <v/>
      </c>
      <c r="D63" s="107" t="str">
        <f aca="false">IF($A63="","",SUMIFS('DAILY ENTRY'!$F$7:$F$1203,'DAILY ENTRY'!$A$7:$A$1203,$A63,'DAILY ENTRY'!$B$7:$B$1203,$B63,'DAILY ENTRY'!$D$7:$D$1203,"Lead researched (Sales Navigator)"))</f>
        <v/>
      </c>
      <c r="E63" s="107" t="str">
        <f aca="false">IF($A63="","",SUMIFS('DAILY ENTRY'!$F$7:$F$1203,'DAILY ENTRY'!$A$7:$A$1203,$A63,'DAILY ENTRY'!$B$7:$B$1203,$B63,'DAILY ENTRY'!$D$7:$D$1203,"Connection request sent"))</f>
        <v/>
      </c>
      <c r="F63" s="107" t="str">
        <f aca="false">IF($A63="","",SUMIFS('DAILY ENTRY'!$F$7:$F$1203,'DAILY ENTRY'!$A$7:$A$1203,$A63,'DAILY ENTRY'!$B$7:$B$1203,$B63,'DAILY ENTRY'!$D$7:$D$1203,"First message sent"))</f>
        <v/>
      </c>
      <c r="G63" s="107" t="str">
        <f aca="false">IF($A63="","",SUMIFS('DAILY ENTRY'!$F$7:$F$1203,'DAILY ENTRY'!$A$7:$A$1203,$A63,'DAILY ENTRY'!$B$7:$B$1203,$B63,'DAILY ENTRY'!$D$7:$D$1203,"Follow-up message sent"))</f>
        <v/>
      </c>
      <c r="H63" s="107" t="str">
        <f aca="false">IF($A63="","",SUMIFS('DAILY ENTRY'!$F$7:$F$1203,'DAILY ENTRY'!$A$7:$A$1203,$A63,'DAILY ENTRY'!$B$7:$B$1203,$B63,'DAILY ENTRY'!$D$7:$D$1203,"Post / content published"))</f>
        <v/>
      </c>
      <c r="I63" s="107" t="str">
        <f aca="false">IF($A63="","",SUMIFS('DAILY ENTRY'!$F$7:$F$1203,'DAILY ENTRY'!$A$7:$A$1203,$A63,'DAILY ENTRY'!$B$7:$B$1203,$B63,'DAILY ENTRY'!$D$7:$D$1203,"Community answer or comment"))</f>
        <v/>
      </c>
      <c r="J63" s="107" t="str">
        <f aca="false">IF($A63="","",SUMIFS('DAILY ENTRY'!$F$7:$F$1203,'DAILY ENTRY'!$A$7:$A$1203,$A63,'DAILY ENTRY'!$B$7:$B$1203,$B63,'DAILY ENTRY'!$D$7:$D$1203,"Partnership / PR contact"))</f>
        <v/>
      </c>
      <c r="K63" s="107" t="str">
        <f aca="false">IF($A63="","",SUMIFS('DAILY ENTRY'!$F$7:$F$1203,'DAILY ENTRY'!$A$7:$A$1203,$A63,'DAILY ENTRY'!$B$7:$B$1203,$B63,'DAILY ENTRY'!$D$7:$D$1203,"Engagement (commented on someone else)"))</f>
        <v/>
      </c>
      <c r="L63" s="107" t="str">
        <f aca="false">IF($A63="","",SUMIFS('DAILY ENTRY'!$F$7:$F$1203,'DAILY ENTRY'!$A$7:$A$1203,$A63,'DAILY ENTRY'!$B$7:$B$1203,$B63,'DAILY ENTRY'!$D$7:$D$1203,"Account created / profile completed"))</f>
        <v/>
      </c>
      <c r="M63" s="108" t="str">
        <f aca="false">IF($A63="","",IFERROR(INDEX('DAILY ENTRY'!$E$7:$E$1203,MATCH(1,INDEX(('DAILY ENTRY'!$A$7:$A$1203=$A63)*('DAILY ENTRY'!$B$7:$B$1203=$B63)*('DAILY ENTRY'!$I$7:$I$1203="Meeting booked"),0),0)),IFERROR(INDEX('DAILY ENTRY'!$E$7:$E$1203,MATCH(1,INDEX(('DAILY ENTRY'!$A$7:$A$1203=$A63)*('DAILY ENTRY'!$B$7:$B$1203=$B63)*('DAILY ENTRY'!$I$7:$I$1203="Positive reply"),0),0)),"")))</f>
        <v/>
      </c>
      <c r="N63" s="108" t="str">
        <f aca="false">IF($A63="","",IFERROR(INDEX('DAILY ENTRY'!$J$7:$J$1203,MATCH(1,INDEX(('DAILY ENTRY'!$A$7:$A$1203=$A63)*('DAILY ENTRY'!$B$7:$B$1203=$B63)*('DAILY ENTRY'!$I$7:$I$1203="Blocked"),0),0)),""))</f>
        <v/>
      </c>
      <c r="O63" s="65" t="str">
        <f aca="false">IF($A63="","",(D63&gt;='START HERE'!$B$25)+(E63&gt;='START HERE'!$B$26)+(F63&gt;='START HERE'!$B$27)+(G63&gt;='START HERE'!$B$28)+(H63&gt;='START HERE'!$B$29)+(I63&gt;='START HERE'!$B$30)+(J63&gt;='START HERE'!$B$31)+(K63&gt;='START HERE'!$B$32))</f>
        <v/>
      </c>
      <c r="P63" s="46" t="str">
        <f aca="false">IF($A63="","",IF(O63&gt;=7,"Full day",IF(O63&gt;=5,"Most targets met",IF(O63&gt;=3,"Half day","Below plan - explain in the blocker column"))))</f>
        <v/>
      </c>
    </row>
    <row r="64" customFormat="false" ht="24" hidden="false" customHeight="true" outlineLevel="0" collapsed="false">
      <c r="A64" s="36"/>
      <c r="B64" s="37"/>
      <c r="C64" s="107" t="str">
        <f aca="false">IF($A64="","",ROUND(SUMIFS('DAILY ENTRY'!$G$7:$G$1203,'DAILY ENTRY'!$A$7:$A$1203,$A64,'DAILY ENTRY'!$B$7:$B$1203,$B64)/60,1))</f>
        <v/>
      </c>
      <c r="D64" s="107" t="str">
        <f aca="false">IF($A64="","",SUMIFS('DAILY ENTRY'!$F$7:$F$1203,'DAILY ENTRY'!$A$7:$A$1203,$A64,'DAILY ENTRY'!$B$7:$B$1203,$B64,'DAILY ENTRY'!$D$7:$D$1203,"Lead researched (Sales Navigator)"))</f>
        <v/>
      </c>
      <c r="E64" s="107" t="str">
        <f aca="false">IF($A64="","",SUMIFS('DAILY ENTRY'!$F$7:$F$1203,'DAILY ENTRY'!$A$7:$A$1203,$A64,'DAILY ENTRY'!$B$7:$B$1203,$B64,'DAILY ENTRY'!$D$7:$D$1203,"Connection request sent"))</f>
        <v/>
      </c>
      <c r="F64" s="107" t="str">
        <f aca="false">IF($A64="","",SUMIFS('DAILY ENTRY'!$F$7:$F$1203,'DAILY ENTRY'!$A$7:$A$1203,$A64,'DAILY ENTRY'!$B$7:$B$1203,$B64,'DAILY ENTRY'!$D$7:$D$1203,"First message sent"))</f>
        <v/>
      </c>
      <c r="G64" s="107" t="str">
        <f aca="false">IF($A64="","",SUMIFS('DAILY ENTRY'!$F$7:$F$1203,'DAILY ENTRY'!$A$7:$A$1203,$A64,'DAILY ENTRY'!$B$7:$B$1203,$B64,'DAILY ENTRY'!$D$7:$D$1203,"Follow-up message sent"))</f>
        <v/>
      </c>
      <c r="H64" s="107" t="str">
        <f aca="false">IF($A64="","",SUMIFS('DAILY ENTRY'!$F$7:$F$1203,'DAILY ENTRY'!$A$7:$A$1203,$A64,'DAILY ENTRY'!$B$7:$B$1203,$B64,'DAILY ENTRY'!$D$7:$D$1203,"Post / content published"))</f>
        <v/>
      </c>
      <c r="I64" s="107" t="str">
        <f aca="false">IF($A64="","",SUMIFS('DAILY ENTRY'!$F$7:$F$1203,'DAILY ENTRY'!$A$7:$A$1203,$A64,'DAILY ENTRY'!$B$7:$B$1203,$B64,'DAILY ENTRY'!$D$7:$D$1203,"Community answer or comment"))</f>
        <v/>
      </c>
      <c r="J64" s="107" t="str">
        <f aca="false">IF($A64="","",SUMIFS('DAILY ENTRY'!$F$7:$F$1203,'DAILY ENTRY'!$A$7:$A$1203,$A64,'DAILY ENTRY'!$B$7:$B$1203,$B64,'DAILY ENTRY'!$D$7:$D$1203,"Partnership / PR contact"))</f>
        <v/>
      </c>
      <c r="K64" s="107" t="str">
        <f aca="false">IF($A64="","",SUMIFS('DAILY ENTRY'!$F$7:$F$1203,'DAILY ENTRY'!$A$7:$A$1203,$A64,'DAILY ENTRY'!$B$7:$B$1203,$B64,'DAILY ENTRY'!$D$7:$D$1203,"Engagement (commented on someone else)"))</f>
        <v/>
      </c>
      <c r="L64" s="107" t="str">
        <f aca="false">IF($A64="","",SUMIFS('DAILY ENTRY'!$F$7:$F$1203,'DAILY ENTRY'!$A$7:$A$1203,$A64,'DAILY ENTRY'!$B$7:$B$1203,$B64,'DAILY ENTRY'!$D$7:$D$1203,"Account created / profile completed"))</f>
        <v/>
      </c>
      <c r="M64" s="108" t="str">
        <f aca="false">IF($A64="","",IFERROR(INDEX('DAILY ENTRY'!$E$7:$E$1203,MATCH(1,INDEX(('DAILY ENTRY'!$A$7:$A$1203=$A64)*('DAILY ENTRY'!$B$7:$B$1203=$B64)*('DAILY ENTRY'!$I$7:$I$1203="Meeting booked"),0),0)),IFERROR(INDEX('DAILY ENTRY'!$E$7:$E$1203,MATCH(1,INDEX(('DAILY ENTRY'!$A$7:$A$1203=$A64)*('DAILY ENTRY'!$B$7:$B$1203=$B64)*('DAILY ENTRY'!$I$7:$I$1203="Positive reply"),0),0)),"")))</f>
        <v/>
      </c>
      <c r="N64" s="108" t="str">
        <f aca="false">IF($A64="","",IFERROR(INDEX('DAILY ENTRY'!$J$7:$J$1203,MATCH(1,INDEX(('DAILY ENTRY'!$A$7:$A$1203=$A64)*('DAILY ENTRY'!$B$7:$B$1203=$B64)*('DAILY ENTRY'!$I$7:$I$1203="Blocked"),0),0)),""))</f>
        <v/>
      </c>
      <c r="O64" s="65" t="str">
        <f aca="false">IF($A64="","",(D64&gt;='START HERE'!$B$25)+(E64&gt;='START HERE'!$B$26)+(F64&gt;='START HERE'!$B$27)+(G64&gt;='START HERE'!$B$28)+(H64&gt;='START HERE'!$B$29)+(I64&gt;='START HERE'!$B$30)+(J64&gt;='START HERE'!$B$31)+(K64&gt;='START HERE'!$B$32))</f>
        <v/>
      </c>
      <c r="P64" s="46" t="str">
        <f aca="false">IF($A64="","",IF(O64&gt;=7,"Full day",IF(O64&gt;=5,"Most targets met",IF(O64&gt;=3,"Half day","Below plan - explain in the blocker column"))))</f>
        <v/>
      </c>
    </row>
    <row r="65" customFormat="false" ht="24" hidden="false" customHeight="true" outlineLevel="0" collapsed="false">
      <c r="A65" s="36"/>
      <c r="B65" s="37"/>
      <c r="C65" s="107" t="str">
        <f aca="false">IF($A65="","",ROUND(SUMIFS('DAILY ENTRY'!$G$7:$G$1203,'DAILY ENTRY'!$A$7:$A$1203,$A65,'DAILY ENTRY'!$B$7:$B$1203,$B65)/60,1))</f>
        <v/>
      </c>
      <c r="D65" s="107" t="str">
        <f aca="false">IF($A65="","",SUMIFS('DAILY ENTRY'!$F$7:$F$1203,'DAILY ENTRY'!$A$7:$A$1203,$A65,'DAILY ENTRY'!$B$7:$B$1203,$B65,'DAILY ENTRY'!$D$7:$D$1203,"Lead researched (Sales Navigator)"))</f>
        <v/>
      </c>
      <c r="E65" s="107" t="str">
        <f aca="false">IF($A65="","",SUMIFS('DAILY ENTRY'!$F$7:$F$1203,'DAILY ENTRY'!$A$7:$A$1203,$A65,'DAILY ENTRY'!$B$7:$B$1203,$B65,'DAILY ENTRY'!$D$7:$D$1203,"Connection request sent"))</f>
        <v/>
      </c>
      <c r="F65" s="107" t="str">
        <f aca="false">IF($A65="","",SUMIFS('DAILY ENTRY'!$F$7:$F$1203,'DAILY ENTRY'!$A$7:$A$1203,$A65,'DAILY ENTRY'!$B$7:$B$1203,$B65,'DAILY ENTRY'!$D$7:$D$1203,"First message sent"))</f>
        <v/>
      </c>
      <c r="G65" s="107" t="str">
        <f aca="false">IF($A65="","",SUMIFS('DAILY ENTRY'!$F$7:$F$1203,'DAILY ENTRY'!$A$7:$A$1203,$A65,'DAILY ENTRY'!$B$7:$B$1203,$B65,'DAILY ENTRY'!$D$7:$D$1203,"Follow-up message sent"))</f>
        <v/>
      </c>
      <c r="H65" s="107" t="str">
        <f aca="false">IF($A65="","",SUMIFS('DAILY ENTRY'!$F$7:$F$1203,'DAILY ENTRY'!$A$7:$A$1203,$A65,'DAILY ENTRY'!$B$7:$B$1203,$B65,'DAILY ENTRY'!$D$7:$D$1203,"Post / content published"))</f>
        <v/>
      </c>
      <c r="I65" s="107" t="str">
        <f aca="false">IF($A65="","",SUMIFS('DAILY ENTRY'!$F$7:$F$1203,'DAILY ENTRY'!$A$7:$A$1203,$A65,'DAILY ENTRY'!$B$7:$B$1203,$B65,'DAILY ENTRY'!$D$7:$D$1203,"Community answer or comment"))</f>
        <v/>
      </c>
      <c r="J65" s="107" t="str">
        <f aca="false">IF($A65="","",SUMIFS('DAILY ENTRY'!$F$7:$F$1203,'DAILY ENTRY'!$A$7:$A$1203,$A65,'DAILY ENTRY'!$B$7:$B$1203,$B65,'DAILY ENTRY'!$D$7:$D$1203,"Partnership / PR contact"))</f>
        <v/>
      </c>
      <c r="K65" s="107" t="str">
        <f aca="false">IF($A65="","",SUMIFS('DAILY ENTRY'!$F$7:$F$1203,'DAILY ENTRY'!$A$7:$A$1203,$A65,'DAILY ENTRY'!$B$7:$B$1203,$B65,'DAILY ENTRY'!$D$7:$D$1203,"Engagement (commented on someone else)"))</f>
        <v/>
      </c>
      <c r="L65" s="107" t="str">
        <f aca="false">IF($A65="","",SUMIFS('DAILY ENTRY'!$F$7:$F$1203,'DAILY ENTRY'!$A$7:$A$1203,$A65,'DAILY ENTRY'!$B$7:$B$1203,$B65,'DAILY ENTRY'!$D$7:$D$1203,"Account created / profile completed"))</f>
        <v/>
      </c>
      <c r="M65" s="108" t="str">
        <f aca="false">IF($A65="","",IFERROR(INDEX('DAILY ENTRY'!$E$7:$E$1203,MATCH(1,INDEX(('DAILY ENTRY'!$A$7:$A$1203=$A65)*('DAILY ENTRY'!$B$7:$B$1203=$B65)*('DAILY ENTRY'!$I$7:$I$1203="Meeting booked"),0),0)),IFERROR(INDEX('DAILY ENTRY'!$E$7:$E$1203,MATCH(1,INDEX(('DAILY ENTRY'!$A$7:$A$1203=$A65)*('DAILY ENTRY'!$B$7:$B$1203=$B65)*('DAILY ENTRY'!$I$7:$I$1203="Positive reply"),0),0)),"")))</f>
        <v/>
      </c>
      <c r="N65" s="108" t="str">
        <f aca="false">IF($A65="","",IFERROR(INDEX('DAILY ENTRY'!$J$7:$J$1203,MATCH(1,INDEX(('DAILY ENTRY'!$A$7:$A$1203=$A65)*('DAILY ENTRY'!$B$7:$B$1203=$B65)*('DAILY ENTRY'!$I$7:$I$1203="Blocked"),0),0)),""))</f>
        <v/>
      </c>
      <c r="O65" s="65" t="str">
        <f aca="false">IF($A65="","",(D65&gt;='START HERE'!$B$25)+(E65&gt;='START HERE'!$B$26)+(F65&gt;='START HERE'!$B$27)+(G65&gt;='START HERE'!$B$28)+(H65&gt;='START HERE'!$B$29)+(I65&gt;='START HERE'!$B$30)+(J65&gt;='START HERE'!$B$31)+(K65&gt;='START HERE'!$B$32))</f>
        <v/>
      </c>
      <c r="P65" s="46" t="str">
        <f aca="false">IF($A65="","",IF(O65&gt;=7,"Full day",IF(O65&gt;=5,"Most targets met",IF(O65&gt;=3,"Half day","Below plan - explain in the blocker column"))))</f>
        <v/>
      </c>
    </row>
    <row r="66" customFormat="false" ht="24" hidden="false" customHeight="true" outlineLevel="0" collapsed="false">
      <c r="A66" s="36"/>
      <c r="B66" s="37"/>
      <c r="C66" s="107" t="str">
        <f aca="false">IF($A66="","",ROUND(SUMIFS('DAILY ENTRY'!$G$7:$G$1203,'DAILY ENTRY'!$A$7:$A$1203,$A66,'DAILY ENTRY'!$B$7:$B$1203,$B66)/60,1))</f>
        <v/>
      </c>
      <c r="D66" s="107" t="str">
        <f aca="false">IF($A66="","",SUMIFS('DAILY ENTRY'!$F$7:$F$1203,'DAILY ENTRY'!$A$7:$A$1203,$A66,'DAILY ENTRY'!$B$7:$B$1203,$B66,'DAILY ENTRY'!$D$7:$D$1203,"Lead researched (Sales Navigator)"))</f>
        <v/>
      </c>
      <c r="E66" s="107" t="str">
        <f aca="false">IF($A66="","",SUMIFS('DAILY ENTRY'!$F$7:$F$1203,'DAILY ENTRY'!$A$7:$A$1203,$A66,'DAILY ENTRY'!$B$7:$B$1203,$B66,'DAILY ENTRY'!$D$7:$D$1203,"Connection request sent"))</f>
        <v/>
      </c>
      <c r="F66" s="107" t="str">
        <f aca="false">IF($A66="","",SUMIFS('DAILY ENTRY'!$F$7:$F$1203,'DAILY ENTRY'!$A$7:$A$1203,$A66,'DAILY ENTRY'!$B$7:$B$1203,$B66,'DAILY ENTRY'!$D$7:$D$1203,"First message sent"))</f>
        <v/>
      </c>
      <c r="G66" s="107" t="str">
        <f aca="false">IF($A66="","",SUMIFS('DAILY ENTRY'!$F$7:$F$1203,'DAILY ENTRY'!$A$7:$A$1203,$A66,'DAILY ENTRY'!$B$7:$B$1203,$B66,'DAILY ENTRY'!$D$7:$D$1203,"Follow-up message sent"))</f>
        <v/>
      </c>
      <c r="H66" s="107" t="str">
        <f aca="false">IF($A66="","",SUMIFS('DAILY ENTRY'!$F$7:$F$1203,'DAILY ENTRY'!$A$7:$A$1203,$A66,'DAILY ENTRY'!$B$7:$B$1203,$B66,'DAILY ENTRY'!$D$7:$D$1203,"Post / content published"))</f>
        <v/>
      </c>
      <c r="I66" s="107" t="str">
        <f aca="false">IF($A66="","",SUMIFS('DAILY ENTRY'!$F$7:$F$1203,'DAILY ENTRY'!$A$7:$A$1203,$A66,'DAILY ENTRY'!$B$7:$B$1203,$B66,'DAILY ENTRY'!$D$7:$D$1203,"Community answer or comment"))</f>
        <v/>
      </c>
      <c r="J66" s="107" t="str">
        <f aca="false">IF($A66="","",SUMIFS('DAILY ENTRY'!$F$7:$F$1203,'DAILY ENTRY'!$A$7:$A$1203,$A66,'DAILY ENTRY'!$B$7:$B$1203,$B66,'DAILY ENTRY'!$D$7:$D$1203,"Partnership / PR contact"))</f>
        <v/>
      </c>
      <c r="K66" s="107" t="str">
        <f aca="false">IF($A66="","",SUMIFS('DAILY ENTRY'!$F$7:$F$1203,'DAILY ENTRY'!$A$7:$A$1203,$A66,'DAILY ENTRY'!$B$7:$B$1203,$B66,'DAILY ENTRY'!$D$7:$D$1203,"Engagement (commented on someone else)"))</f>
        <v/>
      </c>
      <c r="L66" s="107" t="str">
        <f aca="false">IF($A66="","",SUMIFS('DAILY ENTRY'!$F$7:$F$1203,'DAILY ENTRY'!$A$7:$A$1203,$A66,'DAILY ENTRY'!$B$7:$B$1203,$B66,'DAILY ENTRY'!$D$7:$D$1203,"Account created / profile completed"))</f>
        <v/>
      </c>
      <c r="M66" s="108" t="str">
        <f aca="false">IF($A66="","",IFERROR(INDEX('DAILY ENTRY'!$E$7:$E$1203,MATCH(1,INDEX(('DAILY ENTRY'!$A$7:$A$1203=$A66)*('DAILY ENTRY'!$B$7:$B$1203=$B66)*('DAILY ENTRY'!$I$7:$I$1203="Meeting booked"),0),0)),IFERROR(INDEX('DAILY ENTRY'!$E$7:$E$1203,MATCH(1,INDEX(('DAILY ENTRY'!$A$7:$A$1203=$A66)*('DAILY ENTRY'!$B$7:$B$1203=$B66)*('DAILY ENTRY'!$I$7:$I$1203="Positive reply"),0),0)),"")))</f>
        <v/>
      </c>
      <c r="N66" s="108" t="str">
        <f aca="false">IF($A66="","",IFERROR(INDEX('DAILY ENTRY'!$J$7:$J$1203,MATCH(1,INDEX(('DAILY ENTRY'!$A$7:$A$1203=$A66)*('DAILY ENTRY'!$B$7:$B$1203=$B66)*('DAILY ENTRY'!$I$7:$I$1203="Blocked"),0),0)),""))</f>
        <v/>
      </c>
      <c r="O66" s="65" t="str">
        <f aca="false">IF($A66="","",(D66&gt;='START HERE'!$B$25)+(E66&gt;='START HERE'!$B$26)+(F66&gt;='START HERE'!$B$27)+(G66&gt;='START HERE'!$B$28)+(H66&gt;='START HERE'!$B$29)+(I66&gt;='START HERE'!$B$30)+(J66&gt;='START HERE'!$B$31)+(K66&gt;='START HERE'!$B$32))</f>
        <v/>
      </c>
      <c r="P66" s="46" t="str">
        <f aca="false">IF($A66="","",IF(O66&gt;=7,"Full day",IF(O66&gt;=5,"Most targets met",IF(O66&gt;=3,"Half day","Below plan - explain in the blocker column"))))</f>
        <v/>
      </c>
    </row>
    <row r="67" customFormat="false" ht="24" hidden="false" customHeight="true" outlineLevel="0" collapsed="false">
      <c r="A67" s="36"/>
      <c r="B67" s="37"/>
      <c r="C67" s="107" t="str">
        <f aca="false">IF($A67="","",ROUND(SUMIFS('DAILY ENTRY'!$G$7:$G$1203,'DAILY ENTRY'!$A$7:$A$1203,$A67,'DAILY ENTRY'!$B$7:$B$1203,$B67)/60,1))</f>
        <v/>
      </c>
      <c r="D67" s="107" t="str">
        <f aca="false">IF($A67="","",SUMIFS('DAILY ENTRY'!$F$7:$F$1203,'DAILY ENTRY'!$A$7:$A$1203,$A67,'DAILY ENTRY'!$B$7:$B$1203,$B67,'DAILY ENTRY'!$D$7:$D$1203,"Lead researched (Sales Navigator)"))</f>
        <v/>
      </c>
      <c r="E67" s="107" t="str">
        <f aca="false">IF($A67="","",SUMIFS('DAILY ENTRY'!$F$7:$F$1203,'DAILY ENTRY'!$A$7:$A$1203,$A67,'DAILY ENTRY'!$B$7:$B$1203,$B67,'DAILY ENTRY'!$D$7:$D$1203,"Connection request sent"))</f>
        <v/>
      </c>
      <c r="F67" s="107" t="str">
        <f aca="false">IF($A67="","",SUMIFS('DAILY ENTRY'!$F$7:$F$1203,'DAILY ENTRY'!$A$7:$A$1203,$A67,'DAILY ENTRY'!$B$7:$B$1203,$B67,'DAILY ENTRY'!$D$7:$D$1203,"First message sent"))</f>
        <v/>
      </c>
      <c r="G67" s="107" t="str">
        <f aca="false">IF($A67="","",SUMIFS('DAILY ENTRY'!$F$7:$F$1203,'DAILY ENTRY'!$A$7:$A$1203,$A67,'DAILY ENTRY'!$B$7:$B$1203,$B67,'DAILY ENTRY'!$D$7:$D$1203,"Follow-up message sent"))</f>
        <v/>
      </c>
      <c r="H67" s="107" t="str">
        <f aca="false">IF($A67="","",SUMIFS('DAILY ENTRY'!$F$7:$F$1203,'DAILY ENTRY'!$A$7:$A$1203,$A67,'DAILY ENTRY'!$B$7:$B$1203,$B67,'DAILY ENTRY'!$D$7:$D$1203,"Post / content published"))</f>
        <v/>
      </c>
      <c r="I67" s="107" t="str">
        <f aca="false">IF($A67="","",SUMIFS('DAILY ENTRY'!$F$7:$F$1203,'DAILY ENTRY'!$A$7:$A$1203,$A67,'DAILY ENTRY'!$B$7:$B$1203,$B67,'DAILY ENTRY'!$D$7:$D$1203,"Community answer or comment"))</f>
        <v/>
      </c>
      <c r="J67" s="107" t="str">
        <f aca="false">IF($A67="","",SUMIFS('DAILY ENTRY'!$F$7:$F$1203,'DAILY ENTRY'!$A$7:$A$1203,$A67,'DAILY ENTRY'!$B$7:$B$1203,$B67,'DAILY ENTRY'!$D$7:$D$1203,"Partnership / PR contact"))</f>
        <v/>
      </c>
      <c r="K67" s="107" t="str">
        <f aca="false">IF($A67="","",SUMIFS('DAILY ENTRY'!$F$7:$F$1203,'DAILY ENTRY'!$A$7:$A$1203,$A67,'DAILY ENTRY'!$B$7:$B$1203,$B67,'DAILY ENTRY'!$D$7:$D$1203,"Engagement (commented on someone else)"))</f>
        <v/>
      </c>
      <c r="L67" s="107" t="str">
        <f aca="false">IF($A67="","",SUMIFS('DAILY ENTRY'!$F$7:$F$1203,'DAILY ENTRY'!$A$7:$A$1203,$A67,'DAILY ENTRY'!$B$7:$B$1203,$B67,'DAILY ENTRY'!$D$7:$D$1203,"Account created / profile completed"))</f>
        <v/>
      </c>
      <c r="M67" s="108" t="str">
        <f aca="false">IF($A67="","",IFERROR(INDEX('DAILY ENTRY'!$E$7:$E$1203,MATCH(1,INDEX(('DAILY ENTRY'!$A$7:$A$1203=$A67)*('DAILY ENTRY'!$B$7:$B$1203=$B67)*('DAILY ENTRY'!$I$7:$I$1203="Meeting booked"),0),0)),IFERROR(INDEX('DAILY ENTRY'!$E$7:$E$1203,MATCH(1,INDEX(('DAILY ENTRY'!$A$7:$A$1203=$A67)*('DAILY ENTRY'!$B$7:$B$1203=$B67)*('DAILY ENTRY'!$I$7:$I$1203="Positive reply"),0),0)),"")))</f>
        <v/>
      </c>
      <c r="N67" s="108" t="str">
        <f aca="false">IF($A67="","",IFERROR(INDEX('DAILY ENTRY'!$J$7:$J$1203,MATCH(1,INDEX(('DAILY ENTRY'!$A$7:$A$1203=$A67)*('DAILY ENTRY'!$B$7:$B$1203=$B67)*('DAILY ENTRY'!$I$7:$I$1203="Blocked"),0),0)),""))</f>
        <v/>
      </c>
      <c r="O67" s="65" t="str">
        <f aca="false">IF($A67="","",(D67&gt;='START HERE'!$B$25)+(E67&gt;='START HERE'!$B$26)+(F67&gt;='START HERE'!$B$27)+(G67&gt;='START HERE'!$B$28)+(H67&gt;='START HERE'!$B$29)+(I67&gt;='START HERE'!$B$30)+(J67&gt;='START HERE'!$B$31)+(K67&gt;='START HERE'!$B$32))</f>
        <v/>
      </c>
      <c r="P67" s="46" t="str">
        <f aca="false">IF($A67="","",IF(O67&gt;=7,"Full day",IF(O67&gt;=5,"Most targets met",IF(O67&gt;=3,"Half day","Below plan - explain in the blocker column"))))</f>
        <v/>
      </c>
    </row>
    <row r="68" customFormat="false" ht="24" hidden="false" customHeight="true" outlineLevel="0" collapsed="false">
      <c r="A68" s="36"/>
      <c r="B68" s="37"/>
      <c r="C68" s="107" t="str">
        <f aca="false">IF($A68="","",ROUND(SUMIFS('DAILY ENTRY'!$G$7:$G$1203,'DAILY ENTRY'!$A$7:$A$1203,$A68,'DAILY ENTRY'!$B$7:$B$1203,$B68)/60,1))</f>
        <v/>
      </c>
      <c r="D68" s="107" t="str">
        <f aca="false">IF($A68="","",SUMIFS('DAILY ENTRY'!$F$7:$F$1203,'DAILY ENTRY'!$A$7:$A$1203,$A68,'DAILY ENTRY'!$B$7:$B$1203,$B68,'DAILY ENTRY'!$D$7:$D$1203,"Lead researched (Sales Navigator)"))</f>
        <v/>
      </c>
      <c r="E68" s="107" t="str">
        <f aca="false">IF($A68="","",SUMIFS('DAILY ENTRY'!$F$7:$F$1203,'DAILY ENTRY'!$A$7:$A$1203,$A68,'DAILY ENTRY'!$B$7:$B$1203,$B68,'DAILY ENTRY'!$D$7:$D$1203,"Connection request sent"))</f>
        <v/>
      </c>
      <c r="F68" s="107" t="str">
        <f aca="false">IF($A68="","",SUMIFS('DAILY ENTRY'!$F$7:$F$1203,'DAILY ENTRY'!$A$7:$A$1203,$A68,'DAILY ENTRY'!$B$7:$B$1203,$B68,'DAILY ENTRY'!$D$7:$D$1203,"First message sent"))</f>
        <v/>
      </c>
      <c r="G68" s="107" t="str">
        <f aca="false">IF($A68="","",SUMIFS('DAILY ENTRY'!$F$7:$F$1203,'DAILY ENTRY'!$A$7:$A$1203,$A68,'DAILY ENTRY'!$B$7:$B$1203,$B68,'DAILY ENTRY'!$D$7:$D$1203,"Follow-up message sent"))</f>
        <v/>
      </c>
      <c r="H68" s="107" t="str">
        <f aca="false">IF($A68="","",SUMIFS('DAILY ENTRY'!$F$7:$F$1203,'DAILY ENTRY'!$A$7:$A$1203,$A68,'DAILY ENTRY'!$B$7:$B$1203,$B68,'DAILY ENTRY'!$D$7:$D$1203,"Post / content published"))</f>
        <v/>
      </c>
      <c r="I68" s="107" t="str">
        <f aca="false">IF($A68="","",SUMIFS('DAILY ENTRY'!$F$7:$F$1203,'DAILY ENTRY'!$A$7:$A$1203,$A68,'DAILY ENTRY'!$B$7:$B$1203,$B68,'DAILY ENTRY'!$D$7:$D$1203,"Community answer or comment"))</f>
        <v/>
      </c>
      <c r="J68" s="107" t="str">
        <f aca="false">IF($A68="","",SUMIFS('DAILY ENTRY'!$F$7:$F$1203,'DAILY ENTRY'!$A$7:$A$1203,$A68,'DAILY ENTRY'!$B$7:$B$1203,$B68,'DAILY ENTRY'!$D$7:$D$1203,"Partnership / PR contact"))</f>
        <v/>
      </c>
      <c r="K68" s="107" t="str">
        <f aca="false">IF($A68="","",SUMIFS('DAILY ENTRY'!$F$7:$F$1203,'DAILY ENTRY'!$A$7:$A$1203,$A68,'DAILY ENTRY'!$B$7:$B$1203,$B68,'DAILY ENTRY'!$D$7:$D$1203,"Engagement (commented on someone else)"))</f>
        <v/>
      </c>
      <c r="L68" s="107" t="str">
        <f aca="false">IF($A68="","",SUMIFS('DAILY ENTRY'!$F$7:$F$1203,'DAILY ENTRY'!$A$7:$A$1203,$A68,'DAILY ENTRY'!$B$7:$B$1203,$B68,'DAILY ENTRY'!$D$7:$D$1203,"Account created / profile completed"))</f>
        <v/>
      </c>
      <c r="M68" s="108" t="str">
        <f aca="false">IF($A68="","",IFERROR(INDEX('DAILY ENTRY'!$E$7:$E$1203,MATCH(1,INDEX(('DAILY ENTRY'!$A$7:$A$1203=$A68)*('DAILY ENTRY'!$B$7:$B$1203=$B68)*('DAILY ENTRY'!$I$7:$I$1203="Meeting booked"),0),0)),IFERROR(INDEX('DAILY ENTRY'!$E$7:$E$1203,MATCH(1,INDEX(('DAILY ENTRY'!$A$7:$A$1203=$A68)*('DAILY ENTRY'!$B$7:$B$1203=$B68)*('DAILY ENTRY'!$I$7:$I$1203="Positive reply"),0),0)),"")))</f>
        <v/>
      </c>
      <c r="N68" s="108" t="str">
        <f aca="false">IF($A68="","",IFERROR(INDEX('DAILY ENTRY'!$J$7:$J$1203,MATCH(1,INDEX(('DAILY ENTRY'!$A$7:$A$1203=$A68)*('DAILY ENTRY'!$B$7:$B$1203=$B68)*('DAILY ENTRY'!$I$7:$I$1203="Blocked"),0),0)),""))</f>
        <v/>
      </c>
      <c r="O68" s="65" t="str">
        <f aca="false">IF($A68="","",(D68&gt;='START HERE'!$B$25)+(E68&gt;='START HERE'!$B$26)+(F68&gt;='START HERE'!$B$27)+(G68&gt;='START HERE'!$B$28)+(H68&gt;='START HERE'!$B$29)+(I68&gt;='START HERE'!$B$30)+(J68&gt;='START HERE'!$B$31)+(K68&gt;='START HERE'!$B$32))</f>
        <v/>
      </c>
      <c r="P68" s="46" t="str">
        <f aca="false">IF($A68="","",IF(O68&gt;=7,"Full day",IF(O68&gt;=5,"Most targets met",IF(O68&gt;=3,"Half day","Below plan - explain in the blocker column"))))</f>
        <v/>
      </c>
    </row>
    <row r="69" customFormat="false" ht="24" hidden="false" customHeight="true" outlineLevel="0" collapsed="false">
      <c r="A69" s="36"/>
      <c r="B69" s="37"/>
      <c r="C69" s="107" t="str">
        <f aca="false">IF($A69="","",ROUND(SUMIFS('DAILY ENTRY'!$G$7:$G$1203,'DAILY ENTRY'!$A$7:$A$1203,$A69,'DAILY ENTRY'!$B$7:$B$1203,$B69)/60,1))</f>
        <v/>
      </c>
      <c r="D69" s="107" t="str">
        <f aca="false">IF($A69="","",SUMIFS('DAILY ENTRY'!$F$7:$F$1203,'DAILY ENTRY'!$A$7:$A$1203,$A69,'DAILY ENTRY'!$B$7:$B$1203,$B69,'DAILY ENTRY'!$D$7:$D$1203,"Lead researched (Sales Navigator)"))</f>
        <v/>
      </c>
      <c r="E69" s="107" t="str">
        <f aca="false">IF($A69="","",SUMIFS('DAILY ENTRY'!$F$7:$F$1203,'DAILY ENTRY'!$A$7:$A$1203,$A69,'DAILY ENTRY'!$B$7:$B$1203,$B69,'DAILY ENTRY'!$D$7:$D$1203,"Connection request sent"))</f>
        <v/>
      </c>
      <c r="F69" s="107" t="str">
        <f aca="false">IF($A69="","",SUMIFS('DAILY ENTRY'!$F$7:$F$1203,'DAILY ENTRY'!$A$7:$A$1203,$A69,'DAILY ENTRY'!$B$7:$B$1203,$B69,'DAILY ENTRY'!$D$7:$D$1203,"First message sent"))</f>
        <v/>
      </c>
      <c r="G69" s="107" t="str">
        <f aca="false">IF($A69="","",SUMIFS('DAILY ENTRY'!$F$7:$F$1203,'DAILY ENTRY'!$A$7:$A$1203,$A69,'DAILY ENTRY'!$B$7:$B$1203,$B69,'DAILY ENTRY'!$D$7:$D$1203,"Follow-up message sent"))</f>
        <v/>
      </c>
      <c r="H69" s="107" t="str">
        <f aca="false">IF($A69="","",SUMIFS('DAILY ENTRY'!$F$7:$F$1203,'DAILY ENTRY'!$A$7:$A$1203,$A69,'DAILY ENTRY'!$B$7:$B$1203,$B69,'DAILY ENTRY'!$D$7:$D$1203,"Post / content published"))</f>
        <v/>
      </c>
      <c r="I69" s="107" t="str">
        <f aca="false">IF($A69="","",SUMIFS('DAILY ENTRY'!$F$7:$F$1203,'DAILY ENTRY'!$A$7:$A$1203,$A69,'DAILY ENTRY'!$B$7:$B$1203,$B69,'DAILY ENTRY'!$D$7:$D$1203,"Community answer or comment"))</f>
        <v/>
      </c>
      <c r="J69" s="107" t="str">
        <f aca="false">IF($A69="","",SUMIFS('DAILY ENTRY'!$F$7:$F$1203,'DAILY ENTRY'!$A$7:$A$1203,$A69,'DAILY ENTRY'!$B$7:$B$1203,$B69,'DAILY ENTRY'!$D$7:$D$1203,"Partnership / PR contact"))</f>
        <v/>
      </c>
      <c r="K69" s="107" t="str">
        <f aca="false">IF($A69="","",SUMIFS('DAILY ENTRY'!$F$7:$F$1203,'DAILY ENTRY'!$A$7:$A$1203,$A69,'DAILY ENTRY'!$B$7:$B$1203,$B69,'DAILY ENTRY'!$D$7:$D$1203,"Engagement (commented on someone else)"))</f>
        <v/>
      </c>
      <c r="L69" s="107" t="str">
        <f aca="false">IF($A69="","",SUMIFS('DAILY ENTRY'!$F$7:$F$1203,'DAILY ENTRY'!$A$7:$A$1203,$A69,'DAILY ENTRY'!$B$7:$B$1203,$B69,'DAILY ENTRY'!$D$7:$D$1203,"Account created / profile completed"))</f>
        <v/>
      </c>
      <c r="M69" s="108" t="str">
        <f aca="false">IF($A69="","",IFERROR(INDEX('DAILY ENTRY'!$E$7:$E$1203,MATCH(1,INDEX(('DAILY ENTRY'!$A$7:$A$1203=$A69)*('DAILY ENTRY'!$B$7:$B$1203=$B69)*('DAILY ENTRY'!$I$7:$I$1203="Meeting booked"),0),0)),IFERROR(INDEX('DAILY ENTRY'!$E$7:$E$1203,MATCH(1,INDEX(('DAILY ENTRY'!$A$7:$A$1203=$A69)*('DAILY ENTRY'!$B$7:$B$1203=$B69)*('DAILY ENTRY'!$I$7:$I$1203="Positive reply"),0),0)),"")))</f>
        <v/>
      </c>
      <c r="N69" s="108" t="str">
        <f aca="false">IF($A69="","",IFERROR(INDEX('DAILY ENTRY'!$J$7:$J$1203,MATCH(1,INDEX(('DAILY ENTRY'!$A$7:$A$1203=$A69)*('DAILY ENTRY'!$B$7:$B$1203=$B69)*('DAILY ENTRY'!$I$7:$I$1203="Blocked"),0),0)),""))</f>
        <v/>
      </c>
      <c r="O69" s="65" t="str">
        <f aca="false">IF($A69="","",(D69&gt;='START HERE'!$B$25)+(E69&gt;='START HERE'!$B$26)+(F69&gt;='START HERE'!$B$27)+(G69&gt;='START HERE'!$B$28)+(H69&gt;='START HERE'!$B$29)+(I69&gt;='START HERE'!$B$30)+(J69&gt;='START HERE'!$B$31)+(K69&gt;='START HERE'!$B$32))</f>
        <v/>
      </c>
      <c r="P69" s="46" t="str">
        <f aca="false">IF($A69="","",IF(O69&gt;=7,"Full day",IF(O69&gt;=5,"Most targets met",IF(O69&gt;=3,"Half day","Below plan - explain in the blocker column"))))</f>
        <v/>
      </c>
    </row>
    <row r="70" customFormat="false" ht="24" hidden="false" customHeight="true" outlineLevel="0" collapsed="false">
      <c r="A70" s="36"/>
      <c r="B70" s="37"/>
      <c r="C70" s="107" t="str">
        <f aca="false">IF($A70="","",ROUND(SUMIFS('DAILY ENTRY'!$G$7:$G$1203,'DAILY ENTRY'!$A$7:$A$1203,$A70,'DAILY ENTRY'!$B$7:$B$1203,$B70)/60,1))</f>
        <v/>
      </c>
      <c r="D70" s="107" t="str">
        <f aca="false">IF($A70="","",SUMIFS('DAILY ENTRY'!$F$7:$F$1203,'DAILY ENTRY'!$A$7:$A$1203,$A70,'DAILY ENTRY'!$B$7:$B$1203,$B70,'DAILY ENTRY'!$D$7:$D$1203,"Lead researched (Sales Navigator)"))</f>
        <v/>
      </c>
      <c r="E70" s="107" t="str">
        <f aca="false">IF($A70="","",SUMIFS('DAILY ENTRY'!$F$7:$F$1203,'DAILY ENTRY'!$A$7:$A$1203,$A70,'DAILY ENTRY'!$B$7:$B$1203,$B70,'DAILY ENTRY'!$D$7:$D$1203,"Connection request sent"))</f>
        <v/>
      </c>
      <c r="F70" s="107" t="str">
        <f aca="false">IF($A70="","",SUMIFS('DAILY ENTRY'!$F$7:$F$1203,'DAILY ENTRY'!$A$7:$A$1203,$A70,'DAILY ENTRY'!$B$7:$B$1203,$B70,'DAILY ENTRY'!$D$7:$D$1203,"First message sent"))</f>
        <v/>
      </c>
      <c r="G70" s="107" t="str">
        <f aca="false">IF($A70="","",SUMIFS('DAILY ENTRY'!$F$7:$F$1203,'DAILY ENTRY'!$A$7:$A$1203,$A70,'DAILY ENTRY'!$B$7:$B$1203,$B70,'DAILY ENTRY'!$D$7:$D$1203,"Follow-up message sent"))</f>
        <v/>
      </c>
      <c r="H70" s="107" t="str">
        <f aca="false">IF($A70="","",SUMIFS('DAILY ENTRY'!$F$7:$F$1203,'DAILY ENTRY'!$A$7:$A$1203,$A70,'DAILY ENTRY'!$B$7:$B$1203,$B70,'DAILY ENTRY'!$D$7:$D$1203,"Post / content published"))</f>
        <v/>
      </c>
      <c r="I70" s="107" t="str">
        <f aca="false">IF($A70="","",SUMIFS('DAILY ENTRY'!$F$7:$F$1203,'DAILY ENTRY'!$A$7:$A$1203,$A70,'DAILY ENTRY'!$B$7:$B$1203,$B70,'DAILY ENTRY'!$D$7:$D$1203,"Community answer or comment"))</f>
        <v/>
      </c>
      <c r="J70" s="107" t="str">
        <f aca="false">IF($A70="","",SUMIFS('DAILY ENTRY'!$F$7:$F$1203,'DAILY ENTRY'!$A$7:$A$1203,$A70,'DAILY ENTRY'!$B$7:$B$1203,$B70,'DAILY ENTRY'!$D$7:$D$1203,"Partnership / PR contact"))</f>
        <v/>
      </c>
      <c r="K70" s="107" t="str">
        <f aca="false">IF($A70="","",SUMIFS('DAILY ENTRY'!$F$7:$F$1203,'DAILY ENTRY'!$A$7:$A$1203,$A70,'DAILY ENTRY'!$B$7:$B$1203,$B70,'DAILY ENTRY'!$D$7:$D$1203,"Engagement (commented on someone else)"))</f>
        <v/>
      </c>
      <c r="L70" s="107" t="str">
        <f aca="false">IF($A70="","",SUMIFS('DAILY ENTRY'!$F$7:$F$1203,'DAILY ENTRY'!$A$7:$A$1203,$A70,'DAILY ENTRY'!$B$7:$B$1203,$B70,'DAILY ENTRY'!$D$7:$D$1203,"Account created / profile completed"))</f>
        <v/>
      </c>
      <c r="M70" s="108" t="str">
        <f aca="false">IF($A70="","",IFERROR(INDEX('DAILY ENTRY'!$E$7:$E$1203,MATCH(1,INDEX(('DAILY ENTRY'!$A$7:$A$1203=$A70)*('DAILY ENTRY'!$B$7:$B$1203=$B70)*('DAILY ENTRY'!$I$7:$I$1203="Meeting booked"),0),0)),IFERROR(INDEX('DAILY ENTRY'!$E$7:$E$1203,MATCH(1,INDEX(('DAILY ENTRY'!$A$7:$A$1203=$A70)*('DAILY ENTRY'!$B$7:$B$1203=$B70)*('DAILY ENTRY'!$I$7:$I$1203="Positive reply"),0),0)),"")))</f>
        <v/>
      </c>
      <c r="N70" s="108" t="str">
        <f aca="false">IF($A70="","",IFERROR(INDEX('DAILY ENTRY'!$J$7:$J$1203,MATCH(1,INDEX(('DAILY ENTRY'!$A$7:$A$1203=$A70)*('DAILY ENTRY'!$B$7:$B$1203=$B70)*('DAILY ENTRY'!$I$7:$I$1203="Blocked"),0),0)),""))</f>
        <v/>
      </c>
      <c r="O70" s="65" t="str">
        <f aca="false">IF($A70="","",(D70&gt;='START HERE'!$B$25)+(E70&gt;='START HERE'!$B$26)+(F70&gt;='START HERE'!$B$27)+(G70&gt;='START HERE'!$B$28)+(H70&gt;='START HERE'!$B$29)+(I70&gt;='START HERE'!$B$30)+(J70&gt;='START HERE'!$B$31)+(K70&gt;='START HERE'!$B$32))</f>
        <v/>
      </c>
      <c r="P70" s="46" t="str">
        <f aca="false">IF($A70="","",IF(O70&gt;=7,"Full day",IF(O70&gt;=5,"Most targets met",IF(O70&gt;=3,"Half day","Below plan - explain in the blocker column"))))</f>
        <v/>
      </c>
    </row>
    <row r="71" customFormat="false" ht="24" hidden="false" customHeight="true" outlineLevel="0" collapsed="false">
      <c r="A71" s="36"/>
      <c r="B71" s="37"/>
      <c r="C71" s="107" t="str">
        <f aca="false">IF($A71="","",ROUND(SUMIFS('DAILY ENTRY'!$G$7:$G$1203,'DAILY ENTRY'!$A$7:$A$1203,$A71,'DAILY ENTRY'!$B$7:$B$1203,$B71)/60,1))</f>
        <v/>
      </c>
      <c r="D71" s="107" t="str">
        <f aca="false">IF($A71="","",SUMIFS('DAILY ENTRY'!$F$7:$F$1203,'DAILY ENTRY'!$A$7:$A$1203,$A71,'DAILY ENTRY'!$B$7:$B$1203,$B71,'DAILY ENTRY'!$D$7:$D$1203,"Lead researched (Sales Navigator)"))</f>
        <v/>
      </c>
      <c r="E71" s="107" t="str">
        <f aca="false">IF($A71="","",SUMIFS('DAILY ENTRY'!$F$7:$F$1203,'DAILY ENTRY'!$A$7:$A$1203,$A71,'DAILY ENTRY'!$B$7:$B$1203,$B71,'DAILY ENTRY'!$D$7:$D$1203,"Connection request sent"))</f>
        <v/>
      </c>
      <c r="F71" s="107" t="str">
        <f aca="false">IF($A71="","",SUMIFS('DAILY ENTRY'!$F$7:$F$1203,'DAILY ENTRY'!$A$7:$A$1203,$A71,'DAILY ENTRY'!$B$7:$B$1203,$B71,'DAILY ENTRY'!$D$7:$D$1203,"First message sent"))</f>
        <v/>
      </c>
      <c r="G71" s="107" t="str">
        <f aca="false">IF($A71="","",SUMIFS('DAILY ENTRY'!$F$7:$F$1203,'DAILY ENTRY'!$A$7:$A$1203,$A71,'DAILY ENTRY'!$B$7:$B$1203,$B71,'DAILY ENTRY'!$D$7:$D$1203,"Follow-up message sent"))</f>
        <v/>
      </c>
      <c r="H71" s="107" t="str">
        <f aca="false">IF($A71="","",SUMIFS('DAILY ENTRY'!$F$7:$F$1203,'DAILY ENTRY'!$A$7:$A$1203,$A71,'DAILY ENTRY'!$B$7:$B$1203,$B71,'DAILY ENTRY'!$D$7:$D$1203,"Post / content published"))</f>
        <v/>
      </c>
      <c r="I71" s="107" t="str">
        <f aca="false">IF($A71="","",SUMIFS('DAILY ENTRY'!$F$7:$F$1203,'DAILY ENTRY'!$A$7:$A$1203,$A71,'DAILY ENTRY'!$B$7:$B$1203,$B71,'DAILY ENTRY'!$D$7:$D$1203,"Community answer or comment"))</f>
        <v/>
      </c>
      <c r="J71" s="107" t="str">
        <f aca="false">IF($A71="","",SUMIFS('DAILY ENTRY'!$F$7:$F$1203,'DAILY ENTRY'!$A$7:$A$1203,$A71,'DAILY ENTRY'!$B$7:$B$1203,$B71,'DAILY ENTRY'!$D$7:$D$1203,"Partnership / PR contact"))</f>
        <v/>
      </c>
      <c r="K71" s="107" t="str">
        <f aca="false">IF($A71="","",SUMIFS('DAILY ENTRY'!$F$7:$F$1203,'DAILY ENTRY'!$A$7:$A$1203,$A71,'DAILY ENTRY'!$B$7:$B$1203,$B71,'DAILY ENTRY'!$D$7:$D$1203,"Engagement (commented on someone else)"))</f>
        <v/>
      </c>
      <c r="L71" s="107" t="str">
        <f aca="false">IF($A71="","",SUMIFS('DAILY ENTRY'!$F$7:$F$1203,'DAILY ENTRY'!$A$7:$A$1203,$A71,'DAILY ENTRY'!$B$7:$B$1203,$B71,'DAILY ENTRY'!$D$7:$D$1203,"Account created / profile completed"))</f>
        <v/>
      </c>
      <c r="M71" s="108" t="str">
        <f aca="false">IF($A71="","",IFERROR(INDEX('DAILY ENTRY'!$E$7:$E$1203,MATCH(1,INDEX(('DAILY ENTRY'!$A$7:$A$1203=$A71)*('DAILY ENTRY'!$B$7:$B$1203=$B71)*('DAILY ENTRY'!$I$7:$I$1203="Meeting booked"),0),0)),IFERROR(INDEX('DAILY ENTRY'!$E$7:$E$1203,MATCH(1,INDEX(('DAILY ENTRY'!$A$7:$A$1203=$A71)*('DAILY ENTRY'!$B$7:$B$1203=$B71)*('DAILY ENTRY'!$I$7:$I$1203="Positive reply"),0),0)),"")))</f>
        <v/>
      </c>
      <c r="N71" s="108" t="str">
        <f aca="false">IF($A71="","",IFERROR(INDEX('DAILY ENTRY'!$J$7:$J$1203,MATCH(1,INDEX(('DAILY ENTRY'!$A$7:$A$1203=$A71)*('DAILY ENTRY'!$B$7:$B$1203=$B71)*('DAILY ENTRY'!$I$7:$I$1203="Blocked"),0),0)),""))</f>
        <v/>
      </c>
      <c r="O71" s="65" t="str">
        <f aca="false">IF($A71="","",(D71&gt;='START HERE'!$B$25)+(E71&gt;='START HERE'!$B$26)+(F71&gt;='START HERE'!$B$27)+(G71&gt;='START HERE'!$B$28)+(H71&gt;='START HERE'!$B$29)+(I71&gt;='START HERE'!$B$30)+(J71&gt;='START HERE'!$B$31)+(K71&gt;='START HERE'!$B$32))</f>
        <v/>
      </c>
      <c r="P71" s="46" t="str">
        <f aca="false">IF($A71="","",IF(O71&gt;=7,"Full day",IF(O71&gt;=5,"Most targets met",IF(O71&gt;=3,"Half day","Below plan - explain in the blocker column"))))</f>
        <v/>
      </c>
    </row>
    <row r="72" customFormat="false" ht="24" hidden="false" customHeight="true" outlineLevel="0" collapsed="false">
      <c r="A72" s="36"/>
      <c r="B72" s="37"/>
      <c r="C72" s="107" t="str">
        <f aca="false">IF($A72="","",ROUND(SUMIFS('DAILY ENTRY'!$G$7:$G$1203,'DAILY ENTRY'!$A$7:$A$1203,$A72,'DAILY ENTRY'!$B$7:$B$1203,$B72)/60,1))</f>
        <v/>
      </c>
      <c r="D72" s="107" t="str">
        <f aca="false">IF($A72="","",SUMIFS('DAILY ENTRY'!$F$7:$F$1203,'DAILY ENTRY'!$A$7:$A$1203,$A72,'DAILY ENTRY'!$B$7:$B$1203,$B72,'DAILY ENTRY'!$D$7:$D$1203,"Lead researched (Sales Navigator)"))</f>
        <v/>
      </c>
      <c r="E72" s="107" t="str">
        <f aca="false">IF($A72="","",SUMIFS('DAILY ENTRY'!$F$7:$F$1203,'DAILY ENTRY'!$A$7:$A$1203,$A72,'DAILY ENTRY'!$B$7:$B$1203,$B72,'DAILY ENTRY'!$D$7:$D$1203,"Connection request sent"))</f>
        <v/>
      </c>
      <c r="F72" s="107" t="str">
        <f aca="false">IF($A72="","",SUMIFS('DAILY ENTRY'!$F$7:$F$1203,'DAILY ENTRY'!$A$7:$A$1203,$A72,'DAILY ENTRY'!$B$7:$B$1203,$B72,'DAILY ENTRY'!$D$7:$D$1203,"First message sent"))</f>
        <v/>
      </c>
      <c r="G72" s="107" t="str">
        <f aca="false">IF($A72="","",SUMIFS('DAILY ENTRY'!$F$7:$F$1203,'DAILY ENTRY'!$A$7:$A$1203,$A72,'DAILY ENTRY'!$B$7:$B$1203,$B72,'DAILY ENTRY'!$D$7:$D$1203,"Follow-up message sent"))</f>
        <v/>
      </c>
      <c r="H72" s="107" t="str">
        <f aca="false">IF($A72="","",SUMIFS('DAILY ENTRY'!$F$7:$F$1203,'DAILY ENTRY'!$A$7:$A$1203,$A72,'DAILY ENTRY'!$B$7:$B$1203,$B72,'DAILY ENTRY'!$D$7:$D$1203,"Post / content published"))</f>
        <v/>
      </c>
      <c r="I72" s="107" t="str">
        <f aca="false">IF($A72="","",SUMIFS('DAILY ENTRY'!$F$7:$F$1203,'DAILY ENTRY'!$A$7:$A$1203,$A72,'DAILY ENTRY'!$B$7:$B$1203,$B72,'DAILY ENTRY'!$D$7:$D$1203,"Community answer or comment"))</f>
        <v/>
      </c>
      <c r="J72" s="107" t="str">
        <f aca="false">IF($A72="","",SUMIFS('DAILY ENTRY'!$F$7:$F$1203,'DAILY ENTRY'!$A$7:$A$1203,$A72,'DAILY ENTRY'!$B$7:$B$1203,$B72,'DAILY ENTRY'!$D$7:$D$1203,"Partnership / PR contact"))</f>
        <v/>
      </c>
      <c r="K72" s="107" t="str">
        <f aca="false">IF($A72="","",SUMIFS('DAILY ENTRY'!$F$7:$F$1203,'DAILY ENTRY'!$A$7:$A$1203,$A72,'DAILY ENTRY'!$B$7:$B$1203,$B72,'DAILY ENTRY'!$D$7:$D$1203,"Engagement (commented on someone else)"))</f>
        <v/>
      </c>
      <c r="L72" s="107" t="str">
        <f aca="false">IF($A72="","",SUMIFS('DAILY ENTRY'!$F$7:$F$1203,'DAILY ENTRY'!$A$7:$A$1203,$A72,'DAILY ENTRY'!$B$7:$B$1203,$B72,'DAILY ENTRY'!$D$7:$D$1203,"Account created / profile completed"))</f>
        <v/>
      </c>
      <c r="M72" s="108" t="str">
        <f aca="false">IF($A72="","",IFERROR(INDEX('DAILY ENTRY'!$E$7:$E$1203,MATCH(1,INDEX(('DAILY ENTRY'!$A$7:$A$1203=$A72)*('DAILY ENTRY'!$B$7:$B$1203=$B72)*('DAILY ENTRY'!$I$7:$I$1203="Meeting booked"),0),0)),IFERROR(INDEX('DAILY ENTRY'!$E$7:$E$1203,MATCH(1,INDEX(('DAILY ENTRY'!$A$7:$A$1203=$A72)*('DAILY ENTRY'!$B$7:$B$1203=$B72)*('DAILY ENTRY'!$I$7:$I$1203="Positive reply"),0),0)),"")))</f>
        <v/>
      </c>
      <c r="N72" s="108" t="str">
        <f aca="false">IF($A72="","",IFERROR(INDEX('DAILY ENTRY'!$J$7:$J$1203,MATCH(1,INDEX(('DAILY ENTRY'!$A$7:$A$1203=$A72)*('DAILY ENTRY'!$B$7:$B$1203=$B72)*('DAILY ENTRY'!$I$7:$I$1203="Blocked"),0),0)),""))</f>
        <v/>
      </c>
      <c r="O72" s="65" t="str">
        <f aca="false">IF($A72="","",(D72&gt;='START HERE'!$B$25)+(E72&gt;='START HERE'!$B$26)+(F72&gt;='START HERE'!$B$27)+(G72&gt;='START HERE'!$B$28)+(H72&gt;='START HERE'!$B$29)+(I72&gt;='START HERE'!$B$30)+(J72&gt;='START HERE'!$B$31)+(K72&gt;='START HERE'!$B$32))</f>
        <v/>
      </c>
      <c r="P72" s="46" t="str">
        <f aca="false">IF($A72="","",IF(O72&gt;=7,"Full day",IF(O72&gt;=5,"Most targets met",IF(O72&gt;=3,"Half day","Below plan - explain in the blocker column"))))</f>
        <v/>
      </c>
    </row>
    <row r="73" customFormat="false" ht="24" hidden="false" customHeight="true" outlineLevel="0" collapsed="false">
      <c r="A73" s="36"/>
      <c r="B73" s="37"/>
      <c r="C73" s="107" t="str">
        <f aca="false">IF($A73="","",ROUND(SUMIFS('DAILY ENTRY'!$G$7:$G$1203,'DAILY ENTRY'!$A$7:$A$1203,$A73,'DAILY ENTRY'!$B$7:$B$1203,$B73)/60,1))</f>
        <v/>
      </c>
      <c r="D73" s="107" t="str">
        <f aca="false">IF($A73="","",SUMIFS('DAILY ENTRY'!$F$7:$F$1203,'DAILY ENTRY'!$A$7:$A$1203,$A73,'DAILY ENTRY'!$B$7:$B$1203,$B73,'DAILY ENTRY'!$D$7:$D$1203,"Lead researched (Sales Navigator)"))</f>
        <v/>
      </c>
      <c r="E73" s="107" t="str">
        <f aca="false">IF($A73="","",SUMIFS('DAILY ENTRY'!$F$7:$F$1203,'DAILY ENTRY'!$A$7:$A$1203,$A73,'DAILY ENTRY'!$B$7:$B$1203,$B73,'DAILY ENTRY'!$D$7:$D$1203,"Connection request sent"))</f>
        <v/>
      </c>
      <c r="F73" s="107" t="str">
        <f aca="false">IF($A73="","",SUMIFS('DAILY ENTRY'!$F$7:$F$1203,'DAILY ENTRY'!$A$7:$A$1203,$A73,'DAILY ENTRY'!$B$7:$B$1203,$B73,'DAILY ENTRY'!$D$7:$D$1203,"First message sent"))</f>
        <v/>
      </c>
      <c r="G73" s="107" t="str">
        <f aca="false">IF($A73="","",SUMIFS('DAILY ENTRY'!$F$7:$F$1203,'DAILY ENTRY'!$A$7:$A$1203,$A73,'DAILY ENTRY'!$B$7:$B$1203,$B73,'DAILY ENTRY'!$D$7:$D$1203,"Follow-up message sent"))</f>
        <v/>
      </c>
      <c r="H73" s="107" t="str">
        <f aca="false">IF($A73="","",SUMIFS('DAILY ENTRY'!$F$7:$F$1203,'DAILY ENTRY'!$A$7:$A$1203,$A73,'DAILY ENTRY'!$B$7:$B$1203,$B73,'DAILY ENTRY'!$D$7:$D$1203,"Post / content published"))</f>
        <v/>
      </c>
      <c r="I73" s="107" t="str">
        <f aca="false">IF($A73="","",SUMIFS('DAILY ENTRY'!$F$7:$F$1203,'DAILY ENTRY'!$A$7:$A$1203,$A73,'DAILY ENTRY'!$B$7:$B$1203,$B73,'DAILY ENTRY'!$D$7:$D$1203,"Community answer or comment"))</f>
        <v/>
      </c>
      <c r="J73" s="107" t="str">
        <f aca="false">IF($A73="","",SUMIFS('DAILY ENTRY'!$F$7:$F$1203,'DAILY ENTRY'!$A$7:$A$1203,$A73,'DAILY ENTRY'!$B$7:$B$1203,$B73,'DAILY ENTRY'!$D$7:$D$1203,"Partnership / PR contact"))</f>
        <v/>
      </c>
      <c r="K73" s="107" t="str">
        <f aca="false">IF($A73="","",SUMIFS('DAILY ENTRY'!$F$7:$F$1203,'DAILY ENTRY'!$A$7:$A$1203,$A73,'DAILY ENTRY'!$B$7:$B$1203,$B73,'DAILY ENTRY'!$D$7:$D$1203,"Engagement (commented on someone else)"))</f>
        <v/>
      </c>
      <c r="L73" s="107" t="str">
        <f aca="false">IF($A73="","",SUMIFS('DAILY ENTRY'!$F$7:$F$1203,'DAILY ENTRY'!$A$7:$A$1203,$A73,'DAILY ENTRY'!$B$7:$B$1203,$B73,'DAILY ENTRY'!$D$7:$D$1203,"Account created / profile completed"))</f>
        <v/>
      </c>
      <c r="M73" s="108" t="str">
        <f aca="false">IF($A73="","",IFERROR(INDEX('DAILY ENTRY'!$E$7:$E$1203,MATCH(1,INDEX(('DAILY ENTRY'!$A$7:$A$1203=$A73)*('DAILY ENTRY'!$B$7:$B$1203=$B73)*('DAILY ENTRY'!$I$7:$I$1203="Meeting booked"),0),0)),IFERROR(INDEX('DAILY ENTRY'!$E$7:$E$1203,MATCH(1,INDEX(('DAILY ENTRY'!$A$7:$A$1203=$A73)*('DAILY ENTRY'!$B$7:$B$1203=$B73)*('DAILY ENTRY'!$I$7:$I$1203="Positive reply"),0),0)),"")))</f>
        <v/>
      </c>
      <c r="N73" s="108" t="str">
        <f aca="false">IF($A73="","",IFERROR(INDEX('DAILY ENTRY'!$J$7:$J$1203,MATCH(1,INDEX(('DAILY ENTRY'!$A$7:$A$1203=$A73)*('DAILY ENTRY'!$B$7:$B$1203=$B73)*('DAILY ENTRY'!$I$7:$I$1203="Blocked"),0),0)),""))</f>
        <v/>
      </c>
      <c r="O73" s="65" t="str">
        <f aca="false">IF($A73="","",(D73&gt;='START HERE'!$B$25)+(E73&gt;='START HERE'!$B$26)+(F73&gt;='START HERE'!$B$27)+(G73&gt;='START HERE'!$B$28)+(H73&gt;='START HERE'!$B$29)+(I73&gt;='START HERE'!$B$30)+(J73&gt;='START HERE'!$B$31)+(K73&gt;='START HERE'!$B$32))</f>
        <v/>
      </c>
      <c r="P73" s="46" t="str">
        <f aca="false">IF($A73="","",IF(O73&gt;=7,"Full day",IF(O73&gt;=5,"Most targets met",IF(O73&gt;=3,"Half day","Below plan - explain in the blocker column"))))</f>
        <v/>
      </c>
    </row>
    <row r="74" customFormat="false" ht="24" hidden="false" customHeight="true" outlineLevel="0" collapsed="false">
      <c r="A74" s="36"/>
      <c r="B74" s="37"/>
      <c r="C74" s="107" t="str">
        <f aca="false">IF($A74="","",ROUND(SUMIFS('DAILY ENTRY'!$G$7:$G$1203,'DAILY ENTRY'!$A$7:$A$1203,$A74,'DAILY ENTRY'!$B$7:$B$1203,$B74)/60,1))</f>
        <v/>
      </c>
      <c r="D74" s="107" t="str">
        <f aca="false">IF($A74="","",SUMIFS('DAILY ENTRY'!$F$7:$F$1203,'DAILY ENTRY'!$A$7:$A$1203,$A74,'DAILY ENTRY'!$B$7:$B$1203,$B74,'DAILY ENTRY'!$D$7:$D$1203,"Lead researched (Sales Navigator)"))</f>
        <v/>
      </c>
      <c r="E74" s="107" t="str">
        <f aca="false">IF($A74="","",SUMIFS('DAILY ENTRY'!$F$7:$F$1203,'DAILY ENTRY'!$A$7:$A$1203,$A74,'DAILY ENTRY'!$B$7:$B$1203,$B74,'DAILY ENTRY'!$D$7:$D$1203,"Connection request sent"))</f>
        <v/>
      </c>
      <c r="F74" s="107" t="str">
        <f aca="false">IF($A74="","",SUMIFS('DAILY ENTRY'!$F$7:$F$1203,'DAILY ENTRY'!$A$7:$A$1203,$A74,'DAILY ENTRY'!$B$7:$B$1203,$B74,'DAILY ENTRY'!$D$7:$D$1203,"First message sent"))</f>
        <v/>
      </c>
      <c r="G74" s="107" t="str">
        <f aca="false">IF($A74="","",SUMIFS('DAILY ENTRY'!$F$7:$F$1203,'DAILY ENTRY'!$A$7:$A$1203,$A74,'DAILY ENTRY'!$B$7:$B$1203,$B74,'DAILY ENTRY'!$D$7:$D$1203,"Follow-up message sent"))</f>
        <v/>
      </c>
      <c r="H74" s="107" t="str">
        <f aca="false">IF($A74="","",SUMIFS('DAILY ENTRY'!$F$7:$F$1203,'DAILY ENTRY'!$A$7:$A$1203,$A74,'DAILY ENTRY'!$B$7:$B$1203,$B74,'DAILY ENTRY'!$D$7:$D$1203,"Post / content published"))</f>
        <v/>
      </c>
      <c r="I74" s="107" t="str">
        <f aca="false">IF($A74="","",SUMIFS('DAILY ENTRY'!$F$7:$F$1203,'DAILY ENTRY'!$A$7:$A$1203,$A74,'DAILY ENTRY'!$B$7:$B$1203,$B74,'DAILY ENTRY'!$D$7:$D$1203,"Community answer or comment"))</f>
        <v/>
      </c>
      <c r="J74" s="107" t="str">
        <f aca="false">IF($A74="","",SUMIFS('DAILY ENTRY'!$F$7:$F$1203,'DAILY ENTRY'!$A$7:$A$1203,$A74,'DAILY ENTRY'!$B$7:$B$1203,$B74,'DAILY ENTRY'!$D$7:$D$1203,"Partnership / PR contact"))</f>
        <v/>
      </c>
      <c r="K74" s="107" t="str">
        <f aca="false">IF($A74="","",SUMIFS('DAILY ENTRY'!$F$7:$F$1203,'DAILY ENTRY'!$A$7:$A$1203,$A74,'DAILY ENTRY'!$B$7:$B$1203,$B74,'DAILY ENTRY'!$D$7:$D$1203,"Engagement (commented on someone else)"))</f>
        <v/>
      </c>
      <c r="L74" s="107" t="str">
        <f aca="false">IF($A74="","",SUMIFS('DAILY ENTRY'!$F$7:$F$1203,'DAILY ENTRY'!$A$7:$A$1203,$A74,'DAILY ENTRY'!$B$7:$B$1203,$B74,'DAILY ENTRY'!$D$7:$D$1203,"Account created / profile completed"))</f>
        <v/>
      </c>
      <c r="M74" s="108" t="str">
        <f aca="false">IF($A74="","",IFERROR(INDEX('DAILY ENTRY'!$E$7:$E$1203,MATCH(1,INDEX(('DAILY ENTRY'!$A$7:$A$1203=$A74)*('DAILY ENTRY'!$B$7:$B$1203=$B74)*('DAILY ENTRY'!$I$7:$I$1203="Meeting booked"),0),0)),IFERROR(INDEX('DAILY ENTRY'!$E$7:$E$1203,MATCH(1,INDEX(('DAILY ENTRY'!$A$7:$A$1203=$A74)*('DAILY ENTRY'!$B$7:$B$1203=$B74)*('DAILY ENTRY'!$I$7:$I$1203="Positive reply"),0),0)),"")))</f>
        <v/>
      </c>
      <c r="N74" s="108" t="str">
        <f aca="false">IF($A74="","",IFERROR(INDEX('DAILY ENTRY'!$J$7:$J$1203,MATCH(1,INDEX(('DAILY ENTRY'!$A$7:$A$1203=$A74)*('DAILY ENTRY'!$B$7:$B$1203=$B74)*('DAILY ENTRY'!$I$7:$I$1203="Blocked"),0),0)),""))</f>
        <v/>
      </c>
      <c r="O74" s="65" t="str">
        <f aca="false">IF($A74="","",(D74&gt;='START HERE'!$B$25)+(E74&gt;='START HERE'!$B$26)+(F74&gt;='START HERE'!$B$27)+(G74&gt;='START HERE'!$B$28)+(H74&gt;='START HERE'!$B$29)+(I74&gt;='START HERE'!$B$30)+(J74&gt;='START HERE'!$B$31)+(K74&gt;='START HERE'!$B$32))</f>
        <v/>
      </c>
      <c r="P74" s="46" t="str">
        <f aca="false">IF($A74="","",IF(O74&gt;=7,"Full day",IF(O74&gt;=5,"Most targets met",IF(O74&gt;=3,"Half day","Below plan - explain in the blocker column"))))</f>
        <v/>
      </c>
    </row>
    <row r="75" customFormat="false" ht="24" hidden="false" customHeight="true" outlineLevel="0" collapsed="false">
      <c r="A75" s="36"/>
      <c r="B75" s="37"/>
      <c r="C75" s="107" t="str">
        <f aca="false">IF($A75="","",ROUND(SUMIFS('DAILY ENTRY'!$G$7:$G$1203,'DAILY ENTRY'!$A$7:$A$1203,$A75,'DAILY ENTRY'!$B$7:$B$1203,$B75)/60,1))</f>
        <v/>
      </c>
      <c r="D75" s="107" t="str">
        <f aca="false">IF($A75="","",SUMIFS('DAILY ENTRY'!$F$7:$F$1203,'DAILY ENTRY'!$A$7:$A$1203,$A75,'DAILY ENTRY'!$B$7:$B$1203,$B75,'DAILY ENTRY'!$D$7:$D$1203,"Lead researched (Sales Navigator)"))</f>
        <v/>
      </c>
      <c r="E75" s="107" t="str">
        <f aca="false">IF($A75="","",SUMIFS('DAILY ENTRY'!$F$7:$F$1203,'DAILY ENTRY'!$A$7:$A$1203,$A75,'DAILY ENTRY'!$B$7:$B$1203,$B75,'DAILY ENTRY'!$D$7:$D$1203,"Connection request sent"))</f>
        <v/>
      </c>
      <c r="F75" s="107" t="str">
        <f aca="false">IF($A75="","",SUMIFS('DAILY ENTRY'!$F$7:$F$1203,'DAILY ENTRY'!$A$7:$A$1203,$A75,'DAILY ENTRY'!$B$7:$B$1203,$B75,'DAILY ENTRY'!$D$7:$D$1203,"First message sent"))</f>
        <v/>
      </c>
      <c r="G75" s="107" t="str">
        <f aca="false">IF($A75="","",SUMIFS('DAILY ENTRY'!$F$7:$F$1203,'DAILY ENTRY'!$A$7:$A$1203,$A75,'DAILY ENTRY'!$B$7:$B$1203,$B75,'DAILY ENTRY'!$D$7:$D$1203,"Follow-up message sent"))</f>
        <v/>
      </c>
      <c r="H75" s="107" t="str">
        <f aca="false">IF($A75="","",SUMIFS('DAILY ENTRY'!$F$7:$F$1203,'DAILY ENTRY'!$A$7:$A$1203,$A75,'DAILY ENTRY'!$B$7:$B$1203,$B75,'DAILY ENTRY'!$D$7:$D$1203,"Post / content published"))</f>
        <v/>
      </c>
      <c r="I75" s="107" t="str">
        <f aca="false">IF($A75="","",SUMIFS('DAILY ENTRY'!$F$7:$F$1203,'DAILY ENTRY'!$A$7:$A$1203,$A75,'DAILY ENTRY'!$B$7:$B$1203,$B75,'DAILY ENTRY'!$D$7:$D$1203,"Community answer or comment"))</f>
        <v/>
      </c>
      <c r="J75" s="107" t="str">
        <f aca="false">IF($A75="","",SUMIFS('DAILY ENTRY'!$F$7:$F$1203,'DAILY ENTRY'!$A$7:$A$1203,$A75,'DAILY ENTRY'!$B$7:$B$1203,$B75,'DAILY ENTRY'!$D$7:$D$1203,"Partnership / PR contact"))</f>
        <v/>
      </c>
      <c r="K75" s="107" t="str">
        <f aca="false">IF($A75="","",SUMIFS('DAILY ENTRY'!$F$7:$F$1203,'DAILY ENTRY'!$A$7:$A$1203,$A75,'DAILY ENTRY'!$B$7:$B$1203,$B75,'DAILY ENTRY'!$D$7:$D$1203,"Engagement (commented on someone else)"))</f>
        <v/>
      </c>
      <c r="L75" s="107" t="str">
        <f aca="false">IF($A75="","",SUMIFS('DAILY ENTRY'!$F$7:$F$1203,'DAILY ENTRY'!$A$7:$A$1203,$A75,'DAILY ENTRY'!$B$7:$B$1203,$B75,'DAILY ENTRY'!$D$7:$D$1203,"Account created / profile completed"))</f>
        <v/>
      </c>
      <c r="M75" s="108" t="str">
        <f aca="false">IF($A75="","",IFERROR(INDEX('DAILY ENTRY'!$E$7:$E$1203,MATCH(1,INDEX(('DAILY ENTRY'!$A$7:$A$1203=$A75)*('DAILY ENTRY'!$B$7:$B$1203=$B75)*('DAILY ENTRY'!$I$7:$I$1203="Meeting booked"),0),0)),IFERROR(INDEX('DAILY ENTRY'!$E$7:$E$1203,MATCH(1,INDEX(('DAILY ENTRY'!$A$7:$A$1203=$A75)*('DAILY ENTRY'!$B$7:$B$1203=$B75)*('DAILY ENTRY'!$I$7:$I$1203="Positive reply"),0),0)),"")))</f>
        <v/>
      </c>
      <c r="N75" s="108" t="str">
        <f aca="false">IF($A75="","",IFERROR(INDEX('DAILY ENTRY'!$J$7:$J$1203,MATCH(1,INDEX(('DAILY ENTRY'!$A$7:$A$1203=$A75)*('DAILY ENTRY'!$B$7:$B$1203=$B75)*('DAILY ENTRY'!$I$7:$I$1203="Blocked"),0),0)),""))</f>
        <v/>
      </c>
      <c r="O75" s="65" t="str">
        <f aca="false">IF($A75="","",(D75&gt;='START HERE'!$B$25)+(E75&gt;='START HERE'!$B$26)+(F75&gt;='START HERE'!$B$27)+(G75&gt;='START HERE'!$B$28)+(H75&gt;='START HERE'!$B$29)+(I75&gt;='START HERE'!$B$30)+(J75&gt;='START HERE'!$B$31)+(K75&gt;='START HERE'!$B$32))</f>
        <v/>
      </c>
      <c r="P75" s="46" t="str">
        <f aca="false">IF($A75="","",IF(O75&gt;=7,"Full day",IF(O75&gt;=5,"Most targets met",IF(O75&gt;=3,"Half day","Below plan - explain in the blocker column"))))</f>
        <v/>
      </c>
    </row>
    <row r="76" customFormat="false" ht="24" hidden="false" customHeight="true" outlineLevel="0" collapsed="false">
      <c r="A76" s="36"/>
      <c r="B76" s="37"/>
      <c r="C76" s="107" t="str">
        <f aca="false">IF($A76="","",ROUND(SUMIFS('DAILY ENTRY'!$G$7:$G$1203,'DAILY ENTRY'!$A$7:$A$1203,$A76,'DAILY ENTRY'!$B$7:$B$1203,$B76)/60,1))</f>
        <v/>
      </c>
      <c r="D76" s="107" t="str">
        <f aca="false">IF($A76="","",SUMIFS('DAILY ENTRY'!$F$7:$F$1203,'DAILY ENTRY'!$A$7:$A$1203,$A76,'DAILY ENTRY'!$B$7:$B$1203,$B76,'DAILY ENTRY'!$D$7:$D$1203,"Lead researched (Sales Navigator)"))</f>
        <v/>
      </c>
      <c r="E76" s="107" t="str">
        <f aca="false">IF($A76="","",SUMIFS('DAILY ENTRY'!$F$7:$F$1203,'DAILY ENTRY'!$A$7:$A$1203,$A76,'DAILY ENTRY'!$B$7:$B$1203,$B76,'DAILY ENTRY'!$D$7:$D$1203,"Connection request sent"))</f>
        <v/>
      </c>
      <c r="F76" s="107" t="str">
        <f aca="false">IF($A76="","",SUMIFS('DAILY ENTRY'!$F$7:$F$1203,'DAILY ENTRY'!$A$7:$A$1203,$A76,'DAILY ENTRY'!$B$7:$B$1203,$B76,'DAILY ENTRY'!$D$7:$D$1203,"First message sent"))</f>
        <v/>
      </c>
      <c r="G76" s="107" t="str">
        <f aca="false">IF($A76="","",SUMIFS('DAILY ENTRY'!$F$7:$F$1203,'DAILY ENTRY'!$A$7:$A$1203,$A76,'DAILY ENTRY'!$B$7:$B$1203,$B76,'DAILY ENTRY'!$D$7:$D$1203,"Follow-up message sent"))</f>
        <v/>
      </c>
      <c r="H76" s="107" t="str">
        <f aca="false">IF($A76="","",SUMIFS('DAILY ENTRY'!$F$7:$F$1203,'DAILY ENTRY'!$A$7:$A$1203,$A76,'DAILY ENTRY'!$B$7:$B$1203,$B76,'DAILY ENTRY'!$D$7:$D$1203,"Post / content published"))</f>
        <v/>
      </c>
      <c r="I76" s="107" t="str">
        <f aca="false">IF($A76="","",SUMIFS('DAILY ENTRY'!$F$7:$F$1203,'DAILY ENTRY'!$A$7:$A$1203,$A76,'DAILY ENTRY'!$B$7:$B$1203,$B76,'DAILY ENTRY'!$D$7:$D$1203,"Community answer or comment"))</f>
        <v/>
      </c>
      <c r="J76" s="107" t="str">
        <f aca="false">IF($A76="","",SUMIFS('DAILY ENTRY'!$F$7:$F$1203,'DAILY ENTRY'!$A$7:$A$1203,$A76,'DAILY ENTRY'!$B$7:$B$1203,$B76,'DAILY ENTRY'!$D$7:$D$1203,"Partnership / PR contact"))</f>
        <v/>
      </c>
      <c r="K76" s="107" t="str">
        <f aca="false">IF($A76="","",SUMIFS('DAILY ENTRY'!$F$7:$F$1203,'DAILY ENTRY'!$A$7:$A$1203,$A76,'DAILY ENTRY'!$B$7:$B$1203,$B76,'DAILY ENTRY'!$D$7:$D$1203,"Engagement (commented on someone else)"))</f>
        <v/>
      </c>
      <c r="L76" s="107" t="str">
        <f aca="false">IF($A76="","",SUMIFS('DAILY ENTRY'!$F$7:$F$1203,'DAILY ENTRY'!$A$7:$A$1203,$A76,'DAILY ENTRY'!$B$7:$B$1203,$B76,'DAILY ENTRY'!$D$7:$D$1203,"Account created / profile completed"))</f>
        <v/>
      </c>
      <c r="M76" s="108" t="str">
        <f aca="false">IF($A76="","",IFERROR(INDEX('DAILY ENTRY'!$E$7:$E$1203,MATCH(1,INDEX(('DAILY ENTRY'!$A$7:$A$1203=$A76)*('DAILY ENTRY'!$B$7:$B$1203=$B76)*('DAILY ENTRY'!$I$7:$I$1203="Meeting booked"),0),0)),IFERROR(INDEX('DAILY ENTRY'!$E$7:$E$1203,MATCH(1,INDEX(('DAILY ENTRY'!$A$7:$A$1203=$A76)*('DAILY ENTRY'!$B$7:$B$1203=$B76)*('DAILY ENTRY'!$I$7:$I$1203="Positive reply"),0),0)),"")))</f>
        <v/>
      </c>
      <c r="N76" s="108" t="str">
        <f aca="false">IF($A76="","",IFERROR(INDEX('DAILY ENTRY'!$J$7:$J$1203,MATCH(1,INDEX(('DAILY ENTRY'!$A$7:$A$1203=$A76)*('DAILY ENTRY'!$B$7:$B$1203=$B76)*('DAILY ENTRY'!$I$7:$I$1203="Blocked"),0),0)),""))</f>
        <v/>
      </c>
      <c r="O76" s="65" t="str">
        <f aca="false">IF($A76="","",(D76&gt;='START HERE'!$B$25)+(E76&gt;='START HERE'!$B$26)+(F76&gt;='START HERE'!$B$27)+(G76&gt;='START HERE'!$B$28)+(H76&gt;='START HERE'!$B$29)+(I76&gt;='START HERE'!$B$30)+(J76&gt;='START HERE'!$B$31)+(K76&gt;='START HERE'!$B$32))</f>
        <v/>
      </c>
      <c r="P76" s="46" t="str">
        <f aca="false">IF($A76="","",IF(O76&gt;=7,"Full day",IF(O76&gt;=5,"Most targets met",IF(O76&gt;=3,"Half day","Below plan - explain in the blocker column"))))</f>
        <v/>
      </c>
    </row>
    <row r="77" customFormat="false" ht="24" hidden="false" customHeight="true" outlineLevel="0" collapsed="false">
      <c r="A77" s="36"/>
      <c r="B77" s="37"/>
      <c r="C77" s="107" t="str">
        <f aca="false">IF($A77="","",ROUND(SUMIFS('DAILY ENTRY'!$G$7:$G$1203,'DAILY ENTRY'!$A$7:$A$1203,$A77,'DAILY ENTRY'!$B$7:$B$1203,$B77)/60,1))</f>
        <v/>
      </c>
      <c r="D77" s="107" t="str">
        <f aca="false">IF($A77="","",SUMIFS('DAILY ENTRY'!$F$7:$F$1203,'DAILY ENTRY'!$A$7:$A$1203,$A77,'DAILY ENTRY'!$B$7:$B$1203,$B77,'DAILY ENTRY'!$D$7:$D$1203,"Lead researched (Sales Navigator)"))</f>
        <v/>
      </c>
      <c r="E77" s="107" t="str">
        <f aca="false">IF($A77="","",SUMIFS('DAILY ENTRY'!$F$7:$F$1203,'DAILY ENTRY'!$A$7:$A$1203,$A77,'DAILY ENTRY'!$B$7:$B$1203,$B77,'DAILY ENTRY'!$D$7:$D$1203,"Connection request sent"))</f>
        <v/>
      </c>
      <c r="F77" s="107" t="str">
        <f aca="false">IF($A77="","",SUMIFS('DAILY ENTRY'!$F$7:$F$1203,'DAILY ENTRY'!$A$7:$A$1203,$A77,'DAILY ENTRY'!$B$7:$B$1203,$B77,'DAILY ENTRY'!$D$7:$D$1203,"First message sent"))</f>
        <v/>
      </c>
      <c r="G77" s="107" t="str">
        <f aca="false">IF($A77="","",SUMIFS('DAILY ENTRY'!$F$7:$F$1203,'DAILY ENTRY'!$A$7:$A$1203,$A77,'DAILY ENTRY'!$B$7:$B$1203,$B77,'DAILY ENTRY'!$D$7:$D$1203,"Follow-up message sent"))</f>
        <v/>
      </c>
      <c r="H77" s="107" t="str">
        <f aca="false">IF($A77="","",SUMIFS('DAILY ENTRY'!$F$7:$F$1203,'DAILY ENTRY'!$A$7:$A$1203,$A77,'DAILY ENTRY'!$B$7:$B$1203,$B77,'DAILY ENTRY'!$D$7:$D$1203,"Post / content published"))</f>
        <v/>
      </c>
      <c r="I77" s="107" t="str">
        <f aca="false">IF($A77="","",SUMIFS('DAILY ENTRY'!$F$7:$F$1203,'DAILY ENTRY'!$A$7:$A$1203,$A77,'DAILY ENTRY'!$B$7:$B$1203,$B77,'DAILY ENTRY'!$D$7:$D$1203,"Community answer or comment"))</f>
        <v/>
      </c>
      <c r="J77" s="107" t="str">
        <f aca="false">IF($A77="","",SUMIFS('DAILY ENTRY'!$F$7:$F$1203,'DAILY ENTRY'!$A$7:$A$1203,$A77,'DAILY ENTRY'!$B$7:$B$1203,$B77,'DAILY ENTRY'!$D$7:$D$1203,"Partnership / PR contact"))</f>
        <v/>
      </c>
      <c r="K77" s="107" t="str">
        <f aca="false">IF($A77="","",SUMIFS('DAILY ENTRY'!$F$7:$F$1203,'DAILY ENTRY'!$A$7:$A$1203,$A77,'DAILY ENTRY'!$B$7:$B$1203,$B77,'DAILY ENTRY'!$D$7:$D$1203,"Engagement (commented on someone else)"))</f>
        <v/>
      </c>
      <c r="L77" s="107" t="str">
        <f aca="false">IF($A77="","",SUMIFS('DAILY ENTRY'!$F$7:$F$1203,'DAILY ENTRY'!$A$7:$A$1203,$A77,'DAILY ENTRY'!$B$7:$B$1203,$B77,'DAILY ENTRY'!$D$7:$D$1203,"Account created / profile completed"))</f>
        <v/>
      </c>
      <c r="M77" s="108" t="str">
        <f aca="false">IF($A77="","",IFERROR(INDEX('DAILY ENTRY'!$E$7:$E$1203,MATCH(1,INDEX(('DAILY ENTRY'!$A$7:$A$1203=$A77)*('DAILY ENTRY'!$B$7:$B$1203=$B77)*('DAILY ENTRY'!$I$7:$I$1203="Meeting booked"),0),0)),IFERROR(INDEX('DAILY ENTRY'!$E$7:$E$1203,MATCH(1,INDEX(('DAILY ENTRY'!$A$7:$A$1203=$A77)*('DAILY ENTRY'!$B$7:$B$1203=$B77)*('DAILY ENTRY'!$I$7:$I$1203="Positive reply"),0),0)),"")))</f>
        <v/>
      </c>
      <c r="N77" s="108" t="str">
        <f aca="false">IF($A77="","",IFERROR(INDEX('DAILY ENTRY'!$J$7:$J$1203,MATCH(1,INDEX(('DAILY ENTRY'!$A$7:$A$1203=$A77)*('DAILY ENTRY'!$B$7:$B$1203=$B77)*('DAILY ENTRY'!$I$7:$I$1203="Blocked"),0),0)),""))</f>
        <v/>
      </c>
      <c r="O77" s="65" t="str">
        <f aca="false">IF($A77="","",(D77&gt;='START HERE'!$B$25)+(E77&gt;='START HERE'!$B$26)+(F77&gt;='START HERE'!$B$27)+(G77&gt;='START HERE'!$B$28)+(H77&gt;='START HERE'!$B$29)+(I77&gt;='START HERE'!$B$30)+(J77&gt;='START HERE'!$B$31)+(K77&gt;='START HERE'!$B$32))</f>
        <v/>
      </c>
      <c r="P77" s="46" t="str">
        <f aca="false">IF($A77="","",IF(O77&gt;=7,"Full day",IF(O77&gt;=5,"Most targets met",IF(O77&gt;=3,"Half day","Below plan - explain in the blocker column"))))</f>
        <v/>
      </c>
    </row>
    <row r="78" customFormat="false" ht="24" hidden="false" customHeight="true" outlineLevel="0" collapsed="false">
      <c r="A78" s="36"/>
      <c r="B78" s="37"/>
      <c r="C78" s="107" t="str">
        <f aca="false">IF($A78="","",ROUND(SUMIFS('DAILY ENTRY'!$G$7:$G$1203,'DAILY ENTRY'!$A$7:$A$1203,$A78,'DAILY ENTRY'!$B$7:$B$1203,$B78)/60,1))</f>
        <v/>
      </c>
      <c r="D78" s="107" t="str">
        <f aca="false">IF($A78="","",SUMIFS('DAILY ENTRY'!$F$7:$F$1203,'DAILY ENTRY'!$A$7:$A$1203,$A78,'DAILY ENTRY'!$B$7:$B$1203,$B78,'DAILY ENTRY'!$D$7:$D$1203,"Lead researched (Sales Navigator)"))</f>
        <v/>
      </c>
      <c r="E78" s="107" t="str">
        <f aca="false">IF($A78="","",SUMIFS('DAILY ENTRY'!$F$7:$F$1203,'DAILY ENTRY'!$A$7:$A$1203,$A78,'DAILY ENTRY'!$B$7:$B$1203,$B78,'DAILY ENTRY'!$D$7:$D$1203,"Connection request sent"))</f>
        <v/>
      </c>
      <c r="F78" s="107" t="str">
        <f aca="false">IF($A78="","",SUMIFS('DAILY ENTRY'!$F$7:$F$1203,'DAILY ENTRY'!$A$7:$A$1203,$A78,'DAILY ENTRY'!$B$7:$B$1203,$B78,'DAILY ENTRY'!$D$7:$D$1203,"First message sent"))</f>
        <v/>
      </c>
      <c r="G78" s="107" t="str">
        <f aca="false">IF($A78="","",SUMIFS('DAILY ENTRY'!$F$7:$F$1203,'DAILY ENTRY'!$A$7:$A$1203,$A78,'DAILY ENTRY'!$B$7:$B$1203,$B78,'DAILY ENTRY'!$D$7:$D$1203,"Follow-up message sent"))</f>
        <v/>
      </c>
      <c r="H78" s="107" t="str">
        <f aca="false">IF($A78="","",SUMIFS('DAILY ENTRY'!$F$7:$F$1203,'DAILY ENTRY'!$A$7:$A$1203,$A78,'DAILY ENTRY'!$B$7:$B$1203,$B78,'DAILY ENTRY'!$D$7:$D$1203,"Post / content published"))</f>
        <v/>
      </c>
      <c r="I78" s="107" t="str">
        <f aca="false">IF($A78="","",SUMIFS('DAILY ENTRY'!$F$7:$F$1203,'DAILY ENTRY'!$A$7:$A$1203,$A78,'DAILY ENTRY'!$B$7:$B$1203,$B78,'DAILY ENTRY'!$D$7:$D$1203,"Community answer or comment"))</f>
        <v/>
      </c>
      <c r="J78" s="107" t="str">
        <f aca="false">IF($A78="","",SUMIFS('DAILY ENTRY'!$F$7:$F$1203,'DAILY ENTRY'!$A$7:$A$1203,$A78,'DAILY ENTRY'!$B$7:$B$1203,$B78,'DAILY ENTRY'!$D$7:$D$1203,"Partnership / PR contact"))</f>
        <v/>
      </c>
      <c r="K78" s="107" t="str">
        <f aca="false">IF($A78="","",SUMIFS('DAILY ENTRY'!$F$7:$F$1203,'DAILY ENTRY'!$A$7:$A$1203,$A78,'DAILY ENTRY'!$B$7:$B$1203,$B78,'DAILY ENTRY'!$D$7:$D$1203,"Engagement (commented on someone else)"))</f>
        <v/>
      </c>
      <c r="L78" s="107" t="str">
        <f aca="false">IF($A78="","",SUMIFS('DAILY ENTRY'!$F$7:$F$1203,'DAILY ENTRY'!$A$7:$A$1203,$A78,'DAILY ENTRY'!$B$7:$B$1203,$B78,'DAILY ENTRY'!$D$7:$D$1203,"Account created / profile completed"))</f>
        <v/>
      </c>
      <c r="M78" s="108" t="str">
        <f aca="false">IF($A78="","",IFERROR(INDEX('DAILY ENTRY'!$E$7:$E$1203,MATCH(1,INDEX(('DAILY ENTRY'!$A$7:$A$1203=$A78)*('DAILY ENTRY'!$B$7:$B$1203=$B78)*('DAILY ENTRY'!$I$7:$I$1203="Meeting booked"),0),0)),IFERROR(INDEX('DAILY ENTRY'!$E$7:$E$1203,MATCH(1,INDEX(('DAILY ENTRY'!$A$7:$A$1203=$A78)*('DAILY ENTRY'!$B$7:$B$1203=$B78)*('DAILY ENTRY'!$I$7:$I$1203="Positive reply"),0),0)),"")))</f>
        <v/>
      </c>
      <c r="N78" s="108" t="str">
        <f aca="false">IF($A78="","",IFERROR(INDEX('DAILY ENTRY'!$J$7:$J$1203,MATCH(1,INDEX(('DAILY ENTRY'!$A$7:$A$1203=$A78)*('DAILY ENTRY'!$B$7:$B$1203=$B78)*('DAILY ENTRY'!$I$7:$I$1203="Blocked"),0),0)),""))</f>
        <v/>
      </c>
      <c r="O78" s="65" t="str">
        <f aca="false">IF($A78="","",(D78&gt;='START HERE'!$B$25)+(E78&gt;='START HERE'!$B$26)+(F78&gt;='START HERE'!$B$27)+(G78&gt;='START HERE'!$B$28)+(H78&gt;='START HERE'!$B$29)+(I78&gt;='START HERE'!$B$30)+(J78&gt;='START HERE'!$B$31)+(K78&gt;='START HERE'!$B$32))</f>
        <v/>
      </c>
      <c r="P78" s="46" t="str">
        <f aca="false">IF($A78="","",IF(O78&gt;=7,"Full day",IF(O78&gt;=5,"Most targets met",IF(O78&gt;=3,"Half day","Below plan - explain in the blocker column"))))</f>
        <v/>
      </c>
    </row>
    <row r="79" customFormat="false" ht="24" hidden="false" customHeight="true" outlineLevel="0" collapsed="false">
      <c r="A79" s="36"/>
      <c r="B79" s="37"/>
      <c r="C79" s="107" t="str">
        <f aca="false">IF($A79="","",ROUND(SUMIFS('DAILY ENTRY'!$G$7:$G$1203,'DAILY ENTRY'!$A$7:$A$1203,$A79,'DAILY ENTRY'!$B$7:$B$1203,$B79)/60,1))</f>
        <v/>
      </c>
      <c r="D79" s="107" t="str">
        <f aca="false">IF($A79="","",SUMIFS('DAILY ENTRY'!$F$7:$F$1203,'DAILY ENTRY'!$A$7:$A$1203,$A79,'DAILY ENTRY'!$B$7:$B$1203,$B79,'DAILY ENTRY'!$D$7:$D$1203,"Lead researched (Sales Navigator)"))</f>
        <v/>
      </c>
      <c r="E79" s="107" t="str">
        <f aca="false">IF($A79="","",SUMIFS('DAILY ENTRY'!$F$7:$F$1203,'DAILY ENTRY'!$A$7:$A$1203,$A79,'DAILY ENTRY'!$B$7:$B$1203,$B79,'DAILY ENTRY'!$D$7:$D$1203,"Connection request sent"))</f>
        <v/>
      </c>
      <c r="F79" s="107" t="str">
        <f aca="false">IF($A79="","",SUMIFS('DAILY ENTRY'!$F$7:$F$1203,'DAILY ENTRY'!$A$7:$A$1203,$A79,'DAILY ENTRY'!$B$7:$B$1203,$B79,'DAILY ENTRY'!$D$7:$D$1203,"First message sent"))</f>
        <v/>
      </c>
      <c r="G79" s="107" t="str">
        <f aca="false">IF($A79="","",SUMIFS('DAILY ENTRY'!$F$7:$F$1203,'DAILY ENTRY'!$A$7:$A$1203,$A79,'DAILY ENTRY'!$B$7:$B$1203,$B79,'DAILY ENTRY'!$D$7:$D$1203,"Follow-up message sent"))</f>
        <v/>
      </c>
      <c r="H79" s="107" t="str">
        <f aca="false">IF($A79="","",SUMIFS('DAILY ENTRY'!$F$7:$F$1203,'DAILY ENTRY'!$A$7:$A$1203,$A79,'DAILY ENTRY'!$B$7:$B$1203,$B79,'DAILY ENTRY'!$D$7:$D$1203,"Post / content published"))</f>
        <v/>
      </c>
      <c r="I79" s="107" t="str">
        <f aca="false">IF($A79="","",SUMIFS('DAILY ENTRY'!$F$7:$F$1203,'DAILY ENTRY'!$A$7:$A$1203,$A79,'DAILY ENTRY'!$B$7:$B$1203,$B79,'DAILY ENTRY'!$D$7:$D$1203,"Community answer or comment"))</f>
        <v/>
      </c>
      <c r="J79" s="107" t="str">
        <f aca="false">IF($A79="","",SUMIFS('DAILY ENTRY'!$F$7:$F$1203,'DAILY ENTRY'!$A$7:$A$1203,$A79,'DAILY ENTRY'!$B$7:$B$1203,$B79,'DAILY ENTRY'!$D$7:$D$1203,"Partnership / PR contact"))</f>
        <v/>
      </c>
      <c r="K79" s="107" t="str">
        <f aca="false">IF($A79="","",SUMIFS('DAILY ENTRY'!$F$7:$F$1203,'DAILY ENTRY'!$A$7:$A$1203,$A79,'DAILY ENTRY'!$B$7:$B$1203,$B79,'DAILY ENTRY'!$D$7:$D$1203,"Engagement (commented on someone else)"))</f>
        <v/>
      </c>
      <c r="L79" s="107" t="str">
        <f aca="false">IF($A79="","",SUMIFS('DAILY ENTRY'!$F$7:$F$1203,'DAILY ENTRY'!$A$7:$A$1203,$A79,'DAILY ENTRY'!$B$7:$B$1203,$B79,'DAILY ENTRY'!$D$7:$D$1203,"Account created / profile completed"))</f>
        <v/>
      </c>
      <c r="M79" s="108" t="str">
        <f aca="false">IF($A79="","",IFERROR(INDEX('DAILY ENTRY'!$E$7:$E$1203,MATCH(1,INDEX(('DAILY ENTRY'!$A$7:$A$1203=$A79)*('DAILY ENTRY'!$B$7:$B$1203=$B79)*('DAILY ENTRY'!$I$7:$I$1203="Meeting booked"),0),0)),IFERROR(INDEX('DAILY ENTRY'!$E$7:$E$1203,MATCH(1,INDEX(('DAILY ENTRY'!$A$7:$A$1203=$A79)*('DAILY ENTRY'!$B$7:$B$1203=$B79)*('DAILY ENTRY'!$I$7:$I$1203="Positive reply"),0),0)),"")))</f>
        <v/>
      </c>
      <c r="N79" s="108" t="str">
        <f aca="false">IF($A79="","",IFERROR(INDEX('DAILY ENTRY'!$J$7:$J$1203,MATCH(1,INDEX(('DAILY ENTRY'!$A$7:$A$1203=$A79)*('DAILY ENTRY'!$B$7:$B$1203=$B79)*('DAILY ENTRY'!$I$7:$I$1203="Blocked"),0),0)),""))</f>
        <v/>
      </c>
      <c r="O79" s="65" t="str">
        <f aca="false">IF($A79="","",(D79&gt;='START HERE'!$B$25)+(E79&gt;='START HERE'!$B$26)+(F79&gt;='START HERE'!$B$27)+(G79&gt;='START HERE'!$B$28)+(H79&gt;='START HERE'!$B$29)+(I79&gt;='START HERE'!$B$30)+(J79&gt;='START HERE'!$B$31)+(K79&gt;='START HERE'!$B$32))</f>
        <v/>
      </c>
      <c r="P79" s="46" t="str">
        <f aca="false">IF($A79="","",IF(O79&gt;=7,"Full day",IF(O79&gt;=5,"Most targets met",IF(O79&gt;=3,"Half day","Below plan - explain in the blocker column"))))</f>
        <v/>
      </c>
    </row>
    <row r="80" customFormat="false" ht="24" hidden="false" customHeight="true" outlineLevel="0" collapsed="false">
      <c r="A80" s="36"/>
      <c r="B80" s="37"/>
      <c r="C80" s="107" t="str">
        <f aca="false">IF($A80="","",ROUND(SUMIFS('DAILY ENTRY'!$G$7:$G$1203,'DAILY ENTRY'!$A$7:$A$1203,$A80,'DAILY ENTRY'!$B$7:$B$1203,$B80)/60,1))</f>
        <v/>
      </c>
      <c r="D80" s="107" t="str">
        <f aca="false">IF($A80="","",SUMIFS('DAILY ENTRY'!$F$7:$F$1203,'DAILY ENTRY'!$A$7:$A$1203,$A80,'DAILY ENTRY'!$B$7:$B$1203,$B80,'DAILY ENTRY'!$D$7:$D$1203,"Lead researched (Sales Navigator)"))</f>
        <v/>
      </c>
      <c r="E80" s="107" t="str">
        <f aca="false">IF($A80="","",SUMIFS('DAILY ENTRY'!$F$7:$F$1203,'DAILY ENTRY'!$A$7:$A$1203,$A80,'DAILY ENTRY'!$B$7:$B$1203,$B80,'DAILY ENTRY'!$D$7:$D$1203,"Connection request sent"))</f>
        <v/>
      </c>
      <c r="F80" s="107" t="str">
        <f aca="false">IF($A80="","",SUMIFS('DAILY ENTRY'!$F$7:$F$1203,'DAILY ENTRY'!$A$7:$A$1203,$A80,'DAILY ENTRY'!$B$7:$B$1203,$B80,'DAILY ENTRY'!$D$7:$D$1203,"First message sent"))</f>
        <v/>
      </c>
      <c r="G80" s="107" t="str">
        <f aca="false">IF($A80="","",SUMIFS('DAILY ENTRY'!$F$7:$F$1203,'DAILY ENTRY'!$A$7:$A$1203,$A80,'DAILY ENTRY'!$B$7:$B$1203,$B80,'DAILY ENTRY'!$D$7:$D$1203,"Follow-up message sent"))</f>
        <v/>
      </c>
      <c r="H80" s="107" t="str">
        <f aca="false">IF($A80="","",SUMIFS('DAILY ENTRY'!$F$7:$F$1203,'DAILY ENTRY'!$A$7:$A$1203,$A80,'DAILY ENTRY'!$B$7:$B$1203,$B80,'DAILY ENTRY'!$D$7:$D$1203,"Post / content published"))</f>
        <v/>
      </c>
      <c r="I80" s="107" t="str">
        <f aca="false">IF($A80="","",SUMIFS('DAILY ENTRY'!$F$7:$F$1203,'DAILY ENTRY'!$A$7:$A$1203,$A80,'DAILY ENTRY'!$B$7:$B$1203,$B80,'DAILY ENTRY'!$D$7:$D$1203,"Community answer or comment"))</f>
        <v/>
      </c>
      <c r="J80" s="107" t="str">
        <f aca="false">IF($A80="","",SUMIFS('DAILY ENTRY'!$F$7:$F$1203,'DAILY ENTRY'!$A$7:$A$1203,$A80,'DAILY ENTRY'!$B$7:$B$1203,$B80,'DAILY ENTRY'!$D$7:$D$1203,"Partnership / PR contact"))</f>
        <v/>
      </c>
      <c r="K80" s="107" t="str">
        <f aca="false">IF($A80="","",SUMIFS('DAILY ENTRY'!$F$7:$F$1203,'DAILY ENTRY'!$A$7:$A$1203,$A80,'DAILY ENTRY'!$B$7:$B$1203,$B80,'DAILY ENTRY'!$D$7:$D$1203,"Engagement (commented on someone else)"))</f>
        <v/>
      </c>
      <c r="L80" s="107" t="str">
        <f aca="false">IF($A80="","",SUMIFS('DAILY ENTRY'!$F$7:$F$1203,'DAILY ENTRY'!$A$7:$A$1203,$A80,'DAILY ENTRY'!$B$7:$B$1203,$B80,'DAILY ENTRY'!$D$7:$D$1203,"Account created / profile completed"))</f>
        <v/>
      </c>
      <c r="M80" s="108" t="str">
        <f aca="false">IF($A80="","",IFERROR(INDEX('DAILY ENTRY'!$E$7:$E$1203,MATCH(1,INDEX(('DAILY ENTRY'!$A$7:$A$1203=$A80)*('DAILY ENTRY'!$B$7:$B$1203=$B80)*('DAILY ENTRY'!$I$7:$I$1203="Meeting booked"),0),0)),IFERROR(INDEX('DAILY ENTRY'!$E$7:$E$1203,MATCH(1,INDEX(('DAILY ENTRY'!$A$7:$A$1203=$A80)*('DAILY ENTRY'!$B$7:$B$1203=$B80)*('DAILY ENTRY'!$I$7:$I$1203="Positive reply"),0),0)),"")))</f>
        <v/>
      </c>
      <c r="N80" s="108" t="str">
        <f aca="false">IF($A80="","",IFERROR(INDEX('DAILY ENTRY'!$J$7:$J$1203,MATCH(1,INDEX(('DAILY ENTRY'!$A$7:$A$1203=$A80)*('DAILY ENTRY'!$B$7:$B$1203=$B80)*('DAILY ENTRY'!$I$7:$I$1203="Blocked"),0),0)),""))</f>
        <v/>
      </c>
      <c r="O80" s="65" t="str">
        <f aca="false">IF($A80="","",(D80&gt;='START HERE'!$B$25)+(E80&gt;='START HERE'!$B$26)+(F80&gt;='START HERE'!$B$27)+(G80&gt;='START HERE'!$B$28)+(H80&gt;='START HERE'!$B$29)+(I80&gt;='START HERE'!$B$30)+(J80&gt;='START HERE'!$B$31)+(K80&gt;='START HERE'!$B$32))</f>
        <v/>
      </c>
      <c r="P80" s="46" t="str">
        <f aca="false">IF($A80="","",IF(O80&gt;=7,"Full day",IF(O80&gt;=5,"Most targets met",IF(O80&gt;=3,"Half day","Below plan - explain in the blocker column"))))</f>
        <v/>
      </c>
    </row>
    <row r="81" customFormat="false" ht="24" hidden="false" customHeight="true" outlineLevel="0" collapsed="false">
      <c r="A81" s="36"/>
      <c r="B81" s="37"/>
      <c r="C81" s="107" t="str">
        <f aca="false">IF($A81="","",ROUND(SUMIFS('DAILY ENTRY'!$G$7:$G$1203,'DAILY ENTRY'!$A$7:$A$1203,$A81,'DAILY ENTRY'!$B$7:$B$1203,$B81)/60,1))</f>
        <v/>
      </c>
      <c r="D81" s="107" t="str">
        <f aca="false">IF($A81="","",SUMIFS('DAILY ENTRY'!$F$7:$F$1203,'DAILY ENTRY'!$A$7:$A$1203,$A81,'DAILY ENTRY'!$B$7:$B$1203,$B81,'DAILY ENTRY'!$D$7:$D$1203,"Lead researched (Sales Navigator)"))</f>
        <v/>
      </c>
      <c r="E81" s="107" t="str">
        <f aca="false">IF($A81="","",SUMIFS('DAILY ENTRY'!$F$7:$F$1203,'DAILY ENTRY'!$A$7:$A$1203,$A81,'DAILY ENTRY'!$B$7:$B$1203,$B81,'DAILY ENTRY'!$D$7:$D$1203,"Connection request sent"))</f>
        <v/>
      </c>
      <c r="F81" s="107" t="str">
        <f aca="false">IF($A81="","",SUMIFS('DAILY ENTRY'!$F$7:$F$1203,'DAILY ENTRY'!$A$7:$A$1203,$A81,'DAILY ENTRY'!$B$7:$B$1203,$B81,'DAILY ENTRY'!$D$7:$D$1203,"First message sent"))</f>
        <v/>
      </c>
      <c r="G81" s="107" t="str">
        <f aca="false">IF($A81="","",SUMIFS('DAILY ENTRY'!$F$7:$F$1203,'DAILY ENTRY'!$A$7:$A$1203,$A81,'DAILY ENTRY'!$B$7:$B$1203,$B81,'DAILY ENTRY'!$D$7:$D$1203,"Follow-up message sent"))</f>
        <v/>
      </c>
      <c r="H81" s="107" t="str">
        <f aca="false">IF($A81="","",SUMIFS('DAILY ENTRY'!$F$7:$F$1203,'DAILY ENTRY'!$A$7:$A$1203,$A81,'DAILY ENTRY'!$B$7:$B$1203,$B81,'DAILY ENTRY'!$D$7:$D$1203,"Post / content published"))</f>
        <v/>
      </c>
      <c r="I81" s="107" t="str">
        <f aca="false">IF($A81="","",SUMIFS('DAILY ENTRY'!$F$7:$F$1203,'DAILY ENTRY'!$A$7:$A$1203,$A81,'DAILY ENTRY'!$B$7:$B$1203,$B81,'DAILY ENTRY'!$D$7:$D$1203,"Community answer or comment"))</f>
        <v/>
      </c>
      <c r="J81" s="107" t="str">
        <f aca="false">IF($A81="","",SUMIFS('DAILY ENTRY'!$F$7:$F$1203,'DAILY ENTRY'!$A$7:$A$1203,$A81,'DAILY ENTRY'!$B$7:$B$1203,$B81,'DAILY ENTRY'!$D$7:$D$1203,"Partnership / PR contact"))</f>
        <v/>
      </c>
      <c r="K81" s="107" t="str">
        <f aca="false">IF($A81="","",SUMIFS('DAILY ENTRY'!$F$7:$F$1203,'DAILY ENTRY'!$A$7:$A$1203,$A81,'DAILY ENTRY'!$B$7:$B$1203,$B81,'DAILY ENTRY'!$D$7:$D$1203,"Engagement (commented on someone else)"))</f>
        <v/>
      </c>
      <c r="L81" s="107" t="str">
        <f aca="false">IF($A81="","",SUMIFS('DAILY ENTRY'!$F$7:$F$1203,'DAILY ENTRY'!$A$7:$A$1203,$A81,'DAILY ENTRY'!$B$7:$B$1203,$B81,'DAILY ENTRY'!$D$7:$D$1203,"Account created / profile completed"))</f>
        <v/>
      </c>
      <c r="M81" s="108" t="str">
        <f aca="false">IF($A81="","",IFERROR(INDEX('DAILY ENTRY'!$E$7:$E$1203,MATCH(1,INDEX(('DAILY ENTRY'!$A$7:$A$1203=$A81)*('DAILY ENTRY'!$B$7:$B$1203=$B81)*('DAILY ENTRY'!$I$7:$I$1203="Meeting booked"),0),0)),IFERROR(INDEX('DAILY ENTRY'!$E$7:$E$1203,MATCH(1,INDEX(('DAILY ENTRY'!$A$7:$A$1203=$A81)*('DAILY ENTRY'!$B$7:$B$1203=$B81)*('DAILY ENTRY'!$I$7:$I$1203="Positive reply"),0),0)),"")))</f>
        <v/>
      </c>
      <c r="N81" s="108" t="str">
        <f aca="false">IF($A81="","",IFERROR(INDEX('DAILY ENTRY'!$J$7:$J$1203,MATCH(1,INDEX(('DAILY ENTRY'!$A$7:$A$1203=$A81)*('DAILY ENTRY'!$B$7:$B$1203=$B81)*('DAILY ENTRY'!$I$7:$I$1203="Blocked"),0),0)),""))</f>
        <v/>
      </c>
      <c r="O81" s="65" t="str">
        <f aca="false">IF($A81="","",(D81&gt;='START HERE'!$B$25)+(E81&gt;='START HERE'!$B$26)+(F81&gt;='START HERE'!$B$27)+(G81&gt;='START HERE'!$B$28)+(H81&gt;='START HERE'!$B$29)+(I81&gt;='START HERE'!$B$30)+(J81&gt;='START HERE'!$B$31)+(K81&gt;='START HERE'!$B$32))</f>
        <v/>
      </c>
      <c r="P81" s="46" t="str">
        <f aca="false">IF($A81="","",IF(O81&gt;=7,"Full day",IF(O81&gt;=5,"Most targets met",IF(O81&gt;=3,"Half day","Below plan - explain in the blocker column"))))</f>
        <v/>
      </c>
    </row>
    <row r="82" customFormat="false" ht="24" hidden="false" customHeight="true" outlineLevel="0" collapsed="false">
      <c r="A82" s="36"/>
      <c r="B82" s="37"/>
      <c r="C82" s="107" t="str">
        <f aca="false">IF($A82="","",ROUND(SUMIFS('DAILY ENTRY'!$G$7:$G$1203,'DAILY ENTRY'!$A$7:$A$1203,$A82,'DAILY ENTRY'!$B$7:$B$1203,$B82)/60,1))</f>
        <v/>
      </c>
      <c r="D82" s="107" t="str">
        <f aca="false">IF($A82="","",SUMIFS('DAILY ENTRY'!$F$7:$F$1203,'DAILY ENTRY'!$A$7:$A$1203,$A82,'DAILY ENTRY'!$B$7:$B$1203,$B82,'DAILY ENTRY'!$D$7:$D$1203,"Lead researched (Sales Navigator)"))</f>
        <v/>
      </c>
      <c r="E82" s="107" t="str">
        <f aca="false">IF($A82="","",SUMIFS('DAILY ENTRY'!$F$7:$F$1203,'DAILY ENTRY'!$A$7:$A$1203,$A82,'DAILY ENTRY'!$B$7:$B$1203,$B82,'DAILY ENTRY'!$D$7:$D$1203,"Connection request sent"))</f>
        <v/>
      </c>
      <c r="F82" s="107" t="str">
        <f aca="false">IF($A82="","",SUMIFS('DAILY ENTRY'!$F$7:$F$1203,'DAILY ENTRY'!$A$7:$A$1203,$A82,'DAILY ENTRY'!$B$7:$B$1203,$B82,'DAILY ENTRY'!$D$7:$D$1203,"First message sent"))</f>
        <v/>
      </c>
      <c r="G82" s="107" t="str">
        <f aca="false">IF($A82="","",SUMIFS('DAILY ENTRY'!$F$7:$F$1203,'DAILY ENTRY'!$A$7:$A$1203,$A82,'DAILY ENTRY'!$B$7:$B$1203,$B82,'DAILY ENTRY'!$D$7:$D$1203,"Follow-up message sent"))</f>
        <v/>
      </c>
      <c r="H82" s="107" t="str">
        <f aca="false">IF($A82="","",SUMIFS('DAILY ENTRY'!$F$7:$F$1203,'DAILY ENTRY'!$A$7:$A$1203,$A82,'DAILY ENTRY'!$B$7:$B$1203,$B82,'DAILY ENTRY'!$D$7:$D$1203,"Post / content published"))</f>
        <v/>
      </c>
      <c r="I82" s="107" t="str">
        <f aca="false">IF($A82="","",SUMIFS('DAILY ENTRY'!$F$7:$F$1203,'DAILY ENTRY'!$A$7:$A$1203,$A82,'DAILY ENTRY'!$B$7:$B$1203,$B82,'DAILY ENTRY'!$D$7:$D$1203,"Community answer or comment"))</f>
        <v/>
      </c>
      <c r="J82" s="107" t="str">
        <f aca="false">IF($A82="","",SUMIFS('DAILY ENTRY'!$F$7:$F$1203,'DAILY ENTRY'!$A$7:$A$1203,$A82,'DAILY ENTRY'!$B$7:$B$1203,$B82,'DAILY ENTRY'!$D$7:$D$1203,"Partnership / PR contact"))</f>
        <v/>
      </c>
      <c r="K82" s="107" t="str">
        <f aca="false">IF($A82="","",SUMIFS('DAILY ENTRY'!$F$7:$F$1203,'DAILY ENTRY'!$A$7:$A$1203,$A82,'DAILY ENTRY'!$B$7:$B$1203,$B82,'DAILY ENTRY'!$D$7:$D$1203,"Engagement (commented on someone else)"))</f>
        <v/>
      </c>
      <c r="L82" s="107" t="str">
        <f aca="false">IF($A82="","",SUMIFS('DAILY ENTRY'!$F$7:$F$1203,'DAILY ENTRY'!$A$7:$A$1203,$A82,'DAILY ENTRY'!$B$7:$B$1203,$B82,'DAILY ENTRY'!$D$7:$D$1203,"Account created / profile completed"))</f>
        <v/>
      </c>
      <c r="M82" s="108" t="str">
        <f aca="false">IF($A82="","",IFERROR(INDEX('DAILY ENTRY'!$E$7:$E$1203,MATCH(1,INDEX(('DAILY ENTRY'!$A$7:$A$1203=$A82)*('DAILY ENTRY'!$B$7:$B$1203=$B82)*('DAILY ENTRY'!$I$7:$I$1203="Meeting booked"),0),0)),IFERROR(INDEX('DAILY ENTRY'!$E$7:$E$1203,MATCH(1,INDEX(('DAILY ENTRY'!$A$7:$A$1203=$A82)*('DAILY ENTRY'!$B$7:$B$1203=$B82)*('DAILY ENTRY'!$I$7:$I$1203="Positive reply"),0),0)),"")))</f>
        <v/>
      </c>
      <c r="N82" s="108" t="str">
        <f aca="false">IF($A82="","",IFERROR(INDEX('DAILY ENTRY'!$J$7:$J$1203,MATCH(1,INDEX(('DAILY ENTRY'!$A$7:$A$1203=$A82)*('DAILY ENTRY'!$B$7:$B$1203=$B82)*('DAILY ENTRY'!$I$7:$I$1203="Blocked"),0),0)),""))</f>
        <v/>
      </c>
      <c r="O82" s="65" t="str">
        <f aca="false">IF($A82="","",(D82&gt;='START HERE'!$B$25)+(E82&gt;='START HERE'!$B$26)+(F82&gt;='START HERE'!$B$27)+(G82&gt;='START HERE'!$B$28)+(H82&gt;='START HERE'!$B$29)+(I82&gt;='START HERE'!$B$30)+(J82&gt;='START HERE'!$B$31)+(K82&gt;='START HERE'!$B$32))</f>
        <v/>
      </c>
      <c r="P82" s="46" t="str">
        <f aca="false">IF($A82="","",IF(O82&gt;=7,"Full day",IF(O82&gt;=5,"Most targets met",IF(O82&gt;=3,"Half day","Below plan - explain in the blocker column"))))</f>
        <v/>
      </c>
    </row>
    <row r="83" customFormat="false" ht="24" hidden="false" customHeight="true" outlineLevel="0" collapsed="false">
      <c r="A83" s="36"/>
      <c r="B83" s="37"/>
      <c r="C83" s="107" t="str">
        <f aca="false">IF($A83="","",ROUND(SUMIFS('DAILY ENTRY'!$G$7:$G$1203,'DAILY ENTRY'!$A$7:$A$1203,$A83,'DAILY ENTRY'!$B$7:$B$1203,$B83)/60,1))</f>
        <v/>
      </c>
      <c r="D83" s="107" t="str">
        <f aca="false">IF($A83="","",SUMIFS('DAILY ENTRY'!$F$7:$F$1203,'DAILY ENTRY'!$A$7:$A$1203,$A83,'DAILY ENTRY'!$B$7:$B$1203,$B83,'DAILY ENTRY'!$D$7:$D$1203,"Lead researched (Sales Navigator)"))</f>
        <v/>
      </c>
      <c r="E83" s="107" t="str">
        <f aca="false">IF($A83="","",SUMIFS('DAILY ENTRY'!$F$7:$F$1203,'DAILY ENTRY'!$A$7:$A$1203,$A83,'DAILY ENTRY'!$B$7:$B$1203,$B83,'DAILY ENTRY'!$D$7:$D$1203,"Connection request sent"))</f>
        <v/>
      </c>
      <c r="F83" s="107" t="str">
        <f aca="false">IF($A83="","",SUMIFS('DAILY ENTRY'!$F$7:$F$1203,'DAILY ENTRY'!$A$7:$A$1203,$A83,'DAILY ENTRY'!$B$7:$B$1203,$B83,'DAILY ENTRY'!$D$7:$D$1203,"First message sent"))</f>
        <v/>
      </c>
      <c r="G83" s="107" t="str">
        <f aca="false">IF($A83="","",SUMIFS('DAILY ENTRY'!$F$7:$F$1203,'DAILY ENTRY'!$A$7:$A$1203,$A83,'DAILY ENTRY'!$B$7:$B$1203,$B83,'DAILY ENTRY'!$D$7:$D$1203,"Follow-up message sent"))</f>
        <v/>
      </c>
      <c r="H83" s="107" t="str">
        <f aca="false">IF($A83="","",SUMIFS('DAILY ENTRY'!$F$7:$F$1203,'DAILY ENTRY'!$A$7:$A$1203,$A83,'DAILY ENTRY'!$B$7:$B$1203,$B83,'DAILY ENTRY'!$D$7:$D$1203,"Post / content published"))</f>
        <v/>
      </c>
      <c r="I83" s="107" t="str">
        <f aca="false">IF($A83="","",SUMIFS('DAILY ENTRY'!$F$7:$F$1203,'DAILY ENTRY'!$A$7:$A$1203,$A83,'DAILY ENTRY'!$B$7:$B$1203,$B83,'DAILY ENTRY'!$D$7:$D$1203,"Community answer or comment"))</f>
        <v/>
      </c>
      <c r="J83" s="107" t="str">
        <f aca="false">IF($A83="","",SUMIFS('DAILY ENTRY'!$F$7:$F$1203,'DAILY ENTRY'!$A$7:$A$1203,$A83,'DAILY ENTRY'!$B$7:$B$1203,$B83,'DAILY ENTRY'!$D$7:$D$1203,"Partnership / PR contact"))</f>
        <v/>
      </c>
      <c r="K83" s="107" t="str">
        <f aca="false">IF($A83="","",SUMIFS('DAILY ENTRY'!$F$7:$F$1203,'DAILY ENTRY'!$A$7:$A$1203,$A83,'DAILY ENTRY'!$B$7:$B$1203,$B83,'DAILY ENTRY'!$D$7:$D$1203,"Engagement (commented on someone else)"))</f>
        <v/>
      </c>
      <c r="L83" s="107" t="str">
        <f aca="false">IF($A83="","",SUMIFS('DAILY ENTRY'!$F$7:$F$1203,'DAILY ENTRY'!$A$7:$A$1203,$A83,'DAILY ENTRY'!$B$7:$B$1203,$B83,'DAILY ENTRY'!$D$7:$D$1203,"Account created / profile completed"))</f>
        <v/>
      </c>
      <c r="M83" s="108" t="str">
        <f aca="false">IF($A83="","",IFERROR(INDEX('DAILY ENTRY'!$E$7:$E$1203,MATCH(1,INDEX(('DAILY ENTRY'!$A$7:$A$1203=$A83)*('DAILY ENTRY'!$B$7:$B$1203=$B83)*('DAILY ENTRY'!$I$7:$I$1203="Meeting booked"),0),0)),IFERROR(INDEX('DAILY ENTRY'!$E$7:$E$1203,MATCH(1,INDEX(('DAILY ENTRY'!$A$7:$A$1203=$A83)*('DAILY ENTRY'!$B$7:$B$1203=$B83)*('DAILY ENTRY'!$I$7:$I$1203="Positive reply"),0),0)),"")))</f>
        <v/>
      </c>
      <c r="N83" s="108" t="str">
        <f aca="false">IF($A83="","",IFERROR(INDEX('DAILY ENTRY'!$J$7:$J$1203,MATCH(1,INDEX(('DAILY ENTRY'!$A$7:$A$1203=$A83)*('DAILY ENTRY'!$B$7:$B$1203=$B83)*('DAILY ENTRY'!$I$7:$I$1203="Blocked"),0),0)),""))</f>
        <v/>
      </c>
      <c r="O83" s="65" t="str">
        <f aca="false">IF($A83="","",(D83&gt;='START HERE'!$B$25)+(E83&gt;='START HERE'!$B$26)+(F83&gt;='START HERE'!$B$27)+(G83&gt;='START HERE'!$B$28)+(H83&gt;='START HERE'!$B$29)+(I83&gt;='START HERE'!$B$30)+(J83&gt;='START HERE'!$B$31)+(K83&gt;='START HERE'!$B$32))</f>
        <v/>
      </c>
      <c r="P83" s="46" t="str">
        <f aca="false">IF($A83="","",IF(O83&gt;=7,"Full day",IF(O83&gt;=5,"Most targets met",IF(O83&gt;=3,"Half day","Below plan - explain in the blocker column"))))</f>
        <v/>
      </c>
    </row>
    <row r="84" customFormat="false" ht="24" hidden="false" customHeight="true" outlineLevel="0" collapsed="false">
      <c r="A84" s="36"/>
      <c r="B84" s="37"/>
      <c r="C84" s="107" t="str">
        <f aca="false">IF($A84="","",ROUND(SUMIFS('DAILY ENTRY'!$G$7:$G$1203,'DAILY ENTRY'!$A$7:$A$1203,$A84,'DAILY ENTRY'!$B$7:$B$1203,$B84)/60,1))</f>
        <v/>
      </c>
      <c r="D84" s="107" t="str">
        <f aca="false">IF($A84="","",SUMIFS('DAILY ENTRY'!$F$7:$F$1203,'DAILY ENTRY'!$A$7:$A$1203,$A84,'DAILY ENTRY'!$B$7:$B$1203,$B84,'DAILY ENTRY'!$D$7:$D$1203,"Lead researched (Sales Navigator)"))</f>
        <v/>
      </c>
      <c r="E84" s="107" t="str">
        <f aca="false">IF($A84="","",SUMIFS('DAILY ENTRY'!$F$7:$F$1203,'DAILY ENTRY'!$A$7:$A$1203,$A84,'DAILY ENTRY'!$B$7:$B$1203,$B84,'DAILY ENTRY'!$D$7:$D$1203,"Connection request sent"))</f>
        <v/>
      </c>
      <c r="F84" s="107" t="str">
        <f aca="false">IF($A84="","",SUMIFS('DAILY ENTRY'!$F$7:$F$1203,'DAILY ENTRY'!$A$7:$A$1203,$A84,'DAILY ENTRY'!$B$7:$B$1203,$B84,'DAILY ENTRY'!$D$7:$D$1203,"First message sent"))</f>
        <v/>
      </c>
      <c r="G84" s="107" t="str">
        <f aca="false">IF($A84="","",SUMIFS('DAILY ENTRY'!$F$7:$F$1203,'DAILY ENTRY'!$A$7:$A$1203,$A84,'DAILY ENTRY'!$B$7:$B$1203,$B84,'DAILY ENTRY'!$D$7:$D$1203,"Follow-up message sent"))</f>
        <v/>
      </c>
      <c r="H84" s="107" t="str">
        <f aca="false">IF($A84="","",SUMIFS('DAILY ENTRY'!$F$7:$F$1203,'DAILY ENTRY'!$A$7:$A$1203,$A84,'DAILY ENTRY'!$B$7:$B$1203,$B84,'DAILY ENTRY'!$D$7:$D$1203,"Post / content published"))</f>
        <v/>
      </c>
      <c r="I84" s="107" t="str">
        <f aca="false">IF($A84="","",SUMIFS('DAILY ENTRY'!$F$7:$F$1203,'DAILY ENTRY'!$A$7:$A$1203,$A84,'DAILY ENTRY'!$B$7:$B$1203,$B84,'DAILY ENTRY'!$D$7:$D$1203,"Community answer or comment"))</f>
        <v/>
      </c>
      <c r="J84" s="107" t="str">
        <f aca="false">IF($A84="","",SUMIFS('DAILY ENTRY'!$F$7:$F$1203,'DAILY ENTRY'!$A$7:$A$1203,$A84,'DAILY ENTRY'!$B$7:$B$1203,$B84,'DAILY ENTRY'!$D$7:$D$1203,"Partnership / PR contact"))</f>
        <v/>
      </c>
      <c r="K84" s="107" t="str">
        <f aca="false">IF($A84="","",SUMIFS('DAILY ENTRY'!$F$7:$F$1203,'DAILY ENTRY'!$A$7:$A$1203,$A84,'DAILY ENTRY'!$B$7:$B$1203,$B84,'DAILY ENTRY'!$D$7:$D$1203,"Engagement (commented on someone else)"))</f>
        <v/>
      </c>
      <c r="L84" s="107" t="str">
        <f aca="false">IF($A84="","",SUMIFS('DAILY ENTRY'!$F$7:$F$1203,'DAILY ENTRY'!$A$7:$A$1203,$A84,'DAILY ENTRY'!$B$7:$B$1203,$B84,'DAILY ENTRY'!$D$7:$D$1203,"Account created / profile completed"))</f>
        <v/>
      </c>
      <c r="M84" s="108" t="str">
        <f aca="false">IF($A84="","",IFERROR(INDEX('DAILY ENTRY'!$E$7:$E$1203,MATCH(1,INDEX(('DAILY ENTRY'!$A$7:$A$1203=$A84)*('DAILY ENTRY'!$B$7:$B$1203=$B84)*('DAILY ENTRY'!$I$7:$I$1203="Meeting booked"),0),0)),IFERROR(INDEX('DAILY ENTRY'!$E$7:$E$1203,MATCH(1,INDEX(('DAILY ENTRY'!$A$7:$A$1203=$A84)*('DAILY ENTRY'!$B$7:$B$1203=$B84)*('DAILY ENTRY'!$I$7:$I$1203="Positive reply"),0),0)),"")))</f>
        <v/>
      </c>
      <c r="N84" s="108" t="str">
        <f aca="false">IF($A84="","",IFERROR(INDEX('DAILY ENTRY'!$J$7:$J$1203,MATCH(1,INDEX(('DAILY ENTRY'!$A$7:$A$1203=$A84)*('DAILY ENTRY'!$B$7:$B$1203=$B84)*('DAILY ENTRY'!$I$7:$I$1203="Blocked"),0),0)),""))</f>
        <v/>
      </c>
      <c r="O84" s="65" t="str">
        <f aca="false">IF($A84="","",(D84&gt;='START HERE'!$B$25)+(E84&gt;='START HERE'!$B$26)+(F84&gt;='START HERE'!$B$27)+(G84&gt;='START HERE'!$B$28)+(H84&gt;='START HERE'!$B$29)+(I84&gt;='START HERE'!$B$30)+(J84&gt;='START HERE'!$B$31)+(K84&gt;='START HERE'!$B$32))</f>
        <v/>
      </c>
      <c r="P84" s="46" t="str">
        <f aca="false">IF($A84="","",IF(O84&gt;=7,"Full day",IF(O84&gt;=5,"Most targets met",IF(O84&gt;=3,"Half day","Below plan - explain in the blocker column"))))</f>
        <v/>
      </c>
    </row>
    <row r="85" customFormat="false" ht="24" hidden="false" customHeight="true" outlineLevel="0" collapsed="false">
      <c r="A85" s="36"/>
      <c r="B85" s="37"/>
      <c r="C85" s="107" t="str">
        <f aca="false">IF($A85="","",ROUND(SUMIFS('DAILY ENTRY'!$G$7:$G$1203,'DAILY ENTRY'!$A$7:$A$1203,$A85,'DAILY ENTRY'!$B$7:$B$1203,$B85)/60,1))</f>
        <v/>
      </c>
      <c r="D85" s="107" t="str">
        <f aca="false">IF($A85="","",SUMIFS('DAILY ENTRY'!$F$7:$F$1203,'DAILY ENTRY'!$A$7:$A$1203,$A85,'DAILY ENTRY'!$B$7:$B$1203,$B85,'DAILY ENTRY'!$D$7:$D$1203,"Lead researched (Sales Navigator)"))</f>
        <v/>
      </c>
      <c r="E85" s="107" t="str">
        <f aca="false">IF($A85="","",SUMIFS('DAILY ENTRY'!$F$7:$F$1203,'DAILY ENTRY'!$A$7:$A$1203,$A85,'DAILY ENTRY'!$B$7:$B$1203,$B85,'DAILY ENTRY'!$D$7:$D$1203,"Connection request sent"))</f>
        <v/>
      </c>
      <c r="F85" s="107" t="str">
        <f aca="false">IF($A85="","",SUMIFS('DAILY ENTRY'!$F$7:$F$1203,'DAILY ENTRY'!$A$7:$A$1203,$A85,'DAILY ENTRY'!$B$7:$B$1203,$B85,'DAILY ENTRY'!$D$7:$D$1203,"First message sent"))</f>
        <v/>
      </c>
      <c r="G85" s="107" t="str">
        <f aca="false">IF($A85="","",SUMIFS('DAILY ENTRY'!$F$7:$F$1203,'DAILY ENTRY'!$A$7:$A$1203,$A85,'DAILY ENTRY'!$B$7:$B$1203,$B85,'DAILY ENTRY'!$D$7:$D$1203,"Follow-up message sent"))</f>
        <v/>
      </c>
      <c r="H85" s="107" t="str">
        <f aca="false">IF($A85="","",SUMIFS('DAILY ENTRY'!$F$7:$F$1203,'DAILY ENTRY'!$A$7:$A$1203,$A85,'DAILY ENTRY'!$B$7:$B$1203,$B85,'DAILY ENTRY'!$D$7:$D$1203,"Post / content published"))</f>
        <v/>
      </c>
      <c r="I85" s="107" t="str">
        <f aca="false">IF($A85="","",SUMIFS('DAILY ENTRY'!$F$7:$F$1203,'DAILY ENTRY'!$A$7:$A$1203,$A85,'DAILY ENTRY'!$B$7:$B$1203,$B85,'DAILY ENTRY'!$D$7:$D$1203,"Community answer or comment"))</f>
        <v/>
      </c>
      <c r="J85" s="107" t="str">
        <f aca="false">IF($A85="","",SUMIFS('DAILY ENTRY'!$F$7:$F$1203,'DAILY ENTRY'!$A$7:$A$1203,$A85,'DAILY ENTRY'!$B$7:$B$1203,$B85,'DAILY ENTRY'!$D$7:$D$1203,"Partnership / PR contact"))</f>
        <v/>
      </c>
      <c r="K85" s="107" t="str">
        <f aca="false">IF($A85="","",SUMIFS('DAILY ENTRY'!$F$7:$F$1203,'DAILY ENTRY'!$A$7:$A$1203,$A85,'DAILY ENTRY'!$B$7:$B$1203,$B85,'DAILY ENTRY'!$D$7:$D$1203,"Engagement (commented on someone else)"))</f>
        <v/>
      </c>
      <c r="L85" s="107" t="str">
        <f aca="false">IF($A85="","",SUMIFS('DAILY ENTRY'!$F$7:$F$1203,'DAILY ENTRY'!$A$7:$A$1203,$A85,'DAILY ENTRY'!$B$7:$B$1203,$B85,'DAILY ENTRY'!$D$7:$D$1203,"Account created / profile completed"))</f>
        <v/>
      </c>
      <c r="M85" s="108" t="str">
        <f aca="false">IF($A85="","",IFERROR(INDEX('DAILY ENTRY'!$E$7:$E$1203,MATCH(1,INDEX(('DAILY ENTRY'!$A$7:$A$1203=$A85)*('DAILY ENTRY'!$B$7:$B$1203=$B85)*('DAILY ENTRY'!$I$7:$I$1203="Meeting booked"),0),0)),IFERROR(INDEX('DAILY ENTRY'!$E$7:$E$1203,MATCH(1,INDEX(('DAILY ENTRY'!$A$7:$A$1203=$A85)*('DAILY ENTRY'!$B$7:$B$1203=$B85)*('DAILY ENTRY'!$I$7:$I$1203="Positive reply"),0),0)),"")))</f>
        <v/>
      </c>
      <c r="N85" s="108" t="str">
        <f aca="false">IF($A85="","",IFERROR(INDEX('DAILY ENTRY'!$J$7:$J$1203,MATCH(1,INDEX(('DAILY ENTRY'!$A$7:$A$1203=$A85)*('DAILY ENTRY'!$B$7:$B$1203=$B85)*('DAILY ENTRY'!$I$7:$I$1203="Blocked"),0),0)),""))</f>
        <v/>
      </c>
      <c r="O85" s="65" t="str">
        <f aca="false">IF($A85="","",(D85&gt;='START HERE'!$B$25)+(E85&gt;='START HERE'!$B$26)+(F85&gt;='START HERE'!$B$27)+(G85&gt;='START HERE'!$B$28)+(H85&gt;='START HERE'!$B$29)+(I85&gt;='START HERE'!$B$30)+(J85&gt;='START HERE'!$B$31)+(K85&gt;='START HERE'!$B$32))</f>
        <v/>
      </c>
      <c r="P85" s="46" t="str">
        <f aca="false">IF($A85="","",IF(O85&gt;=7,"Full day",IF(O85&gt;=5,"Most targets met",IF(O85&gt;=3,"Half day","Below plan - explain in the blocker column"))))</f>
        <v/>
      </c>
    </row>
    <row r="86" customFormat="false" ht="24" hidden="false" customHeight="true" outlineLevel="0" collapsed="false">
      <c r="A86" s="36"/>
      <c r="B86" s="37"/>
      <c r="C86" s="107" t="str">
        <f aca="false">IF($A86="","",ROUND(SUMIFS('DAILY ENTRY'!$G$7:$G$1203,'DAILY ENTRY'!$A$7:$A$1203,$A86,'DAILY ENTRY'!$B$7:$B$1203,$B86)/60,1))</f>
        <v/>
      </c>
      <c r="D86" s="107" t="str">
        <f aca="false">IF($A86="","",SUMIFS('DAILY ENTRY'!$F$7:$F$1203,'DAILY ENTRY'!$A$7:$A$1203,$A86,'DAILY ENTRY'!$B$7:$B$1203,$B86,'DAILY ENTRY'!$D$7:$D$1203,"Lead researched (Sales Navigator)"))</f>
        <v/>
      </c>
      <c r="E86" s="107" t="str">
        <f aca="false">IF($A86="","",SUMIFS('DAILY ENTRY'!$F$7:$F$1203,'DAILY ENTRY'!$A$7:$A$1203,$A86,'DAILY ENTRY'!$B$7:$B$1203,$B86,'DAILY ENTRY'!$D$7:$D$1203,"Connection request sent"))</f>
        <v/>
      </c>
      <c r="F86" s="107" t="str">
        <f aca="false">IF($A86="","",SUMIFS('DAILY ENTRY'!$F$7:$F$1203,'DAILY ENTRY'!$A$7:$A$1203,$A86,'DAILY ENTRY'!$B$7:$B$1203,$B86,'DAILY ENTRY'!$D$7:$D$1203,"First message sent"))</f>
        <v/>
      </c>
      <c r="G86" s="107" t="str">
        <f aca="false">IF($A86="","",SUMIFS('DAILY ENTRY'!$F$7:$F$1203,'DAILY ENTRY'!$A$7:$A$1203,$A86,'DAILY ENTRY'!$B$7:$B$1203,$B86,'DAILY ENTRY'!$D$7:$D$1203,"Follow-up message sent"))</f>
        <v/>
      </c>
      <c r="H86" s="107" t="str">
        <f aca="false">IF($A86="","",SUMIFS('DAILY ENTRY'!$F$7:$F$1203,'DAILY ENTRY'!$A$7:$A$1203,$A86,'DAILY ENTRY'!$B$7:$B$1203,$B86,'DAILY ENTRY'!$D$7:$D$1203,"Post / content published"))</f>
        <v/>
      </c>
      <c r="I86" s="107" t="str">
        <f aca="false">IF($A86="","",SUMIFS('DAILY ENTRY'!$F$7:$F$1203,'DAILY ENTRY'!$A$7:$A$1203,$A86,'DAILY ENTRY'!$B$7:$B$1203,$B86,'DAILY ENTRY'!$D$7:$D$1203,"Community answer or comment"))</f>
        <v/>
      </c>
      <c r="J86" s="107" t="str">
        <f aca="false">IF($A86="","",SUMIFS('DAILY ENTRY'!$F$7:$F$1203,'DAILY ENTRY'!$A$7:$A$1203,$A86,'DAILY ENTRY'!$B$7:$B$1203,$B86,'DAILY ENTRY'!$D$7:$D$1203,"Partnership / PR contact"))</f>
        <v/>
      </c>
      <c r="K86" s="107" t="str">
        <f aca="false">IF($A86="","",SUMIFS('DAILY ENTRY'!$F$7:$F$1203,'DAILY ENTRY'!$A$7:$A$1203,$A86,'DAILY ENTRY'!$B$7:$B$1203,$B86,'DAILY ENTRY'!$D$7:$D$1203,"Engagement (commented on someone else)"))</f>
        <v/>
      </c>
      <c r="L86" s="107" t="str">
        <f aca="false">IF($A86="","",SUMIFS('DAILY ENTRY'!$F$7:$F$1203,'DAILY ENTRY'!$A$7:$A$1203,$A86,'DAILY ENTRY'!$B$7:$B$1203,$B86,'DAILY ENTRY'!$D$7:$D$1203,"Account created / profile completed"))</f>
        <v/>
      </c>
      <c r="M86" s="108" t="str">
        <f aca="false">IF($A86="","",IFERROR(INDEX('DAILY ENTRY'!$E$7:$E$1203,MATCH(1,INDEX(('DAILY ENTRY'!$A$7:$A$1203=$A86)*('DAILY ENTRY'!$B$7:$B$1203=$B86)*('DAILY ENTRY'!$I$7:$I$1203="Meeting booked"),0),0)),IFERROR(INDEX('DAILY ENTRY'!$E$7:$E$1203,MATCH(1,INDEX(('DAILY ENTRY'!$A$7:$A$1203=$A86)*('DAILY ENTRY'!$B$7:$B$1203=$B86)*('DAILY ENTRY'!$I$7:$I$1203="Positive reply"),0),0)),"")))</f>
        <v/>
      </c>
      <c r="N86" s="108" t="str">
        <f aca="false">IF($A86="","",IFERROR(INDEX('DAILY ENTRY'!$J$7:$J$1203,MATCH(1,INDEX(('DAILY ENTRY'!$A$7:$A$1203=$A86)*('DAILY ENTRY'!$B$7:$B$1203=$B86)*('DAILY ENTRY'!$I$7:$I$1203="Blocked"),0),0)),""))</f>
        <v/>
      </c>
      <c r="O86" s="65" t="str">
        <f aca="false">IF($A86="","",(D86&gt;='START HERE'!$B$25)+(E86&gt;='START HERE'!$B$26)+(F86&gt;='START HERE'!$B$27)+(G86&gt;='START HERE'!$B$28)+(H86&gt;='START HERE'!$B$29)+(I86&gt;='START HERE'!$B$30)+(J86&gt;='START HERE'!$B$31)+(K86&gt;='START HERE'!$B$32))</f>
        <v/>
      </c>
      <c r="P86" s="46" t="str">
        <f aca="false">IF($A86="","",IF(O86&gt;=7,"Full day",IF(O86&gt;=5,"Most targets met",IF(O86&gt;=3,"Half day","Below plan - explain in the blocker column"))))</f>
        <v/>
      </c>
    </row>
    <row r="87" customFormat="false" ht="24" hidden="false" customHeight="true" outlineLevel="0" collapsed="false">
      <c r="A87" s="36"/>
      <c r="B87" s="37"/>
      <c r="C87" s="107" t="str">
        <f aca="false">IF($A87="","",ROUND(SUMIFS('DAILY ENTRY'!$G$7:$G$1203,'DAILY ENTRY'!$A$7:$A$1203,$A87,'DAILY ENTRY'!$B$7:$B$1203,$B87)/60,1))</f>
        <v/>
      </c>
      <c r="D87" s="107" t="str">
        <f aca="false">IF($A87="","",SUMIFS('DAILY ENTRY'!$F$7:$F$1203,'DAILY ENTRY'!$A$7:$A$1203,$A87,'DAILY ENTRY'!$B$7:$B$1203,$B87,'DAILY ENTRY'!$D$7:$D$1203,"Lead researched (Sales Navigator)"))</f>
        <v/>
      </c>
      <c r="E87" s="107" t="str">
        <f aca="false">IF($A87="","",SUMIFS('DAILY ENTRY'!$F$7:$F$1203,'DAILY ENTRY'!$A$7:$A$1203,$A87,'DAILY ENTRY'!$B$7:$B$1203,$B87,'DAILY ENTRY'!$D$7:$D$1203,"Connection request sent"))</f>
        <v/>
      </c>
      <c r="F87" s="107" t="str">
        <f aca="false">IF($A87="","",SUMIFS('DAILY ENTRY'!$F$7:$F$1203,'DAILY ENTRY'!$A$7:$A$1203,$A87,'DAILY ENTRY'!$B$7:$B$1203,$B87,'DAILY ENTRY'!$D$7:$D$1203,"First message sent"))</f>
        <v/>
      </c>
      <c r="G87" s="107" t="str">
        <f aca="false">IF($A87="","",SUMIFS('DAILY ENTRY'!$F$7:$F$1203,'DAILY ENTRY'!$A$7:$A$1203,$A87,'DAILY ENTRY'!$B$7:$B$1203,$B87,'DAILY ENTRY'!$D$7:$D$1203,"Follow-up message sent"))</f>
        <v/>
      </c>
      <c r="H87" s="107" t="str">
        <f aca="false">IF($A87="","",SUMIFS('DAILY ENTRY'!$F$7:$F$1203,'DAILY ENTRY'!$A$7:$A$1203,$A87,'DAILY ENTRY'!$B$7:$B$1203,$B87,'DAILY ENTRY'!$D$7:$D$1203,"Post / content published"))</f>
        <v/>
      </c>
      <c r="I87" s="107" t="str">
        <f aca="false">IF($A87="","",SUMIFS('DAILY ENTRY'!$F$7:$F$1203,'DAILY ENTRY'!$A$7:$A$1203,$A87,'DAILY ENTRY'!$B$7:$B$1203,$B87,'DAILY ENTRY'!$D$7:$D$1203,"Community answer or comment"))</f>
        <v/>
      </c>
      <c r="J87" s="107" t="str">
        <f aca="false">IF($A87="","",SUMIFS('DAILY ENTRY'!$F$7:$F$1203,'DAILY ENTRY'!$A$7:$A$1203,$A87,'DAILY ENTRY'!$B$7:$B$1203,$B87,'DAILY ENTRY'!$D$7:$D$1203,"Partnership / PR contact"))</f>
        <v/>
      </c>
      <c r="K87" s="107" t="str">
        <f aca="false">IF($A87="","",SUMIFS('DAILY ENTRY'!$F$7:$F$1203,'DAILY ENTRY'!$A$7:$A$1203,$A87,'DAILY ENTRY'!$B$7:$B$1203,$B87,'DAILY ENTRY'!$D$7:$D$1203,"Engagement (commented on someone else)"))</f>
        <v/>
      </c>
      <c r="L87" s="107" t="str">
        <f aca="false">IF($A87="","",SUMIFS('DAILY ENTRY'!$F$7:$F$1203,'DAILY ENTRY'!$A$7:$A$1203,$A87,'DAILY ENTRY'!$B$7:$B$1203,$B87,'DAILY ENTRY'!$D$7:$D$1203,"Account created / profile completed"))</f>
        <v/>
      </c>
      <c r="M87" s="108" t="str">
        <f aca="false">IF($A87="","",IFERROR(INDEX('DAILY ENTRY'!$E$7:$E$1203,MATCH(1,INDEX(('DAILY ENTRY'!$A$7:$A$1203=$A87)*('DAILY ENTRY'!$B$7:$B$1203=$B87)*('DAILY ENTRY'!$I$7:$I$1203="Meeting booked"),0),0)),IFERROR(INDEX('DAILY ENTRY'!$E$7:$E$1203,MATCH(1,INDEX(('DAILY ENTRY'!$A$7:$A$1203=$A87)*('DAILY ENTRY'!$B$7:$B$1203=$B87)*('DAILY ENTRY'!$I$7:$I$1203="Positive reply"),0),0)),"")))</f>
        <v/>
      </c>
      <c r="N87" s="108" t="str">
        <f aca="false">IF($A87="","",IFERROR(INDEX('DAILY ENTRY'!$J$7:$J$1203,MATCH(1,INDEX(('DAILY ENTRY'!$A$7:$A$1203=$A87)*('DAILY ENTRY'!$B$7:$B$1203=$B87)*('DAILY ENTRY'!$I$7:$I$1203="Blocked"),0),0)),""))</f>
        <v/>
      </c>
      <c r="O87" s="65" t="str">
        <f aca="false">IF($A87="","",(D87&gt;='START HERE'!$B$25)+(E87&gt;='START HERE'!$B$26)+(F87&gt;='START HERE'!$B$27)+(G87&gt;='START HERE'!$B$28)+(H87&gt;='START HERE'!$B$29)+(I87&gt;='START HERE'!$B$30)+(J87&gt;='START HERE'!$B$31)+(K87&gt;='START HERE'!$B$32))</f>
        <v/>
      </c>
      <c r="P87" s="46" t="str">
        <f aca="false">IF($A87="","",IF(O87&gt;=7,"Full day",IF(O87&gt;=5,"Most targets met",IF(O87&gt;=3,"Half day","Below plan - explain in the blocker column"))))</f>
        <v/>
      </c>
    </row>
    <row r="88" customFormat="false" ht="24" hidden="false" customHeight="true" outlineLevel="0" collapsed="false">
      <c r="A88" s="36"/>
      <c r="B88" s="37"/>
      <c r="C88" s="107" t="str">
        <f aca="false">IF($A88="","",ROUND(SUMIFS('DAILY ENTRY'!$G$7:$G$1203,'DAILY ENTRY'!$A$7:$A$1203,$A88,'DAILY ENTRY'!$B$7:$B$1203,$B88)/60,1))</f>
        <v/>
      </c>
      <c r="D88" s="107" t="str">
        <f aca="false">IF($A88="","",SUMIFS('DAILY ENTRY'!$F$7:$F$1203,'DAILY ENTRY'!$A$7:$A$1203,$A88,'DAILY ENTRY'!$B$7:$B$1203,$B88,'DAILY ENTRY'!$D$7:$D$1203,"Lead researched (Sales Navigator)"))</f>
        <v/>
      </c>
      <c r="E88" s="107" t="str">
        <f aca="false">IF($A88="","",SUMIFS('DAILY ENTRY'!$F$7:$F$1203,'DAILY ENTRY'!$A$7:$A$1203,$A88,'DAILY ENTRY'!$B$7:$B$1203,$B88,'DAILY ENTRY'!$D$7:$D$1203,"Connection request sent"))</f>
        <v/>
      </c>
      <c r="F88" s="107" t="str">
        <f aca="false">IF($A88="","",SUMIFS('DAILY ENTRY'!$F$7:$F$1203,'DAILY ENTRY'!$A$7:$A$1203,$A88,'DAILY ENTRY'!$B$7:$B$1203,$B88,'DAILY ENTRY'!$D$7:$D$1203,"First message sent"))</f>
        <v/>
      </c>
      <c r="G88" s="107" t="str">
        <f aca="false">IF($A88="","",SUMIFS('DAILY ENTRY'!$F$7:$F$1203,'DAILY ENTRY'!$A$7:$A$1203,$A88,'DAILY ENTRY'!$B$7:$B$1203,$B88,'DAILY ENTRY'!$D$7:$D$1203,"Follow-up message sent"))</f>
        <v/>
      </c>
      <c r="H88" s="107" t="str">
        <f aca="false">IF($A88="","",SUMIFS('DAILY ENTRY'!$F$7:$F$1203,'DAILY ENTRY'!$A$7:$A$1203,$A88,'DAILY ENTRY'!$B$7:$B$1203,$B88,'DAILY ENTRY'!$D$7:$D$1203,"Post / content published"))</f>
        <v/>
      </c>
      <c r="I88" s="107" t="str">
        <f aca="false">IF($A88="","",SUMIFS('DAILY ENTRY'!$F$7:$F$1203,'DAILY ENTRY'!$A$7:$A$1203,$A88,'DAILY ENTRY'!$B$7:$B$1203,$B88,'DAILY ENTRY'!$D$7:$D$1203,"Community answer or comment"))</f>
        <v/>
      </c>
      <c r="J88" s="107" t="str">
        <f aca="false">IF($A88="","",SUMIFS('DAILY ENTRY'!$F$7:$F$1203,'DAILY ENTRY'!$A$7:$A$1203,$A88,'DAILY ENTRY'!$B$7:$B$1203,$B88,'DAILY ENTRY'!$D$7:$D$1203,"Partnership / PR contact"))</f>
        <v/>
      </c>
      <c r="K88" s="107" t="str">
        <f aca="false">IF($A88="","",SUMIFS('DAILY ENTRY'!$F$7:$F$1203,'DAILY ENTRY'!$A$7:$A$1203,$A88,'DAILY ENTRY'!$B$7:$B$1203,$B88,'DAILY ENTRY'!$D$7:$D$1203,"Engagement (commented on someone else)"))</f>
        <v/>
      </c>
      <c r="L88" s="107" t="str">
        <f aca="false">IF($A88="","",SUMIFS('DAILY ENTRY'!$F$7:$F$1203,'DAILY ENTRY'!$A$7:$A$1203,$A88,'DAILY ENTRY'!$B$7:$B$1203,$B88,'DAILY ENTRY'!$D$7:$D$1203,"Account created / profile completed"))</f>
        <v/>
      </c>
      <c r="M88" s="108" t="str">
        <f aca="false">IF($A88="","",IFERROR(INDEX('DAILY ENTRY'!$E$7:$E$1203,MATCH(1,INDEX(('DAILY ENTRY'!$A$7:$A$1203=$A88)*('DAILY ENTRY'!$B$7:$B$1203=$B88)*('DAILY ENTRY'!$I$7:$I$1203="Meeting booked"),0),0)),IFERROR(INDEX('DAILY ENTRY'!$E$7:$E$1203,MATCH(1,INDEX(('DAILY ENTRY'!$A$7:$A$1203=$A88)*('DAILY ENTRY'!$B$7:$B$1203=$B88)*('DAILY ENTRY'!$I$7:$I$1203="Positive reply"),0),0)),"")))</f>
        <v/>
      </c>
      <c r="N88" s="108" t="str">
        <f aca="false">IF($A88="","",IFERROR(INDEX('DAILY ENTRY'!$J$7:$J$1203,MATCH(1,INDEX(('DAILY ENTRY'!$A$7:$A$1203=$A88)*('DAILY ENTRY'!$B$7:$B$1203=$B88)*('DAILY ENTRY'!$I$7:$I$1203="Blocked"),0),0)),""))</f>
        <v/>
      </c>
      <c r="O88" s="65" t="str">
        <f aca="false">IF($A88="","",(D88&gt;='START HERE'!$B$25)+(E88&gt;='START HERE'!$B$26)+(F88&gt;='START HERE'!$B$27)+(G88&gt;='START HERE'!$B$28)+(H88&gt;='START HERE'!$B$29)+(I88&gt;='START HERE'!$B$30)+(J88&gt;='START HERE'!$B$31)+(K88&gt;='START HERE'!$B$32))</f>
        <v/>
      </c>
      <c r="P88" s="46" t="str">
        <f aca="false">IF($A88="","",IF(O88&gt;=7,"Full day",IF(O88&gt;=5,"Most targets met",IF(O88&gt;=3,"Half day","Below plan - explain in the blocker column"))))</f>
        <v/>
      </c>
    </row>
    <row r="89" customFormat="false" ht="24" hidden="false" customHeight="true" outlineLevel="0" collapsed="false">
      <c r="A89" s="36"/>
      <c r="B89" s="37"/>
      <c r="C89" s="107" t="str">
        <f aca="false">IF($A89="","",ROUND(SUMIFS('DAILY ENTRY'!$G$7:$G$1203,'DAILY ENTRY'!$A$7:$A$1203,$A89,'DAILY ENTRY'!$B$7:$B$1203,$B89)/60,1))</f>
        <v/>
      </c>
      <c r="D89" s="107" t="str">
        <f aca="false">IF($A89="","",SUMIFS('DAILY ENTRY'!$F$7:$F$1203,'DAILY ENTRY'!$A$7:$A$1203,$A89,'DAILY ENTRY'!$B$7:$B$1203,$B89,'DAILY ENTRY'!$D$7:$D$1203,"Lead researched (Sales Navigator)"))</f>
        <v/>
      </c>
      <c r="E89" s="107" t="str">
        <f aca="false">IF($A89="","",SUMIFS('DAILY ENTRY'!$F$7:$F$1203,'DAILY ENTRY'!$A$7:$A$1203,$A89,'DAILY ENTRY'!$B$7:$B$1203,$B89,'DAILY ENTRY'!$D$7:$D$1203,"Connection request sent"))</f>
        <v/>
      </c>
      <c r="F89" s="107" t="str">
        <f aca="false">IF($A89="","",SUMIFS('DAILY ENTRY'!$F$7:$F$1203,'DAILY ENTRY'!$A$7:$A$1203,$A89,'DAILY ENTRY'!$B$7:$B$1203,$B89,'DAILY ENTRY'!$D$7:$D$1203,"First message sent"))</f>
        <v/>
      </c>
      <c r="G89" s="107" t="str">
        <f aca="false">IF($A89="","",SUMIFS('DAILY ENTRY'!$F$7:$F$1203,'DAILY ENTRY'!$A$7:$A$1203,$A89,'DAILY ENTRY'!$B$7:$B$1203,$B89,'DAILY ENTRY'!$D$7:$D$1203,"Follow-up message sent"))</f>
        <v/>
      </c>
      <c r="H89" s="107" t="str">
        <f aca="false">IF($A89="","",SUMIFS('DAILY ENTRY'!$F$7:$F$1203,'DAILY ENTRY'!$A$7:$A$1203,$A89,'DAILY ENTRY'!$B$7:$B$1203,$B89,'DAILY ENTRY'!$D$7:$D$1203,"Post / content published"))</f>
        <v/>
      </c>
      <c r="I89" s="107" t="str">
        <f aca="false">IF($A89="","",SUMIFS('DAILY ENTRY'!$F$7:$F$1203,'DAILY ENTRY'!$A$7:$A$1203,$A89,'DAILY ENTRY'!$B$7:$B$1203,$B89,'DAILY ENTRY'!$D$7:$D$1203,"Community answer or comment"))</f>
        <v/>
      </c>
      <c r="J89" s="107" t="str">
        <f aca="false">IF($A89="","",SUMIFS('DAILY ENTRY'!$F$7:$F$1203,'DAILY ENTRY'!$A$7:$A$1203,$A89,'DAILY ENTRY'!$B$7:$B$1203,$B89,'DAILY ENTRY'!$D$7:$D$1203,"Partnership / PR contact"))</f>
        <v/>
      </c>
      <c r="K89" s="107" t="str">
        <f aca="false">IF($A89="","",SUMIFS('DAILY ENTRY'!$F$7:$F$1203,'DAILY ENTRY'!$A$7:$A$1203,$A89,'DAILY ENTRY'!$B$7:$B$1203,$B89,'DAILY ENTRY'!$D$7:$D$1203,"Engagement (commented on someone else)"))</f>
        <v/>
      </c>
      <c r="L89" s="107" t="str">
        <f aca="false">IF($A89="","",SUMIFS('DAILY ENTRY'!$F$7:$F$1203,'DAILY ENTRY'!$A$7:$A$1203,$A89,'DAILY ENTRY'!$B$7:$B$1203,$B89,'DAILY ENTRY'!$D$7:$D$1203,"Account created / profile completed"))</f>
        <v/>
      </c>
      <c r="M89" s="108" t="str">
        <f aca="false">IF($A89="","",IFERROR(INDEX('DAILY ENTRY'!$E$7:$E$1203,MATCH(1,INDEX(('DAILY ENTRY'!$A$7:$A$1203=$A89)*('DAILY ENTRY'!$B$7:$B$1203=$B89)*('DAILY ENTRY'!$I$7:$I$1203="Meeting booked"),0),0)),IFERROR(INDEX('DAILY ENTRY'!$E$7:$E$1203,MATCH(1,INDEX(('DAILY ENTRY'!$A$7:$A$1203=$A89)*('DAILY ENTRY'!$B$7:$B$1203=$B89)*('DAILY ENTRY'!$I$7:$I$1203="Positive reply"),0),0)),"")))</f>
        <v/>
      </c>
      <c r="N89" s="108" t="str">
        <f aca="false">IF($A89="","",IFERROR(INDEX('DAILY ENTRY'!$J$7:$J$1203,MATCH(1,INDEX(('DAILY ENTRY'!$A$7:$A$1203=$A89)*('DAILY ENTRY'!$B$7:$B$1203=$B89)*('DAILY ENTRY'!$I$7:$I$1203="Blocked"),0),0)),""))</f>
        <v/>
      </c>
      <c r="O89" s="65" t="str">
        <f aca="false">IF($A89="","",(D89&gt;='START HERE'!$B$25)+(E89&gt;='START HERE'!$B$26)+(F89&gt;='START HERE'!$B$27)+(G89&gt;='START HERE'!$B$28)+(H89&gt;='START HERE'!$B$29)+(I89&gt;='START HERE'!$B$30)+(J89&gt;='START HERE'!$B$31)+(K89&gt;='START HERE'!$B$32))</f>
        <v/>
      </c>
      <c r="P89" s="46" t="str">
        <f aca="false">IF($A89="","",IF(O89&gt;=7,"Full day",IF(O89&gt;=5,"Most targets met",IF(O89&gt;=3,"Half day","Below plan - explain in the blocker column"))))</f>
        <v/>
      </c>
    </row>
    <row r="90" customFormat="false" ht="24" hidden="false" customHeight="true" outlineLevel="0" collapsed="false">
      <c r="A90" s="36"/>
      <c r="B90" s="37"/>
      <c r="C90" s="107" t="str">
        <f aca="false">IF($A90="","",ROUND(SUMIFS('DAILY ENTRY'!$G$7:$G$1203,'DAILY ENTRY'!$A$7:$A$1203,$A90,'DAILY ENTRY'!$B$7:$B$1203,$B90)/60,1))</f>
        <v/>
      </c>
      <c r="D90" s="107" t="str">
        <f aca="false">IF($A90="","",SUMIFS('DAILY ENTRY'!$F$7:$F$1203,'DAILY ENTRY'!$A$7:$A$1203,$A90,'DAILY ENTRY'!$B$7:$B$1203,$B90,'DAILY ENTRY'!$D$7:$D$1203,"Lead researched (Sales Navigator)"))</f>
        <v/>
      </c>
      <c r="E90" s="107" t="str">
        <f aca="false">IF($A90="","",SUMIFS('DAILY ENTRY'!$F$7:$F$1203,'DAILY ENTRY'!$A$7:$A$1203,$A90,'DAILY ENTRY'!$B$7:$B$1203,$B90,'DAILY ENTRY'!$D$7:$D$1203,"Connection request sent"))</f>
        <v/>
      </c>
      <c r="F90" s="107" t="str">
        <f aca="false">IF($A90="","",SUMIFS('DAILY ENTRY'!$F$7:$F$1203,'DAILY ENTRY'!$A$7:$A$1203,$A90,'DAILY ENTRY'!$B$7:$B$1203,$B90,'DAILY ENTRY'!$D$7:$D$1203,"First message sent"))</f>
        <v/>
      </c>
      <c r="G90" s="107" t="str">
        <f aca="false">IF($A90="","",SUMIFS('DAILY ENTRY'!$F$7:$F$1203,'DAILY ENTRY'!$A$7:$A$1203,$A90,'DAILY ENTRY'!$B$7:$B$1203,$B90,'DAILY ENTRY'!$D$7:$D$1203,"Follow-up message sent"))</f>
        <v/>
      </c>
      <c r="H90" s="107" t="str">
        <f aca="false">IF($A90="","",SUMIFS('DAILY ENTRY'!$F$7:$F$1203,'DAILY ENTRY'!$A$7:$A$1203,$A90,'DAILY ENTRY'!$B$7:$B$1203,$B90,'DAILY ENTRY'!$D$7:$D$1203,"Post / content published"))</f>
        <v/>
      </c>
      <c r="I90" s="107" t="str">
        <f aca="false">IF($A90="","",SUMIFS('DAILY ENTRY'!$F$7:$F$1203,'DAILY ENTRY'!$A$7:$A$1203,$A90,'DAILY ENTRY'!$B$7:$B$1203,$B90,'DAILY ENTRY'!$D$7:$D$1203,"Community answer or comment"))</f>
        <v/>
      </c>
      <c r="J90" s="107" t="str">
        <f aca="false">IF($A90="","",SUMIFS('DAILY ENTRY'!$F$7:$F$1203,'DAILY ENTRY'!$A$7:$A$1203,$A90,'DAILY ENTRY'!$B$7:$B$1203,$B90,'DAILY ENTRY'!$D$7:$D$1203,"Partnership / PR contact"))</f>
        <v/>
      </c>
      <c r="K90" s="107" t="str">
        <f aca="false">IF($A90="","",SUMIFS('DAILY ENTRY'!$F$7:$F$1203,'DAILY ENTRY'!$A$7:$A$1203,$A90,'DAILY ENTRY'!$B$7:$B$1203,$B90,'DAILY ENTRY'!$D$7:$D$1203,"Engagement (commented on someone else)"))</f>
        <v/>
      </c>
      <c r="L90" s="107" t="str">
        <f aca="false">IF($A90="","",SUMIFS('DAILY ENTRY'!$F$7:$F$1203,'DAILY ENTRY'!$A$7:$A$1203,$A90,'DAILY ENTRY'!$B$7:$B$1203,$B90,'DAILY ENTRY'!$D$7:$D$1203,"Account created / profile completed"))</f>
        <v/>
      </c>
      <c r="M90" s="108" t="str">
        <f aca="false">IF($A90="","",IFERROR(INDEX('DAILY ENTRY'!$E$7:$E$1203,MATCH(1,INDEX(('DAILY ENTRY'!$A$7:$A$1203=$A90)*('DAILY ENTRY'!$B$7:$B$1203=$B90)*('DAILY ENTRY'!$I$7:$I$1203="Meeting booked"),0),0)),IFERROR(INDEX('DAILY ENTRY'!$E$7:$E$1203,MATCH(1,INDEX(('DAILY ENTRY'!$A$7:$A$1203=$A90)*('DAILY ENTRY'!$B$7:$B$1203=$B90)*('DAILY ENTRY'!$I$7:$I$1203="Positive reply"),0),0)),"")))</f>
        <v/>
      </c>
      <c r="N90" s="108" t="str">
        <f aca="false">IF($A90="","",IFERROR(INDEX('DAILY ENTRY'!$J$7:$J$1203,MATCH(1,INDEX(('DAILY ENTRY'!$A$7:$A$1203=$A90)*('DAILY ENTRY'!$B$7:$B$1203=$B90)*('DAILY ENTRY'!$I$7:$I$1203="Blocked"),0),0)),""))</f>
        <v/>
      </c>
      <c r="O90" s="65" t="str">
        <f aca="false">IF($A90="","",(D90&gt;='START HERE'!$B$25)+(E90&gt;='START HERE'!$B$26)+(F90&gt;='START HERE'!$B$27)+(G90&gt;='START HERE'!$B$28)+(H90&gt;='START HERE'!$B$29)+(I90&gt;='START HERE'!$B$30)+(J90&gt;='START HERE'!$B$31)+(K90&gt;='START HERE'!$B$32))</f>
        <v/>
      </c>
      <c r="P90" s="46" t="str">
        <f aca="false">IF($A90="","",IF(O90&gt;=7,"Full day",IF(O90&gt;=5,"Most targets met",IF(O90&gt;=3,"Half day","Below plan - explain in the blocker column"))))</f>
        <v/>
      </c>
    </row>
    <row r="91" customFormat="false" ht="24" hidden="false" customHeight="true" outlineLevel="0" collapsed="false">
      <c r="A91" s="36"/>
      <c r="B91" s="37"/>
      <c r="C91" s="107" t="str">
        <f aca="false">IF($A91="","",ROUND(SUMIFS('DAILY ENTRY'!$G$7:$G$1203,'DAILY ENTRY'!$A$7:$A$1203,$A91,'DAILY ENTRY'!$B$7:$B$1203,$B91)/60,1))</f>
        <v/>
      </c>
      <c r="D91" s="107" t="str">
        <f aca="false">IF($A91="","",SUMIFS('DAILY ENTRY'!$F$7:$F$1203,'DAILY ENTRY'!$A$7:$A$1203,$A91,'DAILY ENTRY'!$B$7:$B$1203,$B91,'DAILY ENTRY'!$D$7:$D$1203,"Lead researched (Sales Navigator)"))</f>
        <v/>
      </c>
      <c r="E91" s="107" t="str">
        <f aca="false">IF($A91="","",SUMIFS('DAILY ENTRY'!$F$7:$F$1203,'DAILY ENTRY'!$A$7:$A$1203,$A91,'DAILY ENTRY'!$B$7:$B$1203,$B91,'DAILY ENTRY'!$D$7:$D$1203,"Connection request sent"))</f>
        <v/>
      </c>
      <c r="F91" s="107" t="str">
        <f aca="false">IF($A91="","",SUMIFS('DAILY ENTRY'!$F$7:$F$1203,'DAILY ENTRY'!$A$7:$A$1203,$A91,'DAILY ENTRY'!$B$7:$B$1203,$B91,'DAILY ENTRY'!$D$7:$D$1203,"First message sent"))</f>
        <v/>
      </c>
      <c r="G91" s="107" t="str">
        <f aca="false">IF($A91="","",SUMIFS('DAILY ENTRY'!$F$7:$F$1203,'DAILY ENTRY'!$A$7:$A$1203,$A91,'DAILY ENTRY'!$B$7:$B$1203,$B91,'DAILY ENTRY'!$D$7:$D$1203,"Follow-up message sent"))</f>
        <v/>
      </c>
      <c r="H91" s="107" t="str">
        <f aca="false">IF($A91="","",SUMIFS('DAILY ENTRY'!$F$7:$F$1203,'DAILY ENTRY'!$A$7:$A$1203,$A91,'DAILY ENTRY'!$B$7:$B$1203,$B91,'DAILY ENTRY'!$D$7:$D$1203,"Post / content published"))</f>
        <v/>
      </c>
      <c r="I91" s="107" t="str">
        <f aca="false">IF($A91="","",SUMIFS('DAILY ENTRY'!$F$7:$F$1203,'DAILY ENTRY'!$A$7:$A$1203,$A91,'DAILY ENTRY'!$B$7:$B$1203,$B91,'DAILY ENTRY'!$D$7:$D$1203,"Community answer or comment"))</f>
        <v/>
      </c>
      <c r="J91" s="107" t="str">
        <f aca="false">IF($A91="","",SUMIFS('DAILY ENTRY'!$F$7:$F$1203,'DAILY ENTRY'!$A$7:$A$1203,$A91,'DAILY ENTRY'!$B$7:$B$1203,$B91,'DAILY ENTRY'!$D$7:$D$1203,"Partnership / PR contact"))</f>
        <v/>
      </c>
      <c r="K91" s="107" t="str">
        <f aca="false">IF($A91="","",SUMIFS('DAILY ENTRY'!$F$7:$F$1203,'DAILY ENTRY'!$A$7:$A$1203,$A91,'DAILY ENTRY'!$B$7:$B$1203,$B91,'DAILY ENTRY'!$D$7:$D$1203,"Engagement (commented on someone else)"))</f>
        <v/>
      </c>
      <c r="L91" s="107" t="str">
        <f aca="false">IF($A91="","",SUMIFS('DAILY ENTRY'!$F$7:$F$1203,'DAILY ENTRY'!$A$7:$A$1203,$A91,'DAILY ENTRY'!$B$7:$B$1203,$B91,'DAILY ENTRY'!$D$7:$D$1203,"Account created / profile completed"))</f>
        <v/>
      </c>
      <c r="M91" s="108" t="str">
        <f aca="false">IF($A91="","",IFERROR(INDEX('DAILY ENTRY'!$E$7:$E$1203,MATCH(1,INDEX(('DAILY ENTRY'!$A$7:$A$1203=$A91)*('DAILY ENTRY'!$B$7:$B$1203=$B91)*('DAILY ENTRY'!$I$7:$I$1203="Meeting booked"),0),0)),IFERROR(INDEX('DAILY ENTRY'!$E$7:$E$1203,MATCH(1,INDEX(('DAILY ENTRY'!$A$7:$A$1203=$A91)*('DAILY ENTRY'!$B$7:$B$1203=$B91)*('DAILY ENTRY'!$I$7:$I$1203="Positive reply"),0),0)),"")))</f>
        <v/>
      </c>
      <c r="N91" s="108" t="str">
        <f aca="false">IF($A91="","",IFERROR(INDEX('DAILY ENTRY'!$J$7:$J$1203,MATCH(1,INDEX(('DAILY ENTRY'!$A$7:$A$1203=$A91)*('DAILY ENTRY'!$B$7:$B$1203=$B91)*('DAILY ENTRY'!$I$7:$I$1203="Blocked"),0),0)),""))</f>
        <v/>
      </c>
      <c r="O91" s="65" t="str">
        <f aca="false">IF($A91="","",(D91&gt;='START HERE'!$B$25)+(E91&gt;='START HERE'!$B$26)+(F91&gt;='START HERE'!$B$27)+(G91&gt;='START HERE'!$B$28)+(H91&gt;='START HERE'!$B$29)+(I91&gt;='START HERE'!$B$30)+(J91&gt;='START HERE'!$B$31)+(K91&gt;='START HERE'!$B$32))</f>
        <v/>
      </c>
      <c r="P91" s="46" t="str">
        <f aca="false">IF($A91="","",IF(O91&gt;=7,"Full day",IF(O91&gt;=5,"Most targets met",IF(O91&gt;=3,"Half day","Below plan - explain in the blocker column"))))</f>
        <v/>
      </c>
    </row>
    <row r="92" customFormat="false" ht="24" hidden="false" customHeight="true" outlineLevel="0" collapsed="false">
      <c r="A92" s="36"/>
      <c r="B92" s="37"/>
      <c r="C92" s="107" t="str">
        <f aca="false">IF($A92="","",ROUND(SUMIFS('DAILY ENTRY'!$G$7:$G$1203,'DAILY ENTRY'!$A$7:$A$1203,$A92,'DAILY ENTRY'!$B$7:$B$1203,$B92)/60,1))</f>
        <v/>
      </c>
      <c r="D92" s="107" t="str">
        <f aca="false">IF($A92="","",SUMIFS('DAILY ENTRY'!$F$7:$F$1203,'DAILY ENTRY'!$A$7:$A$1203,$A92,'DAILY ENTRY'!$B$7:$B$1203,$B92,'DAILY ENTRY'!$D$7:$D$1203,"Lead researched (Sales Navigator)"))</f>
        <v/>
      </c>
      <c r="E92" s="107" t="str">
        <f aca="false">IF($A92="","",SUMIFS('DAILY ENTRY'!$F$7:$F$1203,'DAILY ENTRY'!$A$7:$A$1203,$A92,'DAILY ENTRY'!$B$7:$B$1203,$B92,'DAILY ENTRY'!$D$7:$D$1203,"Connection request sent"))</f>
        <v/>
      </c>
      <c r="F92" s="107" t="str">
        <f aca="false">IF($A92="","",SUMIFS('DAILY ENTRY'!$F$7:$F$1203,'DAILY ENTRY'!$A$7:$A$1203,$A92,'DAILY ENTRY'!$B$7:$B$1203,$B92,'DAILY ENTRY'!$D$7:$D$1203,"First message sent"))</f>
        <v/>
      </c>
      <c r="G92" s="107" t="str">
        <f aca="false">IF($A92="","",SUMIFS('DAILY ENTRY'!$F$7:$F$1203,'DAILY ENTRY'!$A$7:$A$1203,$A92,'DAILY ENTRY'!$B$7:$B$1203,$B92,'DAILY ENTRY'!$D$7:$D$1203,"Follow-up message sent"))</f>
        <v/>
      </c>
      <c r="H92" s="107" t="str">
        <f aca="false">IF($A92="","",SUMIFS('DAILY ENTRY'!$F$7:$F$1203,'DAILY ENTRY'!$A$7:$A$1203,$A92,'DAILY ENTRY'!$B$7:$B$1203,$B92,'DAILY ENTRY'!$D$7:$D$1203,"Post / content published"))</f>
        <v/>
      </c>
      <c r="I92" s="107" t="str">
        <f aca="false">IF($A92="","",SUMIFS('DAILY ENTRY'!$F$7:$F$1203,'DAILY ENTRY'!$A$7:$A$1203,$A92,'DAILY ENTRY'!$B$7:$B$1203,$B92,'DAILY ENTRY'!$D$7:$D$1203,"Community answer or comment"))</f>
        <v/>
      </c>
      <c r="J92" s="107" t="str">
        <f aca="false">IF($A92="","",SUMIFS('DAILY ENTRY'!$F$7:$F$1203,'DAILY ENTRY'!$A$7:$A$1203,$A92,'DAILY ENTRY'!$B$7:$B$1203,$B92,'DAILY ENTRY'!$D$7:$D$1203,"Partnership / PR contact"))</f>
        <v/>
      </c>
      <c r="K92" s="107" t="str">
        <f aca="false">IF($A92="","",SUMIFS('DAILY ENTRY'!$F$7:$F$1203,'DAILY ENTRY'!$A$7:$A$1203,$A92,'DAILY ENTRY'!$B$7:$B$1203,$B92,'DAILY ENTRY'!$D$7:$D$1203,"Engagement (commented on someone else)"))</f>
        <v/>
      </c>
      <c r="L92" s="107" t="str">
        <f aca="false">IF($A92="","",SUMIFS('DAILY ENTRY'!$F$7:$F$1203,'DAILY ENTRY'!$A$7:$A$1203,$A92,'DAILY ENTRY'!$B$7:$B$1203,$B92,'DAILY ENTRY'!$D$7:$D$1203,"Account created / profile completed"))</f>
        <v/>
      </c>
      <c r="M92" s="108" t="str">
        <f aca="false">IF($A92="","",IFERROR(INDEX('DAILY ENTRY'!$E$7:$E$1203,MATCH(1,INDEX(('DAILY ENTRY'!$A$7:$A$1203=$A92)*('DAILY ENTRY'!$B$7:$B$1203=$B92)*('DAILY ENTRY'!$I$7:$I$1203="Meeting booked"),0),0)),IFERROR(INDEX('DAILY ENTRY'!$E$7:$E$1203,MATCH(1,INDEX(('DAILY ENTRY'!$A$7:$A$1203=$A92)*('DAILY ENTRY'!$B$7:$B$1203=$B92)*('DAILY ENTRY'!$I$7:$I$1203="Positive reply"),0),0)),"")))</f>
        <v/>
      </c>
      <c r="N92" s="108" t="str">
        <f aca="false">IF($A92="","",IFERROR(INDEX('DAILY ENTRY'!$J$7:$J$1203,MATCH(1,INDEX(('DAILY ENTRY'!$A$7:$A$1203=$A92)*('DAILY ENTRY'!$B$7:$B$1203=$B92)*('DAILY ENTRY'!$I$7:$I$1203="Blocked"),0),0)),""))</f>
        <v/>
      </c>
      <c r="O92" s="65" t="str">
        <f aca="false">IF($A92="","",(D92&gt;='START HERE'!$B$25)+(E92&gt;='START HERE'!$B$26)+(F92&gt;='START HERE'!$B$27)+(G92&gt;='START HERE'!$B$28)+(H92&gt;='START HERE'!$B$29)+(I92&gt;='START HERE'!$B$30)+(J92&gt;='START HERE'!$B$31)+(K92&gt;='START HERE'!$B$32))</f>
        <v/>
      </c>
      <c r="P92" s="46" t="str">
        <f aca="false">IF($A92="","",IF(O92&gt;=7,"Full day",IF(O92&gt;=5,"Most targets met",IF(O92&gt;=3,"Half day","Below plan - explain in the blocker column"))))</f>
        <v/>
      </c>
    </row>
    <row r="93" customFormat="false" ht="24" hidden="false" customHeight="true" outlineLevel="0" collapsed="false">
      <c r="A93" s="36"/>
      <c r="B93" s="37"/>
      <c r="C93" s="107" t="str">
        <f aca="false">IF($A93="","",ROUND(SUMIFS('DAILY ENTRY'!$G$7:$G$1203,'DAILY ENTRY'!$A$7:$A$1203,$A93,'DAILY ENTRY'!$B$7:$B$1203,$B93)/60,1))</f>
        <v/>
      </c>
      <c r="D93" s="107" t="str">
        <f aca="false">IF($A93="","",SUMIFS('DAILY ENTRY'!$F$7:$F$1203,'DAILY ENTRY'!$A$7:$A$1203,$A93,'DAILY ENTRY'!$B$7:$B$1203,$B93,'DAILY ENTRY'!$D$7:$D$1203,"Lead researched (Sales Navigator)"))</f>
        <v/>
      </c>
      <c r="E93" s="107" t="str">
        <f aca="false">IF($A93="","",SUMIFS('DAILY ENTRY'!$F$7:$F$1203,'DAILY ENTRY'!$A$7:$A$1203,$A93,'DAILY ENTRY'!$B$7:$B$1203,$B93,'DAILY ENTRY'!$D$7:$D$1203,"Connection request sent"))</f>
        <v/>
      </c>
      <c r="F93" s="107" t="str">
        <f aca="false">IF($A93="","",SUMIFS('DAILY ENTRY'!$F$7:$F$1203,'DAILY ENTRY'!$A$7:$A$1203,$A93,'DAILY ENTRY'!$B$7:$B$1203,$B93,'DAILY ENTRY'!$D$7:$D$1203,"First message sent"))</f>
        <v/>
      </c>
      <c r="G93" s="107" t="str">
        <f aca="false">IF($A93="","",SUMIFS('DAILY ENTRY'!$F$7:$F$1203,'DAILY ENTRY'!$A$7:$A$1203,$A93,'DAILY ENTRY'!$B$7:$B$1203,$B93,'DAILY ENTRY'!$D$7:$D$1203,"Follow-up message sent"))</f>
        <v/>
      </c>
      <c r="H93" s="107" t="str">
        <f aca="false">IF($A93="","",SUMIFS('DAILY ENTRY'!$F$7:$F$1203,'DAILY ENTRY'!$A$7:$A$1203,$A93,'DAILY ENTRY'!$B$7:$B$1203,$B93,'DAILY ENTRY'!$D$7:$D$1203,"Post / content published"))</f>
        <v/>
      </c>
      <c r="I93" s="107" t="str">
        <f aca="false">IF($A93="","",SUMIFS('DAILY ENTRY'!$F$7:$F$1203,'DAILY ENTRY'!$A$7:$A$1203,$A93,'DAILY ENTRY'!$B$7:$B$1203,$B93,'DAILY ENTRY'!$D$7:$D$1203,"Community answer or comment"))</f>
        <v/>
      </c>
      <c r="J93" s="107" t="str">
        <f aca="false">IF($A93="","",SUMIFS('DAILY ENTRY'!$F$7:$F$1203,'DAILY ENTRY'!$A$7:$A$1203,$A93,'DAILY ENTRY'!$B$7:$B$1203,$B93,'DAILY ENTRY'!$D$7:$D$1203,"Partnership / PR contact"))</f>
        <v/>
      </c>
      <c r="K93" s="107" t="str">
        <f aca="false">IF($A93="","",SUMIFS('DAILY ENTRY'!$F$7:$F$1203,'DAILY ENTRY'!$A$7:$A$1203,$A93,'DAILY ENTRY'!$B$7:$B$1203,$B93,'DAILY ENTRY'!$D$7:$D$1203,"Engagement (commented on someone else)"))</f>
        <v/>
      </c>
      <c r="L93" s="107" t="str">
        <f aca="false">IF($A93="","",SUMIFS('DAILY ENTRY'!$F$7:$F$1203,'DAILY ENTRY'!$A$7:$A$1203,$A93,'DAILY ENTRY'!$B$7:$B$1203,$B93,'DAILY ENTRY'!$D$7:$D$1203,"Account created / profile completed"))</f>
        <v/>
      </c>
      <c r="M93" s="108" t="str">
        <f aca="false">IF($A93="","",IFERROR(INDEX('DAILY ENTRY'!$E$7:$E$1203,MATCH(1,INDEX(('DAILY ENTRY'!$A$7:$A$1203=$A93)*('DAILY ENTRY'!$B$7:$B$1203=$B93)*('DAILY ENTRY'!$I$7:$I$1203="Meeting booked"),0),0)),IFERROR(INDEX('DAILY ENTRY'!$E$7:$E$1203,MATCH(1,INDEX(('DAILY ENTRY'!$A$7:$A$1203=$A93)*('DAILY ENTRY'!$B$7:$B$1203=$B93)*('DAILY ENTRY'!$I$7:$I$1203="Positive reply"),0),0)),"")))</f>
        <v/>
      </c>
      <c r="N93" s="108" t="str">
        <f aca="false">IF($A93="","",IFERROR(INDEX('DAILY ENTRY'!$J$7:$J$1203,MATCH(1,INDEX(('DAILY ENTRY'!$A$7:$A$1203=$A93)*('DAILY ENTRY'!$B$7:$B$1203=$B93)*('DAILY ENTRY'!$I$7:$I$1203="Blocked"),0),0)),""))</f>
        <v/>
      </c>
      <c r="O93" s="65" t="str">
        <f aca="false">IF($A93="","",(D93&gt;='START HERE'!$B$25)+(E93&gt;='START HERE'!$B$26)+(F93&gt;='START HERE'!$B$27)+(G93&gt;='START HERE'!$B$28)+(H93&gt;='START HERE'!$B$29)+(I93&gt;='START HERE'!$B$30)+(J93&gt;='START HERE'!$B$31)+(K93&gt;='START HERE'!$B$32))</f>
        <v/>
      </c>
      <c r="P93" s="46" t="str">
        <f aca="false">IF($A93="","",IF(O93&gt;=7,"Full day",IF(O93&gt;=5,"Most targets met",IF(O93&gt;=3,"Half day","Below plan - explain in the blocker column"))))</f>
        <v/>
      </c>
    </row>
    <row r="94" customFormat="false" ht="24" hidden="false" customHeight="true" outlineLevel="0" collapsed="false">
      <c r="A94" s="36"/>
      <c r="B94" s="37"/>
      <c r="C94" s="107" t="str">
        <f aca="false">IF($A94="","",ROUND(SUMIFS('DAILY ENTRY'!$G$7:$G$1203,'DAILY ENTRY'!$A$7:$A$1203,$A94,'DAILY ENTRY'!$B$7:$B$1203,$B94)/60,1))</f>
        <v/>
      </c>
      <c r="D94" s="107" t="str">
        <f aca="false">IF($A94="","",SUMIFS('DAILY ENTRY'!$F$7:$F$1203,'DAILY ENTRY'!$A$7:$A$1203,$A94,'DAILY ENTRY'!$B$7:$B$1203,$B94,'DAILY ENTRY'!$D$7:$D$1203,"Lead researched (Sales Navigator)"))</f>
        <v/>
      </c>
      <c r="E94" s="107" t="str">
        <f aca="false">IF($A94="","",SUMIFS('DAILY ENTRY'!$F$7:$F$1203,'DAILY ENTRY'!$A$7:$A$1203,$A94,'DAILY ENTRY'!$B$7:$B$1203,$B94,'DAILY ENTRY'!$D$7:$D$1203,"Connection request sent"))</f>
        <v/>
      </c>
      <c r="F94" s="107" t="str">
        <f aca="false">IF($A94="","",SUMIFS('DAILY ENTRY'!$F$7:$F$1203,'DAILY ENTRY'!$A$7:$A$1203,$A94,'DAILY ENTRY'!$B$7:$B$1203,$B94,'DAILY ENTRY'!$D$7:$D$1203,"First message sent"))</f>
        <v/>
      </c>
      <c r="G94" s="107" t="str">
        <f aca="false">IF($A94="","",SUMIFS('DAILY ENTRY'!$F$7:$F$1203,'DAILY ENTRY'!$A$7:$A$1203,$A94,'DAILY ENTRY'!$B$7:$B$1203,$B94,'DAILY ENTRY'!$D$7:$D$1203,"Follow-up message sent"))</f>
        <v/>
      </c>
      <c r="H94" s="107" t="str">
        <f aca="false">IF($A94="","",SUMIFS('DAILY ENTRY'!$F$7:$F$1203,'DAILY ENTRY'!$A$7:$A$1203,$A94,'DAILY ENTRY'!$B$7:$B$1203,$B94,'DAILY ENTRY'!$D$7:$D$1203,"Post / content published"))</f>
        <v/>
      </c>
      <c r="I94" s="107" t="str">
        <f aca="false">IF($A94="","",SUMIFS('DAILY ENTRY'!$F$7:$F$1203,'DAILY ENTRY'!$A$7:$A$1203,$A94,'DAILY ENTRY'!$B$7:$B$1203,$B94,'DAILY ENTRY'!$D$7:$D$1203,"Community answer or comment"))</f>
        <v/>
      </c>
      <c r="J94" s="107" t="str">
        <f aca="false">IF($A94="","",SUMIFS('DAILY ENTRY'!$F$7:$F$1203,'DAILY ENTRY'!$A$7:$A$1203,$A94,'DAILY ENTRY'!$B$7:$B$1203,$B94,'DAILY ENTRY'!$D$7:$D$1203,"Partnership / PR contact"))</f>
        <v/>
      </c>
      <c r="K94" s="107" t="str">
        <f aca="false">IF($A94="","",SUMIFS('DAILY ENTRY'!$F$7:$F$1203,'DAILY ENTRY'!$A$7:$A$1203,$A94,'DAILY ENTRY'!$B$7:$B$1203,$B94,'DAILY ENTRY'!$D$7:$D$1203,"Engagement (commented on someone else)"))</f>
        <v/>
      </c>
      <c r="L94" s="107" t="str">
        <f aca="false">IF($A94="","",SUMIFS('DAILY ENTRY'!$F$7:$F$1203,'DAILY ENTRY'!$A$7:$A$1203,$A94,'DAILY ENTRY'!$B$7:$B$1203,$B94,'DAILY ENTRY'!$D$7:$D$1203,"Account created / profile completed"))</f>
        <v/>
      </c>
      <c r="M94" s="108" t="str">
        <f aca="false">IF($A94="","",IFERROR(INDEX('DAILY ENTRY'!$E$7:$E$1203,MATCH(1,INDEX(('DAILY ENTRY'!$A$7:$A$1203=$A94)*('DAILY ENTRY'!$B$7:$B$1203=$B94)*('DAILY ENTRY'!$I$7:$I$1203="Meeting booked"),0),0)),IFERROR(INDEX('DAILY ENTRY'!$E$7:$E$1203,MATCH(1,INDEX(('DAILY ENTRY'!$A$7:$A$1203=$A94)*('DAILY ENTRY'!$B$7:$B$1203=$B94)*('DAILY ENTRY'!$I$7:$I$1203="Positive reply"),0),0)),"")))</f>
        <v/>
      </c>
      <c r="N94" s="108" t="str">
        <f aca="false">IF($A94="","",IFERROR(INDEX('DAILY ENTRY'!$J$7:$J$1203,MATCH(1,INDEX(('DAILY ENTRY'!$A$7:$A$1203=$A94)*('DAILY ENTRY'!$B$7:$B$1203=$B94)*('DAILY ENTRY'!$I$7:$I$1203="Blocked"),0),0)),""))</f>
        <v/>
      </c>
      <c r="O94" s="65" t="str">
        <f aca="false">IF($A94="","",(D94&gt;='START HERE'!$B$25)+(E94&gt;='START HERE'!$B$26)+(F94&gt;='START HERE'!$B$27)+(G94&gt;='START HERE'!$B$28)+(H94&gt;='START HERE'!$B$29)+(I94&gt;='START HERE'!$B$30)+(J94&gt;='START HERE'!$B$31)+(K94&gt;='START HERE'!$B$32))</f>
        <v/>
      </c>
      <c r="P94" s="46" t="str">
        <f aca="false">IF($A94="","",IF(O94&gt;=7,"Full day",IF(O94&gt;=5,"Most targets met",IF(O94&gt;=3,"Half day","Below plan - explain in the blocker column"))))</f>
        <v/>
      </c>
    </row>
    <row r="95" customFormat="false" ht="24" hidden="false" customHeight="true" outlineLevel="0" collapsed="false">
      <c r="A95" s="36"/>
      <c r="B95" s="37"/>
      <c r="C95" s="107" t="str">
        <f aca="false">IF($A95="","",ROUND(SUMIFS('DAILY ENTRY'!$G$7:$G$1203,'DAILY ENTRY'!$A$7:$A$1203,$A95,'DAILY ENTRY'!$B$7:$B$1203,$B95)/60,1))</f>
        <v/>
      </c>
      <c r="D95" s="107" t="str">
        <f aca="false">IF($A95="","",SUMIFS('DAILY ENTRY'!$F$7:$F$1203,'DAILY ENTRY'!$A$7:$A$1203,$A95,'DAILY ENTRY'!$B$7:$B$1203,$B95,'DAILY ENTRY'!$D$7:$D$1203,"Lead researched (Sales Navigator)"))</f>
        <v/>
      </c>
      <c r="E95" s="107" t="str">
        <f aca="false">IF($A95="","",SUMIFS('DAILY ENTRY'!$F$7:$F$1203,'DAILY ENTRY'!$A$7:$A$1203,$A95,'DAILY ENTRY'!$B$7:$B$1203,$B95,'DAILY ENTRY'!$D$7:$D$1203,"Connection request sent"))</f>
        <v/>
      </c>
      <c r="F95" s="107" t="str">
        <f aca="false">IF($A95="","",SUMIFS('DAILY ENTRY'!$F$7:$F$1203,'DAILY ENTRY'!$A$7:$A$1203,$A95,'DAILY ENTRY'!$B$7:$B$1203,$B95,'DAILY ENTRY'!$D$7:$D$1203,"First message sent"))</f>
        <v/>
      </c>
      <c r="G95" s="107" t="str">
        <f aca="false">IF($A95="","",SUMIFS('DAILY ENTRY'!$F$7:$F$1203,'DAILY ENTRY'!$A$7:$A$1203,$A95,'DAILY ENTRY'!$B$7:$B$1203,$B95,'DAILY ENTRY'!$D$7:$D$1203,"Follow-up message sent"))</f>
        <v/>
      </c>
      <c r="H95" s="107" t="str">
        <f aca="false">IF($A95="","",SUMIFS('DAILY ENTRY'!$F$7:$F$1203,'DAILY ENTRY'!$A$7:$A$1203,$A95,'DAILY ENTRY'!$B$7:$B$1203,$B95,'DAILY ENTRY'!$D$7:$D$1203,"Post / content published"))</f>
        <v/>
      </c>
      <c r="I95" s="107" t="str">
        <f aca="false">IF($A95="","",SUMIFS('DAILY ENTRY'!$F$7:$F$1203,'DAILY ENTRY'!$A$7:$A$1203,$A95,'DAILY ENTRY'!$B$7:$B$1203,$B95,'DAILY ENTRY'!$D$7:$D$1203,"Community answer or comment"))</f>
        <v/>
      </c>
      <c r="J95" s="107" t="str">
        <f aca="false">IF($A95="","",SUMIFS('DAILY ENTRY'!$F$7:$F$1203,'DAILY ENTRY'!$A$7:$A$1203,$A95,'DAILY ENTRY'!$B$7:$B$1203,$B95,'DAILY ENTRY'!$D$7:$D$1203,"Partnership / PR contact"))</f>
        <v/>
      </c>
      <c r="K95" s="107" t="str">
        <f aca="false">IF($A95="","",SUMIFS('DAILY ENTRY'!$F$7:$F$1203,'DAILY ENTRY'!$A$7:$A$1203,$A95,'DAILY ENTRY'!$B$7:$B$1203,$B95,'DAILY ENTRY'!$D$7:$D$1203,"Engagement (commented on someone else)"))</f>
        <v/>
      </c>
      <c r="L95" s="107" t="str">
        <f aca="false">IF($A95="","",SUMIFS('DAILY ENTRY'!$F$7:$F$1203,'DAILY ENTRY'!$A$7:$A$1203,$A95,'DAILY ENTRY'!$B$7:$B$1203,$B95,'DAILY ENTRY'!$D$7:$D$1203,"Account created / profile completed"))</f>
        <v/>
      </c>
      <c r="M95" s="108" t="str">
        <f aca="false">IF($A95="","",IFERROR(INDEX('DAILY ENTRY'!$E$7:$E$1203,MATCH(1,INDEX(('DAILY ENTRY'!$A$7:$A$1203=$A95)*('DAILY ENTRY'!$B$7:$B$1203=$B95)*('DAILY ENTRY'!$I$7:$I$1203="Meeting booked"),0),0)),IFERROR(INDEX('DAILY ENTRY'!$E$7:$E$1203,MATCH(1,INDEX(('DAILY ENTRY'!$A$7:$A$1203=$A95)*('DAILY ENTRY'!$B$7:$B$1203=$B95)*('DAILY ENTRY'!$I$7:$I$1203="Positive reply"),0),0)),"")))</f>
        <v/>
      </c>
      <c r="N95" s="108" t="str">
        <f aca="false">IF($A95="","",IFERROR(INDEX('DAILY ENTRY'!$J$7:$J$1203,MATCH(1,INDEX(('DAILY ENTRY'!$A$7:$A$1203=$A95)*('DAILY ENTRY'!$B$7:$B$1203=$B95)*('DAILY ENTRY'!$I$7:$I$1203="Blocked"),0),0)),""))</f>
        <v/>
      </c>
      <c r="O95" s="65" t="str">
        <f aca="false">IF($A95="","",(D95&gt;='START HERE'!$B$25)+(E95&gt;='START HERE'!$B$26)+(F95&gt;='START HERE'!$B$27)+(G95&gt;='START HERE'!$B$28)+(H95&gt;='START HERE'!$B$29)+(I95&gt;='START HERE'!$B$30)+(J95&gt;='START HERE'!$B$31)+(K95&gt;='START HERE'!$B$32))</f>
        <v/>
      </c>
      <c r="P95" s="46" t="str">
        <f aca="false">IF($A95="","",IF(O95&gt;=7,"Full day",IF(O95&gt;=5,"Most targets met",IF(O95&gt;=3,"Half day","Below plan - explain in the blocker column"))))</f>
        <v/>
      </c>
    </row>
    <row r="96" customFormat="false" ht="24" hidden="false" customHeight="true" outlineLevel="0" collapsed="false">
      <c r="A96" s="36"/>
      <c r="B96" s="37"/>
      <c r="C96" s="107" t="str">
        <f aca="false">IF($A96="","",ROUND(SUMIFS('DAILY ENTRY'!$G$7:$G$1203,'DAILY ENTRY'!$A$7:$A$1203,$A96,'DAILY ENTRY'!$B$7:$B$1203,$B96)/60,1))</f>
        <v/>
      </c>
      <c r="D96" s="107" t="str">
        <f aca="false">IF($A96="","",SUMIFS('DAILY ENTRY'!$F$7:$F$1203,'DAILY ENTRY'!$A$7:$A$1203,$A96,'DAILY ENTRY'!$B$7:$B$1203,$B96,'DAILY ENTRY'!$D$7:$D$1203,"Lead researched (Sales Navigator)"))</f>
        <v/>
      </c>
      <c r="E96" s="107" t="str">
        <f aca="false">IF($A96="","",SUMIFS('DAILY ENTRY'!$F$7:$F$1203,'DAILY ENTRY'!$A$7:$A$1203,$A96,'DAILY ENTRY'!$B$7:$B$1203,$B96,'DAILY ENTRY'!$D$7:$D$1203,"Connection request sent"))</f>
        <v/>
      </c>
      <c r="F96" s="107" t="str">
        <f aca="false">IF($A96="","",SUMIFS('DAILY ENTRY'!$F$7:$F$1203,'DAILY ENTRY'!$A$7:$A$1203,$A96,'DAILY ENTRY'!$B$7:$B$1203,$B96,'DAILY ENTRY'!$D$7:$D$1203,"First message sent"))</f>
        <v/>
      </c>
      <c r="G96" s="107" t="str">
        <f aca="false">IF($A96="","",SUMIFS('DAILY ENTRY'!$F$7:$F$1203,'DAILY ENTRY'!$A$7:$A$1203,$A96,'DAILY ENTRY'!$B$7:$B$1203,$B96,'DAILY ENTRY'!$D$7:$D$1203,"Follow-up message sent"))</f>
        <v/>
      </c>
      <c r="H96" s="107" t="str">
        <f aca="false">IF($A96="","",SUMIFS('DAILY ENTRY'!$F$7:$F$1203,'DAILY ENTRY'!$A$7:$A$1203,$A96,'DAILY ENTRY'!$B$7:$B$1203,$B96,'DAILY ENTRY'!$D$7:$D$1203,"Post / content published"))</f>
        <v/>
      </c>
      <c r="I96" s="107" t="str">
        <f aca="false">IF($A96="","",SUMIFS('DAILY ENTRY'!$F$7:$F$1203,'DAILY ENTRY'!$A$7:$A$1203,$A96,'DAILY ENTRY'!$B$7:$B$1203,$B96,'DAILY ENTRY'!$D$7:$D$1203,"Community answer or comment"))</f>
        <v/>
      </c>
      <c r="J96" s="107" t="str">
        <f aca="false">IF($A96="","",SUMIFS('DAILY ENTRY'!$F$7:$F$1203,'DAILY ENTRY'!$A$7:$A$1203,$A96,'DAILY ENTRY'!$B$7:$B$1203,$B96,'DAILY ENTRY'!$D$7:$D$1203,"Partnership / PR contact"))</f>
        <v/>
      </c>
      <c r="K96" s="107" t="str">
        <f aca="false">IF($A96="","",SUMIFS('DAILY ENTRY'!$F$7:$F$1203,'DAILY ENTRY'!$A$7:$A$1203,$A96,'DAILY ENTRY'!$B$7:$B$1203,$B96,'DAILY ENTRY'!$D$7:$D$1203,"Engagement (commented on someone else)"))</f>
        <v/>
      </c>
      <c r="L96" s="107" t="str">
        <f aca="false">IF($A96="","",SUMIFS('DAILY ENTRY'!$F$7:$F$1203,'DAILY ENTRY'!$A$7:$A$1203,$A96,'DAILY ENTRY'!$B$7:$B$1203,$B96,'DAILY ENTRY'!$D$7:$D$1203,"Account created / profile completed"))</f>
        <v/>
      </c>
      <c r="M96" s="108" t="str">
        <f aca="false">IF($A96="","",IFERROR(INDEX('DAILY ENTRY'!$E$7:$E$1203,MATCH(1,INDEX(('DAILY ENTRY'!$A$7:$A$1203=$A96)*('DAILY ENTRY'!$B$7:$B$1203=$B96)*('DAILY ENTRY'!$I$7:$I$1203="Meeting booked"),0),0)),IFERROR(INDEX('DAILY ENTRY'!$E$7:$E$1203,MATCH(1,INDEX(('DAILY ENTRY'!$A$7:$A$1203=$A96)*('DAILY ENTRY'!$B$7:$B$1203=$B96)*('DAILY ENTRY'!$I$7:$I$1203="Positive reply"),0),0)),"")))</f>
        <v/>
      </c>
      <c r="N96" s="108" t="str">
        <f aca="false">IF($A96="","",IFERROR(INDEX('DAILY ENTRY'!$J$7:$J$1203,MATCH(1,INDEX(('DAILY ENTRY'!$A$7:$A$1203=$A96)*('DAILY ENTRY'!$B$7:$B$1203=$B96)*('DAILY ENTRY'!$I$7:$I$1203="Blocked"),0),0)),""))</f>
        <v/>
      </c>
      <c r="O96" s="65" t="str">
        <f aca="false">IF($A96="","",(D96&gt;='START HERE'!$B$25)+(E96&gt;='START HERE'!$B$26)+(F96&gt;='START HERE'!$B$27)+(G96&gt;='START HERE'!$B$28)+(H96&gt;='START HERE'!$B$29)+(I96&gt;='START HERE'!$B$30)+(J96&gt;='START HERE'!$B$31)+(K96&gt;='START HERE'!$B$32))</f>
        <v/>
      </c>
      <c r="P96" s="46" t="str">
        <f aca="false">IF($A96="","",IF(O96&gt;=7,"Full day",IF(O96&gt;=5,"Most targets met",IF(O96&gt;=3,"Half day","Below plan - explain in the blocker column"))))</f>
        <v/>
      </c>
    </row>
    <row r="97" customFormat="false" ht="24" hidden="false" customHeight="true" outlineLevel="0" collapsed="false">
      <c r="A97" s="36"/>
      <c r="B97" s="37"/>
      <c r="C97" s="107" t="str">
        <f aca="false">IF($A97="","",ROUND(SUMIFS('DAILY ENTRY'!$G$7:$G$1203,'DAILY ENTRY'!$A$7:$A$1203,$A97,'DAILY ENTRY'!$B$7:$B$1203,$B97)/60,1))</f>
        <v/>
      </c>
      <c r="D97" s="107" t="str">
        <f aca="false">IF($A97="","",SUMIFS('DAILY ENTRY'!$F$7:$F$1203,'DAILY ENTRY'!$A$7:$A$1203,$A97,'DAILY ENTRY'!$B$7:$B$1203,$B97,'DAILY ENTRY'!$D$7:$D$1203,"Lead researched (Sales Navigator)"))</f>
        <v/>
      </c>
      <c r="E97" s="107" t="str">
        <f aca="false">IF($A97="","",SUMIFS('DAILY ENTRY'!$F$7:$F$1203,'DAILY ENTRY'!$A$7:$A$1203,$A97,'DAILY ENTRY'!$B$7:$B$1203,$B97,'DAILY ENTRY'!$D$7:$D$1203,"Connection request sent"))</f>
        <v/>
      </c>
      <c r="F97" s="107" t="str">
        <f aca="false">IF($A97="","",SUMIFS('DAILY ENTRY'!$F$7:$F$1203,'DAILY ENTRY'!$A$7:$A$1203,$A97,'DAILY ENTRY'!$B$7:$B$1203,$B97,'DAILY ENTRY'!$D$7:$D$1203,"First message sent"))</f>
        <v/>
      </c>
      <c r="G97" s="107" t="str">
        <f aca="false">IF($A97="","",SUMIFS('DAILY ENTRY'!$F$7:$F$1203,'DAILY ENTRY'!$A$7:$A$1203,$A97,'DAILY ENTRY'!$B$7:$B$1203,$B97,'DAILY ENTRY'!$D$7:$D$1203,"Follow-up message sent"))</f>
        <v/>
      </c>
      <c r="H97" s="107" t="str">
        <f aca="false">IF($A97="","",SUMIFS('DAILY ENTRY'!$F$7:$F$1203,'DAILY ENTRY'!$A$7:$A$1203,$A97,'DAILY ENTRY'!$B$7:$B$1203,$B97,'DAILY ENTRY'!$D$7:$D$1203,"Post / content published"))</f>
        <v/>
      </c>
      <c r="I97" s="107" t="str">
        <f aca="false">IF($A97="","",SUMIFS('DAILY ENTRY'!$F$7:$F$1203,'DAILY ENTRY'!$A$7:$A$1203,$A97,'DAILY ENTRY'!$B$7:$B$1203,$B97,'DAILY ENTRY'!$D$7:$D$1203,"Community answer or comment"))</f>
        <v/>
      </c>
      <c r="J97" s="107" t="str">
        <f aca="false">IF($A97="","",SUMIFS('DAILY ENTRY'!$F$7:$F$1203,'DAILY ENTRY'!$A$7:$A$1203,$A97,'DAILY ENTRY'!$B$7:$B$1203,$B97,'DAILY ENTRY'!$D$7:$D$1203,"Partnership / PR contact"))</f>
        <v/>
      </c>
      <c r="K97" s="107" t="str">
        <f aca="false">IF($A97="","",SUMIFS('DAILY ENTRY'!$F$7:$F$1203,'DAILY ENTRY'!$A$7:$A$1203,$A97,'DAILY ENTRY'!$B$7:$B$1203,$B97,'DAILY ENTRY'!$D$7:$D$1203,"Engagement (commented on someone else)"))</f>
        <v/>
      </c>
      <c r="L97" s="107" t="str">
        <f aca="false">IF($A97="","",SUMIFS('DAILY ENTRY'!$F$7:$F$1203,'DAILY ENTRY'!$A$7:$A$1203,$A97,'DAILY ENTRY'!$B$7:$B$1203,$B97,'DAILY ENTRY'!$D$7:$D$1203,"Account created / profile completed"))</f>
        <v/>
      </c>
      <c r="M97" s="108" t="str">
        <f aca="false">IF($A97="","",IFERROR(INDEX('DAILY ENTRY'!$E$7:$E$1203,MATCH(1,INDEX(('DAILY ENTRY'!$A$7:$A$1203=$A97)*('DAILY ENTRY'!$B$7:$B$1203=$B97)*('DAILY ENTRY'!$I$7:$I$1203="Meeting booked"),0),0)),IFERROR(INDEX('DAILY ENTRY'!$E$7:$E$1203,MATCH(1,INDEX(('DAILY ENTRY'!$A$7:$A$1203=$A97)*('DAILY ENTRY'!$B$7:$B$1203=$B97)*('DAILY ENTRY'!$I$7:$I$1203="Positive reply"),0),0)),"")))</f>
        <v/>
      </c>
      <c r="N97" s="108" t="str">
        <f aca="false">IF($A97="","",IFERROR(INDEX('DAILY ENTRY'!$J$7:$J$1203,MATCH(1,INDEX(('DAILY ENTRY'!$A$7:$A$1203=$A97)*('DAILY ENTRY'!$B$7:$B$1203=$B97)*('DAILY ENTRY'!$I$7:$I$1203="Blocked"),0),0)),""))</f>
        <v/>
      </c>
      <c r="O97" s="65" t="str">
        <f aca="false">IF($A97="","",(D97&gt;='START HERE'!$B$25)+(E97&gt;='START HERE'!$B$26)+(F97&gt;='START HERE'!$B$27)+(G97&gt;='START HERE'!$B$28)+(H97&gt;='START HERE'!$B$29)+(I97&gt;='START HERE'!$B$30)+(J97&gt;='START HERE'!$B$31)+(K97&gt;='START HERE'!$B$32))</f>
        <v/>
      </c>
      <c r="P97" s="46" t="str">
        <f aca="false">IF($A97="","",IF(O97&gt;=7,"Full day",IF(O97&gt;=5,"Most targets met",IF(O97&gt;=3,"Half day","Below plan - explain in the blocker column"))))</f>
        <v/>
      </c>
    </row>
    <row r="98" customFormat="false" ht="24" hidden="false" customHeight="true" outlineLevel="0" collapsed="false">
      <c r="A98" s="36"/>
      <c r="B98" s="37"/>
      <c r="C98" s="107" t="str">
        <f aca="false">IF($A98="","",ROUND(SUMIFS('DAILY ENTRY'!$G$7:$G$1203,'DAILY ENTRY'!$A$7:$A$1203,$A98,'DAILY ENTRY'!$B$7:$B$1203,$B98)/60,1))</f>
        <v/>
      </c>
      <c r="D98" s="107" t="str">
        <f aca="false">IF($A98="","",SUMIFS('DAILY ENTRY'!$F$7:$F$1203,'DAILY ENTRY'!$A$7:$A$1203,$A98,'DAILY ENTRY'!$B$7:$B$1203,$B98,'DAILY ENTRY'!$D$7:$D$1203,"Lead researched (Sales Navigator)"))</f>
        <v/>
      </c>
      <c r="E98" s="107" t="str">
        <f aca="false">IF($A98="","",SUMIFS('DAILY ENTRY'!$F$7:$F$1203,'DAILY ENTRY'!$A$7:$A$1203,$A98,'DAILY ENTRY'!$B$7:$B$1203,$B98,'DAILY ENTRY'!$D$7:$D$1203,"Connection request sent"))</f>
        <v/>
      </c>
      <c r="F98" s="107" t="str">
        <f aca="false">IF($A98="","",SUMIFS('DAILY ENTRY'!$F$7:$F$1203,'DAILY ENTRY'!$A$7:$A$1203,$A98,'DAILY ENTRY'!$B$7:$B$1203,$B98,'DAILY ENTRY'!$D$7:$D$1203,"First message sent"))</f>
        <v/>
      </c>
      <c r="G98" s="107" t="str">
        <f aca="false">IF($A98="","",SUMIFS('DAILY ENTRY'!$F$7:$F$1203,'DAILY ENTRY'!$A$7:$A$1203,$A98,'DAILY ENTRY'!$B$7:$B$1203,$B98,'DAILY ENTRY'!$D$7:$D$1203,"Follow-up message sent"))</f>
        <v/>
      </c>
      <c r="H98" s="107" t="str">
        <f aca="false">IF($A98="","",SUMIFS('DAILY ENTRY'!$F$7:$F$1203,'DAILY ENTRY'!$A$7:$A$1203,$A98,'DAILY ENTRY'!$B$7:$B$1203,$B98,'DAILY ENTRY'!$D$7:$D$1203,"Post / content published"))</f>
        <v/>
      </c>
      <c r="I98" s="107" t="str">
        <f aca="false">IF($A98="","",SUMIFS('DAILY ENTRY'!$F$7:$F$1203,'DAILY ENTRY'!$A$7:$A$1203,$A98,'DAILY ENTRY'!$B$7:$B$1203,$B98,'DAILY ENTRY'!$D$7:$D$1203,"Community answer or comment"))</f>
        <v/>
      </c>
      <c r="J98" s="107" t="str">
        <f aca="false">IF($A98="","",SUMIFS('DAILY ENTRY'!$F$7:$F$1203,'DAILY ENTRY'!$A$7:$A$1203,$A98,'DAILY ENTRY'!$B$7:$B$1203,$B98,'DAILY ENTRY'!$D$7:$D$1203,"Partnership / PR contact"))</f>
        <v/>
      </c>
      <c r="K98" s="107" t="str">
        <f aca="false">IF($A98="","",SUMIFS('DAILY ENTRY'!$F$7:$F$1203,'DAILY ENTRY'!$A$7:$A$1203,$A98,'DAILY ENTRY'!$B$7:$B$1203,$B98,'DAILY ENTRY'!$D$7:$D$1203,"Engagement (commented on someone else)"))</f>
        <v/>
      </c>
      <c r="L98" s="107" t="str">
        <f aca="false">IF($A98="","",SUMIFS('DAILY ENTRY'!$F$7:$F$1203,'DAILY ENTRY'!$A$7:$A$1203,$A98,'DAILY ENTRY'!$B$7:$B$1203,$B98,'DAILY ENTRY'!$D$7:$D$1203,"Account created / profile completed"))</f>
        <v/>
      </c>
      <c r="M98" s="108" t="str">
        <f aca="false">IF($A98="","",IFERROR(INDEX('DAILY ENTRY'!$E$7:$E$1203,MATCH(1,INDEX(('DAILY ENTRY'!$A$7:$A$1203=$A98)*('DAILY ENTRY'!$B$7:$B$1203=$B98)*('DAILY ENTRY'!$I$7:$I$1203="Meeting booked"),0),0)),IFERROR(INDEX('DAILY ENTRY'!$E$7:$E$1203,MATCH(1,INDEX(('DAILY ENTRY'!$A$7:$A$1203=$A98)*('DAILY ENTRY'!$B$7:$B$1203=$B98)*('DAILY ENTRY'!$I$7:$I$1203="Positive reply"),0),0)),"")))</f>
        <v/>
      </c>
      <c r="N98" s="108" t="str">
        <f aca="false">IF($A98="","",IFERROR(INDEX('DAILY ENTRY'!$J$7:$J$1203,MATCH(1,INDEX(('DAILY ENTRY'!$A$7:$A$1203=$A98)*('DAILY ENTRY'!$B$7:$B$1203=$B98)*('DAILY ENTRY'!$I$7:$I$1203="Blocked"),0),0)),""))</f>
        <v/>
      </c>
      <c r="O98" s="65" t="str">
        <f aca="false">IF($A98="","",(D98&gt;='START HERE'!$B$25)+(E98&gt;='START HERE'!$B$26)+(F98&gt;='START HERE'!$B$27)+(G98&gt;='START HERE'!$B$28)+(H98&gt;='START HERE'!$B$29)+(I98&gt;='START HERE'!$B$30)+(J98&gt;='START HERE'!$B$31)+(K98&gt;='START HERE'!$B$32))</f>
        <v/>
      </c>
      <c r="P98" s="46" t="str">
        <f aca="false">IF($A98="","",IF(O98&gt;=7,"Full day",IF(O98&gt;=5,"Most targets met",IF(O98&gt;=3,"Half day","Below plan - explain in the blocker column"))))</f>
        <v/>
      </c>
    </row>
    <row r="99" customFormat="false" ht="24" hidden="false" customHeight="true" outlineLevel="0" collapsed="false">
      <c r="A99" s="36"/>
      <c r="B99" s="37"/>
      <c r="C99" s="107" t="str">
        <f aca="false">IF($A99="","",ROUND(SUMIFS('DAILY ENTRY'!$G$7:$G$1203,'DAILY ENTRY'!$A$7:$A$1203,$A99,'DAILY ENTRY'!$B$7:$B$1203,$B99)/60,1))</f>
        <v/>
      </c>
      <c r="D99" s="107" t="str">
        <f aca="false">IF($A99="","",SUMIFS('DAILY ENTRY'!$F$7:$F$1203,'DAILY ENTRY'!$A$7:$A$1203,$A99,'DAILY ENTRY'!$B$7:$B$1203,$B99,'DAILY ENTRY'!$D$7:$D$1203,"Lead researched (Sales Navigator)"))</f>
        <v/>
      </c>
      <c r="E99" s="107" t="str">
        <f aca="false">IF($A99="","",SUMIFS('DAILY ENTRY'!$F$7:$F$1203,'DAILY ENTRY'!$A$7:$A$1203,$A99,'DAILY ENTRY'!$B$7:$B$1203,$B99,'DAILY ENTRY'!$D$7:$D$1203,"Connection request sent"))</f>
        <v/>
      </c>
      <c r="F99" s="107" t="str">
        <f aca="false">IF($A99="","",SUMIFS('DAILY ENTRY'!$F$7:$F$1203,'DAILY ENTRY'!$A$7:$A$1203,$A99,'DAILY ENTRY'!$B$7:$B$1203,$B99,'DAILY ENTRY'!$D$7:$D$1203,"First message sent"))</f>
        <v/>
      </c>
      <c r="G99" s="107" t="str">
        <f aca="false">IF($A99="","",SUMIFS('DAILY ENTRY'!$F$7:$F$1203,'DAILY ENTRY'!$A$7:$A$1203,$A99,'DAILY ENTRY'!$B$7:$B$1203,$B99,'DAILY ENTRY'!$D$7:$D$1203,"Follow-up message sent"))</f>
        <v/>
      </c>
      <c r="H99" s="107" t="str">
        <f aca="false">IF($A99="","",SUMIFS('DAILY ENTRY'!$F$7:$F$1203,'DAILY ENTRY'!$A$7:$A$1203,$A99,'DAILY ENTRY'!$B$7:$B$1203,$B99,'DAILY ENTRY'!$D$7:$D$1203,"Post / content published"))</f>
        <v/>
      </c>
      <c r="I99" s="107" t="str">
        <f aca="false">IF($A99="","",SUMIFS('DAILY ENTRY'!$F$7:$F$1203,'DAILY ENTRY'!$A$7:$A$1203,$A99,'DAILY ENTRY'!$B$7:$B$1203,$B99,'DAILY ENTRY'!$D$7:$D$1203,"Community answer or comment"))</f>
        <v/>
      </c>
      <c r="J99" s="107" t="str">
        <f aca="false">IF($A99="","",SUMIFS('DAILY ENTRY'!$F$7:$F$1203,'DAILY ENTRY'!$A$7:$A$1203,$A99,'DAILY ENTRY'!$B$7:$B$1203,$B99,'DAILY ENTRY'!$D$7:$D$1203,"Partnership / PR contact"))</f>
        <v/>
      </c>
      <c r="K99" s="107" t="str">
        <f aca="false">IF($A99="","",SUMIFS('DAILY ENTRY'!$F$7:$F$1203,'DAILY ENTRY'!$A$7:$A$1203,$A99,'DAILY ENTRY'!$B$7:$B$1203,$B99,'DAILY ENTRY'!$D$7:$D$1203,"Engagement (commented on someone else)"))</f>
        <v/>
      </c>
      <c r="L99" s="107" t="str">
        <f aca="false">IF($A99="","",SUMIFS('DAILY ENTRY'!$F$7:$F$1203,'DAILY ENTRY'!$A$7:$A$1203,$A99,'DAILY ENTRY'!$B$7:$B$1203,$B99,'DAILY ENTRY'!$D$7:$D$1203,"Account created / profile completed"))</f>
        <v/>
      </c>
      <c r="M99" s="108" t="str">
        <f aca="false">IF($A99="","",IFERROR(INDEX('DAILY ENTRY'!$E$7:$E$1203,MATCH(1,INDEX(('DAILY ENTRY'!$A$7:$A$1203=$A99)*('DAILY ENTRY'!$B$7:$B$1203=$B99)*('DAILY ENTRY'!$I$7:$I$1203="Meeting booked"),0),0)),IFERROR(INDEX('DAILY ENTRY'!$E$7:$E$1203,MATCH(1,INDEX(('DAILY ENTRY'!$A$7:$A$1203=$A99)*('DAILY ENTRY'!$B$7:$B$1203=$B99)*('DAILY ENTRY'!$I$7:$I$1203="Positive reply"),0),0)),"")))</f>
        <v/>
      </c>
      <c r="N99" s="108" t="str">
        <f aca="false">IF($A99="","",IFERROR(INDEX('DAILY ENTRY'!$J$7:$J$1203,MATCH(1,INDEX(('DAILY ENTRY'!$A$7:$A$1203=$A99)*('DAILY ENTRY'!$B$7:$B$1203=$B99)*('DAILY ENTRY'!$I$7:$I$1203="Blocked"),0),0)),""))</f>
        <v/>
      </c>
      <c r="O99" s="65" t="str">
        <f aca="false">IF($A99="","",(D99&gt;='START HERE'!$B$25)+(E99&gt;='START HERE'!$B$26)+(F99&gt;='START HERE'!$B$27)+(G99&gt;='START HERE'!$B$28)+(H99&gt;='START HERE'!$B$29)+(I99&gt;='START HERE'!$B$30)+(J99&gt;='START HERE'!$B$31)+(K99&gt;='START HERE'!$B$32))</f>
        <v/>
      </c>
      <c r="P99" s="46" t="str">
        <f aca="false">IF($A99="","",IF(O99&gt;=7,"Full day",IF(O99&gt;=5,"Most targets met",IF(O99&gt;=3,"Half day","Below plan - explain in the blocker column"))))</f>
        <v/>
      </c>
    </row>
    <row r="100" customFormat="false" ht="24" hidden="false" customHeight="true" outlineLevel="0" collapsed="false">
      <c r="A100" s="36"/>
      <c r="B100" s="37"/>
      <c r="C100" s="107" t="str">
        <f aca="false">IF($A100="","",ROUND(SUMIFS('DAILY ENTRY'!$G$7:$G$1203,'DAILY ENTRY'!$A$7:$A$1203,$A100,'DAILY ENTRY'!$B$7:$B$1203,$B100)/60,1))</f>
        <v/>
      </c>
      <c r="D100" s="107" t="str">
        <f aca="false">IF($A100="","",SUMIFS('DAILY ENTRY'!$F$7:$F$1203,'DAILY ENTRY'!$A$7:$A$1203,$A100,'DAILY ENTRY'!$B$7:$B$1203,$B100,'DAILY ENTRY'!$D$7:$D$1203,"Lead researched (Sales Navigator)"))</f>
        <v/>
      </c>
      <c r="E100" s="107" t="str">
        <f aca="false">IF($A100="","",SUMIFS('DAILY ENTRY'!$F$7:$F$1203,'DAILY ENTRY'!$A$7:$A$1203,$A100,'DAILY ENTRY'!$B$7:$B$1203,$B100,'DAILY ENTRY'!$D$7:$D$1203,"Connection request sent"))</f>
        <v/>
      </c>
      <c r="F100" s="107" t="str">
        <f aca="false">IF($A100="","",SUMIFS('DAILY ENTRY'!$F$7:$F$1203,'DAILY ENTRY'!$A$7:$A$1203,$A100,'DAILY ENTRY'!$B$7:$B$1203,$B100,'DAILY ENTRY'!$D$7:$D$1203,"First message sent"))</f>
        <v/>
      </c>
      <c r="G100" s="107" t="str">
        <f aca="false">IF($A100="","",SUMIFS('DAILY ENTRY'!$F$7:$F$1203,'DAILY ENTRY'!$A$7:$A$1203,$A100,'DAILY ENTRY'!$B$7:$B$1203,$B100,'DAILY ENTRY'!$D$7:$D$1203,"Follow-up message sent"))</f>
        <v/>
      </c>
      <c r="H100" s="107" t="str">
        <f aca="false">IF($A100="","",SUMIFS('DAILY ENTRY'!$F$7:$F$1203,'DAILY ENTRY'!$A$7:$A$1203,$A100,'DAILY ENTRY'!$B$7:$B$1203,$B100,'DAILY ENTRY'!$D$7:$D$1203,"Post / content published"))</f>
        <v/>
      </c>
      <c r="I100" s="107" t="str">
        <f aca="false">IF($A100="","",SUMIFS('DAILY ENTRY'!$F$7:$F$1203,'DAILY ENTRY'!$A$7:$A$1203,$A100,'DAILY ENTRY'!$B$7:$B$1203,$B100,'DAILY ENTRY'!$D$7:$D$1203,"Community answer or comment"))</f>
        <v/>
      </c>
      <c r="J100" s="107" t="str">
        <f aca="false">IF($A100="","",SUMIFS('DAILY ENTRY'!$F$7:$F$1203,'DAILY ENTRY'!$A$7:$A$1203,$A100,'DAILY ENTRY'!$B$7:$B$1203,$B100,'DAILY ENTRY'!$D$7:$D$1203,"Partnership / PR contact"))</f>
        <v/>
      </c>
      <c r="K100" s="107" t="str">
        <f aca="false">IF($A100="","",SUMIFS('DAILY ENTRY'!$F$7:$F$1203,'DAILY ENTRY'!$A$7:$A$1203,$A100,'DAILY ENTRY'!$B$7:$B$1203,$B100,'DAILY ENTRY'!$D$7:$D$1203,"Engagement (commented on someone else)"))</f>
        <v/>
      </c>
      <c r="L100" s="107" t="str">
        <f aca="false">IF($A100="","",SUMIFS('DAILY ENTRY'!$F$7:$F$1203,'DAILY ENTRY'!$A$7:$A$1203,$A100,'DAILY ENTRY'!$B$7:$B$1203,$B100,'DAILY ENTRY'!$D$7:$D$1203,"Account created / profile completed"))</f>
        <v/>
      </c>
      <c r="M100" s="108" t="str">
        <f aca="false">IF($A100="","",IFERROR(INDEX('DAILY ENTRY'!$E$7:$E$1203,MATCH(1,INDEX(('DAILY ENTRY'!$A$7:$A$1203=$A100)*('DAILY ENTRY'!$B$7:$B$1203=$B100)*('DAILY ENTRY'!$I$7:$I$1203="Meeting booked"),0),0)),IFERROR(INDEX('DAILY ENTRY'!$E$7:$E$1203,MATCH(1,INDEX(('DAILY ENTRY'!$A$7:$A$1203=$A100)*('DAILY ENTRY'!$B$7:$B$1203=$B100)*('DAILY ENTRY'!$I$7:$I$1203="Positive reply"),0),0)),"")))</f>
        <v/>
      </c>
      <c r="N100" s="108" t="str">
        <f aca="false">IF($A100="","",IFERROR(INDEX('DAILY ENTRY'!$J$7:$J$1203,MATCH(1,INDEX(('DAILY ENTRY'!$A$7:$A$1203=$A100)*('DAILY ENTRY'!$B$7:$B$1203=$B100)*('DAILY ENTRY'!$I$7:$I$1203="Blocked"),0),0)),""))</f>
        <v/>
      </c>
      <c r="O100" s="65" t="str">
        <f aca="false">IF($A100="","",(D100&gt;='START HERE'!$B$25)+(E100&gt;='START HERE'!$B$26)+(F100&gt;='START HERE'!$B$27)+(G100&gt;='START HERE'!$B$28)+(H100&gt;='START HERE'!$B$29)+(I100&gt;='START HERE'!$B$30)+(J100&gt;='START HERE'!$B$31)+(K100&gt;='START HERE'!$B$32))</f>
        <v/>
      </c>
      <c r="P100" s="46" t="str">
        <f aca="false">IF($A100="","",IF(O100&gt;=7,"Full day",IF(O100&gt;=5,"Most targets met",IF(O100&gt;=3,"Half day","Below plan - explain in the blocker column"))))</f>
        <v/>
      </c>
    </row>
    <row r="101" customFormat="false" ht="24" hidden="false" customHeight="true" outlineLevel="0" collapsed="false">
      <c r="A101" s="36"/>
      <c r="B101" s="37"/>
      <c r="C101" s="107" t="str">
        <f aca="false">IF($A101="","",ROUND(SUMIFS('DAILY ENTRY'!$G$7:$G$1203,'DAILY ENTRY'!$A$7:$A$1203,$A101,'DAILY ENTRY'!$B$7:$B$1203,$B101)/60,1))</f>
        <v/>
      </c>
      <c r="D101" s="107" t="str">
        <f aca="false">IF($A101="","",SUMIFS('DAILY ENTRY'!$F$7:$F$1203,'DAILY ENTRY'!$A$7:$A$1203,$A101,'DAILY ENTRY'!$B$7:$B$1203,$B101,'DAILY ENTRY'!$D$7:$D$1203,"Lead researched (Sales Navigator)"))</f>
        <v/>
      </c>
      <c r="E101" s="107" t="str">
        <f aca="false">IF($A101="","",SUMIFS('DAILY ENTRY'!$F$7:$F$1203,'DAILY ENTRY'!$A$7:$A$1203,$A101,'DAILY ENTRY'!$B$7:$B$1203,$B101,'DAILY ENTRY'!$D$7:$D$1203,"Connection request sent"))</f>
        <v/>
      </c>
      <c r="F101" s="107" t="str">
        <f aca="false">IF($A101="","",SUMIFS('DAILY ENTRY'!$F$7:$F$1203,'DAILY ENTRY'!$A$7:$A$1203,$A101,'DAILY ENTRY'!$B$7:$B$1203,$B101,'DAILY ENTRY'!$D$7:$D$1203,"First message sent"))</f>
        <v/>
      </c>
      <c r="G101" s="107" t="str">
        <f aca="false">IF($A101="","",SUMIFS('DAILY ENTRY'!$F$7:$F$1203,'DAILY ENTRY'!$A$7:$A$1203,$A101,'DAILY ENTRY'!$B$7:$B$1203,$B101,'DAILY ENTRY'!$D$7:$D$1203,"Follow-up message sent"))</f>
        <v/>
      </c>
      <c r="H101" s="107" t="str">
        <f aca="false">IF($A101="","",SUMIFS('DAILY ENTRY'!$F$7:$F$1203,'DAILY ENTRY'!$A$7:$A$1203,$A101,'DAILY ENTRY'!$B$7:$B$1203,$B101,'DAILY ENTRY'!$D$7:$D$1203,"Post / content published"))</f>
        <v/>
      </c>
      <c r="I101" s="107" t="str">
        <f aca="false">IF($A101="","",SUMIFS('DAILY ENTRY'!$F$7:$F$1203,'DAILY ENTRY'!$A$7:$A$1203,$A101,'DAILY ENTRY'!$B$7:$B$1203,$B101,'DAILY ENTRY'!$D$7:$D$1203,"Community answer or comment"))</f>
        <v/>
      </c>
      <c r="J101" s="107" t="str">
        <f aca="false">IF($A101="","",SUMIFS('DAILY ENTRY'!$F$7:$F$1203,'DAILY ENTRY'!$A$7:$A$1203,$A101,'DAILY ENTRY'!$B$7:$B$1203,$B101,'DAILY ENTRY'!$D$7:$D$1203,"Partnership / PR contact"))</f>
        <v/>
      </c>
      <c r="K101" s="107" t="str">
        <f aca="false">IF($A101="","",SUMIFS('DAILY ENTRY'!$F$7:$F$1203,'DAILY ENTRY'!$A$7:$A$1203,$A101,'DAILY ENTRY'!$B$7:$B$1203,$B101,'DAILY ENTRY'!$D$7:$D$1203,"Engagement (commented on someone else)"))</f>
        <v/>
      </c>
      <c r="L101" s="107" t="str">
        <f aca="false">IF($A101="","",SUMIFS('DAILY ENTRY'!$F$7:$F$1203,'DAILY ENTRY'!$A$7:$A$1203,$A101,'DAILY ENTRY'!$B$7:$B$1203,$B101,'DAILY ENTRY'!$D$7:$D$1203,"Account created / profile completed"))</f>
        <v/>
      </c>
      <c r="M101" s="108" t="str">
        <f aca="false">IF($A101="","",IFERROR(INDEX('DAILY ENTRY'!$E$7:$E$1203,MATCH(1,INDEX(('DAILY ENTRY'!$A$7:$A$1203=$A101)*('DAILY ENTRY'!$B$7:$B$1203=$B101)*('DAILY ENTRY'!$I$7:$I$1203="Meeting booked"),0),0)),IFERROR(INDEX('DAILY ENTRY'!$E$7:$E$1203,MATCH(1,INDEX(('DAILY ENTRY'!$A$7:$A$1203=$A101)*('DAILY ENTRY'!$B$7:$B$1203=$B101)*('DAILY ENTRY'!$I$7:$I$1203="Positive reply"),0),0)),"")))</f>
        <v/>
      </c>
      <c r="N101" s="108" t="str">
        <f aca="false">IF($A101="","",IFERROR(INDEX('DAILY ENTRY'!$J$7:$J$1203,MATCH(1,INDEX(('DAILY ENTRY'!$A$7:$A$1203=$A101)*('DAILY ENTRY'!$B$7:$B$1203=$B101)*('DAILY ENTRY'!$I$7:$I$1203="Blocked"),0),0)),""))</f>
        <v/>
      </c>
      <c r="O101" s="65" t="str">
        <f aca="false">IF($A101="","",(D101&gt;='START HERE'!$B$25)+(E101&gt;='START HERE'!$B$26)+(F101&gt;='START HERE'!$B$27)+(G101&gt;='START HERE'!$B$28)+(H101&gt;='START HERE'!$B$29)+(I101&gt;='START HERE'!$B$30)+(J101&gt;='START HERE'!$B$31)+(K101&gt;='START HERE'!$B$32))</f>
        <v/>
      </c>
      <c r="P101" s="46" t="str">
        <f aca="false">IF($A101="","",IF(O101&gt;=7,"Full day",IF(O101&gt;=5,"Most targets met",IF(O101&gt;=3,"Half day","Below plan - explain in the blocker column"))))</f>
        <v/>
      </c>
    </row>
    <row r="102" customFormat="false" ht="24" hidden="false" customHeight="true" outlineLevel="0" collapsed="false">
      <c r="A102" s="36"/>
      <c r="B102" s="37"/>
      <c r="C102" s="107" t="str">
        <f aca="false">IF($A102="","",ROUND(SUMIFS('DAILY ENTRY'!$G$7:$G$1203,'DAILY ENTRY'!$A$7:$A$1203,$A102,'DAILY ENTRY'!$B$7:$B$1203,$B102)/60,1))</f>
        <v/>
      </c>
      <c r="D102" s="107" t="str">
        <f aca="false">IF($A102="","",SUMIFS('DAILY ENTRY'!$F$7:$F$1203,'DAILY ENTRY'!$A$7:$A$1203,$A102,'DAILY ENTRY'!$B$7:$B$1203,$B102,'DAILY ENTRY'!$D$7:$D$1203,"Lead researched (Sales Navigator)"))</f>
        <v/>
      </c>
      <c r="E102" s="107" t="str">
        <f aca="false">IF($A102="","",SUMIFS('DAILY ENTRY'!$F$7:$F$1203,'DAILY ENTRY'!$A$7:$A$1203,$A102,'DAILY ENTRY'!$B$7:$B$1203,$B102,'DAILY ENTRY'!$D$7:$D$1203,"Connection request sent"))</f>
        <v/>
      </c>
      <c r="F102" s="107" t="str">
        <f aca="false">IF($A102="","",SUMIFS('DAILY ENTRY'!$F$7:$F$1203,'DAILY ENTRY'!$A$7:$A$1203,$A102,'DAILY ENTRY'!$B$7:$B$1203,$B102,'DAILY ENTRY'!$D$7:$D$1203,"First message sent"))</f>
        <v/>
      </c>
      <c r="G102" s="107" t="str">
        <f aca="false">IF($A102="","",SUMIFS('DAILY ENTRY'!$F$7:$F$1203,'DAILY ENTRY'!$A$7:$A$1203,$A102,'DAILY ENTRY'!$B$7:$B$1203,$B102,'DAILY ENTRY'!$D$7:$D$1203,"Follow-up message sent"))</f>
        <v/>
      </c>
      <c r="H102" s="107" t="str">
        <f aca="false">IF($A102="","",SUMIFS('DAILY ENTRY'!$F$7:$F$1203,'DAILY ENTRY'!$A$7:$A$1203,$A102,'DAILY ENTRY'!$B$7:$B$1203,$B102,'DAILY ENTRY'!$D$7:$D$1203,"Post / content published"))</f>
        <v/>
      </c>
      <c r="I102" s="107" t="str">
        <f aca="false">IF($A102="","",SUMIFS('DAILY ENTRY'!$F$7:$F$1203,'DAILY ENTRY'!$A$7:$A$1203,$A102,'DAILY ENTRY'!$B$7:$B$1203,$B102,'DAILY ENTRY'!$D$7:$D$1203,"Community answer or comment"))</f>
        <v/>
      </c>
      <c r="J102" s="107" t="str">
        <f aca="false">IF($A102="","",SUMIFS('DAILY ENTRY'!$F$7:$F$1203,'DAILY ENTRY'!$A$7:$A$1203,$A102,'DAILY ENTRY'!$B$7:$B$1203,$B102,'DAILY ENTRY'!$D$7:$D$1203,"Partnership / PR contact"))</f>
        <v/>
      </c>
      <c r="K102" s="107" t="str">
        <f aca="false">IF($A102="","",SUMIFS('DAILY ENTRY'!$F$7:$F$1203,'DAILY ENTRY'!$A$7:$A$1203,$A102,'DAILY ENTRY'!$B$7:$B$1203,$B102,'DAILY ENTRY'!$D$7:$D$1203,"Engagement (commented on someone else)"))</f>
        <v/>
      </c>
      <c r="L102" s="107" t="str">
        <f aca="false">IF($A102="","",SUMIFS('DAILY ENTRY'!$F$7:$F$1203,'DAILY ENTRY'!$A$7:$A$1203,$A102,'DAILY ENTRY'!$B$7:$B$1203,$B102,'DAILY ENTRY'!$D$7:$D$1203,"Account created / profile completed"))</f>
        <v/>
      </c>
      <c r="M102" s="108" t="str">
        <f aca="false">IF($A102="","",IFERROR(INDEX('DAILY ENTRY'!$E$7:$E$1203,MATCH(1,INDEX(('DAILY ENTRY'!$A$7:$A$1203=$A102)*('DAILY ENTRY'!$B$7:$B$1203=$B102)*('DAILY ENTRY'!$I$7:$I$1203="Meeting booked"),0),0)),IFERROR(INDEX('DAILY ENTRY'!$E$7:$E$1203,MATCH(1,INDEX(('DAILY ENTRY'!$A$7:$A$1203=$A102)*('DAILY ENTRY'!$B$7:$B$1203=$B102)*('DAILY ENTRY'!$I$7:$I$1203="Positive reply"),0),0)),"")))</f>
        <v/>
      </c>
      <c r="N102" s="108" t="str">
        <f aca="false">IF($A102="","",IFERROR(INDEX('DAILY ENTRY'!$J$7:$J$1203,MATCH(1,INDEX(('DAILY ENTRY'!$A$7:$A$1203=$A102)*('DAILY ENTRY'!$B$7:$B$1203=$B102)*('DAILY ENTRY'!$I$7:$I$1203="Blocked"),0),0)),""))</f>
        <v/>
      </c>
      <c r="O102" s="65" t="str">
        <f aca="false">IF($A102="","",(D102&gt;='START HERE'!$B$25)+(E102&gt;='START HERE'!$B$26)+(F102&gt;='START HERE'!$B$27)+(G102&gt;='START HERE'!$B$28)+(H102&gt;='START HERE'!$B$29)+(I102&gt;='START HERE'!$B$30)+(J102&gt;='START HERE'!$B$31)+(K102&gt;='START HERE'!$B$32))</f>
        <v/>
      </c>
      <c r="P102" s="46" t="str">
        <f aca="false">IF($A102="","",IF(O102&gt;=7,"Full day",IF(O102&gt;=5,"Most targets met",IF(O102&gt;=3,"Half day","Below plan - explain in the blocker column"))))</f>
        <v/>
      </c>
    </row>
    <row r="103" customFormat="false" ht="24" hidden="false" customHeight="true" outlineLevel="0" collapsed="false">
      <c r="A103" s="36"/>
      <c r="B103" s="37"/>
      <c r="C103" s="107" t="str">
        <f aca="false">IF($A103="","",ROUND(SUMIFS('DAILY ENTRY'!$G$7:$G$1203,'DAILY ENTRY'!$A$7:$A$1203,$A103,'DAILY ENTRY'!$B$7:$B$1203,$B103)/60,1))</f>
        <v/>
      </c>
      <c r="D103" s="107" t="str">
        <f aca="false">IF($A103="","",SUMIFS('DAILY ENTRY'!$F$7:$F$1203,'DAILY ENTRY'!$A$7:$A$1203,$A103,'DAILY ENTRY'!$B$7:$B$1203,$B103,'DAILY ENTRY'!$D$7:$D$1203,"Lead researched (Sales Navigator)"))</f>
        <v/>
      </c>
      <c r="E103" s="107" t="str">
        <f aca="false">IF($A103="","",SUMIFS('DAILY ENTRY'!$F$7:$F$1203,'DAILY ENTRY'!$A$7:$A$1203,$A103,'DAILY ENTRY'!$B$7:$B$1203,$B103,'DAILY ENTRY'!$D$7:$D$1203,"Connection request sent"))</f>
        <v/>
      </c>
      <c r="F103" s="107" t="str">
        <f aca="false">IF($A103="","",SUMIFS('DAILY ENTRY'!$F$7:$F$1203,'DAILY ENTRY'!$A$7:$A$1203,$A103,'DAILY ENTRY'!$B$7:$B$1203,$B103,'DAILY ENTRY'!$D$7:$D$1203,"First message sent"))</f>
        <v/>
      </c>
      <c r="G103" s="107" t="str">
        <f aca="false">IF($A103="","",SUMIFS('DAILY ENTRY'!$F$7:$F$1203,'DAILY ENTRY'!$A$7:$A$1203,$A103,'DAILY ENTRY'!$B$7:$B$1203,$B103,'DAILY ENTRY'!$D$7:$D$1203,"Follow-up message sent"))</f>
        <v/>
      </c>
      <c r="H103" s="107" t="str">
        <f aca="false">IF($A103="","",SUMIFS('DAILY ENTRY'!$F$7:$F$1203,'DAILY ENTRY'!$A$7:$A$1203,$A103,'DAILY ENTRY'!$B$7:$B$1203,$B103,'DAILY ENTRY'!$D$7:$D$1203,"Post / content published"))</f>
        <v/>
      </c>
      <c r="I103" s="107" t="str">
        <f aca="false">IF($A103="","",SUMIFS('DAILY ENTRY'!$F$7:$F$1203,'DAILY ENTRY'!$A$7:$A$1203,$A103,'DAILY ENTRY'!$B$7:$B$1203,$B103,'DAILY ENTRY'!$D$7:$D$1203,"Community answer or comment"))</f>
        <v/>
      </c>
      <c r="J103" s="107" t="str">
        <f aca="false">IF($A103="","",SUMIFS('DAILY ENTRY'!$F$7:$F$1203,'DAILY ENTRY'!$A$7:$A$1203,$A103,'DAILY ENTRY'!$B$7:$B$1203,$B103,'DAILY ENTRY'!$D$7:$D$1203,"Partnership / PR contact"))</f>
        <v/>
      </c>
      <c r="K103" s="107" t="str">
        <f aca="false">IF($A103="","",SUMIFS('DAILY ENTRY'!$F$7:$F$1203,'DAILY ENTRY'!$A$7:$A$1203,$A103,'DAILY ENTRY'!$B$7:$B$1203,$B103,'DAILY ENTRY'!$D$7:$D$1203,"Engagement (commented on someone else)"))</f>
        <v/>
      </c>
      <c r="L103" s="107" t="str">
        <f aca="false">IF($A103="","",SUMIFS('DAILY ENTRY'!$F$7:$F$1203,'DAILY ENTRY'!$A$7:$A$1203,$A103,'DAILY ENTRY'!$B$7:$B$1203,$B103,'DAILY ENTRY'!$D$7:$D$1203,"Account created / profile completed"))</f>
        <v/>
      </c>
      <c r="M103" s="108" t="str">
        <f aca="false">IF($A103="","",IFERROR(INDEX('DAILY ENTRY'!$E$7:$E$1203,MATCH(1,INDEX(('DAILY ENTRY'!$A$7:$A$1203=$A103)*('DAILY ENTRY'!$B$7:$B$1203=$B103)*('DAILY ENTRY'!$I$7:$I$1203="Meeting booked"),0),0)),IFERROR(INDEX('DAILY ENTRY'!$E$7:$E$1203,MATCH(1,INDEX(('DAILY ENTRY'!$A$7:$A$1203=$A103)*('DAILY ENTRY'!$B$7:$B$1203=$B103)*('DAILY ENTRY'!$I$7:$I$1203="Positive reply"),0),0)),"")))</f>
        <v/>
      </c>
      <c r="N103" s="108" t="str">
        <f aca="false">IF($A103="","",IFERROR(INDEX('DAILY ENTRY'!$J$7:$J$1203,MATCH(1,INDEX(('DAILY ENTRY'!$A$7:$A$1203=$A103)*('DAILY ENTRY'!$B$7:$B$1203=$B103)*('DAILY ENTRY'!$I$7:$I$1203="Blocked"),0),0)),""))</f>
        <v/>
      </c>
      <c r="O103" s="65" t="str">
        <f aca="false">IF($A103="","",(D103&gt;='START HERE'!$B$25)+(E103&gt;='START HERE'!$B$26)+(F103&gt;='START HERE'!$B$27)+(G103&gt;='START HERE'!$B$28)+(H103&gt;='START HERE'!$B$29)+(I103&gt;='START HERE'!$B$30)+(J103&gt;='START HERE'!$B$31)+(K103&gt;='START HERE'!$B$32))</f>
        <v/>
      </c>
      <c r="P103" s="46" t="str">
        <f aca="false">IF($A103="","",IF(O103&gt;=7,"Full day",IF(O103&gt;=5,"Most targets met",IF(O103&gt;=3,"Half day","Below plan - explain in the blocker column"))))</f>
        <v/>
      </c>
    </row>
    <row r="104" customFormat="false" ht="24" hidden="false" customHeight="true" outlineLevel="0" collapsed="false">
      <c r="A104" s="36"/>
      <c r="B104" s="37"/>
      <c r="C104" s="107" t="str">
        <f aca="false">IF($A104="","",ROUND(SUMIFS('DAILY ENTRY'!$G$7:$G$1203,'DAILY ENTRY'!$A$7:$A$1203,$A104,'DAILY ENTRY'!$B$7:$B$1203,$B104)/60,1))</f>
        <v/>
      </c>
      <c r="D104" s="107" t="str">
        <f aca="false">IF($A104="","",SUMIFS('DAILY ENTRY'!$F$7:$F$1203,'DAILY ENTRY'!$A$7:$A$1203,$A104,'DAILY ENTRY'!$B$7:$B$1203,$B104,'DAILY ENTRY'!$D$7:$D$1203,"Lead researched (Sales Navigator)"))</f>
        <v/>
      </c>
      <c r="E104" s="107" t="str">
        <f aca="false">IF($A104="","",SUMIFS('DAILY ENTRY'!$F$7:$F$1203,'DAILY ENTRY'!$A$7:$A$1203,$A104,'DAILY ENTRY'!$B$7:$B$1203,$B104,'DAILY ENTRY'!$D$7:$D$1203,"Connection request sent"))</f>
        <v/>
      </c>
      <c r="F104" s="107" t="str">
        <f aca="false">IF($A104="","",SUMIFS('DAILY ENTRY'!$F$7:$F$1203,'DAILY ENTRY'!$A$7:$A$1203,$A104,'DAILY ENTRY'!$B$7:$B$1203,$B104,'DAILY ENTRY'!$D$7:$D$1203,"First message sent"))</f>
        <v/>
      </c>
      <c r="G104" s="107" t="str">
        <f aca="false">IF($A104="","",SUMIFS('DAILY ENTRY'!$F$7:$F$1203,'DAILY ENTRY'!$A$7:$A$1203,$A104,'DAILY ENTRY'!$B$7:$B$1203,$B104,'DAILY ENTRY'!$D$7:$D$1203,"Follow-up message sent"))</f>
        <v/>
      </c>
      <c r="H104" s="107" t="str">
        <f aca="false">IF($A104="","",SUMIFS('DAILY ENTRY'!$F$7:$F$1203,'DAILY ENTRY'!$A$7:$A$1203,$A104,'DAILY ENTRY'!$B$7:$B$1203,$B104,'DAILY ENTRY'!$D$7:$D$1203,"Post / content published"))</f>
        <v/>
      </c>
      <c r="I104" s="107" t="str">
        <f aca="false">IF($A104="","",SUMIFS('DAILY ENTRY'!$F$7:$F$1203,'DAILY ENTRY'!$A$7:$A$1203,$A104,'DAILY ENTRY'!$B$7:$B$1203,$B104,'DAILY ENTRY'!$D$7:$D$1203,"Community answer or comment"))</f>
        <v/>
      </c>
      <c r="J104" s="107" t="str">
        <f aca="false">IF($A104="","",SUMIFS('DAILY ENTRY'!$F$7:$F$1203,'DAILY ENTRY'!$A$7:$A$1203,$A104,'DAILY ENTRY'!$B$7:$B$1203,$B104,'DAILY ENTRY'!$D$7:$D$1203,"Partnership / PR contact"))</f>
        <v/>
      </c>
      <c r="K104" s="107" t="str">
        <f aca="false">IF($A104="","",SUMIFS('DAILY ENTRY'!$F$7:$F$1203,'DAILY ENTRY'!$A$7:$A$1203,$A104,'DAILY ENTRY'!$B$7:$B$1203,$B104,'DAILY ENTRY'!$D$7:$D$1203,"Engagement (commented on someone else)"))</f>
        <v/>
      </c>
      <c r="L104" s="107" t="str">
        <f aca="false">IF($A104="","",SUMIFS('DAILY ENTRY'!$F$7:$F$1203,'DAILY ENTRY'!$A$7:$A$1203,$A104,'DAILY ENTRY'!$B$7:$B$1203,$B104,'DAILY ENTRY'!$D$7:$D$1203,"Account created / profile completed"))</f>
        <v/>
      </c>
      <c r="M104" s="108" t="str">
        <f aca="false">IF($A104="","",IFERROR(INDEX('DAILY ENTRY'!$E$7:$E$1203,MATCH(1,INDEX(('DAILY ENTRY'!$A$7:$A$1203=$A104)*('DAILY ENTRY'!$B$7:$B$1203=$B104)*('DAILY ENTRY'!$I$7:$I$1203="Meeting booked"),0),0)),IFERROR(INDEX('DAILY ENTRY'!$E$7:$E$1203,MATCH(1,INDEX(('DAILY ENTRY'!$A$7:$A$1203=$A104)*('DAILY ENTRY'!$B$7:$B$1203=$B104)*('DAILY ENTRY'!$I$7:$I$1203="Positive reply"),0),0)),"")))</f>
        <v/>
      </c>
      <c r="N104" s="108" t="str">
        <f aca="false">IF($A104="","",IFERROR(INDEX('DAILY ENTRY'!$J$7:$J$1203,MATCH(1,INDEX(('DAILY ENTRY'!$A$7:$A$1203=$A104)*('DAILY ENTRY'!$B$7:$B$1203=$B104)*('DAILY ENTRY'!$I$7:$I$1203="Blocked"),0),0)),""))</f>
        <v/>
      </c>
      <c r="O104" s="65" t="str">
        <f aca="false">IF($A104="","",(D104&gt;='START HERE'!$B$25)+(E104&gt;='START HERE'!$B$26)+(F104&gt;='START HERE'!$B$27)+(G104&gt;='START HERE'!$B$28)+(H104&gt;='START HERE'!$B$29)+(I104&gt;='START HERE'!$B$30)+(J104&gt;='START HERE'!$B$31)+(K104&gt;='START HERE'!$B$32))</f>
        <v/>
      </c>
      <c r="P104" s="46" t="str">
        <f aca="false">IF($A104="","",IF(O104&gt;=7,"Full day",IF(O104&gt;=5,"Most targets met",IF(O104&gt;=3,"Half day","Below plan - explain in the blocker column"))))</f>
        <v/>
      </c>
    </row>
    <row r="105" customFormat="false" ht="24" hidden="false" customHeight="true" outlineLevel="0" collapsed="false">
      <c r="A105" s="36"/>
      <c r="B105" s="37"/>
      <c r="C105" s="107" t="str">
        <f aca="false">IF($A105="","",ROUND(SUMIFS('DAILY ENTRY'!$G$7:$G$1203,'DAILY ENTRY'!$A$7:$A$1203,$A105,'DAILY ENTRY'!$B$7:$B$1203,$B105)/60,1))</f>
        <v/>
      </c>
      <c r="D105" s="107" t="str">
        <f aca="false">IF($A105="","",SUMIFS('DAILY ENTRY'!$F$7:$F$1203,'DAILY ENTRY'!$A$7:$A$1203,$A105,'DAILY ENTRY'!$B$7:$B$1203,$B105,'DAILY ENTRY'!$D$7:$D$1203,"Lead researched (Sales Navigator)"))</f>
        <v/>
      </c>
      <c r="E105" s="107" t="str">
        <f aca="false">IF($A105="","",SUMIFS('DAILY ENTRY'!$F$7:$F$1203,'DAILY ENTRY'!$A$7:$A$1203,$A105,'DAILY ENTRY'!$B$7:$B$1203,$B105,'DAILY ENTRY'!$D$7:$D$1203,"Connection request sent"))</f>
        <v/>
      </c>
      <c r="F105" s="107" t="str">
        <f aca="false">IF($A105="","",SUMIFS('DAILY ENTRY'!$F$7:$F$1203,'DAILY ENTRY'!$A$7:$A$1203,$A105,'DAILY ENTRY'!$B$7:$B$1203,$B105,'DAILY ENTRY'!$D$7:$D$1203,"First message sent"))</f>
        <v/>
      </c>
      <c r="G105" s="107" t="str">
        <f aca="false">IF($A105="","",SUMIFS('DAILY ENTRY'!$F$7:$F$1203,'DAILY ENTRY'!$A$7:$A$1203,$A105,'DAILY ENTRY'!$B$7:$B$1203,$B105,'DAILY ENTRY'!$D$7:$D$1203,"Follow-up message sent"))</f>
        <v/>
      </c>
      <c r="H105" s="107" t="str">
        <f aca="false">IF($A105="","",SUMIFS('DAILY ENTRY'!$F$7:$F$1203,'DAILY ENTRY'!$A$7:$A$1203,$A105,'DAILY ENTRY'!$B$7:$B$1203,$B105,'DAILY ENTRY'!$D$7:$D$1203,"Post / content published"))</f>
        <v/>
      </c>
      <c r="I105" s="107" t="str">
        <f aca="false">IF($A105="","",SUMIFS('DAILY ENTRY'!$F$7:$F$1203,'DAILY ENTRY'!$A$7:$A$1203,$A105,'DAILY ENTRY'!$B$7:$B$1203,$B105,'DAILY ENTRY'!$D$7:$D$1203,"Community answer or comment"))</f>
        <v/>
      </c>
      <c r="J105" s="107" t="str">
        <f aca="false">IF($A105="","",SUMIFS('DAILY ENTRY'!$F$7:$F$1203,'DAILY ENTRY'!$A$7:$A$1203,$A105,'DAILY ENTRY'!$B$7:$B$1203,$B105,'DAILY ENTRY'!$D$7:$D$1203,"Partnership / PR contact"))</f>
        <v/>
      </c>
      <c r="K105" s="107" t="str">
        <f aca="false">IF($A105="","",SUMIFS('DAILY ENTRY'!$F$7:$F$1203,'DAILY ENTRY'!$A$7:$A$1203,$A105,'DAILY ENTRY'!$B$7:$B$1203,$B105,'DAILY ENTRY'!$D$7:$D$1203,"Engagement (commented on someone else)"))</f>
        <v/>
      </c>
      <c r="L105" s="107" t="str">
        <f aca="false">IF($A105="","",SUMIFS('DAILY ENTRY'!$F$7:$F$1203,'DAILY ENTRY'!$A$7:$A$1203,$A105,'DAILY ENTRY'!$B$7:$B$1203,$B105,'DAILY ENTRY'!$D$7:$D$1203,"Account created / profile completed"))</f>
        <v/>
      </c>
      <c r="M105" s="108" t="str">
        <f aca="false">IF($A105="","",IFERROR(INDEX('DAILY ENTRY'!$E$7:$E$1203,MATCH(1,INDEX(('DAILY ENTRY'!$A$7:$A$1203=$A105)*('DAILY ENTRY'!$B$7:$B$1203=$B105)*('DAILY ENTRY'!$I$7:$I$1203="Meeting booked"),0),0)),IFERROR(INDEX('DAILY ENTRY'!$E$7:$E$1203,MATCH(1,INDEX(('DAILY ENTRY'!$A$7:$A$1203=$A105)*('DAILY ENTRY'!$B$7:$B$1203=$B105)*('DAILY ENTRY'!$I$7:$I$1203="Positive reply"),0),0)),"")))</f>
        <v/>
      </c>
      <c r="N105" s="108" t="str">
        <f aca="false">IF($A105="","",IFERROR(INDEX('DAILY ENTRY'!$J$7:$J$1203,MATCH(1,INDEX(('DAILY ENTRY'!$A$7:$A$1203=$A105)*('DAILY ENTRY'!$B$7:$B$1203=$B105)*('DAILY ENTRY'!$I$7:$I$1203="Blocked"),0),0)),""))</f>
        <v/>
      </c>
      <c r="O105" s="65" t="str">
        <f aca="false">IF($A105="","",(D105&gt;='START HERE'!$B$25)+(E105&gt;='START HERE'!$B$26)+(F105&gt;='START HERE'!$B$27)+(G105&gt;='START HERE'!$B$28)+(H105&gt;='START HERE'!$B$29)+(I105&gt;='START HERE'!$B$30)+(J105&gt;='START HERE'!$B$31)+(K105&gt;='START HERE'!$B$32))</f>
        <v/>
      </c>
      <c r="P105" s="46" t="str">
        <f aca="false">IF($A105="","",IF(O105&gt;=7,"Full day",IF(O105&gt;=5,"Most targets met",IF(O105&gt;=3,"Half day","Below plan - explain in the blocker column"))))</f>
        <v/>
      </c>
    </row>
    <row r="106" customFormat="false" ht="24" hidden="false" customHeight="true" outlineLevel="0" collapsed="false">
      <c r="A106" s="36"/>
      <c r="B106" s="37"/>
      <c r="C106" s="107" t="str">
        <f aca="false">IF($A106="","",ROUND(SUMIFS('DAILY ENTRY'!$G$7:$G$1203,'DAILY ENTRY'!$A$7:$A$1203,$A106,'DAILY ENTRY'!$B$7:$B$1203,$B106)/60,1))</f>
        <v/>
      </c>
      <c r="D106" s="107" t="str">
        <f aca="false">IF($A106="","",SUMIFS('DAILY ENTRY'!$F$7:$F$1203,'DAILY ENTRY'!$A$7:$A$1203,$A106,'DAILY ENTRY'!$B$7:$B$1203,$B106,'DAILY ENTRY'!$D$7:$D$1203,"Lead researched (Sales Navigator)"))</f>
        <v/>
      </c>
      <c r="E106" s="107" t="str">
        <f aca="false">IF($A106="","",SUMIFS('DAILY ENTRY'!$F$7:$F$1203,'DAILY ENTRY'!$A$7:$A$1203,$A106,'DAILY ENTRY'!$B$7:$B$1203,$B106,'DAILY ENTRY'!$D$7:$D$1203,"Connection request sent"))</f>
        <v/>
      </c>
      <c r="F106" s="107" t="str">
        <f aca="false">IF($A106="","",SUMIFS('DAILY ENTRY'!$F$7:$F$1203,'DAILY ENTRY'!$A$7:$A$1203,$A106,'DAILY ENTRY'!$B$7:$B$1203,$B106,'DAILY ENTRY'!$D$7:$D$1203,"First message sent"))</f>
        <v/>
      </c>
      <c r="G106" s="107" t="str">
        <f aca="false">IF($A106="","",SUMIFS('DAILY ENTRY'!$F$7:$F$1203,'DAILY ENTRY'!$A$7:$A$1203,$A106,'DAILY ENTRY'!$B$7:$B$1203,$B106,'DAILY ENTRY'!$D$7:$D$1203,"Follow-up message sent"))</f>
        <v/>
      </c>
      <c r="H106" s="107" t="str">
        <f aca="false">IF($A106="","",SUMIFS('DAILY ENTRY'!$F$7:$F$1203,'DAILY ENTRY'!$A$7:$A$1203,$A106,'DAILY ENTRY'!$B$7:$B$1203,$B106,'DAILY ENTRY'!$D$7:$D$1203,"Post / content published"))</f>
        <v/>
      </c>
      <c r="I106" s="107" t="str">
        <f aca="false">IF($A106="","",SUMIFS('DAILY ENTRY'!$F$7:$F$1203,'DAILY ENTRY'!$A$7:$A$1203,$A106,'DAILY ENTRY'!$B$7:$B$1203,$B106,'DAILY ENTRY'!$D$7:$D$1203,"Community answer or comment"))</f>
        <v/>
      </c>
      <c r="J106" s="107" t="str">
        <f aca="false">IF($A106="","",SUMIFS('DAILY ENTRY'!$F$7:$F$1203,'DAILY ENTRY'!$A$7:$A$1203,$A106,'DAILY ENTRY'!$B$7:$B$1203,$B106,'DAILY ENTRY'!$D$7:$D$1203,"Partnership / PR contact"))</f>
        <v/>
      </c>
      <c r="K106" s="107" t="str">
        <f aca="false">IF($A106="","",SUMIFS('DAILY ENTRY'!$F$7:$F$1203,'DAILY ENTRY'!$A$7:$A$1203,$A106,'DAILY ENTRY'!$B$7:$B$1203,$B106,'DAILY ENTRY'!$D$7:$D$1203,"Engagement (commented on someone else)"))</f>
        <v/>
      </c>
      <c r="L106" s="107" t="str">
        <f aca="false">IF($A106="","",SUMIFS('DAILY ENTRY'!$F$7:$F$1203,'DAILY ENTRY'!$A$7:$A$1203,$A106,'DAILY ENTRY'!$B$7:$B$1203,$B106,'DAILY ENTRY'!$D$7:$D$1203,"Account created / profile completed"))</f>
        <v/>
      </c>
      <c r="M106" s="108" t="str">
        <f aca="false">IF($A106="","",IFERROR(INDEX('DAILY ENTRY'!$E$7:$E$1203,MATCH(1,INDEX(('DAILY ENTRY'!$A$7:$A$1203=$A106)*('DAILY ENTRY'!$B$7:$B$1203=$B106)*('DAILY ENTRY'!$I$7:$I$1203="Meeting booked"),0),0)),IFERROR(INDEX('DAILY ENTRY'!$E$7:$E$1203,MATCH(1,INDEX(('DAILY ENTRY'!$A$7:$A$1203=$A106)*('DAILY ENTRY'!$B$7:$B$1203=$B106)*('DAILY ENTRY'!$I$7:$I$1203="Positive reply"),0),0)),"")))</f>
        <v/>
      </c>
      <c r="N106" s="108" t="str">
        <f aca="false">IF($A106="","",IFERROR(INDEX('DAILY ENTRY'!$J$7:$J$1203,MATCH(1,INDEX(('DAILY ENTRY'!$A$7:$A$1203=$A106)*('DAILY ENTRY'!$B$7:$B$1203=$B106)*('DAILY ENTRY'!$I$7:$I$1203="Blocked"),0),0)),""))</f>
        <v/>
      </c>
      <c r="O106" s="65" t="str">
        <f aca="false">IF($A106="","",(D106&gt;='START HERE'!$B$25)+(E106&gt;='START HERE'!$B$26)+(F106&gt;='START HERE'!$B$27)+(G106&gt;='START HERE'!$B$28)+(H106&gt;='START HERE'!$B$29)+(I106&gt;='START HERE'!$B$30)+(J106&gt;='START HERE'!$B$31)+(K106&gt;='START HERE'!$B$32))</f>
        <v/>
      </c>
      <c r="P106" s="46" t="str">
        <f aca="false">IF($A106="","",IF(O106&gt;=7,"Full day",IF(O106&gt;=5,"Most targets met",IF(O106&gt;=3,"Half day","Below plan - explain in the blocker column"))))</f>
        <v/>
      </c>
    </row>
    <row r="107" customFormat="false" ht="24" hidden="false" customHeight="true" outlineLevel="0" collapsed="false">
      <c r="A107" s="36"/>
      <c r="B107" s="37"/>
      <c r="C107" s="107" t="str">
        <f aca="false">IF($A107="","",ROUND(SUMIFS('DAILY ENTRY'!$G$7:$G$1203,'DAILY ENTRY'!$A$7:$A$1203,$A107,'DAILY ENTRY'!$B$7:$B$1203,$B107)/60,1))</f>
        <v/>
      </c>
      <c r="D107" s="107" t="str">
        <f aca="false">IF($A107="","",SUMIFS('DAILY ENTRY'!$F$7:$F$1203,'DAILY ENTRY'!$A$7:$A$1203,$A107,'DAILY ENTRY'!$B$7:$B$1203,$B107,'DAILY ENTRY'!$D$7:$D$1203,"Lead researched (Sales Navigator)"))</f>
        <v/>
      </c>
      <c r="E107" s="107" t="str">
        <f aca="false">IF($A107="","",SUMIFS('DAILY ENTRY'!$F$7:$F$1203,'DAILY ENTRY'!$A$7:$A$1203,$A107,'DAILY ENTRY'!$B$7:$B$1203,$B107,'DAILY ENTRY'!$D$7:$D$1203,"Connection request sent"))</f>
        <v/>
      </c>
      <c r="F107" s="107" t="str">
        <f aca="false">IF($A107="","",SUMIFS('DAILY ENTRY'!$F$7:$F$1203,'DAILY ENTRY'!$A$7:$A$1203,$A107,'DAILY ENTRY'!$B$7:$B$1203,$B107,'DAILY ENTRY'!$D$7:$D$1203,"First message sent"))</f>
        <v/>
      </c>
      <c r="G107" s="107" t="str">
        <f aca="false">IF($A107="","",SUMIFS('DAILY ENTRY'!$F$7:$F$1203,'DAILY ENTRY'!$A$7:$A$1203,$A107,'DAILY ENTRY'!$B$7:$B$1203,$B107,'DAILY ENTRY'!$D$7:$D$1203,"Follow-up message sent"))</f>
        <v/>
      </c>
      <c r="H107" s="107" t="str">
        <f aca="false">IF($A107="","",SUMIFS('DAILY ENTRY'!$F$7:$F$1203,'DAILY ENTRY'!$A$7:$A$1203,$A107,'DAILY ENTRY'!$B$7:$B$1203,$B107,'DAILY ENTRY'!$D$7:$D$1203,"Post / content published"))</f>
        <v/>
      </c>
      <c r="I107" s="107" t="str">
        <f aca="false">IF($A107="","",SUMIFS('DAILY ENTRY'!$F$7:$F$1203,'DAILY ENTRY'!$A$7:$A$1203,$A107,'DAILY ENTRY'!$B$7:$B$1203,$B107,'DAILY ENTRY'!$D$7:$D$1203,"Community answer or comment"))</f>
        <v/>
      </c>
      <c r="J107" s="107" t="str">
        <f aca="false">IF($A107="","",SUMIFS('DAILY ENTRY'!$F$7:$F$1203,'DAILY ENTRY'!$A$7:$A$1203,$A107,'DAILY ENTRY'!$B$7:$B$1203,$B107,'DAILY ENTRY'!$D$7:$D$1203,"Partnership / PR contact"))</f>
        <v/>
      </c>
      <c r="K107" s="107" t="str">
        <f aca="false">IF($A107="","",SUMIFS('DAILY ENTRY'!$F$7:$F$1203,'DAILY ENTRY'!$A$7:$A$1203,$A107,'DAILY ENTRY'!$B$7:$B$1203,$B107,'DAILY ENTRY'!$D$7:$D$1203,"Engagement (commented on someone else)"))</f>
        <v/>
      </c>
      <c r="L107" s="107" t="str">
        <f aca="false">IF($A107="","",SUMIFS('DAILY ENTRY'!$F$7:$F$1203,'DAILY ENTRY'!$A$7:$A$1203,$A107,'DAILY ENTRY'!$B$7:$B$1203,$B107,'DAILY ENTRY'!$D$7:$D$1203,"Account created / profile completed"))</f>
        <v/>
      </c>
      <c r="M107" s="108" t="str">
        <f aca="false">IF($A107="","",IFERROR(INDEX('DAILY ENTRY'!$E$7:$E$1203,MATCH(1,INDEX(('DAILY ENTRY'!$A$7:$A$1203=$A107)*('DAILY ENTRY'!$B$7:$B$1203=$B107)*('DAILY ENTRY'!$I$7:$I$1203="Meeting booked"),0),0)),IFERROR(INDEX('DAILY ENTRY'!$E$7:$E$1203,MATCH(1,INDEX(('DAILY ENTRY'!$A$7:$A$1203=$A107)*('DAILY ENTRY'!$B$7:$B$1203=$B107)*('DAILY ENTRY'!$I$7:$I$1203="Positive reply"),0),0)),"")))</f>
        <v/>
      </c>
      <c r="N107" s="108" t="str">
        <f aca="false">IF($A107="","",IFERROR(INDEX('DAILY ENTRY'!$J$7:$J$1203,MATCH(1,INDEX(('DAILY ENTRY'!$A$7:$A$1203=$A107)*('DAILY ENTRY'!$B$7:$B$1203=$B107)*('DAILY ENTRY'!$I$7:$I$1203="Blocked"),0),0)),""))</f>
        <v/>
      </c>
      <c r="O107" s="65" t="str">
        <f aca="false">IF($A107="","",(D107&gt;='START HERE'!$B$25)+(E107&gt;='START HERE'!$B$26)+(F107&gt;='START HERE'!$B$27)+(G107&gt;='START HERE'!$B$28)+(H107&gt;='START HERE'!$B$29)+(I107&gt;='START HERE'!$B$30)+(J107&gt;='START HERE'!$B$31)+(K107&gt;='START HERE'!$B$32))</f>
        <v/>
      </c>
      <c r="P107" s="46" t="str">
        <f aca="false">IF($A107="","",IF(O107&gt;=7,"Full day",IF(O107&gt;=5,"Most targets met",IF(O107&gt;=3,"Half day","Below plan - explain in the blocker column"))))</f>
        <v/>
      </c>
    </row>
    <row r="108" customFormat="false" ht="24" hidden="false" customHeight="true" outlineLevel="0" collapsed="false">
      <c r="A108" s="36"/>
      <c r="B108" s="37"/>
      <c r="C108" s="107" t="str">
        <f aca="false">IF($A108="","",ROUND(SUMIFS('DAILY ENTRY'!$G$7:$G$1203,'DAILY ENTRY'!$A$7:$A$1203,$A108,'DAILY ENTRY'!$B$7:$B$1203,$B108)/60,1))</f>
        <v/>
      </c>
      <c r="D108" s="107" t="str">
        <f aca="false">IF($A108="","",SUMIFS('DAILY ENTRY'!$F$7:$F$1203,'DAILY ENTRY'!$A$7:$A$1203,$A108,'DAILY ENTRY'!$B$7:$B$1203,$B108,'DAILY ENTRY'!$D$7:$D$1203,"Lead researched (Sales Navigator)"))</f>
        <v/>
      </c>
      <c r="E108" s="107" t="str">
        <f aca="false">IF($A108="","",SUMIFS('DAILY ENTRY'!$F$7:$F$1203,'DAILY ENTRY'!$A$7:$A$1203,$A108,'DAILY ENTRY'!$B$7:$B$1203,$B108,'DAILY ENTRY'!$D$7:$D$1203,"Connection request sent"))</f>
        <v/>
      </c>
      <c r="F108" s="107" t="str">
        <f aca="false">IF($A108="","",SUMIFS('DAILY ENTRY'!$F$7:$F$1203,'DAILY ENTRY'!$A$7:$A$1203,$A108,'DAILY ENTRY'!$B$7:$B$1203,$B108,'DAILY ENTRY'!$D$7:$D$1203,"First message sent"))</f>
        <v/>
      </c>
      <c r="G108" s="107" t="str">
        <f aca="false">IF($A108="","",SUMIFS('DAILY ENTRY'!$F$7:$F$1203,'DAILY ENTRY'!$A$7:$A$1203,$A108,'DAILY ENTRY'!$B$7:$B$1203,$B108,'DAILY ENTRY'!$D$7:$D$1203,"Follow-up message sent"))</f>
        <v/>
      </c>
      <c r="H108" s="107" t="str">
        <f aca="false">IF($A108="","",SUMIFS('DAILY ENTRY'!$F$7:$F$1203,'DAILY ENTRY'!$A$7:$A$1203,$A108,'DAILY ENTRY'!$B$7:$B$1203,$B108,'DAILY ENTRY'!$D$7:$D$1203,"Post / content published"))</f>
        <v/>
      </c>
      <c r="I108" s="107" t="str">
        <f aca="false">IF($A108="","",SUMIFS('DAILY ENTRY'!$F$7:$F$1203,'DAILY ENTRY'!$A$7:$A$1203,$A108,'DAILY ENTRY'!$B$7:$B$1203,$B108,'DAILY ENTRY'!$D$7:$D$1203,"Community answer or comment"))</f>
        <v/>
      </c>
      <c r="J108" s="107" t="str">
        <f aca="false">IF($A108="","",SUMIFS('DAILY ENTRY'!$F$7:$F$1203,'DAILY ENTRY'!$A$7:$A$1203,$A108,'DAILY ENTRY'!$B$7:$B$1203,$B108,'DAILY ENTRY'!$D$7:$D$1203,"Partnership / PR contact"))</f>
        <v/>
      </c>
      <c r="K108" s="107" t="str">
        <f aca="false">IF($A108="","",SUMIFS('DAILY ENTRY'!$F$7:$F$1203,'DAILY ENTRY'!$A$7:$A$1203,$A108,'DAILY ENTRY'!$B$7:$B$1203,$B108,'DAILY ENTRY'!$D$7:$D$1203,"Engagement (commented on someone else)"))</f>
        <v/>
      </c>
      <c r="L108" s="107" t="str">
        <f aca="false">IF($A108="","",SUMIFS('DAILY ENTRY'!$F$7:$F$1203,'DAILY ENTRY'!$A$7:$A$1203,$A108,'DAILY ENTRY'!$B$7:$B$1203,$B108,'DAILY ENTRY'!$D$7:$D$1203,"Account created / profile completed"))</f>
        <v/>
      </c>
      <c r="M108" s="108" t="str">
        <f aca="false">IF($A108="","",IFERROR(INDEX('DAILY ENTRY'!$E$7:$E$1203,MATCH(1,INDEX(('DAILY ENTRY'!$A$7:$A$1203=$A108)*('DAILY ENTRY'!$B$7:$B$1203=$B108)*('DAILY ENTRY'!$I$7:$I$1203="Meeting booked"),0),0)),IFERROR(INDEX('DAILY ENTRY'!$E$7:$E$1203,MATCH(1,INDEX(('DAILY ENTRY'!$A$7:$A$1203=$A108)*('DAILY ENTRY'!$B$7:$B$1203=$B108)*('DAILY ENTRY'!$I$7:$I$1203="Positive reply"),0),0)),"")))</f>
        <v/>
      </c>
      <c r="N108" s="108" t="str">
        <f aca="false">IF($A108="","",IFERROR(INDEX('DAILY ENTRY'!$J$7:$J$1203,MATCH(1,INDEX(('DAILY ENTRY'!$A$7:$A$1203=$A108)*('DAILY ENTRY'!$B$7:$B$1203=$B108)*('DAILY ENTRY'!$I$7:$I$1203="Blocked"),0),0)),""))</f>
        <v/>
      </c>
      <c r="O108" s="65" t="str">
        <f aca="false">IF($A108="","",(D108&gt;='START HERE'!$B$25)+(E108&gt;='START HERE'!$B$26)+(F108&gt;='START HERE'!$B$27)+(G108&gt;='START HERE'!$B$28)+(H108&gt;='START HERE'!$B$29)+(I108&gt;='START HERE'!$B$30)+(J108&gt;='START HERE'!$B$31)+(K108&gt;='START HERE'!$B$32))</f>
        <v/>
      </c>
      <c r="P108" s="46" t="str">
        <f aca="false">IF($A108="","",IF(O108&gt;=7,"Full day",IF(O108&gt;=5,"Most targets met",IF(O108&gt;=3,"Half day","Below plan - explain in the blocker column"))))</f>
        <v/>
      </c>
    </row>
    <row r="109" customFormat="false" ht="24" hidden="false" customHeight="true" outlineLevel="0" collapsed="false">
      <c r="A109" s="36"/>
      <c r="B109" s="37"/>
      <c r="C109" s="107" t="str">
        <f aca="false">IF($A109="","",ROUND(SUMIFS('DAILY ENTRY'!$G$7:$G$1203,'DAILY ENTRY'!$A$7:$A$1203,$A109,'DAILY ENTRY'!$B$7:$B$1203,$B109)/60,1))</f>
        <v/>
      </c>
      <c r="D109" s="107" t="str">
        <f aca="false">IF($A109="","",SUMIFS('DAILY ENTRY'!$F$7:$F$1203,'DAILY ENTRY'!$A$7:$A$1203,$A109,'DAILY ENTRY'!$B$7:$B$1203,$B109,'DAILY ENTRY'!$D$7:$D$1203,"Lead researched (Sales Navigator)"))</f>
        <v/>
      </c>
      <c r="E109" s="107" t="str">
        <f aca="false">IF($A109="","",SUMIFS('DAILY ENTRY'!$F$7:$F$1203,'DAILY ENTRY'!$A$7:$A$1203,$A109,'DAILY ENTRY'!$B$7:$B$1203,$B109,'DAILY ENTRY'!$D$7:$D$1203,"Connection request sent"))</f>
        <v/>
      </c>
      <c r="F109" s="107" t="str">
        <f aca="false">IF($A109="","",SUMIFS('DAILY ENTRY'!$F$7:$F$1203,'DAILY ENTRY'!$A$7:$A$1203,$A109,'DAILY ENTRY'!$B$7:$B$1203,$B109,'DAILY ENTRY'!$D$7:$D$1203,"First message sent"))</f>
        <v/>
      </c>
      <c r="G109" s="107" t="str">
        <f aca="false">IF($A109="","",SUMIFS('DAILY ENTRY'!$F$7:$F$1203,'DAILY ENTRY'!$A$7:$A$1203,$A109,'DAILY ENTRY'!$B$7:$B$1203,$B109,'DAILY ENTRY'!$D$7:$D$1203,"Follow-up message sent"))</f>
        <v/>
      </c>
      <c r="H109" s="107" t="str">
        <f aca="false">IF($A109="","",SUMIFS('DAILY ENTRY'!$F$7:$F$1203,'DAILY ENTRY'!$A$7:$A$1203,$A109,'DAILY ENTRY'!$B$7:$B$1203,$B109,'DAILY ENTRY'!$D$7:$D$1203,"Post / content published"))</f>
        <v/>
      </c>
      <c r="I109" s="107" t="str">
        <f aca="false">IF($A109="","",SUMIFS('DAILY ENTRY'!$F$7:$F$1203,'DAILY ENTRY'!$A$7:$A$1203,$A109,'DAILY ENTRY'!$B$7:$B$1203,$B109,'DAILY ENTRY'!$D$7:$D$1203,"Community answer or comment"))</f>
        <v/>
      </c>
      <c r="J109" s="107" t="str">
        <f aca="false">IF($A109="","",SUMIFS('DAILY ENTRY'!$F$7:$F$1203,'DAILY ENTRY'!$A$7:$A$1203,$A109,'DAILY ENTRY'!$B$7:$B$1203,$B109,'DAILY ENTRY'!$D$7:$D$1203,"Partnership / PR contact"))</f>
        <v/>
      </c>
      <c r="K109" s="107" t="str">
        <f aca="false">IF($A109="","",SUMIFS('DAILY ENTRY'!$F$7:$F$1203,'DAILY ENTRY'!$A$7:$A$1203,$A109,'DAILY ENTRY'!$B$7:$B$1203,$B109,'DAILY ENTRY'!$D$7:$D$1203,"Engagement (commented on someone else)"))</f>
        <v/>
      </c>
      <c r="L109" s="107" t="str">
        <f aca="false">IF($A109="","",SUMIFS('DAILY ENTRY'!$F$7:$F$1203,'DAILY ENTRY'!$A$7:$A$1203,$A109,'DAILY ENTRY'!$B$7:$B$1203,$B109,'DAILY ENTRY'!$D$7:$D$1203,"Account created / profile completed"))</f>
        <v/>
      </c>
      <c r="M109" s="108" t="str">
        <f aca="false">IF($A109="","",IFERROR(INDEX('DAILY ENTRY'!$E$7:$E$1203,MATCH(1,INDEX(('DAILY ENTRY'!$A$7:$A$1203=$A109)*('DAILY ENTRY'!$B$7:$B$1203=$B109)*('DAILY ENTRY'!$I$7:$I$1203="Meeting booked"),0),0)),IFERROR(INDEX('DAILY ENTRY'!$E$7:$E$1203,MATCH(1,INDEX(('DAILY ENTRY'!$A$7:$A$1203=$A109)*('DAILY ENTRY'!$B$7:$B$1203=$B109)*('DAILY ENTRY'!$I$7:$I$1203="Positive reply"),0),0)),"")))</f>
        <v/>
      </c>
      <c r="N109" s="108" t="str">
        <f aca="false">IF($A109="","",IFERROR(INDEX('DAILY ENTRY'!$J$7:$J$1203,MATCH(1,INDEX(('DAILY ENTRY'!$A$7:$A$1203=$A109)*('DAILY ENTRY'!$B$7:$B$1203=$B109)*('DAILY ENTRY'!$I$7:$I$1203="Blocked"),0),0)),""))</f>
        <v/>
      </c>
      <c r="O109" s="65" t="str">
        <f aca="false">IF($A109="","",(D109&gt;='START HERE'!$B$25)+(E109&gt;='START HERE'!$B$26)+(F109&gt;='START HERE'!$B$27)+(G109&gt;='START HERE'!$B$28)+(H109&gt;='START HERE'!$B$29)+(I109&gt;='START HERE'!$B$30)+(J109&gt;='START HERE'!$B$31)+(K109&gt;='START HERE'!$B$32))</f>
        <v/>
      </c>
      <c r="P109" s="46" t="str">
        <f aca="false">IF($A109="","",IF(O109&gt;=7,"Full day",IF(O109&gt;=5,"Most targets met",IF(O109&gt;=3,"Half day","Below plan - explain in the blocker column"))))</f>
        <v/>
      </c>
    </row>
    <row r="110" customFormat="false" ht="24" hidden="false" customHeight="true" outlineLevel="0" collapsed="false">
      <c r="A110" s="36"/>
      <c r="B110" s="37"/>
      <c r="C110" s="107" t="str">
        <f aca="false">IF($A110="","",ROUND(SUMIFS('DAILY ENTRY'!$G$7:$G$1203,'DAILY ENTRY'!$A$7:$A$1203,$A110,'DAILY ENTRY'!$B$7:$B$1203,$B110)/60,1))</f>
        <v/>
      </c>
      <c r="D110" s="107" t="str">
        <f aca="false">IF($A110="","",SUMIFS('DAILY ENTRY'!$F$7:$F$1203,'DAILY ENTRY'!$A$7:$A$1203,$A110,'DAILY ENTRY'!$B$7:$B$1203,$B110,'DAILY ENTRY'!$D$7:$D$1203,"Lead researched (Sales Navigator)"))</f>
        <v/>
      </c>
      <c r="E110" s="107" t="str">
        <f aca="false">IF($A110="","",SUMIFS('DAILY ENTRY'!$F$7:$F$1203,'DAILY ENTRY'!$A$7:$A$1203,$A110,'DAILY ENTRY'!$B$7:$B$1203,$B110,'DAILY ENTRY'!$D$7:$D$1203,"Connection request sent"))</f>
        <v/>
      </c>
      <c r="F110" s="107" t="str">
        <f aca="false">IF($A110="","",SUMIFS('DAILY ENTRY'!$F$7:$F$1203,'DAILY ENTRY'!$A$7:$A$1203,$A110,'DAILY ENTRY'!$B$7:$B$1203,$B110,'DAILY ENTRY'!$D$7:$D$1203,"First message sent"))</f>
        <v/>
      </c>
      <c r="G110" s="107" t="str">
        <f aca="false">IF($A110="","",SUMIFS('DAILY ENTRY'!$F$7:$F$1203,'DAILY ENTRY'!$A$7:$A$1203,$A110,'DAILY ENTRY'!$B$7:$B$1203,$B110,'DAILY ENTRY'!$D$7:$D$1203,"Follow-up message sent"))</f>
        <v/>
      </c>
      <c r="H110" s="107" t="str">
        <f aca="false">IF($A110="","",SUMIFS('DAILY ENTRY'!$F$7:$F$1203,'DAILY ENTRY'!$A$7:$A$1203,$A110,'DAILY ENTRY'!$B$7:$B$1203,$B110,'DAILY ENTRY'!$D$7:$D$1203,"Post / content published"))</f>
        <v/>
      </c>
      <c r="I110" s="107" t="str">
        <f aca="false">IF($A110="","",SUMIFS('DAILY ENTRY'!$F$7:$F$1203,'DAILY ENTRY'!$A$7:$A$1203,$A110,'DAILY ENTRY'!$B$7:$B$1203,$B110,'DAILY ENTRY'!$D$7:$D$1203,"Community answer or comment"))</f>
        <v/>
      </c>
      <c r="J110" s="107" t="str">
        <f aca="false">IF($A110="","",SUMIFS('DAILY ENTRY'!$F$7:$F$1203,'DAILY ENTRY'!$A$7:$A$1203,$A110,'DAILY ENTRY'!$B$7:$B$1203,$B110,'DAILY ENTRY'!$D$7:$D$1203,"Partnership / PR contact"))</f>
        <v/>
      </c>
      <c r="K110" s="107" t="str">
        <f aca="false">IF($A110="","",SUMIFS('DAILY ENTRY'!$F$7:$F$1203,'DAILY ENTRY'!$A$7:$A$1203,$A110,'DAILY ENTRY'!$B$7:$B$1203,$B110,'DAILY ENTRY'!$D$7:$D$1203,"Engagement (commented on someone else)"))</f>
        <v/>
      </c>
      <c r="L110" s="107" t="str">
        <f aca="false">IF($A110="","",SUMIFS('DAILY ENTRY'!$F$7:$F$1203,'DAILY ENTRY'!$A$7:$A$1203,$A110,'DAILY ENTRY'!$B$7:$B$1203,$B110,'DAILY ENTRY'!$D$7:$D$1203,"Account created / profile completed"))</f>
        <v/>
      </c>
      <c r="M110" s="108" t="str">
        <f aca="false">IF($A110="","",IFERROR(INDEX('DAILY ENTRY'!$E$7:$E$1203,MATCH(1,INDEX(('DAILY ENTRY'!$A$7:$A$1203=$A110)*('DAILY ENTRY'!$B$7:$B$1203=$B110)*('DAILY ENTRY'!$I$7:$I$1203="Meeting booked"),0),0)),IFERROR(INDEX('DAILY ENTRY'!$E$7:$E$1203,MATCH(1,INDEX(('DAILY ENTRY'!$A$7:$A$1203=$A110)*('DAILY ENTRY'!$B$7:$B$1203=$B110)*('DAILY ENTRY'!$I$7:$I$1203="Positive reply"),0),0)),"")))</f>
        <v/>
      </c>
      <c r="N110" s="108" t="str">
        <f aca="false">IF($A110="","",IFERROR(INDEX('DAILY ENTRY'!$J$7:$J$1203,MATCH(1,INDEX(('DAILY ENTRY'!$A$7:$A$1203=$A110)*('DAILY ENTRY'!$B$7:$B$1203=$B110)*('DAILY ENTRY'!$I$7:$I$1203="Blocked"),0),0)),""))</f>
        <v/>
      </c>
      <c r="O110" s="65" t="str">
        <f aca="false">IF($A110="","",(D110&gt;='START HERE'!$B$25)+(E110&gt;='START HERE'!$B$26)+(F110&gt;='START HERE'!$B$27)+(G110&gt;='START HERE'!$B$28)+(H110&gt;='START HERE'!$B$29)+(I110&gt;='START HERE'!$B$30)+(J110&gt;='START HERE'!$B$31)+(K110&gt;='START HERE'!$B$32))</f>
        <v/>
      </c>
      <c r="P110" s="46" t="str">
        <f aca="false">IF($A110="","",IF(O110&gt;=7,"Full day",IF(O110&gt;=5,"Most targets met",IF(O110&gt;=3,"Half day","Below plan - explain in the blocker column"))))</f>
        <v/>
      </c>
    </row>
    <row r="111" customFormat="false" ht="24" hidden="false" customHeight="true" outlineLevel="0" collapsed="false">
      <c r="A111" s="36"/>
      <c r="B111" s="37"/>
      <c r="C111" s="107" t="str">
        <f aca="false">IF($A111="","",ROUND(SUMIFS('DAILY ENTRY'!$G$7:$G$1203,'DAILY ENTRY'!$A$7:$A$1203,$A111,'DAILY ENTRY'!$B$7:$B$1203,$B111)/60,1))</f>
        <v/>
      </c>
      <c r="D111" s="107" t="str">
        <f aca="false">IF($A111="","",SUMIFS('DAILY ENTRY'!$F$7:$F$1203,'DAILY ENTRY'!$A$7:$A$1203,$A111,'DAILY ENTRY'!$B$7:$B$1203,$B111,'DAILY ENTRY'!$D$7:$D$1203,"Lead researched (Sales Navigator)"))</f>
        <v/>
      </c>
      <c r="E111" s="107" t="str">
        <f aca="false">IF($A111="","",SUMIFS('DAILY ENTRY'!$F$7:$F$1203,'DAILY ENTRY'!$A$7:$A$1203,$A111,'DAILY ENTRY'!$B$7:$B$1203,$B111,'DAILY ENTRY'!$D$7:$D$1203,"Connection request sent"))</f>
        <v/>
      </c>
      <c r="F111" s="107" t="str">
        <f aca="false">IF($A111="","",SUMIFS('DAILY ENTRY'!$F$7:$F$1203,'DAILY ENTRY'!$A$7:$A$1203,$A111,'DAILY ENTRY'!$B$7:$B$1203,$B111,'DAILY ENTRY'!$D$7:$D$1203,"First message sent"))</f>
        <v/>
      </c>
      <c r="G111" s="107" t="str">
        <f aca="false">IF($A111="","",SUMIFS('DAILY ENTRY'!$F$7:$F$1203,'DAILY ENTRY'!$A$7:$A$1203,$A111,'DAILY ENTRY'!$B$7:$B$1203,$B111,'DAILY ENTRY'!$D$7:$D$1203,"Follow-up message sent"))</f>
        <v/>
      </c>
      <c r="H111" s="107" t="str">
        <f aca="false">IF($A111="","",SUMIFS('DAILY ENTRY'!$F$7:$F$1203,'DAILY ENTRY'!$A$7:$A$1203,$A111,'DAILY ENTRY'!$B$7:$B$1203,$B111,'DAILY ENTRY'!$D$7:$D$1203,"Post / content published"))</f>
        <v/>
      </c>
      <c r="I111" s="107" t="str">
        <f aca="false">IF($A111="","",SUMIFS('DAILY ENTRY'!$F$7:$F$1203,'DAILY ENTRY'!$A$7:$A$1203,$A111,'DAILY ENTRY'!$B$7:$B$1203,$B111,'DAILY ENTRY'!$D$7:$D$1203,"Community answer or comment"))</f>
        <v/>
      </c>
      <c r="J111" s="107" t="str">
        <f aca="false">IF($A111="","",SUMIFS('DAILY ENTRY'!$F$7:$F$1203,'DAILY ENTRY'!$A$7:$A$1203,$A111,'DAILY ENTRY'!$B$7:$B$1203,$B111,'DAILY ENTRY'!$D$7:$D$1203,"Partnership / PR contact"))</f>
        <v/>
      </c>
      <c r="K111" s="107" t="str">
        <f aca="false">IF($A111="","",SUMIFS('DAILY ENTRY'!$F$7:$F$1203,'DAILY ENTRY'!$A$7:$A$1203,$A111,'DAILY ENTRY'!$B$7:$B$1203,$B111,'DAILY ENTRY'!$D$7:$D$1203,"Engagement (commented on someone else)"))</f>
        <v/>
      </c>
      <c r="L111" s="107" t="str">
        <f aca="false">IF($A111="","",SUMIFS('DAILY ENTRY'!$F$7:$F$1203,'DAILY ENTRY'!$A$7:$A$1203,$A111,'DAILY ENTRY'!$B$7:$B$1203,$B111,'DAILY ENTRY'!$D$7:$D$1203,"Account created / profile completed"))</f>
        <v/>
      </c>
      <c r="M111" s="108" t="str">
        <f aca="false">IF($A111="","",IFERROR(INDEX('DAILY ENTRY'!$E$7:$E$1203,MATCH(1,INDEX(('DAILY ENTRY'!$A$7:$A$1203=$A111)*('DAILY ENTRY'!$B$7:$B$1203=$B111)*('DAILY ENTRY'!$I$7:$I$1203="Meeting booked"),0),0)),IFERROR(INDEX('DAILY ENTRY'!$E$7:$E$1203,MATCH(1,INDEX(('DAILY ENTRY'!$A$7:$A$1203=$A111)*('DAILY ENTRY'!$B$7:$B$1203=$B111)*('DAILY ENTRY'!$I$7:$I$1203="Positive reply"),0),0)),"")))</f>
        <v/>
      </c>
      <c r="N111" s="108" t="str">
        <f aca="false">IF($A111="","",IFERROR(INDEX('DAILY ENTRY'!$J$7:$J$1203,MATCH(1,INDEX(('DAILY ENTRY'!$A$7:$A$1203=$A111)*('DAILY ENTRY'!$B$7:$B$1203=$B111)*('DAILY ENTRY'!$I$7:$I$1203="Blocked"),0),0)),""))</f>
        <v/>
      </c>
      <c r="O111" s="65" t="str">
        <f aca="false">IF($A111="","",(D111&gt;='START HERE'!$B$25)+(E111&gt;='START HERE'!$B$26)+(F111&gt;='START HERE'!$B$27)+(G111&gt;='START HERE'!$B$28)+(H111&gt;='START HERE'!$B$29)+(I111&gt;='START HERE'!$B$30)+(J111&gt;='START HERE'!$B$31)+(K111&gt;='START HERE'!$B$32))</f>
        <v/>
      </c>
      <c r="P111" s="46" t="str">
        <f aca="false">IF($A111="","",IF(O111&gt;=7,"Full day",IF(O111&gt;=5,"Most targets met",IF(O111&gt;=3,"Half day","Below plan - explain in the blocker column"))))</f>
        <v/>
      </c>
    </row>
    <row r="112" customFormat="false" ht="24" hidden="false" customHeight="true" outlineLevel="0" collapsed="false">
      <c r="A112" s="36"/>
      <c r="B112" s="37"/>
      <c r="C112" s="107" t="str">
        <f aca="false">IF($A112="","",ROUND(SUMIFS('DAILY ENTRY'!$G$7:$G$1203,'DAILY ENTRY'!$A$7:$A$1203,$A112,'DAILY ENTRY'!$B$7:$B$1203,$B112)/60,1))</f>
        <v/>
      </c>
      <c r="D112" s="107" t="str">
        <f aca="false">IF($A112="","",SUMIFS('DAILY ENTRY'!$F$7:$F$1203,'DAILY ENTRY'!$A$7:$A$1203,$A112,'DAILY ENTRY'!$B$7:$B$1203,$B112,'DAILY ENTRY'!$D$7:$D$1203,"Lead researched (Sales Navigator)"))</f>
        <v/>
      </c>
      <c r="E112" s="107" t="str">
        <f aca="false">IF($A112="","",SUMIFS('DAILY ENTRY'!$F$7:$F$1203,'DAILY ENTRY'!$A$7:$A$1203,$A112,'DAILY ENTRY'!$B$7:$B$1203,$B112,'DAILY ENTRY'!$D$7:$D$1203,"Connection request sent"))</f>
        <v/>
      </c>
      <c r="F112" s="107" t="str">
        <f aca="false">IF($A112="","",SUMIFS('DAILY ENTRY'!$F$7:$F$1203,'DAILY ENTRY'!$A$7:$A$1203,$A112,'DAILY ENTRY'!$B$7:$B$1203,$B112,'DAILY ENTRY'!$D$7:$D$1203,"First message sent"))</f>
        <v/>
      </c>
      <c r="G112" s="107" t="str">
        <f aca="false">IF($A112="","",SUMIFS('DAILY ENTRY'!$F$7:$F$1203,'DAILY ENTRY'!$A$7:$A$1203,$A112,'DAILY ENTRY'!$B$7:$B$1203,$B112,'DAILY ENTRY'!$D$7:$D$1203,"Follow-up message sent"))</f>
        <v/>
      </c>
      <c r="H112" s="107" t="str">
        <f aca="false">IF($A112="","",SUMIFS('DAILY ENTRY'!$F$7:$F$1203,'DAILY ENTRY'!$A$7:$A$1203,$A112,'DAILY ENTRY'!$B$7:$B$1203,$B112,'DAILY ENTRY'!$D$7:$D$1203,"Post / content published"))</f>
        <v/>
      </c>
      <c r="I112" s="107" t="str">
        <f aca="false">IF($A112="","",SUMIFS('DAILY ENTRY'!$F$7:$F$1203,'DAILY ENTRY'!$A$7:$A$1203,$A112,'DAILY ENTRY'!$B$7:$B$1203,$B112,'DAILY ENTRY'!$D$7:$D$1203,"Community answer or comment"))</f>
        <v/>
      </c>
      <c r="J112" s="107" t="str">
        <f aca="false">IF($A112="","",SUMIFS('DAILY ENTRY'!$F$7:$F$1203,'DAILY ENTRY'!$A$7:$A$1203,$A112,'DAILY ENTRY'!$B$7:$B$1203,$B112,'DAILY ENTRY'!$D$7:$D$1203,"Partnership / PR contact"))</f>
        <v/>
      </c>
      <c r="K112" s="107" t="str">
        <f aca="false">IF($A112="","",SUMIFS('DAILY ENTRY'!$F$7:$F$1203,'DAILY ENTRY'!$A$7:$A$1203,$A112,'DAILY ENTRY'!$B$7:$B$1203,$B112,'DAILY ENTRY'!$D$7:$D$1203,"Engagement (commented on someone else)"))</f>
        <v/>
      </c>
      <c r="L112" s="107" t="str">
        <f aca="false">IF($A112="","",SUMIFS('DAILY ENTRY'!$F$7:$F$1203,'DAILY ENTRY'!$A$7:$A$1203,$A112,'DAILY ENTRY'!$B$7:$B$1203,$B112,'DAILY ENTRY'!$D$7:$D$1203,"Account created / profile completed"))</f>
        <v/>
      </c>
      <c r="M112" s="108" t="str">
        <f aca="false">IF($A112="","",IFERROR(INDEX('DAILY ENTRY'!$E$7:$E$1203,MATCH(1,INDEX(('DAILY ENTRY'!$A$7:$A$1203=$A112)*('DAILY ENTRY'!$B$7:$B$1203=$B112)*('DAILY ENTRY'!$I$7:$I$1203="Meeting booked"),0),0)),IFERROR(INDEX('DAILY ENTRY'!$E$7:$E$1203,MATCH(1,INDEX(('DAILY ENTRY'!$A$7:$A$1203=$A112)*('DAILY ENTRY'!$B$7:$B$1203=$B112)*('DAILY ENTRY'!$I$7:$I$1203="Positive reply"),0),0)),"")))</f>
        <v/>
      </c>
      <c r="N112" s="108" t="str">
        <f aca="false">IF($A112="","",IFERROR(INDEX('DAILY ENTRY'!$J$7:$J$1203,MATCH(1,INDEX(('DAILY ENTRY'!$A$7:$A$1203=$A112)*('DAILY ENTRY'!$B$7:$B$1203=$B112)*('DAILY ENTRY'!$I$7:$I$1203="Blocked"),0),0)),""))</f>
        <v/>
      </c>
      <c r="O112" s="65" t="str">
        <f aca="false">IF($A112="","",(D112&gt;='START HERE'!$B$25)+(E112&gt;='START HERE'!$B$26)+(F112&gt;='START HERE'!$B$27)+(G112&gt;='START HERE'!$B$28)+(H112&gt;='START HERE'!$B$29)+(I112&gt;='START HERE'!$B$30)+(J112&gt;='START HERE'!$B$31)+(K112&gt;='START HERE'!$B$32))</f>
        <v/>
      </c>
      <c r="P112" s="46" t="str">
        <f aca="false">IF($A112="","",IF(O112&gt;=7,"Full day",IF(O112&gt;=5,"Most targets met",IF(O112&gt;=3,"Half day","Below plan - explain in the blocker column"))))</f>
        <v/>
      </c>
    </row>
    <row r="113" customFormat="false" ht="24" hidden="false" customHeight="true" outlineLevel="0" collapsed="false">
      <c r="A113" s="36"/>
      <c r="B113" s="37"/>
      <c r="C113" s="107" t="str">
        <f aca="false">IF($A113="","",ROUND(SUMIFS('DAILY ENTRY'!$G$7:$G$1203,'DAILY ENTRY'!$A$7:$A$1203,$A113,'DAILY ENTRY'!$B$7:$B$1203,$B113)/60,1))</f>
        <v/>
      </c>
      <c r="D113" s="107" t="str">
        <f aca="false">IF($A113="","",SUMIFS('DAILY ENTRY'!$F$7:$F$1203,'DAILY ENTRY'!$A$7:$A$1203,$A113,'DAILY ENTRY'!$B$7:$B$1203,$B113,'DAILY ENTRY'!$D$7:$D$1203,"Lead researched (Sales Navigator)"))</f>
        <v/>
      </c>
      <c r="E113" s="107" t="str">
        <f aca="false">IF($A113="","",SUMIFS('DAILY ENTRY'!$F$7:$F$1203,'DAILY ENTRY'!$A$7:$A$1203,$A113,'DAILY ENTRY'!$B$7:$B$1203,$B113,'DAILY ENTRY'!$D$7:$D$1203,"Connection request sent"))</f>
        <v/>
      </c>
      <c r="F113" s="107" t="str">
        <f aca="false">IF($A113="","",SUMIFS('DAILY ENTRY'!$F$7:$F$1203,'DAILY ENTRY'!$A$7:$A$1203,$A113,'DAILY ENTRY'!$B$7:$B$1203,$B113,'DAILY ENTRY'!$D$7:$D$1203,"First message sent"))</f>
        <v/>
      </c>
      <c r="G113" s="107" t="str">
        <f aca="false">IF($A113="","",SUMIFS('DAILY ENTRY'!$F$7:$F$1203,'DAILY ENTRY'!$A$7:$A$1203,$A113,'DAILY ENTRY'!$B$7:$B$1203,$B113,'DAILY ENTRY'!$D$7:$D$1203,"Follow-up message sent"))</f>
        <v/>
      </c>
      <c r="H113" s="107" t="str">
        <f aca="false">IF($A113="","",SUMIFS('DAILY ENTRY'!$F$7:$F$1203,'DAILY ENTRY'!$A$7:$A$1203,$A113,'DAILY ENTRY'!$B$7:$B$1203,$B113,'DAILY ENTRY'!$D$7:$D$1203,"Post / content published"))</f>
        <v/>
      </c>
      <c r="I113" s="107" t="str">
        <f aca="false">IF($A113="","",SUMIFS('DAILY ENTRY'!$F$7:$F$1203,'DAILY ENTRY'!$A$7:$A$1203,$A113,'DAILY ENTRY'!$B$7:$B$1203,$B113,'DAILY ENTRY'!$D$7:$D$1203,"Community answer or comment"))</f>
        <v/>
      </c>
      <c r="J113" s="107" t="str">
        <f aca="false">IF($A113="","",SUMIFS('DAILY ENTRY'!$F$7:$F$1203,'DAILY ENTRY'!$A$7:$A$1203,$A113,'DAILY ENTRY'!$B$7:$B$1203,$B113,'DAILY ENTRY'!$D$7:$D$1203,"Partnership / PR contact"))</f>
        <v/>
      </c>
      <c r="K113" s="107" t="str">
        <f aca="false">IF($A113="","",SUMIFS('DAILY ENTRY'!$F$7:$F$1203,'DAILY ENTRY'!$A$7:$A$1203,$A113,'DAILY ENTRY'!$B$7:$B$1203,$B113,'DAILY ENTRY'!$D$7:$D$1203,"Engagement (commented on someone else)"))</f>
        <v/>
      </c>
      <c r="L113" s="107" t="str">
        <f aca="false">IF($A113="","",SUMIFS('DAILY ENTRY'!$F$7:$F$1203,'DAILY ENTRY'!$A$7:$A$1203,$A113,'DAILY ENTRY'!$B$7:$B$1203,$B113,'DAILY ENTRY'!$D$7:$D$1203,"Account created / profile completed"))</f>
        <v/>
      </c>
      <c r="M113" s="108" t="str">
        <f aca="false">IF($A113="","",IFERROR(INDEX('DAILY ENTRY'!$E$7:$E$1203,MATCH(1,INDEX(('DAILY ENTRY'!$A$7:$A$1203=$A113)*('DAILY ENTRY'!$B$7:$B$1203=$B113)*('DAILY ENTRY'!$I$7:$I$1203="Meeting booked"),0),0)),IFERROR(INDEX('DAILY ENTRY'!$E$7:$E$1203,MATCH(1,INDEX(('DAILY ENTRY'!$A$7:$A$1203=$A113)*('DAILY ENTRY'!$B$7:$B$1203=$B113)*('DAILY ENTRY'!$I$7:$I$1203="Positive reply"),0),0)),"")))</f>
        <v/>
      </c>
      <c r="N113" s="108" t="str">
        <f aca="false">IF($A113="","",IFERROR(INDEX('DAILY ENTRY'!$J$7:$J$1203,MATCH(1,INDEX(('DAILY ENTRY'!$A$7:$A$1203=$A113)*('DAILY ENTRY'!$B$7:$B$1203=$B113)*('DAILY ENTRY'!$I$7:$I$1203="Blocked"),0),0)),""))</f>
        <v/>
      </c>
      <c r="O113" s="65" t="str">
        <f aca="false">IF($A113="","",(D113&gt;='START HERE'!$B$25)+(E113&gt;='START HERE'!$B$26)+(F113&gt;='START HERE'!$B$27)+(G113&gt;='START HERE'!$B$28)+(H113&gt;='START HERE'!$B$29)+(I113&gt;='START HERE'!$B$30)+(J113&gt;='START HERE'!$B$31)+(K113&gt;='START HERE'!$B$32))</f>
        <v/>
      </c>
      <c r="P113" s="46" t="str">
        <f aca="false">IF($A113="","",IF(O113&gt;=7,"Full day",IF(O113&gt;=5,"Most targets met",IF(O113&gt;=3,"Half day","Below plan - explain in the blocker column"))))</f>
        <v/>
      </c>
    </row>
    <row r="114" customFormat="false" ht="24" hidden="false" customHeight="true" outlineLevel="0" collapsed="false">
      <c r="A114" s="36"/>
      <c r="B114" s="37"/>
      <c r="C114" s="107" t="str">
        <f aca="false">IF($A114="","",ROUND(SUMIFS('DAILY ENTRY'!$G$7:$G$1203,'DAILY ENTRY'!$A$7:$A$1203,$A114,'DAILY ENTRY'!$B$7:$B$1203,$B114)/60,1))</f>
        <v/>
      </c>
      <c r="D114" s="107" t="str">
        <f aca="false">IF($A114="","",SUMIFS('DAILY ENTRY'!$F$7:$F$1203,'DAILY ENTRY'!$A$7:$A$1203,$A114,'DAILY ENTRY'!$B$7:$B$1203,$B114,'DAILY ENTRY'!$D$7:$D$1203,"Lead researched (Sales Navigator)"))</f>
        <v/>
      </c>
      <c r="E114" s="107" t="str">
        <f aca="false">IF($A114="","",SUMIFS('DAILY ENTRY'!$F$7:$F$1203,'DAILY ENTRY'!$A$7:$A$1203,$A114,'DAILY ENTRY'!$B$7:$B$1203,$B114,'DAILY ENTRY'!$D$7:$D$1203,"Connection request sent"))</f>
        <v/>
      </c>
      <c r="F114" s="107" t="str">
        <f aca="false">IF($A114="","",SUMIFS('DAILY ENTRY'!$F$7:$F$1203,'DAILY ENTRY'!$A$7:$A$1203,$A114,'DAILY ENTRY'!$B$7:$B$1203,$B114,'DAILY ENTRY'!$D$7:$D$1203,"First message sent"))</f>
        <v/>
      </c>
      <c r="G114" s="107" t="str">
        <f aca="false">IF($A114="","",SUMIFS('DAILY ENTRY'!$F$7:$F$1203,'DAILY ENTRY'!$A$7:$A$1203,$A114,'DAILY ENTRY'!$B$7:$B$1203,$B114,'DAILY ENTRY'!$D$7:$D$1203,"Follow-up message sent"))</f>
        <v/>
      </c>
      <c r="H114" s="107" t="str">
        <f aca="false">IF($A114="","",SUMIFS('DAILY ENTRY'!$F$7:$F$1203,'DAILY ENTRY'!$A$7:$A$1203,$A114,'DAILY ENTRY'!$B$7:$B$1203,$B114,'DAILY ENTRY'!$D$7:$D$1203,"Post / content published"))</f>
        <v/>
      </c>
      <c r="I114" s="107" t="str">
        <f aca="false">IF($A114="","",SUMIFS('DAILY ENTRY'!$F$7:$F$1203,'DAILY ENTRY'!$A$7:$A$1203,$A114,'DAILY ENTRY'!$B$7:$B$1203,$B114,'DAILY ENTRY'!$D$7:$D$1203,"Community answer or comment"))</f>
        <v/>
      </c>
      <c r="J114" s="107" t="str">
        <f aca="false">IF($A114="","",SUMIFS('DAILY ENTRY'!$F$7:$F$1203,'DAILY ENTRY'!$A$7:$A$1203,$A114,'DAILY ENTRY'!$B$7:$B$1203,$B114,'DAILY ENTRY'!$D$7:$D$1203,"Partnership / PR contact"))</f>
        <v/>
      </c>
      <c r="K114" s="107" t="str">
        <f aca="false">IF($A114="","",SUMIFS('DAILY ENTRY'!$F$7:$F$1203,'DAILY ENTRY'!$A$7:$A$1203,$A114,'DAILY ENTRY'!$B$7:$B$1203,$B114,'DAILY ENTRY'!$D$7:$D$1203,"Engagement (commented on someone else)"))</f>
        <v/>
      </c>
      <c r="L114" s="107" t="str">
        <f aca="false">IF($A114="","",SUMIFS('DAILY ENTRY'!$F$7:$F$1203,'DAILY ENTRY'!$A$7:$A$1203,$A114,'DAILY ENTRY'!$B$7:$B$1203,$B114,'DAILY ENTRY'!$D$7:$D$1203,"Account created / profile completed"))</f>
        <v/>
      </c>
      <c r="M114" s="108" t="str">
        <f aca="false">IF($A114="","",IFERROR(INDEX('DAILY ENTRY'!$E$7:$E$1203,MATCH(1,INDEX(('DAILY ENTRY'!$A$7:$A$1203=$A114)*('DAILY ENTRY'!$B$7:$B$1203=$B114)*('DAILY ENTRY'!$I$7:$I$1203="Meeting booked"),0),0)),IFERROR(INDEX('DAILY ENTRY'!$E$7:$E$1203,MATCH(1,INDEX(('DAILY ENTRY'!$A$7:$A$1203=$A114)*('DAILY ENTRY'!$B$7:$B$1203=$B114)*('DAILY ENTRY'!$I$7:$I$1203="Positive reply"),0),0)),"")))</f>
        <v/>
      </c>
      <c r="N114" s="108" t="str">
        <f aca="false">IF($A114="","",IFERROR(INDEX('DAILY ENTRY'!$J$7:$J$1203,MATCH(1,INDEX(('DAILY ENTRY'!$A$7:$A$1203=$A114)*('DAILY ENTRY'!$B$7:$B$1203=$B114)*('DAILY ENTRY'!$I$7:$I$1203="Blocked"),0),0)),""))</f>
        <v/>
      </c>
      <c r="O114" s="65" t="str">
        <f aca="false">IF($A114="","",(D114&gt;='START HERE'!$B$25)+(E114&gt;='START HERE'!$B$26)+(F114&gt;='START HERE'!$B$27)+(G114&gt;='START HERE'!$B$28)+(H114&gt;='START HERE'!$B$29)+(I114&gt;='START HERE'!$B$30)+(J114&gt;='START HERE'!$B$31)+(K114&gt;='START HERE'!$B$32))</f>
        <v/>
      </c>
      <c r="P114" s="46" t="str">
        <f aca="false">IF($A114="","",IF(O114&gt;=7,"Full day",IF(O114&gt;=5,"Most targets met",IF(O114&gt;=3,"Half day","Below plan - explain in the blocker column"))))</f>
        <v/>
      </c>
    </row>
    <row r="115" customFormat="false" ht="24" hidden="false" customHeight="true" outlineLevel="0" collapsed="false">
      <c r="A115" s="36"/>
      <c r="B115" s="37"/>
      <c r="C115" s="107" t="str">
        <f aca="false">IF($A115="","",ROUND(SUMIFS('DAILY ENTRY'!$G$7:$G$1203,'DAILY ENTRY'!$A$7:$A$1203,$A115,'DAILY ENTRY'!$B$7:$B$1203,$B115)/60,1))</f>
        <v/>
      </c>
      <c r="D115" s="107" t="str">
        <f aca="false">IF($A115="","",SUMIFS('DAILY ENTRY'!$F$7:$F$1203,'DAILY ENTRY'!$A$7:$A$1203,$A115,'DAILY ENTRY'!$B$7:$B$1203,$B115,'DAILY ENTRY'!$D$7:$D$1203,"Lead researched (Sales Navigator)"))</f>
        <v/>
      </c>
      <c r="E115" s="107" t="str">
        <f aca="false">IF($A115="","",SUMIFS('DAILY ENTRY'!$F$7:$F$1203,'DAILY ENTRY'!$A$7:$A$1203,$A115,'DAILY ENTRY'!$B$7:$B$1203,$B115,'DAILY ENTRY'!$D$7:$D$1203,"Connection request sent"))</f>
        <v/>
      </c>
      <c r="F115" s="107" t="str">
        <f aca="false">IF($A115="","",SUMIFS('DAILY ENTRY'!$F$7:$F$1203,'DAILY ENTRY'!$A$7:$A$1203,$A115,'DAILY ENTRY'!$B$7:$B$1203,$B115,'DAILY ENTRY'!$D$7:$D$1203,"First message sent"))</f>
        <v/>
      </c>
      <c r="G115" s="107" t="str">
        <f aca="false">IF($A115="","",SUMIFS('DAILY ENTRY'!$F$7:$F$1203,'DAILY ENTRY'!$A$7:$A$1203,$A115,'DAILY ENTRY'!$B$7:$B$1203,$B115,'DAILY ENTRY'!$D$7:$D$1203,"Follow-up message sent"))</f>
        <v/>
      </c>
      <c r="H115" s="107" t="str">
        <f aca="false">IF($A115="","",SUMIFS('DAILY ENTRY'!$F$7:$F$1203,'DAILY ENTRY'!$A$7:$A$1203,$A115,'DAILY ENTRY'!$B$7:$B$1203,$B115,'DAILY ENTRY'!$D$7:$D$1203,"Post / content published"))</f>
        <v/>
      </c>
      <c r="I115" s="107" t="str">
        <f aca="false">IF($A115="","",SUMIFS('DAILY ENTRY'!$F$7:$F$1203,'DAILY ENTRY'!$A$7:$A$1203,$A115,'DAILY ENTRY'!$B$7:$B$1203,$B115,'DAILY ENTRY'!$D$7:$D$1203,"Community answer or comment"))</f>
        <v/>
      </c>
      <c r="J115" s="107" t="str">
        <f aca="false">IF($A115="","",SUMIFS('DAILY ENTRY'!$F$7:$F$1203,'DAILY ENTRY'!$A$7:$A$1203,$A115,'DAILY ENTRY'!$B$7:$B$1203,$B115,'DAILY ENTRY'!$D$7:$D$1203,"Partnership / PR contact"))</f>
        <v/>
      </c>
      <c r="K115" s="107" t="str">
        <f aca="false">IF($A115="","",SUMIFS('DAILY ENTRY'!$F$7:$F$1203,'DAILY ENTRY'!$A$7:$A$1203,$A115,'DAILY ENTRY'!$B$7:$B$1203,$B115,'DAILY ENTRY'!$D$7:$D$1203,"Engagement (commented on someone else)"))</f>
        <v/>
      </c>
      <c r="L115" s="107" t="str">
        <f aca="false">IF($A115="","",SUMIFS('DAILY ENTRY'!$F$7:$F$1203,'DAILY ENTRY'!$A$7:$A$1203,$A115,'DAILY ENTRY'!$B$7:$B$1203,$B115,'DAILY ENTRY'!$D$7:$D$1203,"Account created / profile completed"))</f>
        <v/>
      </c>
      <c r="M115" s="108" t="str">
        <f aca="false">IF($A115="","",IFERROR(INDEX('DAILY ENTRY'!$E$7:$E$1203,MATCH(1,INDEX(('DAILY ENTRY'!$A$7:$A$1203=$A115)*('DAILY ENTRY'!$B$7:$B$1203=$B115)*('DAILY ENTRY'!$I$7:$I$1203="Meeting booked"),0),0)),IFERROR(INDEX('DAILY ENTRY'!$E$7:$E$1203,MATCH(1,INDEX(('DAILY ENTRY'!$A$7:$A$1203=$A115)*('DAILY ENTRY'!$B$7:$B$1203=$B115)*('DAILY ENTRY'!$I$7:$I$1203="Positive reply"),0),0)),"")))</f>
        <v/>
      </c>
      <c r="N115" s="108" t="str">
        <f aca="false">IF($A115="","",IFERROR(INDEX('DAILY ENTRY'!$J$7:$J$1203,MATCH(1,INDEX(('DAILY ENTRY'!$A$7:$A$1203=$A115)*('DAILY ENTRY'!$B$7:$B$1203=$B115)*('DAILY ENTRY'!$I$7:$I$1203="Blocked"),0),0)),""))</f>
        <v/>
      </c>
      <c r="O115" s="65" t="str">
        <f aca="false">IF($A115="","",(D115&gt;='START HERE'!$B$25)+(E115&gt;='START HERE'!$B$26)+(F115&gt;='START HERE'!$B$27)+(G115&gt;='START HERE'!$B$28)+(H115&gt;='START HERE'!$B$29)+(I115&gt;='START HERE'!$B$30)+(J115&gt;='START HERE'!$B$31)+(K115&gt;='START HERE'!$B$32))</f>
        <v/>
      </c>
      <c r="P115" s="46" t="str">
        <f aca="false">IF($A115="","",IF(O115&gt;=7,"Full day",IF(O115&gt;=5,"Most targets met",IF(O115&gt;=3,"Half day","Below plan - explain in the blocker column"))))</f>
        <v/>
      </c>
    </row>
    <row r="116" customFormat="false" ht="24" hidden="false" customHeight="true" outlineLevel="0" collapsed="false">
      <c r="A116" s="36"/>
      <c r="B116" s="37"/>
      <c r="C116" s="107" t="str">
        <f aca="false">IF($A116="","",ROUND(SUMIFS('DAILY ENTRY'!$G$7:$G$1203,'DAILY ENTRY'!$A$7:$A$1203,$A116,'DAILY ENTRY'!$B$7:$B$1203,$B116)/60,1))</f>
        <v/>
      </c>
      <c r="D116" s="107" t="str">
        <f aca="false">IF($A116="","",SUMIFS('DAILY ENTRY'!$F$7:$F$1203,'DAILY ENTRY'!$A$7:$A$1203,$A116,'DAILY ENTRY'!$B$7:$B$1203,$B116,'DAILY ENTRY'!$D$7:$D$1203,"Lead researched (Sales Navigator)"))</f>
        <v/>
      </c>
      <c r="E116" s="107" t="str">
        <f aca="false">IF($A116="","",SUMIFS('DAILY ENTRY'!$F$7:$F$1203,'DAILY ENTRY'!$A$7:$A$1203,$A116,'DAILY ENTRY'!$B$7:$B$1203,$B116,'DAILY ENTRY'!$D$7:$D$1203,"Connection request sent"))</f>
        <v/>
      </c>
      <c r="F116" s="107" t="str">
        <f aca="false">IF($A116="","",SUMIFS('DAILY ENTRY'!$F$7:$F$1203,'DAILY ENTRY'!$A$7:$A$1203,$A116,'DAILY ENTRY'!$B$7:$B$1203,$B116,'DAILY ENTRY'!$D$7:$D$1203,"First message sent"))</f>
        <v/>
      </c>
      <c r="G116" s="107" t="str">
        <f aca="false">IF($A116="","",SUMIFS('DAILY ENTRY'!$F$7:$F$1203,'DAILY ENTRY'!$A$7:$A$1203,$A116,'DAILY ENTRY'!$B$7:$B$1203,$B116,'DAILY ENTRY'!$D$7:$D$1203,"Follow-up message sent"))</f>
        <v/>
      </c>
      <c r="H116" s="107" t="str">
        <f aca="false">IF($A116="","",SUMIFS('DAILY ENTRY'!$F$7:$F$1203,'DAILY ENTRY'!$A$7:$A$1203,$A116,'DAILY ENTRY'!$B$7:$B$1203,$B116,'DAILY ENTRY'!$D$7:$D$1203,"Post / content published"))</f>
        <v/>
      </c>
      <c r="I116" s="107" t="str">
        <f aca="false">IF($A116="","",SUMIFS('DAILY ENTRY'!$F$7:$F$1203,'DAILY ENTRY'!$A$7:$A$1203,$A116,'DAILY ENTRY'!$B$7:$B$1203,$B116,'DAILY ENTRY'!$D$7:$D$1203,"Community answer or comment"))</f>
        <v/>
      </c>
      <c r="J116" s="107" t="str">
        <f aca="false">IF($A116="","",SUMIFS('DAILY ENTRY'!$F$7:$F$1203,'DAILY ENTRY'!$A$7:$A$1203,$A116,'DAILY ENTRY'!$B$7:$B$1203,$B116,'DAILY ENTRY'!$D$7:$D$1203,"Partnership / PR contact"))</f>
        <v/>
      </c>
      <c r="K116" s="107" t="str">
        <f aca="false">IF($A116="","",SUMIFS('DAILY ENTRY'!$F$7:$F$1203,'DAILY ENTRY'!$A$7:$A$1203,$A116,'DAILY ENTRY'!$B$7:$B$1203,$B116,'DAILY ENTRY'!$D$7:$D$1203,"Engagement (commented on someone else)"))</f>
        <v/>
      </c>
      <c r="L116" s="107" t="str">
        <f aca="false">IF($A116="","",SUMIFS('DAILY ENTRY'!$F$7:$F$1203,'DAILY ENTRY'!$A$7:$A$1203,$A116,'DAILY ENTRY'!$B$7:$B$1203,$B116,'DAILY ENTRY'!$D$7:$D$1203,"Account created / profile completed"))</f>
        <v/>
      </c>
      <c r="M116" s="108" t="str">
        <f aca="false">IF($A116="","",IFERROR(INDEX('DAILY ENTRY'!$E$7:$E$1203,MATCH(1,INDEX(('DAILY ENTRY'!$A$7:$A$1203=$A116)*('DAILY ENTRY'!$B$7:$B$1203=$B116)*('DAILY ENTRY'!$I$7:$I$1203="Meeting booked"),0),0)),IFERROR(INDEX('DAILY ENTRY'!$E$7:$E$1203,MATCH(1,INDEX(('DAILY ENTRY'!$A$7:$A$1203=$A116)*('DAILY ENTRY'!$B$7:$B$1203=$B116)*('DAILY ENTRY'!$I$7:$I$1203="Positive reply"),0),0)),"")))</f>
        <v/>
      </c>
      <c r="N116" s="108" t="str">
        <f aca="false">IF($A116="","",IFERROR(INDEX('DAILY ENTRY'!$J$7:$J$1203,MATCH(1,INDEX(('DAILY ENTRY'!$A$7:$A$1203=$A116)*('DAILY ENTRY'!$B$7:$B$1203=$B116)*('DAILY ENTRY'!$I$7:$I$1203="Blocked"),0),0)),""))</f>
        <v/>
      </c>
      <c r="O116" s="65" t="str">
        <f aca="false">IF($A116="","",(D116&gt;='START HERE'!$B$25)+(E116&gt;='START HERE'!$B$26)+(F116&gt;='START HERE'!$B$27)+(G116&gt;='START HERE'!$B$28)+(H116&gt;='START HERE'!$B$29)+(I116&gt;='START HERE'!$B$30)+(J116&gt;='START HERE'!$B$31)+(K116&gt;='START HERE'!$B$32))</f>
        <v/>
      </c>
      <c r="P116" s="46" t="str">
        <f aca="false">IF($A116="","",IF(O116&gt;=7,"Full day",IF(O116&gt;=5,"Most targets met",IF(O116&gt;=3,"Half day","Below plan - explain in the blocker column"))))</f>
        <v/>
      </c>
    </row>
    <row r="117" customFormat="false" ht="24" hidden="false" customHeight="true" outlineLevel="0" collapsed="false">
      <c r="A117" s="36"/>
      <c r="B117" s="37"/>
      <c r="C117" s="107" t="str">
        <f aca="false">IF($A117="","",ROUND(SUMIFS('DAILY ENTRY'!$G$7:$G$1203,'DAILY ENTRY'!$A$7:$A$1203,$A117,'DAILY ENTRY'!$B$7:$B$1203,$B117)/60,1))</f>
        <v/>
      </c>
      <c r="D117" s="107" t="str">
        <f aca="false">IF($A117="","",SUMIFS('DAILY ENTRY'!$F$7:$F$1203,'DAILY ENTRY'!$A$7:$A$1203,$A117,'DAILY ENTRY'!$B$7:$B$1203,$B117,'DAILY ENTRY'!$D$7:$D$1203,"Lead researched (Sales Navigator)"))</f>
        <v/>
      </c>
      <c r="E117" s="107" t="str">
        <f aca="false">IF($A117="","",SUMIFS('DAILY ENTRY'!$F$7:$F$1203,'DAILY ENTRY'!$A$7:$A$1203,$A117,'DAILY ENTRY'!$B$7:$B$1203,$B117,'DAILY ENTRY'!$D$7:$D$1203,"Connection request sent"))</f>
        <v/>
      </c>
      <c r="F117" s="107" t="str">
        <f aca="false">IF($A117="","",SUMIFS('DAILY ENTRY'!$F$7:$F$1203,'DAILY ENTRY'!$A$7:$A$1203,$A117,'DAILY ENTRY'!$B$7:$B$1203,$B117,'DAILY ENTRY'!$D$7:$D$1203,"First message sent"))</f>
        <v/>
      </c>
      <c r="G117" s="107" t="str">
        <f aca="false">IF($A117="","",SUMIFS('DAILY ENTRY'!$F$7:$F$1203,'DAILY ENTRY'!$A$7:$A$1203,$A117,'DAILY ENTRY'!$B$7:$B$1203,$B117,'DAILY ENTRY'!$D$7:$D$1203,"Follow-up message sent"))</f>
        <v/>
      </c>
      <c r="H117" s="107" t="str">
        <f aca="false">IF($A117="","",SUMIFS('DAILY ENTRY'!$F$7:$F$1203,'DAILY ENTRY'!$A$7:$A$1203,$A117,'DAILY ENTRY'!$B$7:$B$1203,$B117,'DAILY ENTRY'!$D$7:$D$1203,"Post / content published"))</f>
        <v/>
      </c>
      <c r="I117" s="107" t="str">
        <f aca="false">IF($A117="","",SUMIFS('DAILY ENTRY'!$F$7:$F$1203,'DAILY ENTRY'!$A$7:$A$1203,$A117,'DAILY ENTRY'!$B$7:$B$1203,$B117,'DAILY ENTRY'!$D$7:$D$1203,"Community answer or comment"))</f>
        <v/>
      </c>
      <c r="J117" s="107" t="str">
        <f aca="false">IF($A117="","",SUMIFS('DAILY ENTRY'!$F$7:$F$1203,'DAILY ENTRY'!$A$7:$A$1203,$A117,'DAILY ENTRY'!$B$7:$B$1203,$B117,'DAILY ENTRY'!$D$7:$D$1203,"Partnership / PR contact"))</f>
        <v/>
      </c>
      <c r="K117" s="107" t="str">
        <f aca="false">IF($A117="","",SUMIFS('DAILY ENTRY'!$F$7:$F$1203,'DAILY ENTRY'!$A$7:$A$1203,$A117,'DAILY ENTRY'!$B$7:$B$1203,$B117,'DAILY ENTRY'!$D$7:$D$1203,"Engagement (commented on someone else)"))</f>
        <v/>
      </c>
      <c r="L117" s="107" t="str">
        <f aca="false">IF($A117="","",SUMIFS('DAILY ENTRY'!$F$7:$F$1203,'DAILY ENTRY'!$A$7:$A$1203,$A117,'DAILY ENTRY'!$B$7:$B$1203,$B117,'DAILY ENTRY'!$D$7:$D$1203,"Account created / profile completed"))</f>
        <v/>
      </c>
      <c r="M117" s="108" t="str">
        <f aca="false">IF($A117="","",IFERROR(INDEX('DAILY ENTRY'!$E$7:$E$1203,MATCH(1,INDEX(('DAILY ENTRY'!$A$7:$A$1203=$A117)*('DAILY ENTRY'!$B$7:$B$1203=$B117)*('DAILY ENTRY'!$I$7:$I$1203="Meeting booked"),0),0)),IFERROR(INDEX('DAILY ENTRY'!$E$7:$E$1203,MATCH(1,INDEX(('DAILY ENTRY'!$A$7:$A$1203=$A117)*('DAILY ENTRY'!$B$7:$B$1203=$B117)*('DAILY ENTRY'!$I$7:$I$1203="Positive reply"),0),0)),"")))</f>
        <v/>
      </c>
      <c r="N117" s="108" t="str">
        <f aca="false">IF($A117="","",IFERROR(INDEX('DAILY ENTRY'!$J$7:$J$1203,MATCH(1,INDEX(('DAILY ENTRY'!$A$7:$A$1203=$A117)*('DAILY ENTRY'!$B$7:$B$1203=$B117)*('DAILY ENTRY'!$I$7:$I$1203="Blocked"),0),0)),""))</f>
        <v/>
      </c>
      <c r="O117" s="65" t="str">
        <f aca="false">IF($A117="","",(D117&gt;='START HERE'!$B$25)+(E117&gt;='START HERE'!$B$26)+(F117&gt;='START HERE'!$B$27)+(G117&gt;='START HERE'!$B$28)+(H117&gt;='START HERE'!$B$29)+(I117&gt;='START HERE'!$B$30)+(J117&gt;='START HERE'!$B$31)+(K117&gt;='START HERE'!$B$32))</f>
        <v/>
      </c>
      <c r="P117" s="46" t="str">
        <f aca="false">IF($A117="","",IF(O117&gt;=7,"Full day",IF(O117&gt;=5,"Most targets met",IF(O117&gt;=3,"Half day","Below plan - explain in the blocker column"))))</f>
        <v/>
      </c>
    </row>
    <row r="118" customFormat="false" ht="24" hidden="false" customHeight="true" outlineLevel="0" collapsed="false">
      <c r="A118" s="36"/>
      <c r="B118" s="37"/>
      <c r="C118" s="107" t="str">
        <f aca="false">IF($A118="","",ROUND(SUMIFS('DAILY ENTRY'!$G$7:$G$1203,'DAILY ENTRY'!$A$7:$A$1203,$A118,'DAILY ENTRY'!$B$7:$B$1203,$B118)/60,1))</f>
        <v/>
      </c>
      <c r="D118" s="107" t="str">
        <f aca="false">IF($A118="","",SUMIFS('DAILY ENTRY'!$F$7:$F$1203,'DAILY ENTRY'!$A$7:$A$1203,$A118,'DAILY ENTRY'!$B$7:$B$1203,$B118,'DAILY ENTRY'!$D$7:$D$1203,"Lead researched (Sales Navigator)"))</f>
        <v/>
      </c>
      <c r="E118" s="107" t="str">
        <f aca="false">IF($A118="","",SUMIFS('DAILY ENTRY'!$F$7:$F$1203,'DAILY ENTRY'!$A$7:$A$1203,$A118,'DAILY ENTRY'!$B$7:$B$1203,$B118,'DAILY ENTRY'!$D$7:$D$1203,"Connection request sent"))</f>
        <v/>
      </c>
      <c r="F118" s="107" t="str">
        <f aca="false">IF($A118="","",SUMIFS('DAILY ENTRY'!$F$7:$F$1203,'DAILY ENTRY'!$A$7:$A$1203,$A118,'DAILY ENTRY'!$B$7:$B$1203,$B118,'DAILY ENTRY'!$D$7:$D$1203,"First message sent"))</f>
        <v/>
      </c>
      <c r="G118" s="107" t="str">
        <f aca="false">IF($A118="","",SUMIFS('DAILY ENTRY'!$F$7:$F$1203,'DAILY ENTRY'!$A$7:$A$1203,$A118,'DAILY ENTRY'!$B$7:$B$1203,$B118,'DAILY ENTRY'!$D$7:$D$1203,"Follow-up message sent"))</f>
        <v/>
      </c>
      <c r="H118" s="107" t="str">
        <f aca="false">IF($A118="","",SUMIFS('DAILY ENTRY'!$F$7:$F$1203,'DAILY ENTRY'!$A$7:$A$1203,$A118,'DAILY ENTRY'!$B$7:$B$1203,$B118,'DAILY ENTRY'!$D$7:$D$1203,"Post / content published"))</f>
        <v/>
      </c>
      <c r="I118" s="107" t="str">
        <f aca="false">IF($A118="","",SUMIFS('DAILY ENTRY'!$F$7:$F$1203,'DAILY ENTRY'!$A$7:$A$1203,$A118,'DAILY ENTRY'!$B$7:$B$1203,$B118,'DAILY ENTRY'!$D$7:$D$1203,"Community answer or comment"))</f>
        <v/>
      </c>
      <c r="J118" s="107" t="str">
        <f aca="false">IF($A118="","",SUMIFS('DAILY ENTRY'!$F$7:$F$1203,'DAILY ENTRY'!$A$7:$A$1203,$A118,'DAILY ENTRY'!$B$7:$B$1203,$B118,'DAILY ENTRY'!$D$7:$D$1203,"Partnership / PR contact"))</f>
        <v/>
      </c>
      <c r="K118" s="107" t="str">
        <f aca="false">IF($A118="","",SUMIFS('DAILY ENTRY'!$F$7:$F$1203,'DAILY ENTRY'!$A$7:$A$1203,$A118,'DAILY ENTRY'!$B$7:$B$1203,$B118,'DAILY ENTRY'!$D$7:$D$1203,"Engagement (commented on someone else)"))</f>
        <v/>
      </c>
      <c r="L118" s="107" t="str">
        <f aca="false">IF($A118="","",SUMIFS('DAILY ENTRY'!$F$7:$F$1203,'DAILY ENTRY'!$A$7:$A$1203,$A118,'DAILY ENTRY'!$B$7:$B$1203,$B118,'DAILY ENTRY'!$D$7:$D$1203,"Account created / profile completed"))</f>
        <v/>
      </c>
      <c r="M118" s="108" t="str">
        <f aca="false">IF($A118="","",IFERROR(INDEX('DAILY ENTRY'!$E$7:$E$1203,MATCH(1,INDEX(('DAILY ENTRY'!$A$7:$A$1203=$A118)*('DAILY ENTRY'!$B$7:$B$1203=$B118)*('DAILY ENTRY'!$I$7:$I$1203="Meeting booked"),0),0)),IFERROR(INDEX('DAILY ENTRY'!$E$7:$E$1203,MATCH(1,INDEX(('DAILY ENTRY'!$A$7:$A$1203=$A118)*('DAILY ENTRY'!$B$7:$B$1203=$B118)*('DAILY ENTRY'!$I$7:$I$1203="Positive reply"),0),0)),"")))</f>
        <v/>
      </c>
      <c r="N118" s="108" t="str">
        <f aca="false">IF($A118="","",IFERROR(INDEX('DAILY ENTRY'!$J$7:$J$1203,MATCH(1,INDEX(('DAILY ENTRY'!$A$7:$A$1203=$A118)*('DAILY ENTRY'!$B$7:$B$1203=$B118)*('DAILY ENTRY'!$I$7:$I$1203="Blocked"),0),0)),""))</f>
        <v/>
      </c>
      <c r="O118" s="65" t="str">
        <f aca="false">IF($A118="","",(D118&gt;='START HERE'!$B$25)+(E118&gt;='START HERE'!$B$26)+(F118&gt;='START HERE'!$B$27)+(G118&gt;='START HERE'!$B$28)+(H118&gt;='START HERE'!$B$29)+(I118&gt;='START HERE'!$B$30)+(J118&gt;='START HERE'!$B$31)+(K118&gt;='START HERE'!$B$32))</f>
        <v/>
      </c>
      <c r="P118" s="46" t="str">
        <f aca="false">IF($A118="","",IF(O118&gt;=7,"Full day",IF(O118&gt;=5,"Most targets met",IF(O118&gt;=3,"Half day","Below plan - explain in the blocker column"))))</f>
        <v/>
      </c>
    </row>
    <row r="119" customFormat="false" ht="24" hidden="false" customHeight="true" outlineLevel="0" collapsed="false">
      <c r="A119" s="36"/>
      <c r="B119" s="37"/>
      <c r="C119" s="107" t="str">
        <f aca="false">IF($A119="","",ROUND(SUMIFS('DAILY ENTRY'!$G$7:$G$1203,'DAILY ENTRY'!$A$7:$A$1203,$A119,'DAILY ENTRY'!$B$7:$B$1203,$B119)/60,1))</f>
        <v/>
      </c>
      <c r="D119" s="107" t="str">
        <f aca="false">IF($A119="","",SUMIFS('DAILY ENTRY'!$F$7:$F$1203,'DAILY ENTRY'!$A$7:$A$1203,$A119,'DAILY ENTRY'!$B$7:$B$1203,$B119,'DAILY ENTRY'!$D$7:$D$1203,"Lead researched (Sales Navigator)"))</f>
        <v/>
      </c>
      <c r="E119" s="107" t="str">
        <f aca="false">IF($A119="","",SUMIFS('DAILY ENTRY'!$F$7:$F$1203,'DAILY ENTRY'!$A$7:$A$1203,$A119,'DAILY ENTRY'!$B$7:$B$1203,$B119,'DAILY ENTRY'!$D$7:$D$1203,"Connection request sent"))</f>
        <v/>
      </c>
      <c r="F119" s="107" t="str">
        <f aca="false">IF($A119="","",SUMIFS('DAILY ENTRY'!$F$7:$F$1203,'DAILY ENTRY'!$A$7:$A$1203,$A119,'DAILY ENTRY'!$B$7:$B$1203,$B119,'DAILY ENTRY'!$D$7:$D$1203,"First message sent"))</f>
        <v/>
      </c>
      <c r="G119" s="107" t="str">
        <f aca="false">IF($A119="","",SUMIFS('DAILY ENTRY'!$F$7:$F$1203,'DAILY ENTRY'!$A$7:$A$1203,$A119,'DAILY ENTRY'!$B$7:$B$1203,$B119,'DAILY ENTRY'!$D$7:$D$1203,"Follow-up message sent"))</f>
        <v/>
      </c>
      <c r="H119" s="107" t="str">
        <f aca="false">IF($A119="","",SUMIFS('DAILY ENTRY'!$F$7:$F$1203,'DAILY ENTRY'!$A$7:$A$1203,$A119,'DAILY ENTRY'!$B$7:$B$1203,$B119,'DAILY ENTRY'!$D$7:$D$1203,"Post / content published"))</f>
        <v/>
      </c>
      <c r="I119" s="107" t="str">
        <f aca="false">IF($A119="","",SUMIFS('DAILY ENTRY'!$F$7:$F$1203,'DAILY ENTRY'!$A$7:$A$1203,$A119,'DAILY ENTRY'!$B$7:$B$1203,$B119,'DAILY ENTRY'!$D$7:$D$1203,"Community answer or comment"))</f>
        <v/>
      </c>
      <c r="J119" s="107" t="str">
        <f aca="false">IF($A119="","",SUMIFS('DAILY ENTRY'!$F$7:$F$1203,'DAILY ENTRY'!$A$7:$A$1203,$A119,'DAILY ENTRY'!$B$7:$B$1203,$B119,'DAILY ENTRY'!$D$7:$D$1203,"Partnership / PR contact"))</f>
        <v/>
      </c>
      <c r="K119" s="107" t="str">
        <f aca="false">IF($A119="","",SUMIFS('DAILY ENTRY'!$F$7:$F$1203,'DAILY ENTRY'!$A$7:$A$1203,$A119,'DAILY ENTRY'!$B$7:$B$1203,$B119,'DAILY ENTRY'!$D$7:$D$1203,"Engagement (commented on someone else)"))</f>
        <v/>
      </c>
      <c r="L119" s="107" t="str">
        <f aca="false">IF($A119="","",SUMIFS('DAILY ENTRY'!$F$7:$F$1203,'DAILY ENTRY'!$A$7:$A$1203,$A119,'DAILY ENTRY'!$B$7:$B$1203,$B119,'DAILY ENTRY'!$D$7:$D$1203,"Account created / profile completed"))</f>
        <v/>
      </c>
      <c r="M119" s="108" t="str">
        <f aca="false">IF($A119="","",IFERROR(INDEX('DAILY ENTRY'!$E$7:$E$1203,MATCH(1,INDEX(('DAILY ENTRY'!$A$7:$A$1203=$A119)*('DAILY ENTRY'!$B$7:$B$1203=$B119)*('DAILY ENTRY'!$I$7:$I$1203="Meeting booked"),0),0)),IFERROR(INDEX('DAILY ENTRY'!$E$7:$E$1203,MATCH(1,INDEX(('DAILY ENTRY'!$A$7:$A$1203=$A119)*('DAILY ENTRY'!$B$7:$B$1203=$B119)*('DAILY ENTRY'!$I$7:$I$1203="Positive reply"),0),0)),"")))</f>
        <v/>
      </c>
      <c r="N119" s="108" t="str">
        <f aca="false">IF($A119="","",IFERROR(INDEX('DAILY ENTRY'!$J$7:$J$1203,MATCH(1,INDEX(('DAILY ENTRY'!$A$7:$A$1203=$A119)*('DAILY ENTRY'!$B$7:$B$1203=$B119)*('DAILY ENTRY'!$I$7:$I$1203="Blocked"),0),0)),""))</f>
        <v/>
      </c>
      <c r="O119" s="65" t="str">
        <f aca="false">IF($A119="","",(D119&gt;='START HERE'!$B$25)+(E119&gt;='START HERE'!$B$26)+(F119&gt;='START HERE'!$B$27)+(G119&gt;='START HERE'!$B$28)+(H119&gt;='START HERE'!$B$29)+(I119&gt;='START HERE'!$B$30)+(J119&gt;='START HERE'!$B$31)+(K119&gt;='START HERE'!$B$32))</f>
        <v/>
      </c>
      <c r="P119" s="46" t="str">
        <f aca="false">IF($A119="","",IF(O119&gt;=7,"Full day",IF(O119&gt;=5,"Most targets met",IF(O119&gt;=3,"Half day","Below plan - explain in the blocker column"))))</f>
        <v/>
      </c>
    </row>
    <row r="120" customFormat="false" ht="24" hidden="false" customHeight="true" outlineLevel="0" collapsed="false">
      <c r="A120" s="36"/>
      <c r="B120" s="37"/>
      <c r="C120" s="107" t="str">
        <f aca="false">IF($A120="","",ROUND(SUMIFS('DAILY ENTRY'!$G$7:$G$1203,'DAILY ENTRY'!$A$7:$A$1203,$A120,'DAILY ENTRY'!$B$7:$B$1203,$B120)/60,1))</f>
        <v/>
      </c>
      <c r="D120" s="107" t="str">
        <f aca="false">IF($A120="","",SUMIFS('DAILY ENTRY'!$F$7:$F$1203,'DAILY ENTRY'!$A$7:$A$1203,$A120,'DAILY ENTRY'!$B$7:$B$1203,$B120,'DAILY ENTRY'!$D$7:$D$1203,"Lead researched (Sales Navigator)"))</f>
        <v/>
      </c>
      <c r="E120" s="107" t="str">
        <f aca="false">IF($A120="","",SUMIFS('DAILY ENTRY'!$F$7:$F$1203,'DAILY ENTRY'!$A$7:$A$1203,$A120,'DAILY ENTRY'!$B$7:$B$1203,$B120,'DAILY ENTRY'!$D$7:$D$1203,"Connection request sent"))</f>
        <v/>
      </c>
      <c r="F120" s="107" t="str">
        <f aca="false">IF($A120="","",SUMIFS('DAILY ENTRY'!$F$7:$F$1203,'DAILY ENTRY'!$A$7:$A$1203,$A120,'DAILY ENTRY'!$B$7:$B$1203,$B120,'DAILY ENTRY'!$D$7:$D$1203,"First message sent"))</f>
        <v/>
      </c>
      <c r="G120" s="107" t="str">
        <f aca="false">IF($A120="","",SUMIFS('DAILY ENTRY'!$F$7:$F$1203,'DAILY ENTRY'!$A$7:$A$1203,$A120,'DAILY ENTRY'!$B$7:$B$1203,$B120,'DAILY ENTRY'!$D$7:$D$1203,"Follow-up message sent"))</f>
        <v/>
      </c>
      <c r="H120" s="107" t="str">
        <f aca="false">IF($A120="","",SUMIFS('DAILY ENTRY'!$F$7:$F$1203,'DAILY ENTRY'!$A$7:$A$1203,$A120,'DAILY ENTRY'!$B$7:$B$1203,$B120,'DAILY ENTRY'!$D$7:$D$1203,"Post / content published"))</f>
        <v/>
      </c>
      <c r="I120" s="107" t="str">
        <f aca="false">IF($A120="","",SUMIFS('DAILY ENTRY'!$F$7:$F$1203,'DAILY ENTRY'!$A$7:$A$1203,$A120,'DAILY ENTRY'!$B$7:$B$1203,$B120,'DAILY ENTRY'!$D$7:$D$1203,"Community answer or comment"))</f>
        <v/>
      </c>
      <c r="J120" s="107" t="str">
        <f aca="false">IF($A120="","",SUMIFS('DAILY ENTRY'!$F$7:$F$1203,'DAILY ENTRY'!$A$7:$A$1203,$A120,'DAILY ENTRY'!$B$7:$B$1203,$B120,'DAILY ENTRY'!$D$7:$D$1203,"Partnership / PR contact"))</f>
        <v/>
      </c>
      <c r="K120" s="107" t="str">
        <f aca="false">IF($A120="","",SUMIFS('DAILY ENTRY'!$F$7:$F$1203,'DAILY ENTRY'!$A$7:$A$1203,$A120,'DAILY ENTRY'!$B$7:$B$1203,$B120,'DAILY ENTRY'!$D$7:$D$1203,"Engagement (commented on someone else)"))</f>
        <v/>
      </c>
      <c r="L120" s="107" t="str">
        <f aca="false">IF($A120="","",SUMIFS('DAILY ENTRY'!$F$7:$F$1203,'DAILY ENTRY'!$A$7:$A$1203,$A120,'DAILY ENTRY'!$B$7:$B$1203,$B120,'DAILY ENTRY'!$D$7:$D$1203,"Account created / profile completed"))</f>
        <v/>
      </c>
      <c r="M120" s="108" t="str">
        <f aca="false">IF($A120="","",IFERROR(INDEX('DAILY ENTRY'!$E$7:$E$1203,MATCH(1,INDEX(('DAILY ENTRY'!$A$7:$A$1203=$A120)*('DAILY ENTRY'!$B$7:$B$1203=$B120)*('DAILY ENTRY'!$I$7:$I$1203="Meeting booked"),0),0)),IFERROR(INDEX('DAILY ENTRY'!$E$7:$E$1203,MATCH(1,INDEX(('DAILY ENTRY'!$A$7:$A$1203=$A120)*('DAILY ENTRY'!$B$7:$B$1203=$B120)*('DAILY ENTRY'!$I$7:$I$1203="Positive reply"),0),0)),"")))</f>
        <v/>
      </c>
      <c r="N120" s="108" t="str">
        <f aca="false">IF($A120="","",IFERROR(INDEX('DAILY ENTRY'!$J$7:$J$1203,MATCH(1,INDEX(('DAILY ENTRY'!$A$7:$A$1203=$A120)*('DAILY ENTRY'!$B$7:$B$1203=$B120)*('DAILY ENTRY'!$I$7:$I$1203="Blocked"),0),0)),""))</f>
        <v/>
      </c>
      <c r="O120" s="65" t="str">
        <f aca="false">IF($A120="","",(D120&gt;='START HERE'!$B$25)+(E120&gt;='START HERE'!$B$26)+(F120&gt;='START HERE'!$B$27)+(G120&gt;='START HERE'!$B$28)+(H120&gt;='START HERE'!$B$29)+(I120&gt;='START HERE'!$B$30)+(J120&gt;='START HERE'!$B$31)+(K120&gt;='START HERE'!$B$32))</f>
        <v/>
      </c>
      <c r="P120" s="46" t="str">
        <f aca="false">IF($A120="","",IF(O120&gt;=7,"Full day",IF(O120&gt;=5,"Most targets met",IF(O120&gt;=3,"Half day","Below plan - explain in the blocker column"))))</f>
        <v/>
      </c>
    </row>
    <row r="121" customFormat="false" ht="24" hidden="false" customHeight="true" outlineLevel="0" collapsed="false">
      <c r="A121" s="36"/>
      <c r="B121" s="37"/>
      <c r="C121" s="107" t="str">
        <f aca="false">IF($A121="","",ROUND(SUMIFS('DAILY ENTRY'!$G$7:$G$1203,'DAILY ENTRY'!$A$7:$A$1203,$A121,'DAILY ENTRY'!$B$7:$B$1203,$B121)/60,1))</f>
        <v/>
      </c>
      <c r="D121" s="107" t="str">
        <f aca="false">IF($A121="","",SUMIFS('DAILY ENTRY'!$F$7:$F$1203,'DAILY ENTRY'!$A$7:$A$1203,$A121,'DAILY ENTRY'!$B$7:$B$1203,$B121,'DAILY ENTRY'!$D$7:$D$1203,"Lead researched (Sales Navigator)"))</f>
        <v/>
      </c>
      <c r="E121" s="107" t="str">
        <f aca="false">IF($A121="","",SUMIFS('DAILY ENTRY'!$F$7:$F$1203,'DAILY ENTRY'!$A$7:$A$1203,$A121,'DAILY ENTRY'!$B$7:$B$1203,$B121,'DAILY ENTRY'!$D$7:$D$1203,"Connection request sent"))</f>
        <v/>
      </c>
      <c r="F121" s="107" t="str">
        <f aca="false">IF($A121="","",SUMIFS('DAILY ENTRY'!$F$7:$F$1203,'DAILY ENTRY'!$A$7:$A$1203,$A121,'DAILY ENTRY'!$B$7:$B$1203,$B121,'DAILY ENTRY'!$D$7:$D$1203,"First message sent"))</f>
        <v/>
      </c>
      <c r="G121" s="107" t="str">
        <f aca="false">IF($A121="","",SUMIFS('DAILY ENTRY'!$F$7:$F$1203,'DAILY ENTRY'!$A$7:$A$1203,$A121,'DAILY ENTRY'!$B$7:$B$1203,$B121,'DAILY ENTRY'!$D$7:$D$1203,"Follow-up message sent"))</f>
        <v/>
      </c>
      <c r="H121" s="107" t="str">
        <f aca="false">IF($A121="","",SUMIFS('DAILY ENTRY'!$F$7:$F$1203,'DAILY ENTRY'!$A$7:$A$1203,$A121,'DAILY ENTRY'!$B$7:$B$1203,$B121,'DAILY ENTRY'!$D$7:$D$1203,"Post / content published"))</f>
        <v/>
      </c>
      <c r="I121" s="107" t="str">
        <f aca="false">IF($A121="","",SUMIFS('DAILY ENTRY'!$F$7:$F$1203,'DAILY ENTRY'!$A$7:$A$1203,$A121,'DAILY ENTRY'!$B$7:$B$1203,$B121,'DAILY ENTRY'!$D$7:$D$1203,"Community answer or comment"))</f>
        <v/>
      </c>
      <c r="J121" s="107" t="str">
        <f aca="false">IF($A121="","",SUMIFS('DAILY ENTRY'!$F$7:$F$1203,'DAILY ENTRY'!$A$7:$A$1203,$A121,'DAILY ENTRY'!$B$7:$B$1203,$B121,'DAILY ENTRY'!$D$7:$D$1203,"Partnership / PR contact"))</f>
        <v/>
      </c>
      <c r="K121" s="107" t="str">
        <f aca="false">IF($A121="","",SUMIFS('DAILY ENTRY'!$F$7:$F$1203,'DAILY ENTRY'!$A$7:$A$1203,$A121,'DAILY ENTRY'!$B$7:$B$1203,$B121,'DAILY ENTRY'!$D$7:$D$1203,"Engagement (commented on someone else)"))</f>
        <v/>
      </c>
      <c r="L121" s="107" t="str">
        <f aca="false">IF($A121="","",SUMIFS('DAILY ENTRY'!$F$7:$F$1203,'DAILY ENTRY'!$A$7:$A$1203,$A121,'DAILY ENTRY'!$B$7:$B$1203,$B121,'DAILY ENTRY'!$D$7:$D$1203,"Account created / profile completed"))</f>
        <v/>
      </c>
      <c r="M121" s="108" t="str">
        <f aca="false">IF($A121="","",IFERROR(INDEX('DAILY ENTRY'!$E$7:$E$1203,MATCH(1,INDEX(('DAILY ENTRY'!$A$7:$A$1203=$A121)*('DAILY ENTRY'!$B$7:$B$1203=$B121)*('DAILY ENTRY'!$I$7:$I$1203="Meeting booked"),0),0)),IFERROR(INDEX('DAILY ENTRY'!$E$7:$E$1203,MATCH(1,INDEX(('DAILY ENTRY'!$A$7:$A$1203=$A121)*('DAILY ENTRY'!$B$7:$B$1203=$B121)*('DAILY ENTRY'!$I$7:$I$1203="Positive reply"),0),0)),"")))</f>
        <v/>
      </c>
      <c r="N121" s="108" t="str">
        <f aca="false">IF($A121="","",IFERROR(INDEX('DAILY ENTRY'!$J$7:$J$1203,MATCH(1,INDEX(('DAILY ENTRY'!$A$7:$A$1203=$A121)*('DAILY ENTRY'!$B$7:$B$1203=$B121)*('DAILY ENTRY'!$I$7:$I$1203="Blocked"),0),0)),""))</f>
        <v/>
      </c>
      <c r="O121" s="65" t="str">
        <f aca="false">IF($A121="","",(D121&gt;='START HERE'!$B$25)+(E121&gt;='START HERE'!$B$26)+(F121&gt;='START HERE'!$B$27)+(G121&gt;='START HERE'!$B$28)+(H121&gt;='START HERE'!$B$29)+(I121&gt;='START HERE'!$B$30)+(J121&gt;='START HERE'!$B$31)+(K121&gt;='START HERE'!$B$32))</f>
        <v/>
      </c>
      <c r="P121" s="46" t="str">
        <f aca="false">IF($A121="","",IF(O121&gt;=7,"Full day",IF(O121&gt;=5,"Most targets met",IF(O121&gt;=3,"Half day","Below plan - explain in the blocker column"))))</f>
        <v/>
      </c>
    </row>
    <row r="122" customFormat="false" ht="24" hidden="false" customHeight="true" outlineLevel="0" collapsed="false">
      <c r="A122" s="36"/>
      <c r="B122" s="37"/>
      <c r="C122" s="107" t="str">
        <f aca="false">IF($A122="","",ROUND(SUMIFS('DAILY ENTRY'!$G$7:$G$1203,'DAILY ENTRY'!$A$7:$A$1203,$A122,'DAILY ENTRY'!$B$7:$B$1203,$B122)/60,1))</f>
        <v/>
      </c>
      <c r="D122" s="107" t="str">
        <f aca="false">IF($A122="","",SUMIFS('DAILY ENTRY'!$F$7:$F$1203,'DAILY ENTRY'!$A$7:$A$1203,$A122,'DAILY ENTRY'!$B$7:$B$1203,$B122,'DAILY ENTRY'!$D$7:$D$1203,"Lead researched (Sales Navigator)"))</f>
        <v/>
      </c>
      <c r="E122" s="107" t="str">
        <f aca="false">IF($A122="","",SUMIFS('DAILY ENTRY'!$F$7:$F$1203,'DAILY ENTRY'!$A$7:$A$1203,$A122,'DAILY ENTRY'!$B$7:$B$1203,$B122,'DAILY ENTRY'!$D$7:$D$1203,"Connection request sent"))</f>
        <v/>
      </c>
      <c r="F122" s="107" t="str">
        <f aca="false">IF($A122="","",SUMIFS('DAILY ENTRY'!$F$7:$F$1203,'DAILY ENTRY'!$A$7:$A$1203,$A122,'DAILY ENTRY'!$B$7:$B$1203,$B122,'DAILY ENTRY'!$D$7:$D$1203,"First message sent"))</f>
        <v/>
      </c>
      <c r="G122" s="107" t="str">
        <f aca="false">IF($A122="","",SUMIFS('DAILY ENTRY'!$F$7:$F$1203,'DAILY ENTRY'!$A$7:$A$1203,$A122,'DAILY ENTRY'!$B$7:$B$1203,$B122,'DAILY ENTRY'!$D$7:$D$1203,"Follow-up message sent"))</f>
        <v/>
      </c>
      <c r="H122" s="107" t="str">
        <f aca="false">IF($A122="","",SUMIFS('DAILY ENTRY'!$F$7:$F$1203,'DAILY ENTRY'!$A$7:$A$1203,$A122,'DAILY ENTRY'!$B$7:$B$1203,$B122,'DAILY ENTRY'!$D$7:$D$1203,"Post / content published"))</f>
        <v/>
      </c>
      <c r="I122" s="107" t="str">
        <f aca="false">IF($A122="","",SUMIFS('DAILY ENTRY'!$F$7:$F$1203,'DAILY ENTRY'!$A$7:$A$1203,$A122,'DAILY ENTRY'!$B$7:$B$1203,$B122,'DAILY ENTRY'!$D$7:$D$1203,"Community answer or comment"))</f>
        <v/>
      </c>
      <c r="J122" s="107" t="str">
        <f aca="false">IF($A122="","",SUMIFS('DAILY ENTRY'!$F$7:$F$1203,'DAILY ENTRY'!$A$7:$A$1203,$A122,'DAILY ENTRY'!$B$7:$B$1203,$B122,'DAILY ENTRY'!$D$7:$D$1203,"Partnership / PR contact"))</f>
        <v/>
      </c>
      <c r="K122" s="107" t="str">
        <f aca="false">IF($A122="","",SUMIFS('DAILY ENTRY'!$F$7:$F$1203,'DAILY ENTRY'!$A$7:$A$1203,$A122,'DAILY ENTRY'!$B$7:$B$1203,$B122,'DAILY ENTRY'!$D$7:$D$1203,"Engagement (commented on someone else)"))</f>
        <v/>
      </c>
      <c r="L122" s="107" t="str">
        <f aca="false">IF($A122="","",SUMIFS('DAILY ENTRY'!$F$7:$F$1203,'DAILY ENTRY'!$A$7:$A$1203,$A122,'DAILY ENTRY'!$B$7:$B$1203,$B122,'DAILY ENTRY'!$D$7:$D$1203,"Account created / profile completed"))</f>
        <v/>
      </c>
      <c r="M122" s="108" t="str">
        <f aca="false">IF($A122="","",IFERROR(INDEX('DAILY ENTRY'!$E$7:$E$1203,MATCH(1,INDEX(('DAILY ENTRY'!$A$7:$A$1203=$A122)*('DAILY ENTRY'!$B$7:$B$1203=$B122)*('DAILY ENTRY'!$I$7:$I$1203="Meeting booked"),0),0)),IFERROR(INDEX('DAILY ENTRY'!$E$7:$E$1203,MATCH(1,INDEX(('DAILY ENTRY'!$A$7:$A$1203=$A122)*('DAILY ENTRY'!$B$7:$B$1203=$B122)*('DAILY ENTRY'!$I$7:$I$1203="Positive reply"),0),0)),"")))</f>
        <v/>
      </c>
      <c r="N122" s="108" t="str">
        <f aca="false">IF($A122="","",IFERROR(INDEX('DAILY ENTRY'!$J$7:$J$1203,MATCH(1,INDEX(('DAILY ENTRY'!$A$7:$A$1203=$A122)*('DAILY ENTRY'!$B$7:$B$1203=$B122)*('DAILY ENTRY'!$I$7:$I$1203="Blocked"),0),0)),""))</f>
        <v/>
      </c>
      <c r="O122" s="65" t="str">
        <f aca="false">IF($A122="","",(D122&gt;='START HERE'!$B$25)+(E122&gt;='START HERE'!$B$26)+(F122&gt;='START HERE'!$B$27)+(G122&gt;='START HERE'!$B$28)+(H122&gt;='START HERE'!$B$29)+(I122&gt;='START HERE'!$B$30)+(J122&gt;='START HERE'!$B$31)+(K122&gt;='START HERE'!$B$32))</f>
        <v/>
      </c>
      <c r="P122" s="46" t="str">
        <f aca="false">IF($A122="","",IF(O122&gt;=7,"Full day",IF(O122&gt;=5,"Most targets met",IF(O122&gt;=3,"Half day","Below plan - explain in the blocker column"))))</f>
        <v/>
      </c>
    </row>
    <row r="123" customFormat="false" ht="24" hidden="false" customHeight="true" outlineLevel="0" collapsed="false">
      <c r="A123" s="36"/>
      <c r="B123" s="37"/>
      <c r="C123" s="107" t="str">
        <f aca="false">IF($A123="","",ROUND(SUMIFS('DAILY ENTRY'!$G$7:$G$1203,'DAILY ENTRY'!$A$7:$A$1203,$A123,'DAILY ENTRY'!$B$7:$B$1203,$B123)/60,1))</f>
        <v/>
      </c>
      <c r="D123" s="107" t="str">
        <f aca="false">IF($A123="","",SUMIFS('DAILY ENTRY'!$F$7:$F$1203,'DAILY ENTRY'!$A$7:$A$1203,$A123,'DAILY ENTRY'!$B$7:$B$1203,$B123,'DAILY ENTRY'!$D$7:$D$1203,"Lead researched (Sales Navigator)"))</f>
        <v/>
      </c>
      <c r="E123" s="107" t="str">
        <f aca="false">IF($A123="","",SUMIFS('DAILY ENTRY'!$F$7:$F$1203,'DAILY ENTRY'!$A$7:$A$1203,$A123,'DAILY ENTRY'!$B$7:$B$1203,$B123,'DAILY ENTRY'!$D$7:$D$1203,"Connection request sent"))</f>
        <v/>
      </c>
      <c r="F123" s="107" t="str">
        <f aca="false">IF($A123="","",SUMIFS('DAILY ENTRY'!$F$7:$F$1203,'DAILY ENTRY'!$A$7:$A$1203,$A123,'DAILY ENTRY'!$B$7:$B$1203,$B123,'DAILY ENTRY'!$D$7:$D$1203,"First message sent"))</f>
        <v/>
      </c>
      <c r="G123" s="107" t="str">
        <f aca="false">IF($A123="","",SUMIFS('DAILY ENTRY'!$F$7:$F$1203,'DAILY ENTRY'!$A$7:$A$1203,$A123,'DAILY ENTRY'!$B$7:$B$1203,$B123,'DAILY ENTRY'!$D$7:$D$1203,"Follow-up message sent"))</f>
        <v/>
      </c>
      <c r="H123" s="107" t="str">
        <f aca="false">IF($A123="","",SUMIFS('DAILY ENTRY'!$F$7:$F$1203,'DAILY ENTRY'!$A$7:$A$1203,$A123,'DAILY ENTRY'!$B$7:$B$1203,$B123,'DAILY ENTRY'!$D$7:$D$1203,"Post / content published"))</f>
        <v/>
      </c>
      <c r="I123" s="107" t="str">
        <f aca="false">IF($A123="","",SUMIFS('DAILY ENTRY'!$F$7:$F$1203,'DAILY ENTRY'!$A$7:$A$1203,$A123,'DAILY ENTRY'!$B$7:$B$1203,$B123,'DAILY ENTRY'!$D$7:$D$1203,"Community answer or comment"))</f>
        <v/>
      </c>
      <c r="J123" s="107" t="str">
        <f aca="false">IF($A123="","",SUMIFS('DAILY ENTRY'!$F$7:$F$1203,'DAILY ENTRY'!$A$7:$A$1203,$A123,'DAILY ENTRY'!$B$7:$B$1203,$B123,'DAILY ENTRY'!$D$7:$D$1203,"Partnership / PR contact"))</f>
        <v/>
      </c>
      <c r="K123" s="107" t="str">
        <f aca="false">IF($A123="","",SUMIFS('DAILY ENTRY'!$F$7:$F$1203,'DAILY ENTRY'!$A$7:$A$1203,$A123,'DAILY ENTRY'!$B$7:$B$1203,$B123,'DAILY ENTRY'!$D$7:$D$1203,"Engagement (commented on someone else)"))</f>
        <v/>
      </c>
      <c r="L123" s="107" t="str">
        <f aca="false">IF($A123="","",SUMIFS('DAILY ENTRY'!$F$7:$F$1203,'DAILY ENTRY'!$A$7:$A$1203,$A123,'DAILY ENTRY'!$B$7:$B$1203,$B123,'DAILY ENTRY'!$D$7:$D$1203,"Account created / profile completed"))</f>
        <v/>
      </c>
      <c r="M123" s="108" t="str">
        <f aca="false">IF($A123="","",IFERROR(INDEX('DAILY ENTRY'!$E$7:$E$1203,MATCH(1,INDEX(('DAILY ENTRY'!$A$7:$A$1203=$A123)*('DAILY ENTRY'!$B$7:$B$1203=$B123)*('DAILY ENTRY'!$I$7:$I$1203="Meeting booked"),0),0)),IFERROR(INDEX('DAILY ENTRY'!$E$7:$E$1203,MATCH(1,INDEX(('DAILY ENTRY'!$A$7:$A$1203=$A123)*('DAILY ENTRY'!$B$7:$B$1203=$B123)*('DAILY ENTRY'!$I$7:$I$1203="Positive reply"),0),0)),"")))</f>
        <v/>
      </c>
      <c r="N123" s="108" t="str">
        <f aca="false">IF($A123="","",IFERROR(INDEX('DAILY ENTRY'!$J$7:$J$1203,MATCH(1,INDEX(('DAILY ENTRY'!$A$7:$A$1203=$A123)*('DAILY ENTRY'!$B$7:$B$1203=$B123)*('DAILY ENTRY'!$I$7:$I$1203="Blocked"),0),0)),""))</f>
        <v/>
      </c>
      <c r="O123" s="65" t="str">
        <f aca="false">IF($A123="","",(D123&gt;='START HERE'!$B$25)+(E123&gt;='START HERE'!$B$26)+(F123&gt;='START HERE'!$B$27)+(G123&gt;='START HERE'!$B$28)+(H123&gt;='START HERE'!$B$29)+(I123&gt;='START HERE'!$B$30)+(J123&gt;='START HERE'!$B$31)+(K123&gt;='START HERE'!$B$32))</f>
        <v/>
      </c>
      <c r="P123" s="46" t="str">
        <f aca="false">IF($A123="","",IF(O123&gt;=7,"Full day",IF(O123&gt;=5,"Most targets met",IF(O123&gt;=3,"Half day","Below plan - explain in the blocker column"))))</f>
        <v/>
      </c>
    </row>
    <row r="124" customFormat="false" ht="24" hidden="false" customHeight="true" outlineLevel="0" collapsed="false">
      <c r="A124" s="36"/>
      <c r="B124" s="37"/>
      <c r="C124" s="107" t="str">
        <f aca="false">IF($A124="","",ROUND(SUMIFS('DAILY ENTRY'!$G$7:$G$1203,'DAILY ENTRY'!$A$7:$A$1203,$A124,'DAILY ENTRY'!$B$7:$B$1203,$B124)/60,1))</f>
        <v/>
      </c>
      <c r="D124" s="107" t="str">
        <f aca="false">IF($A124="","",SUMIFS('DAILY ENTRY'!$F$7:$F$1203,'DAILY ENTRY'!$A$7:$A$1203,$A124,'DAILY ENTRY'!$B$7:$B$1203,$B124,'DAILY ENTRY'!$D$7:$D$1203,"Lead researched (Sales Navigator)"))</f>
        <v/>
      </c>
      <c r="E124" s="107" t="str">
        <f aca="false">IF($A124="","",SUMIFS('DAILY ENTRY'!$F$7:$F$1203,'DAILY ENTRY'!$A$7:$A$1203,$A124,'DAILY ENTRY'!$B$7:$B$1203,$B124,'DAILY ENTRY'!$D$7:$D$1203,"Connection request sent"))</f>
        <v/>
      </c>
      <c r="F124" s="107" t="str">
        <f aca="false">IF($A124="","",SUMIFS('DAILY ENTRY'!$F$7:$F$1203,'DAILY ENTRY'!$A$7:$A$1203,$A124,'DAILY ENTRY'!$B$7:$B$1203,$B124,'DAILY ENTRY'!$D$7:$D$1203,"First message sent"))</f>
        <v/>
      </c>
      <c r="G124" s="107" t="str">
        <f aca="false">IF($A124="","",SUMIFS('DAILY ENTRY'!$F$7:$F$1203,'DAILY ENTRY'!$A$7:$A$1203,$A124,'DAILY ENTRY'!$B$7:$B$1203,$B124,'DAILY ENTRY'!$D$7:$D$1203,"Follow-up message sent"))</f>
        <v/>
      </c>
      <c r="H124" s="107" t="str">
        <f aca="false">IF($A124="","",SUMIFS('DAILY ENTRY'!$F$7:$F$1203,'DAILY ENTRY'!$A$7:$A$1203,$A124,'DAILY ENTRY'!$B$7:$B$1203,$B124,'DAILY ENTRY'!$D$7:$D$1203,"Post / content published"))</f>
        <v/>
      </c>
      <c r="I124" s="107" t="str">
        <f aca="false">IF($A124="","",SUMIFS('DAILY ENTRY'!$F$7:$F$1203,'DAILY ENTRY'!$A$7:$A$1203,$A124,'DAILY ENTRY'!$B$7:$B$1203,$B124,'DAILY ENTRY'!$D$7:$D$1203,"Community answer or comment"))</f>
        <v/>
      </c>
      <c r="J124" s="107" t="str">
        <f aca="false">IF($A124="","",SUMIFS('DAILY ENTRY'!$F$7:$F$1203,'DAILY ENTRY'!$A$7:$A$1203,$A124,'DAILY ENTRY'!$B$7:$B$1203,$B124,'DAILY ENTRY'!$D$7:$D$1203,"Partnership / PR contact"))</f>
        <v/>
      </c>
      <c r="K124" s="107" t="str">
        <f aca="false">IF($A124="","",SUMIFS('DAILY ENTRY'!$F$7:$F$1203,'DAILY ENTRY'!$A$7:$A$1203,$A124,'DAILY ENTRY'!$B$7:$B$1203,$B124,'DAILY ENTRY'!$D$7:$D$1203,"Engagement (commented on someone else)"))</f>
        <v/>
      </c>
      <c r="L124" s="107" t="str">
        <f aca="false">IF($A124="","",SUMIFS('DAILY ENTRY'!$F$7:$F$1203,'DAILY ENTRY'!$A$7:$A$1203,$A124,'DAILY ENTRY'!$B$7:$B$1203,$B124,'DAILY ENTRY'!$D$7:$D$1203,"Account created / profile completed"))</f>
        <v/>
      </c>
      <c r="M124" s="108" t="str">
        <f aca="false">IF($A124="","",IFERROR(INDEX('DAILY ENTRY'!$E$7:$E$1203,MATCH(1,INDEX(('DAILY ENTRY'!$A$7:$A$1203=$A124)*('DAILY ENTRY'!$B$7:$B$1203=$B124)*('DAILY ENTRY'!$I$7:$I$1203="Meeting booked"),0),0)),IFERROR(INDEX('DAILY ENTRY'!$E$7:$E$1203,MATCH(1,INDEX(('DAILY ENTRY'!$A$7:$A$1203=$A124)*('DAILY ENTRY'!$B$7:$B$1203=$B124)*('DAILY ENTRY'!$I$7:$I$1203="Positive reply"),0),0)),"")))</f>
        <v/>
      </c>
      <c r="N124" s="108" t="str">
        <f aca="false">IF($A124="","",IFERROR(INDEX('DAILY ENTRY'!$J$7:$J$1203,MATCH(1,INDEX(('DAILY ENTRY'!$A$7:$A$1203=$A124)*('DAILY ENTRY'!$B$7:$B$1203=$B124)*('DAILY ENTRY'!$I$7:$I$1203="Blocked"),0),0)),""))</f>
        <v/>
      </c>
      <c r="O124" s="65" t="str">
        <f aca="false">IF($A124="","",(D124&gt;='START HERE'!$B$25)+(E124&gt;='START HERE'!$B$26)+(F124&gt;='START HERE'!$B$27)+(G124&gt;='START HERE'!$B$28)+(H124&gt;='START HERE'!$B$29)+(I124&gt;='START HERE'!$B$30)+(J124&gt;='START HERE'!$B$31)+(K124&gt;='START HERE'!$B$32))</f>
        <v/>
      </c>
      <c r="P124" s="46" t="str">
        <f aca="false">IF($A124="","",IF(O124&gt;=7,"Full day",IF(O124&gt;=5,"Most targets met",IF(O124&gt;=3,"Half day","Below plan - explain in the blocker column"))))</f>
        <v/>
      </c>
    </row>
    <row r="125" customFormat="false" ht="24" hidden="false" customHeight="true" outlineLevel="0" collapsed="false">
      <c r="A125" s="36"/>
      <c r="B125" s="37"/>
      <c r="C125" s="107" t="str">
        <f aca="false">IF($A125="","",ROUND(SUMIFS('DAILY ENTRY'!$G$7:$G$1203,'DAILY ENTRY'!$A$7:$A$1203,$A125,'DAILY ENTRY'!$B$7:$B$1203,$B125)/60,1))</f>
        <v/>
      </c>
      <c r="D125" s="107" t="str">
        <f aca="false">IF($A125="","",SUMIFS('DAILY ENTRY'!$F$7:$F$1203,'DAILY ENTRY'!$A$7:$A$1203,$A125,'DAILY ENTRY'!$B$7:$B$1203,$B125,'DAILY ENTRY'!$D$7:$D$1203,"Lead researched (Sales Navigator)"))</f>
        <v/>
      </c>
      <c r="E125" s="107" t="str">
        <f aca="false">IF($A125="","",SUMIFS('DAILY ENTRY'!$F$7:$F$1203,'DAILY ENTRY'!$A$7:$A$1203,$A125,'DAILY ENTRY'!$B$7:$B$1203,$B125,'DAILY ENTRY'!$D$7:$D$1203,"Connection request sent"))</f>
        <v/>
      </c>
      <c r="F125" s="107" t="str">
        <f aca="false">IF($A125="","",SUMIFS('DAILY ENTRY'!$F$7:$F$1203,'DAILY ENTRY'!$A$7:$A$1203,$A125,'DAILY ENTRY'!$B$7:$B$1203,$B125,'DAILY ENTRY'!$D$7:$D$1203,"First message sent"))</f>
        <v/>
      </c>
      <c r="G125" s="107" t="str">
        <f aca="false">IF($A125="","",SUMIFS('DAILY ENTRY'!$F$7:$F$1203,'DAILY ENTRY'!$A$7:$A$1203,$A125,'DAILY ENTRY'!$B$7:$B$1203,$B125,'DAILY ENTRY'!$D$7:$D$1203,"Follow-up message sent"))</f>
        <v/>
      </c>
      <c r="H125" s="107" t="str">
        <f aca="false">IF($A125="","",SUMIFS('DAILY ENTRY'!$F$7:$F$1203,'DAILY ENTRY'!$A$7:$A$1203,$A125,'DAILY ENTRY'!$B$7:$B$1203,$B125,'DAILY ENTRY'!$D$7:$D$1203,"Post / content published"))</f>
        <v/>
      </c>
      <c r="I125" s="107" t="str">
        <f aca="false">IF($A125="","",SUMIFS('DAILY ENTRY'!$F$7:$F$1203,'DAILY ENTRY'!$A$7:$A$1203,$A125,'DAILY ENTRY'!$B$7:$B$1203,$B125,'DAILY ENTRY'!$D$7:$D$1203,"Community answer or comment"))</f>
        <v/>
      </c>
      <c r="J125" s="107" t="str">
        <f aca="false">IF($A125="","",SUMIFS('DAILY ENTRY'!$F$7:$F$1203,'DAILY ENTRY'!$A$7:$A$1203,$A125,'DAILY ENTRY'!$B$7:$B$1203,$B125,'DAILY ENTRY'!$D$7:$D$1203,"Partnership / PR contact"))</f>
        <v/>
      </c>
      <c r="K125" s="107" t="str">
        <f aca="false">IF($A125="","",SUMIFS('DAILY ENTRY'!$F$7:$F$1203,'DAILY ENTRY'!$A$7:$A$1203,$A125,'DAILY ENTRY'!$B$7:$B$1203,$B125,'DAILY ENTRY'!$D$7:$D$1203,"Engagement (commented on someone else)"))</f>
        <v/>
      </c>
      <c r="L125" s="107" t="str">
        <f aca="false">IF($A125="","",SUMIFS('DAILY ENTRY'!$F$7:$F$1203,'DAILY ENTRY'!$A$7:$A$1203,$A125,'DAILY ENTRY'!$B$7:$B$1203,$B125,'DAILY ENTRY'!$D$7:$D$1203,"Account created / profile completed"))</f>
        <v/>
      </c>
      <c r="M125" s="108" t="str">
        <f aca="false">IF($A125="","",IFERROR(INDEX('DAILY ENTRY'!$E$7:$E$1203,MATCH(1,INDEX(('DAILY ENTRY'!$A$7:$A$1203=$A125)*('DAILY ENTRY'!$B$7:$B$1203=$B125)*('DAILY ENTRY'!$I$7:$I$1203="Meeting booked"),0),0)),IFERROR(INDEX('DAILY ENTRY'!$E$7:$E$1203,MATCH(1,INDEX(('DAILY ENTRY'!$A$7:$A$1203=$A125)*('DAILY ENTRY'!$B$7:$B$1203=$B125)*('DAILY ENTRY'!$I$7:$I$1203="Positive reply"),0),0)),"")))</f>
        <v/>
      </c>
      <c r="N125" s="108" t="str">
        <f aca="false">IF($A125="","",IFERROR(INDEX('DAILY ENTRY'!$J$7:$J$1203,MATCH(1,INDEX(('DAILY ENTRY'!$A$7:$A$1203=$A125)*('DAILY ENTRY'!$B$7:$B$1203=$B125)*('DAILY ENTRY'!$I$7:$I$1203="Blocked"),0),0)),""))</f>
        <v/>
      </c>
      <c r="O125" s="65" t="str">
        <f aca="false">IF($A125="","",(D125&gt;='START HERE'!$B$25)+(E125&gt;='START HERE'!$B$26)+(F125&gt;='START HERE'!$B$27)+(G125&gt;='START HERE'!$B$28)+(H125&gt;='START HERE'!$B$29)+(I125&gt;='START HERE'!$B$30)+(J125&gt;='START HERE'!$B$31)+(K125&gt;='START HERE'!$B$32))</f>
        <v/>
      </c>
      <c r="P125" s="46" t="str">
        <f aca="false">IF($A125="","",IF(O125&gt;=7,"Full day",IF(O125&gt;=5,"Most targets met",IF(O125&gt;=3,"Half day","Below plan - explain in the blocker column"))))</f>
        <v/>
      </c>
    </row>
    <row r="126" customFormat="false" ht="24" hidden="false" customHeight="true" outlineLevel="0" collapsed="false">
      <c r="A126" s="36"/>
      <c r="B126" s="37"/>
      <c r="C126" s="107" t="str">
        <f aca="false">IF($A126="","",ROUND(SUMIFS('DAILY ENTRY'!$G$7:$G$1203,'DAILY ENTRY'!$A$7:$A$1203,$A126,'DAILY ENTRY'!$B$7:$B$1203,$B126)/60,1))</f>
        <v/>
      </c>
      <c r="D126" s="107" t="str">
        <f aca="false">IF($A126="","",SUMIFS('DAILY ENTRY'!$F$7:$F$1203,'DAILY ENTRY'!$A$7:$A$1203,$A126,'DAILY ENTRY'!$B$7:$B$1203,$B126,'DAILY ENTRY'!$D$7:$D$1203,"Lead researched (Sales Navigator)"))</f>
        <v/>
      </c>
      <c r="E126" s="107" t="str">
        <f aca="false">IF($A126="","",SUMIFS('DAILY ENTRY'!$F$7:$F$1203,'DAILY ENTRY'!$A$7:$A$1203,$A126,'DAILY ENTRY'!$B$7:$B$1203,$B126,'DAILY ENTRY'!$D$7:$D$1203,"Connection request sent"))</f>
        <v/>
      </c>
      <c r="F126" s="107" t="str">
        <f aca="false">IF($A126="","",SUMIFS('DAILY ENTRY'!$F$7:$F$1203,'DAILY ENTRY'!$A$7:$A$1203,$A126,'DAILY ENTRY'!$B$7:$B$1203,$B126,'DAILY ENTRY'!$D$7:$D$1203,"First message sent"))</f>
        <v/>
      </c>
      <c r="G126" s="107" t="str">
        <f aca="false">IF($A126="","",SUMIFS('DAILY ENTRY'!$F$7:$F$1203,'DAILY ENTRY'!$A$7:$A$1203,$A126,'DAILY ENTRY'!$B$7:$B$1203,$B126,'DAILY ENTRY'!$D$7:$D$1203,"Follow-up message sent"))</f>
        <v/>
      </c>
      <c r="H126" s="107" t="str">
        <f aca="false">IF($A126="","",SUMIFS('DAILY ENTRY'!$F$7:$F$1203,'DAILY ENTRY'!$A$7:$A$1203,$A126,'DAILY ENTRY'!$B$7:$B$1203,$B126,'DAILY ENTRY'!$D$7:$D$1203,"Post / content published"))</f>
        <v/>
      </c>
      <c r="I126" s="107" t="str">
        <f aca="false">IF($A126="","",SUMIFS('DAILY ENTRY'!$F$7:$F$1203,'DAILY ENTRY'!$A$7:$A$1203,$A126,'DAILY ENTRY'!$B$7:$B$1203,$B126,'DAILY ENTRY'!$D$7:$D$1203,"Community answer or comment"))</f>
        <v/>
      </c>
      <c r="J126" s="107" t="str">
        <f aca="false">IF($A126="","",SUMIFS('DAILY ENTRY'!$F$7:$F$1203,'DAILY ENTRY'!$A$7:$A$1203,$A126,'DAILY ENTRY'!$B$7:$B$1203,$B126,'DAILY ENTRY'!$D$7:$D$1203,"Partnership / PR contact"))</f>
        <v/>
      </c>
      <c r="K126" s="107" t="str">
        <f aca="false">IF($A126="","",SUMIFS('DAILY ENTRY'!$F$7:$F$1203,'DAILY ENTRY'!$A$7:$A$1203,$A126,'DAILY ENTRY'!$B$7:$B$1203,$B126,'DAILY ENTRY'!$D$7:$D$1203,"Engagement (commented on someone else)"))</f>
        <v/>
      </c>
      <c r="L126" s="107" t="str">
        <f aca="false">IF($A126="","",SUMIFS('DAILY ENTRY'!$F$7:$F$1203,'DAILY ENTRY'!$A$7:$A$1203,$A126,'DAILY ENTRY'!$B$7:$B$1203,$B126,'DAILY ENTRY'!$D$7:$D$1203,"Account created / profile completed"))</f>
        <v/>
      </c>
      <c r="M126" s="108" t="str">
        <f aca="false">IF($A126="","",IFERROR(INDEX('DAILY ENTRY'!$E$7:$E$1203,MATCH(1,INDEX(('DAILY ENTRY'!$A$7:$A$1203=$A126)*('DAILY ENTRY'!$B$7:$B$1203=$B126)*('DAILY ENTRY'!$I$7:$I$1203="Meeting booked"),0),0)),IFERROR(INDEX('DAILY ENTRY'!$E$7:$E$1203,MATCH(1,INDEX(('DAILY ENTRY'!$A$7:$A$1203=$A126)*('DAILY ENTRY'!$B$7:$B$1203=$B126)*('DAILY ENTRY'!$I$7:$I$1203="Positive reply"),0),0)),"")))</f>
        <v/>
      </c>
      <c r="N126" s="108" t="str">
        <f aca="false">IF($A126="","",IFERROR(INDEX('DAILY ENTRY'!$J$7:$J$1203,MATCH(1,INDEX(('DAILY ENTRY'!$A$7:$A$1203=$A126)*('DAILY ENTRY'!$B$7:$B$1203=$B126)*('DAILY ENTRY'!$I$7:$I$1203="Blocked"),0),0)),""))</f>
        <v/>
      </c>
      <c r="O126" s="65" t="str">
        <f aca="false">IF($A126="","",(D126&gt;='START HERE'!$B$25)+(E126&gt;='START HERE'!$B$26)+(F126&gt;='START HERE'!$B$27)+(G126&gt;='START HERE'!$B$28)+(H126&gt;='START HERE'!$B$29)+(I126&gt;='START HERE'!$B$30)+(J126&gt;='START HERE'!$B$31)+(K126&gt;='START HERE'!$B$32))</f>
        <v/>
      </c>
      <c r="P126" s="46" t="str">
        <f aca="false">IF($A126="","",IF(O126&gt;=7,"Full day",IF(O126&gt;=5,"Most targets met",IF(O126&gt;=3,"Half day","Below plan - explain in the blocker column"))))</f>
        <v/>
      </c>
    </row>
    <row r="127" customFormat="false" ht="24" hidden="false" customHeight="true" outlineLevel="0" collapsed="false">
      <c r="A127" s="36"/>
      <c r="B127" s="37"/>
      <c r="C127" s="107" t="str">
        <f aca="false">IF($A127="","",ROUND(SUMIFS('DAILY ENTRY'!$G$7:$G$1203,'DAILY ENTRY'!$A$7:$A$1203,$A127,'DAILY ENTRY'!$B$7:$B$1203,$B127)/60,1))</f>
        <v/>
      </c>
      <c r="D127" s="107" t="str">
        <f aca="false">IF($A127="","",SUMIFS('DAILY ENTRY'!$F$7:$F$1203,'DAILY ENTRY'!$A$7:$A$1203,$A127,'DAILY ENTRY'!$B$7:$B$1203,$B127,'DAILY ENTRY'!$D$7:$D$1203,"Lead researched (Sales Navigator)"))</f>
        <v/>
      </c>
      <c r="E127" s="107" t="str">
        <f aca="false">IF($A127="","",SUMIFS('DAILY ENTRY'!$F$7:$F$1203,'DAILY ENTRY'!$A$7:$A$1203,$A127,'DAILY ENTRY'!$B$7:$B$1203,$B127,'DAILY ENTRY'!$D$7:$D$1203,"Connection request sent"))</f>
        <v/>
      </c>
      <c r="F127" s="107" t="str">
        <f aca="false">IF($A127="","",SUMIFS('DAILY ENTRY'!$F$7:$F$1203,'DAILY ENTRY'!$A$7:$A$1203,$A127,'DAILY ENTRY'!$B$7:$B$1203,$B127,'DAILY ENTRY'!$D$7:$D$1203,"First message sent"))</f>
        <v/>
      </c>
      <c r="G127" s="107" t="str">
        <f aca="false">IF($A127="","",SUMIFS('DAILY ENTRY'!$F$7:$F$1203,'DAILY ENTRY'!$A$7:$A$1203,$A127,'DAILY ENTRY'!$B$7:$B$1203,$B127,'DAILY ENTRY'!$D$7:$D$1203,"Follow-up message sent"))</f>
        <v/>
      </c>
      <c r="H127" s="107" t="str">
        <f aca="false">IF($A127="","",SUMIFS('DAILY ENTRY'!$F$7:$F$1203,'DAILY ENTRY'!$A$7:$A$1203,$A127,'DAILY ENTRY'!$B$7:$B$1203,$B127,'DAILY ENTRY'!$D$7:$D$1203,"Post / content published"))</f>
        <v/>
      </c>
      <c r="I127" s="107" t="str">
        <f aca="false">IF($A127="","",SUMIFS('DAILY ENTRY'!$F$7:$F$1203,'DAILY ENTRY'!$A$7:$A$1203,$A127,'DAILY ENTRY'!$B$7:$B$1203,$B127,'DAILY ENTRY'!$D$7:$D$1203,"Community answer or comment"))</f>
        <v/>
      </c>
      <c r="J127" s="107" t="str">
        <f aca="false">IF($A127="","",SUMIFS('DAILY ENTRY'!$F$7:$F$1203,'DAILY ENTRY'!$A$7:$A$1203,$A127,'DAILY ENTRY'!$B$7:$B$1203,$B127,'DAILY ENTRY'!$D$7:$D$1203,"Partnership / PR contact"))</f>
        <v/>
      </c>
      <c r="K127" s="107" t="str">
        <f aca="false">IF($A127="","",SUMIFS('DAILY ENTRY'!$F$7:$F$1203,'DAILY ENTRY'!$A$7:$A$1203,$A127,'DAILY ENTRY'!$B$7:$B$1203,$B127,'DAILY ENTRY'!$D$7:$D$1203,"Engagement (commented on someone else)"))</f>
        <v/>
      </c>
      <c r="L127" s="107" t="str">
        <f aca="false">IF($A127="","",SUMIFS('DAILY ENTRY'!$F$7:$F$1203,'DAILY ENTRY'!$A$7:$A$1203,$A127,'DAILY ENTRY'!$B$7:$B$1203,$B127,'DAILY ENTRY'!$D$7:$D$1203,"Account created / profile completed"))</f>
        <v/>
      </c>
      <c r="M127" s="108" t="str">
        <f aca="false">IF($A127="","",IFERROR(INDEX('DAILY ENTRY'!$E$7:$E$1203,MATCH(1,INDEX(('DAILY ENTRY'!$A$7:$A$1203=$A127)*('DAILY ENTRY'!$B$7:$B$1203=$B127)*('DAILY ENTRY'!$I$7:$I$1203="Meeting booked"),0),0)),IFERROR(INDEX('DAILY ENTRY'!$E$7:$E$1203,MATCH(1,INDEX(('DAILY ENTRY'!$A$7:$A$1203=$A127)*('DAILY ENTRY'!$B$7:$B$1203=$B127)*('DAILY ENTRY'!$I$7:$I$1203="Positive reply"),0),0)),"")))</f>
        <v/>
      </c>
      <c r="N127" s="108" t="str">
        <f aca="false">IF($A127="","",IFERROR(INDEX('DAILY ENTRY'!$J$7:$J$1203,MATCH(1,INDEX(('DAILY ENTRY'!$A$7:$A$1203=$A127)*('DAILY ENTRY'!$B$7:$B$1203=$B127)*('DAILY ENTRY'!$I$7:$I$1203="Blocked"),0),0)),""))</f>
        <v/>
      </c>
      <c r="O127" s="65" t="str">
        <f aca="false">IF($A127="","",(D127&gt;='START HERE'!$B$25)+(E127&gt;='START HERE'!$B$26)+(F127&gt;='START HERE'!$B$27)+(G127&gt;='START HERE'!$B$28)+(H127&gt;='START HERE'!$B$29)+(I127&gt;='START HERE'!$B$30)+(J127&gt;='START HERE'!$B$31)+(K127&gt;='START HERE'!$B$32))</f>
        <v/>
      </c>
      <c r="P127" s="46" t="str">
        <f aca="false">IF($A127="","",IF(O127&gt;=7,"Full day",IF(O127&gt;=5,"Most targets met",IF(O127&gt;=3,"Half day","Below plan - explain in the blocker column"))))</f>
        <v/>
      </c>
    </row>
    <row r="128" customFormat="false" ht="24" hidden="false" customHeight="true" outlineLevel="0" collapsed="false">
      <c r="A128" s="36"/>
      <c r="B128" s="37"/>
      <c r="C128" s="107" t="str">
        <f aca="false">IF($A128="","",ROUND(SUMIFS('DAILY ENTRY'!$G$7:$G$1203,'DAILY ENTRY'!$A$7:$A$1203,$A128,'DAILY ENTRY'!$B$7:$B$1203,$B128)/60,1))</f>
        <v/>
      </c>
      <c r="D128" s="107" t="str">
        <f aca="false">IF($A128="","",SUMIFS('DAILY ENTRY'!$F$7:$F$1203,'DAILY ENTRY'!$A$7:$A$1203,$A128,'DAILY ENTRY'!$B$7:$B$1203,$B128,'DAILY ENTRY'!$D$7:$D$1203,"Lead researched (Sales Navigator)"))</f>
        <v/>
      </c>
      <c r="E128" s="107" t="str">
        <f aca="false">IF($A128="","",SUMIFS('DAILY ENTRY'!$F$7:$F$1203,'DAILY ENTRY'!$A$7:$A$1203,$A128,'DAILY ENTRY'!$B$7:$B$1203,$B128,'DAILY ENTRY'!$D$7:$D$1203,"Connection request sent"))</f>
        <v/>
      </c>
      <c r="F128" s="107" t="str">
        <f aca="false">IF($A128="","",SUMIFS('DAILY ENTRY'!$F$7:$F$1203,'DAILY ENTRY'!$A$7:$A$1203,$A128,'DAILY ENTRY'!$B$7:$B$1203,$B128,'DAILY ENTRY'!$D$7:$D$1203,"First message sent"))</f>
        <v/>
      </c>
      <c r="G128" s="107" t="str">
        <f aca="false">IF($A128="","",SUMIFS('DAILY ENTRY'!$F$7:$F$1203,'DAILY ENTRY'!$A$7:$A$1203,$A128,'DAILY ENTRY'!$B$7:$B$1203,$B128,'DAILY ENTRY'!$D$7:$D$1203,"Follow-up message sent"))</f>
        <v/>
      </c>
      <c r="H128" s="107" t="str">
        <f aca="false">IF($A128="","",SUMIFS('DAILY ENTRY'!$F$7:$F$1203,'DAILY ENTRY'!$A$7:$A$1203,$A128,'DAILY ENTRY'!$B$7:$B$1203,$B128,'DAILY ENTRY'!$D$7:$D$1203,"Post / content published"))</f>
        <v/>
      </c>
      <c r="I128" s="107" t="str">
        <f aca="false">IF($A128="","",SUMIFS('DAILY ENTRY'!$F$7:$F$1203,'DAILY ENTRY'!$A$7:$A$1203,$A128,'DAILY ENTRY'!$B$7:$B$1203,$B128,'DAILY ENTRY'!$D$7:$D$1203,"Community answer or comment"))</f>
        <v/>
      </c>
      <c r="J128" s="107" t="str">
        <f aca="false">IF($A128="","",SUMIFS('DAILY ENTRY'!$F$7:$F$1203,'DAILY ENTRY'!$A$7:$A$1203,$A128,'DAILY ENTRY'!$B$7:$B$1203,$B128,'DAILY ENTRY'!$D$7:$D$1203,"Partnership / PR contact"))</f>
        <v/>
      </c>
      <c r="K128" s="107" t="str">
        <f aca="false">IF($A128="","",SUMIFS('DAILY ENTRY'!$F$7:$F$1203,'DAILY ENTRY'!$A$7:$A$1203,$A128,'DAILY ENTRY'!$B$7:$B$1203,$B128,'DAILY ENTRY'!$D$7:$D$1203,"Engagement (commented on someone else)"))</f>
        <v/>
      </c>
      <c r="L128" s="107" t="str">
        <f aca="false">IF($A128="","",SUMIFS('DAILY ENTRY'!$F$7:$F$1203,'DAILY ENTRY'!$A$7:$A$1203,$A128,'DAILY ENTRY'!$B$7:$B$1203,$B128,'DAILY ENTRY'!$D$7:$D$1203,"Account created / profile completed"))</f>
        <v/>
      </c>
      <c r="M128" s="108" t="str">
        <f aca="false">IF($A128="","",IFERROR(INDEX('DAILY ENTRY'!$E$7:$E$1203,MATCH(1,INDEX(('DAILY ENTRY'!$A$7:$A$1203=$A128)*('DAILY ENTRY'!$B$7:$B$1203=$B128)*('DAILY ENTRY'!$I$7:$I$1203="Meeting booked"),0),0)),IFERROR(INDEX('DAILY ENTRY'!$E$7:$E$1203,MATCH(1,INDEX(('DAILY ENTRY'!$A$7:$A$1203=$A128)*('DAILY ENTRY'!$B$7:$B$1203=$B128)*('DAILY ENTRY'!$I$7:$I$1203="Positive reply"),0),0)),"")))</f>
        <v/>
      </c>
      <c r="N128" s="108" t="str">
        <f aca="false">IF($A128="","",IFERROR(INDEX('DAILY ENTRY'!$J$7:$J$1203,MATCH(1,INDEX(('DAILY ENTRY'!$A$7:$A$1203=$A128)*('DAILY ENTRY'!$B$7:$B$1203=$B128)*('DAILY ENTRY'!$I$7:$I$1203="Blocked"),0),0)),""))</f>
        <v/>
      </c>
      <c r="O128" s="65" t="str">
        <f aca="false">IF($A128="","",(D128&gt;='START HERE'!$B$25)+(E128&gt;='START HERE'!$B$26)+(F128&gt;='START HERE'!$B$27)+(G128&gt;='START HERE'!$B$28)+(H128&gt;='START HERE'!$B$29)+(I128&gt;='START HERE'!$B$30)+(J128&gt;='START HERE'!$B$31)+(K128&gt;='START HERE'!$B$32))</f>
        <v/>
      </c>
      <c r="P128" s="46" t="str">
        <f aca="false">IF($A128="","",IF(O128&gt;=7,"Full day",IF(O128&gt;=5,"Most targets met",IF(O128&gt;=3,"Half day","Below plan - explain in the blocker column"))))</f>
        <v/>
      </c>
    </row>
    <row r="129" customFormat="false" ht="24" hidden="false" customHeight="true" outlineLevel="0" collapsed="false">
      <c r="A129" s="36"/>
      <c r="B129" s="37"/>
      <c r="C129" s="107" t="str">
        <f aca="false">IF($A129="","",ROUND(SUMIFS('DAILY ENTRY'!$G$7:$G$1203,'DAILY ENTRY'!$A$7:$A$1203,$A129,'DAILY ENTRY'!$B$7:$B$1203,$B129)/60,1))</f>
        <v/>
      </c>
      <c r="D129" s="107" t="str">
        <f aca="false">IF($A129="","",SUMIFS('DAILY ENTRY'!$F$7:$F$1203,'DAILY ENTRY'!$A$7:$A$1203,$A129,'DAILY ENTRY'!$B$7:$B$1203,$B129,'DAILY ENTRY'!$D$7:$D$1203,"Lead researched (Sales Navigator)"))</f>
        <v/>
      </c>
      <c r="E129" s="107" t="str">
        <f aca="false">IF($A129="","",SUMIFS('DAILY ENTRY'!$F$7:$F$1203,'DAILY ENTRY'!$A$7:$A$1203,$A129,'DAILY ENTRY'!$B$7:$B$1203,$B129,'DAILY ENTRY'!$D$7:$D$1203,"Connection request sent"))</f>
        <v/>
      </c>
      <c r="F129" s="107" t="str">
        <f aca="false">IF($A129="","",SUMIFS('DAILY ENTRY'!$F$7:$F$1203,'DAILY ENTRY'!$A$7:$A$1203,$A129,'DAILY ENTRY'!$B$7:$B$1203,$B129,'DAILY ENTRY'!$D$7:$D$1203,"First message sent"))</f>
        <v/>
      </c>
      <c r="G129" s="107" t="str">
        <f aca="false">IF($A129="","",SUMIFS('DAILY ENTRY'!$F$7:$F$1203,'DAILY ENTRY'!$A$7:$A$1203,$A129,'DAILY ENTRY'!$B$7:$B$1203,$B129,'DAILY ENTRY'!$D$7:$D$1203,"Follow-up message sent"))</f>
        <v/>
      </c>
      <c r="H129" s="107" t="str">
        <f aca="false">IF($A129="","",SUMIFS('DAILY ENTRY'!$F$7:$F$1203,'DAILY ENTRY'!$A$7:$A$1203,$A129,'DAILY ENTRY'!$B$7:$B$1203,$B129,'DAILY ENTRY'!$D$7:$D$1203,"Post / content published"))</f>
        <v/>
      </c>
      <c r="I129" s="107" t="str">
        <f aca="false">IF($A129="","",SUMIFS('DAILY ENTRY'!$F$7:$F$1203,'DAILY ENTRY'!$A$7:$A$1203,$A129,'DAILY ENTRY'!$B$7:$B$1203,$B129,'DAILY ENTRY'!$D$7:$D$1203,"Community answer or comment"))</f>
        <v/>
      </c>
      <c r="J129" s="107" t="str">
        <f aca="false">IF($A129="","",SUMIFS('DAILY ENTRY'!$F$7:$F$1203,'DAILY ENTRY'!$A$7:$A$1203,$A129,'DAILY ENTRY'!$B$7:$B$1203,$B129,'DAILY ENTRY'!$D$7:$D$1203,"Partnership / PR contact"))</f>
        <v/>
      </c>
      <c r="K129" s="107" t="str">
        <f aca="false">IF($A129="","",SUMIFS('DAILY ENTRY'!$F$7:$F$1203,'DAILY ENTRY'!$A$7:$A$1203,$A129,'DAILY ENTRY'!$B$7:$B$1203,$B129,'DAILY ENTRY'!$D$7:$D$1203,"Engagement (commented on someone else)"))</f>
        <v/>
      </c>
      <c r="L129" s="107" t="str">
        <f aca="false">IF($A129="","",SUMIFS('DAILY ENTRY'!$F$7:$F$1203,'DAILY ENTRY'!$A$7:$A$1203,$A129,'DAILY ENTRY'!$B$7:$B$1203,$B129,'DAILY ENTRY'!$D$7:$D$1203,"Account created / profile completed"))</f>
        <v/>
      </c>
      <c r="M129" s="108" t="str">
        <f aca="false">IF($A129="","",IFERROR(INDEX('DAILY ENTRY'!$E$7:$E$1203,MATCH(1,INDEX(('DAILY ENTRY'!$A$7:$A$1203=$A129)*('DAILY ENTRY'!$B$7:$B$1203=$B129)*('DAILY ENTRY'!$I$7:$I$1203="Meeting booked"),0),0)),IFERROR(INDEX('DAILY ENTRY'!$E$7:$E$1203,MATCH(1,INDEX(('DAILY ENTRY'!$A$7:$A$1203=$A129)*('DAILY ENTRY'!$B$7:$B$1203=$B129)*('DAILY ENTRY'!$I$7:$I$1203="Positive reply"),0),0)),"")))</f>
        <v/>
      </c>
      <c r="N129" s="108" t="str">
        <f aca="false">IF($A129="","",IFERROR(INDEX('DAILY ENTRY'!$J$7:$J$1203,MATCH(1,INDEX(('DAILY ENTRY'!$A$7:$A$1203=$A129)*('DAILY ENTRY'!$B$7:$B$1203=$B129)*('DAILY ENTRY'!$I$7:$I$1203="Blocked"),0),0)),""))</f>
        <v/>
      </c>
      <c r="O129" s="65" t="str">
        <f aca="false">IF($A129="","",(D129&gt;='START HERE'!$B$25)+(E129&gt;='START HERE'!$B$26)+(F129&gt;='START HERE'!$B$27)+(G129&gt;='START HERE'!$B$28)+(H129&gt;='START HERE'!$B$29)+(I129&gt;='START HERE'!$B$30)+(J129&gt;='START HERE'!$B$31)+(K129&gt;='START HERE'!$B$32))</f>
        <v/>
      </c>
      <c r="P129" s="46" t="str">
        <f aca="false">IF($A129="","",IF(O129&gt;=7,"Full day",IF(O129&gt;=5,"Most targets met",IF(O129&gt;=3,"Half day","Below plan - explain in the blocker column"))))</f>
        <v/>
      </c>
    </row>
    <row r="130" customFormat="false" ht="24" hidden="false" customHeight="true" outlineLevel="0" collapsed="false">
      <c r="A130" s="36"/>
      <c r="B130" s="37"/>
      <c r="C130" s="107" t="str">
        <f aca="false">IF($A130="","",ROUND(SUMIFS('DAILY ENTRY'!$G$7:$G$1203,'DAILY ENTRY'!$A$7:$A$1203,$A130,'DAILY ENTRY'!$B$7:$B$1203,$B130)/60,1))</f>
        <v/>
      </c>
      <c r="D130" s="107" t="str">
        <f aca="false">IF($A130="","",SUMIFS('DAILY ENTRY'!$F$7:$F$1203,'DAILY ENTRY'!$A$7:$A$1203,$A130,'DAILY ENTRY'!$B$7:$B$1203,$B130,'DAILY ENTRY'!$D$7:$D$1203,"Lead researched (Sales Navigator)"))</f>
        <v/>
      </c>
      <c r="E130" s="107" t="str">
        <f aca="false">IF($A130="","",SUMIFS('DAILY ENTRY'!$F$7:$F$1203,'DAILY ENTRY'!$A$7:$A$1203,$A130,'DAILY ENTRY'!$B$7:$B$1203,$B130,'DAILY ENTRY'!$D$7:$D$1203,"Connection request sent"))</f>
        <v/>
      </c>
      <c r="F130" s="107" t="str">
        <f aca="false">IF($A130="","",SUMIFS('DAILY ENTRY'!$F$7:$F$1203,'DAILY ENTRY'!$A$7:$A$1203,$A130,'DAILY ENTRY'!$B$7:$B$1203,$B130,'DAILY ENTRY'!$D$7:$D$1203,"First message sent"))</f>
        <v/>
      </c>
      <c r="G130" s="107" t="str">
        <f aca="false">IF($A130="","",SUMIFS('DAILY ENTRY'!$F$7:$F$1203,'DAILY ENTRY'!$A$7:$A$1203,$A130,'DAILY ENTRY'!$B$7:$B$1203,$B130,'DAILY ENTRY'!$D$7:$D$1203,"Follow-up message sent"))</f>
        <v/>
      </c>
      <c r="H130" s="107" t="str">
        <f aca="false">IF($A130="","",SUMIFS('DAILY ENTRY'!$F$7:$F$1203,'DAILY ENTRY'!$A$7:$A$1203,$A130,'DAILY ENTRY'!$B$7:$B$1203,$B130,'DAILY ENTRY'!$D$7:$D$1203,"Post / content published"))</f>
        <v/>
      </c>
      <c r="I130" s="107" t="str">
        <f aca="false">IF($A130="","",SUMIFS('DAILY ENTRY'!$F$7:$F$1203,'DAILY ENTRY'!$A$7:$A$1203,$A130,'DAILY ENTRY'!$B$7:$B$1203,$B130,'DAILY ENTRY'!$D$7:$D$1203,"Community answer or comment"))</f>
        <v/>
      </c>
      <c r="J130" s="107" t="str">
        <f aca="false">IF($A130="","",SUMIFS('DAILY ENTRY'!$F$7:$F$1203,'DAILY ENTRY'!$A$7:$A$1203,$A130,'DAILY ENTRY'!$B$7:$B$1203,$B130,'DAILY ENTRY'!$D$7:$D$1203,"Partnership / PR contact"))</f>
        <v/>
      </c>
      <c r="K130" s="107" t="str">
        <f aca="false">IF($A130="","",SUMIFS('DAILY ENTRY'!$F$7:$F$1203,'DAILY ENTRY'!$A$7:$A$1203,$A130,'DAILY ENTRY'!$B$7:$B$1203,$B130,'DAILY ENTRY'!$D$7:$D$1203,"Engagement (commented on someone else)"))</f>
        <v/>
      </c>
      <c r="L130" s="107" t="str">
        <f aca="false">IF($A130="","",SUMIFS('DAILY ENTRY'!$F$7:$F$1203,'DAILY ENTRY'!$A$7:$A$1203,$A130,'DAILY ENTRY'!$B$7:$B$1203,$B130,'DAILY ENTRY'!$D$7:$D$1203,"Account created / profile completed"))</f>
        <v/>
      </c>
      <c r="M130" s="108" t="str">
        <f aca="false">IF($A130="","",IFERROR(INDEX('DAILY ENTRY'!$E$7:$E$1203,MATCH(1,INDEX(('DAILY ENTRY'!$A$7:$A$1203=$A130)*('DAILY ENTRY'!$B$7:$B$1203=$B130)*('DAILY ENTRY'!$I$7:$I$1203="Meeting booked"),0),0)),IFERROR(INDEX('DAILY ENTRY'!$E$7:$E$1203,MATCH(1,INDEX(('DAILY ENTRY'!$A$7:$A$1203=$A130)*('DAILY ENTRY'!$B$7:$B$1203=$B130)*('DAILY ENTRY'!$I$7:$I$1203="Positive reply"),0),0)),"")))</f>
        <v/>
      </c>
      <c r="N130" s="108" t="str">
        <f aca="false">IF($A130="","",IFERROR(INDEX('DAILY ENTRY'!$J$7:$J$1203,MATCH(1,INDEX(('DAILY ENTRY'!$A$7:$A$1203=$A130)*('DAILY ENTRY'!$B$7:$B$1203=$B130)*('DAILY ENTRY'!$I$7:$I$1203="Blocked"),0),0)),""))</f>
        <v/>
      </c>
      <c r="O130" s="65" t="str">
        <f aca="false">IF($A130="","",(D130&gt;='START HERE'!$B$25)+(E130&gt;='START HERE'!$B$26)+(F130&gt;='START HERE'!$B$27)+(G130&gt;='START HERE'!$B$28)+(H130&gt;='START HERE'!$B$29)+(I130&gt;='START HERE'!$B$30)+(J130&gt;='START HERE'!$B$31)+(K130&gt;='START HERE'!$B$32))</f>
        <v/>
      </c>
      <c r="P130" s="46" t="str">
        <f aca="false">IF($A130="","",IF(O130&gt;=7,"Full day",IF(O130&gt;=5,"Most targets met",IF(O130&gt;=3,"Half day","Below plan - explain in the blocker column"))))</f>
        <v/>
      </c>
    </row>
    <row r="131" customFormat="false" ht="24" hidden="false" customHeight="true" outlineLevel="0" collapsed="false">
      <c r="A131" s="36"/>
      <c r="B131" s="37"/>
      <c r="C131" s="107" t="str">
        <f aca="false">IF($A131="","",ROUND(SUMIFS('DAILY ENTRY'!$G$7:$G$1203,'DAILY ENTRY'!$A$7:$A$1203,$A131,'DAILY ENTRY'!$B$7:$B$1203,$B131)/60,1))</f>
        <v/>
      </c>
      <c r="D131" s="107" t="str">
        <f aca="false">IF($A131="","",SUMIFS('DAILY ENTRY'!$F$7:$F$1203,'DAILY ENTRY'!$A$7:$A$1203,$A131,'DAILY ENTRY'!$B$7:$B$1203,$B131,'DAILY ENTRY'!$D$7:$D$1203,"Lead researched (Sales Navigator)"))</f>
        <v/>
      </c>
      <c r="E131" s="107" t="str">
        <f aca="false">IF($A131="","",SUMIFS('DAILY ENTRY'!$F$7:$F$1203,'DAILY ENTRY'!$A$7:$A$1203,$A131,'DAILY ENTRY'!$B$7:$B$1203,$B131,'DAILY ENTRY'!$D$7:$D$1203,"Connection request sent"))</f>
        <v/>
      </c>
      <c r="F131" s="107" t="str">
        <f aca="false">IF($A131="","",SUMIFS('DAILY ENTRY'!$F$7:$F$1203,'DAILY ENTRY'!$A$7:$A$1203,$A131,'DAILY ENTRY'!$B$7:$B$1203,$B131,'DAILY ENTRY'!$D$7:$D$1203,"First message sent"))</f>
        <v/>
      </c>
      <c r="G131" s="107" t="str">
        <f aca="false">IF($A131="","",SUMIFS('DAILY ENTRY'!$F$7:$F$1203,'DAILY ENTRY'!$A$7:$A$1203,$A131,'DAILY ENTRY'!$B$7:$B$1203,$B131,'DAILY ENTRY'!$D$7:$D$1203,"Follow-up message sent"))</f>
        <v/>
      </c>
      <c r="H131" s="107" t="str">
        <f aca="false">IF($A131="","",SUMIFS('DAILY ENTRY'!$F$7:$F$1203,'DAILY ENTRY'!$A$7:$A$1203,$A131,'DAILY ENTRY'!$B$7:$B$1203,$B131,'DAILY ENTRY'!$D$7:$D$1203,"Post / content published"))</f>
        <v/>
      </c>
      <c r="I131" s="107" t="str">
        <f aca="false">IF($A131="","",SUMIFS('DAILY ENTRY'!$F$7:$F$1203,'DAILY ENTRY'!$A$7:$A$1203,$A131,'DAILY ENTRY'!$B$7:$B$1203,$B131,'DAILY ENTRY'!$D$7:$D$1203,"Community answer or comment"))</f>
        <v/>
      </c>
      <c r="J131" s="107" t="str">
        <f aca="false">IF($A131="","",SUMIFS('DAILY ENTRY'!$F$7:$F$1203,'DAILY ENTRY'!$A$7:$A$1203,$A131,'DAILY ENTRY'!$B$7:$B$1203,$B131,'DAILY ENTRY'!$D$7:$D$1203,"Partnership / PR contact"))</f>
        <v/>
      </c>
      <c r="K131" s="107" t="str">
        <f aca="false">IF($A131="","",SUMIFS('DAILY ENTRY'!$F$7:$F$1203,'DAILY ENTRY'!$A$7:$A$1203,$A131,'DAILY ENTRY'!$B$7:$B$1203,$B131,'DAILY ENTRY'!$D$7:$D$1203,"Engagement (commented on someone else)"))</f>
        <v/>
      </c>
      <c r="L131" s="107" t="str">
        <f aca="false">IF($A131="","",SUMIFS('DAILY ENTRY'!$F$7:$F$1203,'DAILY ENTRY'!$A$7:$A$1203,$A131,'DAILY ENTRY'!$B$7:$B$1203,$B131,'DAILY ENTRY'!$D$7:$D$1203,"Account created / profile completed"))</f>
        <v/>
      </c>
      <c r="M131" s="108" t="str">
        <f aca="false">IF($A131="","",IFERROR(INDEX('DAILY ENTRY'!$E$7:$E$1203,MATCH(1,INDEX(('DAILY ENTRY'!$A$7:$A$1203=$A131)*('DAILY ENTRY'!$B$7:$B$1203=$B131)*('DAILY ENTRY'!$I$7:$I$1203="Meeting booked"),0),0)),IFERROR(INDEX('DAILY ENTRY'!$E$7:$E$1203,MATCH(1,INDEX(('DAILY ENTRY'!$A$7:$A$1203=$A131)*('DAILY ENTRY'!$B$7:$B$1203=$B131)*('DAILY ENTRY'!$I$7:$I$1203="Positive reply"),0),0)),"")))</f>
        <v/>
      </c>
      <c r="N131" s="108" t="str">
        <f aca="false">IF($A131="","",IFERROR(INDEX('DAILY ENTRY'!$J$7:$J$1203,MATCH(1,INDEX(('DAILY ENTRY'!$A$7:$A$1203=$A131)*('DAILY ENTRY'!$B$7:$B$1203=$B131)*('DAILY ENTRY'!$I$7:$I$1203="Blocked"),0),0)),""))</f>
        <v/>
      </c>
      <c r="O131" s="65" t="str">
        <f aca="false">IF($A131="","",(D131&gt;='START HERE'!$B$25)+(E131&gt;='START HERE'!$B$26)+(F131&gt;='START HERE'!$B$27)+(G131&gt;='START HERE'!$B$28)+(H131&gt;='START HERE'!$B$29)+(I131&gt;='START HERE'!$B$30)+(J131&gt;='START HERE'!$B$31)+(K131&gt;='START HERE'!$B$32))</f>
        <v/>
      </c>
      <c r="P131" s="46" t="str">
        <f aca="false">IF($A131="","",IF(O131&gt;=7,"Full day",IF(O131&gt;=5,"Most targets met",IF(O131&gt;=3,"Half day","Below plan - explain in the blocker column"))))</f>
        <v/>
      </c>
    </row>
    <row r="132" customFormat="false" ht="24" hidden="false" customHeight="true" outlineLevel="0" collapsed="false">
      <c r="A132" s="36"/>
      <c r="B132" s="37"/>
      <c r="C132" s="107" t="str">
        <f aca="false">IF($A132="","",ROUND(SUMIFS('DAILY ENTRY'!$G$7:$G$1203,'DAILY ENTRY'!$A$7:$A$1203,$A132,'DAILY ENTRY'!$B$7:$B$1203,$B132)/60,1))</f>
        <v/>
      </c>
      <c r="D132" s="107" t="str">
        <f aca="false">IF($A132="","",SUMIFS('DAILY ENTRY'!$F$7:$F$1203,'DAILY ENTRY'!$A$7:$A$1203,$A132,'DAILY ENTRY'!$B$7:$B$1203,$B132,'DAILY ENTRY'!$D$7:$D$1203,"Lead researched (Sales Navigator)"))</f>
        <v/>
      </c>
      <c r="E132" s="107" t="str">
        <f aca="false">IF($A132="","",SUMIFS('DAILY ENTRY'!$F$7:$F$1203,'DAILY ENTRY'!$A$7:$A$1203,$A132,'DAILY ENTRY'!$B$7:$B$1203,$B132,'DAILY ENTRY'!$D$7:$D$1203,"Connection request sent"))</f>
        <v/>
      </c>
      <c r="F132" s="107" t="str">
        <f aca="false">IF($A132="","",SUMIFS('DAILY ENTRY'!$F$7:$F$1203,'DAILY ENTRY'!$A$7:$A$1203,$A132,'DAILY ENTRY'!$B$7:$B$1203,$B132,'DAILY ENTRY'!$D$7:$D$1203,"First message sent"))</f>
        <v/>
      </c>
      <c r="G132" s="107" t="str">
        <f aca="false">IF($A132="","",SUMIFS('DAILY ENTRY'!$F$7:$F$1203,'DAILY ENTRY'!$A$7:$A$1203,$A132,'DAILY ENTRY'!$B$7:$B$1203,$B132,'DAILY ENTRY'!$D$7:$D$1203,"Follow-up message sent"))</f>
        <v/>
      </c>
      <c r="H132" s="107" t="str">
        <f aca="false">IF($A132="","",SUMIFS('DAILY ENTRY'!$F$7:$F$1203,'DAILY ENTRY'!$A$7:$A$1203,$A132,'DAILY ENTRY'!$B$7:$B$1203,$B132,'DAILY ENTRY'!$D$7:$D$1203,"Post / content published"))</f>
        <v/>
      </c>
      <c r="I132" s="107" t="str">
        <f aca="false">IF($A132="","",SUMIFS('DAILY ENTRY'!$F$7:$F$1203,'DAILY ENTRY'!$A$7:$A$1203,$A132,'DAILY ENTRY'!$B$7:$B$1203,$B132,'DAILY ENTRY'!$D$7:$D$1203,"Community answer or comment"))</f>
        <v/>
      </c>
      <c r="J132" s="107" t="str">
        <f aca="false">IF($A132="","",SUMIFS('DAILY ENTRY'!$F$7:$F$1203,'DAILY ENTRY'!$A$7:$A$1203,$A132,'DAILY ENTRY'!$B$7:$B$1203,$B132,'DAILY ENTRY'!$D$7:$D$1203,"Partnership / PR contact"))</f>
        <v/>
      </c>
      <c r="K132" s="107" t="str">
        <f aca="false">IF($A132="","",SUMIFS('DAILY ENTRY'!$F$7:$F$1203,'DAILY ENTRY'!$A$7:$A$1203,$A132,'DAILY ENTRY'!$B$7:$B$1203,$B132,'DAILY ENTRY'!$D$7:$D$1203,"Engagement (commented on someone else)"))</f>
        <v/>
      </c>
      <c r="L132" s="107" t="str">
        <f aca="false">IF($A132="","",SUMIFS('DAILY ENTRY'!$F$7:$F$1203,'DAILY ENTRY'!$A$7:$A$1203,$A132,'DAILY ENTRY'!$B$7:$B$1203,$B132,'DAILY ENTRY'!$D$7:$D$1203,"Account created / profile completed"))</f>
        <v/>
      </c>
      <c r="M132" s="108" t="str">
        <f aca="false">IF($A132="","",IFERROR(INDEX('DAILY ENTRY'!$E$7:$E$1203,MATCH(1,INDEX(('DAILY ENTRY'!$A$7:$A$1203=$A132)*('DAILY ENTRY'!$B$7:$B$1203=$B132)*('DAILY ENTRY'!$I$7:$I$1203="Meeting booked"),0),0)),IFERROR(INDEX('DAILY ENTRY'!$E$7:$E$1203,MATCH(1,INDEX(('DAILY ENTRY'!$A$7:$A$1203=$A132)*('DAILY ENTRY'!$B$7:$B$1203=$B132)*('DAILY ENTRY'!$I$7:$I$1203="Positive reply"),0),0)),"")))</f>
        <v/>
      </c>
      <c r="N132" s="108" t="str">
        <f aca="false">IF($A132="","",IFERROR(INDEX('DAILY ENTRY'!$J$7:$J$1203,MATCH(1,INDEX(('DAILY ENTRY'!$A$7:$A$1203=$A132)*('DAILY ENTRY'!$B$7:$B$1203=$B132)*('DAILY ENTRY'!$I$7:$I$1203="Blocked"),0),0)),""))</f>
        <v/>
      </c>
      <c r="O132" s="65" t="str">
        <f aca="false">IF($A132="","",(D132&gt;='START HERE'!$B$25)+(E132&gt;='START HERE'!$B$26)+(F132&gt;='START HERE'!$B$27)+(G132&gt;='START HERE'!$B$28)+(H132&gt;='START HERE'!$B$29)+(I132&gt;='START HERE'!$B$30)+(J132&gt;='START HERE'!$B$31)+(K132&gt;='START HERE'!$B$32))</f>
        <v/>
      </c>
      <c r="P132" s="46" t="str">
        <f aca="false">IF($A132="","",IF(O132&gt;=7,"Full day",IF(O132&gt;=5,"Most targets met",IF(O132&gt;=3,"Half day","Below plan - explain in the blocker column"))))</f>
        <v/>
      </c>
    </row>
    <row r="133" customFormat="false" ht="24" hidden="false" customHeight="true" outlineLevel="0" collapsed="false">
      <c r="A133" s="36"/>
      <c r="B133" s="37"/>
      <c r="C133" s="107" t="str">
        <f aca="false">IF($A133="","",ROUND(SUMIFS('DAILY ENTRY'!$G$7:$G$1203,'DAILY ENTRY'!$A$7:$A$1203,$A133,'DAILY ENTRY'!$B$7:$B$1203,$B133)/60,1))</f>
        <v/>
      </c>
      <c r="D133" s="107" t="str">
        <f aca="false">IF($A133="","",SUMIFS('DAILY ENTRY'!$F$7:$F$1203,'DAILY ENTRY'!$A$7:$A$1203,$A133,'DAILY ENTRY'!$B$7:$B$1203,$B133,'DAILY ENTRY'!$D$7:$D$1203,"Lead researched (Sales Navigator)"))</f>
        <v/>
      </c>
      <c r="E133" s="107" t="str">
        <f aca="false">IF($A133="","",SUMIFS('DAILY ENTRY'!$F$7:$F$1203,'DAILY ENTRY'!$A$7:$A$1203,$A133,'DAILY ENTRY'!$B$7:$B$1203,$B133,'DAILY ENTRY'!$D$7:$D$1203,"Connection request sent"))</f>
        <v/>
      </c>
      <c r="F133" s="107" t="str">
        <f aca="false">IF($A133="","",SUMIFS('DAILY ENTRY'!$F$7:$F$1203,'DAILY ENTRY'!$A$7:$A$1203,$A133,'DAILY ENTRY'!$B$7:$B$1203,$B133,'DAILY ENTRY'!$D$7:$D$1203,"First message sent"))</f>
        <v/>
      </c>
      <c r="G133" s="107" t="str">
        <f aca="false">IF($A133="","",SUMIFS('DAILY ENTRY'!$F$7:$F$1203,'DAILY ENTRY'!$A$7:$A$1203,$A133,'DAILY ENTRY'!$B$7:$B$1203,$B133,'DAILY ENTRY'!$D$7:$D$1203,"Follow-up message sent"))</f>
        <v/>
      </c>
      <c r="H133" s="107" t="str">
        <f aca="false">IF($A133="","",SUMIFS('DAILY ENTRY'!$F$7:$F$1203,'DAILY ENTRY'!$A$7:$A$1203,$A133,'DAILY ENTRY'!$B$7:$B$1203,$B133,'DAILY ENTRY'!$D$7:$D$1203,"Post / content published"))</f>
        <v/>
      </c>
      <c r="I133" s="107" t="str">
        <f aca="false">IF($A133="","",SUMIFS('DAILY ENTRY'!$F$7:$F$1203,'DAILY ENTRY'!$A$7:$A$1203,$A133,'DAILY ENTRY'!$B$7:$B$1203,$B133,'DAILY ENTRY'!$D$7:$D$1203,"Community answer or comment"))</f>
        <v/>
      </c>
      <c r="J133" s="107" t="str">
        <f aca="false">IF($A133="","",SUMIFS('DAILY ENTRY'!$F$7:$F$1203,'DAILY ENTRY'!$A$7:$A$1203,$A133,'DAILY ENTRY'!$B$7:$B$1203,$B133,'DAILY ENTRY'!$D$7:$D$1203,"Partnership / PR contact"))</f>
        <v/>
      </c>
      <c r="K133" s="107" t="str">
        <f aca="false">IF($A133="","",SUMIFS('DAILY ENTRY'!$F$7:$F$1203,'DAILY ENTRY'!$A$7:$A$1203,$A133,'DAILY ENTRY'!$B$7:$B$1203,$B133,'DAILY ENTRY'!$D$7:$D$1203,"Engagement (commented on someone else)"))</f>
        <v/>
      </c>
      <c r="L133" s="107" t="str">
        <f aca="false">IF($A133="","",SUMIFS('DAILY ENTRY'!$F$7:$F$1203,'DAILY ENTRY'!$A$7:$A$1203,$A133,'DAILY ENTRY'!$B$7:$B$1203,$B133,'DAILY ENTRY'!$D$7:$D$1203,"Account created / profile completed"))</f>
        <v/>
      </c>
      <c r="M133" s="108" t="str">
        <f aca="false">IF($A133="","",IFERROR(INDEX('DAILY ENTRY'!$E$7:$E$1203,MATCH(1,INDEX(('DAILY ENTRY'!$A$7:$A$1203=$A133)*('DAILY ENTRY'!$B$7:$B$1203=$B133)*('DAILY ENTRY'!$I$7:$I$1203="Meeting booked"),0),0)),IFERROR(INDEX('DAILY ENTRY'!$E$7:$E$1203,MATCH(1,INDEX(('DAILY ENTRY'!$A$7:$A$1203=$A133)*('DAILY ENTRY'!$B$7:$B$1203=$B133)*('DAILY ENTRY'!$I$7:$I$1203="Positive reply"),0),0)),"")))</f>
        <v/>
      </c>
      <c r="N133" s="108" t="str">
        <f aca="false">IF($A133="","",IFERROR(INDEX('DAILY ENTRY'!$J$7:$J$1203,MATCH(1,INDEX(('DAILY ENTRY'!$A$7:$A$1203=$A133)*('DAILY ENTRY'!$B$7:$B$1203=$B133)*('DAILY ENTRY'!$I$7:$I$1203="Blocked"),0),0)),""))</f>
        <v/>
      </c>
      <c r="O133" s="65" t="str">
        <f aca="false">IF($A133="","",(D133&gt;='START HERE'!$B$25)+(E133&gt;='START HERE'!$B$26)+(F133&gt;='START HERE'!$B$27)+(G133&gt;='START HERE'!$B$28)+(H133&gt;='START HERE'!$B$29)+(I133&gt;='START HERE'!$B$30)+(J133&gt;='START HERE'!$B$31)+(K133&gt;='START HERE'!$B$32))</f>
        <v/>
      </c>
      <c r="P133" s="46" t="str">
        <f aca="false">IF($A133="","",IF(O133&gt;=7,"Full day",IF(O133&gt;=5,"Most targets met",IF(O133&gt;=3,"Half day","Below plan - explain in the blocker column"))))</f>
        <v/>
      </c>
    </row>
    <row r="134" customFormat="false" ht="24" hidden="false" customHeight="true" outlineLevel="0" collapsed="false">
      <c r="A134" s="36"/>
      <c r="B134" s="37"/>
      <c r="C134" s="107" t="str">
        <f aca="false">IF($A134="","",ROUND(SUMIFS('DAILY ENTRY'!$G$7:$G$1203,'DAILY ENTRY'!$A$7:$A$1203,$A134,'DAILY ENTRY'!$B$7:$B$1203,$B134)/60,1))</f>
        <v/>
      </c>
      <c r="D134" s="107" t="str">
        <f aca="false">IF($A134="","",SUMIFS('DAILY ENTRY'!$F$7:$F$1203,'DAILY ENTRY'!$A$7:$A$1203,$A134,'DAILY ENTRY'!$B$7:$B$1203,$B134,'DAILY ENTRY'!$D$7:$D$1203,"Lead researched (Sales Navigator)"))</f>
        <v/>
      </c>
      <c r="E134" s="107" t="str">
        <f aca="false">IF($A134="","",SUMIFS('DAILY ENTRY'!$F$7:$F$1203,'DAILY ENTRY'!$A$7:$A$1203,$A134,'DAILY ENTRY'!$B$7:$B$1203,$B134,'DAILY ENTRY'!$D$7:$D$1203,"Connection request sent"))</f>
        <v/>
      </c>
      <c r="F134" s="107" t="str">
        <f aca="false">IF($A134="","",SUMIFS('DAILY ENTRY'!$F$7:$F$1203,'DAILY ENTRY'!$A$7:$A$1203,$A134,'DAILY ENTRY'!$B$7:$B$1203,$B134,'DAILY ENTRY'!$D$7:$D$1203,"First message sent"))</f>
        <v/>
      </c>
      <c r="G134" s="107" t="str">
        <f aca="false">IF($A134="","",SUMIFS('DAILY ENTRY'!$F$7:$F$1203,'DAILY ENTRY'!$A$7:$A$1203,$A134,'DAILY ENTRY'!$B$7:$B$1203,$B134,'DAILY ENTRY'!$D$7:$D$1203,"Follow-up message sent"))</f>
        <v/>
      </c>
      <c r="H134" s="107" t="str">
        <f aca="false">IF($A134="","",SUMIFS('DAILY ENTRY'!$F$7:$F$1203,'DAILY ENTRY'!$A$7:$A$1203,$A134,'DAILY ENTRY'!$B$7:$B$1203,$B134,'DAILY ENTRY'!$D$7:$D$1203,"Post / content published"))</f>
        <v/>
      </c>
      <c r="I134" s="107" t="str">
        <f aca="false">IF($A134="","",SUMIFS('DAILY ENTRY'!$F$7:$F$1203,'DAILY ENTRY'!$A$7:$A$1203,$A134,'DAILY ENTRY'!$B$7:$B$1203,$B134,'DAILY ENTRY'!$D$7:$D$1203,"Community answer or comment"))</f>
        <v/>
      </c>
      <c r="J134" s="107" t="str">
        <f aca="false">IF($A134="","",SUMIFS('DAILY ENTRY'!$F$7:$F$1203,'DAILY ENTRY'!$A$7:$A$1203,$A134,'DAILY ENTRY'!$B$7:$B$1203,$B134,'DAILY ENTRY'!$D$7:$D$1203,"Partnership / PR contact"))</f>
        <v/>
      </c>
      <c r="K134" s="107" t="str">
        <f aca="false">IF($A134="","",SUMIFS('DAILY ENTRY'!$F$7:$F$1203,'DAILY ENTRY'!$A$7:$A$1203,$A134,'DAILY ENTRY'!$B$7:$B$1203,$B134,'DAILY ENTRY'!$D$7:$D$1203,"Engagement (commented on someone else)"))</f>
        <v/>
      </c>
      <c r="L134" s="107" t="str">
        <f aca="false">IF($A134="","",SUMIFS('DAILY ENTRY'!$F$7:$F$1203,'DAILY ENTRY'!$A$7:$A$1203,$A134,'DAILY ENTRY'!$B$7:$B$1203,$B134,'DAILY ENTRY'!$D$7:$D$1203,"Account created / profile completed"))</f>
        <v/>
      </c>
      <c r="M134" s="108" t="str">
        <f aca="false">IF($A134="","",IFERROR(INDEX('DAILY ENTRY'!$E$7:$E$1203,MATCH(1,INDEX(('DAILY ENTRY'!$A$7:$A$1203=$A134)*('DAILY ENTRY'!$B$7:$B$1203=$B134)*('DAILY ENTRY'!$I$7:$I$1203="Meeting booked"),0),0)),IFERROR(INDEX('DAILY ENTRY'!$E$7:$E$1203,MATCH(1,INDEX(('DAILY ENTRY'!$A$7:$A$1203=$A134)*('DAILY ENTRY'!$B$7:$B$1203=$B134)*('DAILY ENTRY'!$I$7:$I$1203="Positive reply"),0),0)),"")))</f>
        <v/>
      </c>
      <c r="N134" s="108" t="str">
        <f aca="false">IF($A134="","",IFERROR(INDEX('DAILY ENTRY'!$J$7:$J$1203,MATCH(1,INDEX(('DAILY ENTRY'!$A$7:$A$1203=$A134)*('DAILY ENTRY'!$B$7:$B$1203=$B134)*('DAILY ENTRY'!$I$7:$I$1203="Blocked"),0),0)),""))</f>
        <v/>
      </c>
      <c r="O134" s="65" t="str">
        <f aca="false">IF($A134="","",(D134&gt;='START HERE'!$B$25)+(E134&gt;='START HERE'!$B$26)+(F134&gt;='START HERE'!$B$27)+(G134&gt;='START HERE'!$B$28)+(H134&gt;='START HERE'!$B$29)+(I134&gt;='START HERE'!$B$30)+(J134&gt;='START HERE'!$B$31)+(K134&gt;='START HERE'!$B$32))</f>
        <v/>
      </c>
      <c r="P134" s="46" t="str">
        <f aca="false">IF($A134="","",IF(O134&gt;=7,"Full day",IF(O134&gt;=5,"Most targets met",IF(O134&gt;=3,"Half day","Below plan - explain in the blocker column"))))</f>
        <v/>
      </c>
    </row>
    <row r="135" customFormat="false" ht="24" hidden="false" customHeight="true" outlineLevel="0" collapsed="false">
      <c r="A135" s="36"/>
      <c r="B135" s="37"/>
      <c r="C135" s="107" t="str">
        <f aca="false">IF($A135="","",ROUND(SUMIFS('DAILY ENTRY'!$G$7:$G$1203,'DAILY ENTRY'!$A$7:$A$1203,$A135,'DAILY ENTRY'!$B$7:$B$1203,$B135)/60,1))</f>
        <v/>
      </c>
      <c r="D135" s="107" t="str">
        <f aca="false">IF($A135="","",SUMIFS('DAILY ENTRY'!$F$7:$F$1203,'DAILY ENTRY'!$A$7:$A$1203,$A135,'DAILY ENTRY'!$B$7:$B$1203,$B135,'DAILY ENTRY'!$D$7:$D$1203,"Lead researched (Sales Navigator)"))</f>
        <v/>
      </c>
      <c r="E135" s="107" t="str">
        <f aca="false">IF($A135="","",SUMIFS('DAILY ENTRY'!$F$7:$F$1203,'DAILY ENTRY'!$A$7:$A$1203,$A135,'DAILY ENTRY'!$B$7:$B$1203,$B135,'DAILY ENTRY'!$D$7:$D$1203,"Connection request sent"))</f>
        <v/>
      </c>
      <c r="F135" s="107" t="str">
        <f aca="false">IF($A135="","",SUMIFS('DAILY ENTRY'!$F$7:$F$1203,'DAILY ENTRY'!$A$7:$A$1203,$A135,'DAILY ENTRY'!$B$7:$B$1203,$B135,'DAILY ENTRY'!$D$7:$D$1203,"First message sent"))</f>
        <v/>
      </c>
      <c r="G135" s="107" t="str">
        <f aca="false">IF($A135="","",SUMIFS('DAILY ENTRY'!$F$7:$F$1203,'DAILY ENTRY'!$A$7:$A$1203,$A135,'DAILY ENTRY'!$B$7:$B$1203,$B135,'DAILY ENTRY'!$D$7:$D$1203,"Follow-up message sent"))</f>
        <v/>
      </c>
      <c r="H135" s="107" t="str">
        <f aca="false">IF($A135="","",SUMIFS('DAILY ENTRY'!$F$7:$F$1203,'DAILY ENTRY'!$A$7:$A$1203,$A135,'DAILY ENTRY'!$B$7:$B$1203,$B135,'DAILY ENTRY'!$D$7:$D$1203,"Post / content published"))</f>
        <v/>
      </c>
      <c r="I135" s="107" t="str">
        <f aca="false">IF($A135="","",SUMIFS('DAILY ENTRY'!$F$7:$F$1203,'DAILY ENTRY'!$A$7:$A$1203,$A135,'DAILY ENTRY'!$B$7:$B$1203,$B135,'DAILY ENTRY'!$D$7:$D$1203,"Community answer or comment"))</f>
        <v/>
      </c>
      <c r="J135" s="107" t="str">
        <f aca="false">IF($A135="","",SUMIFS('DAILY ENTRY'!$F$7:$F$1203,'DAILY ENTRY'!$A$7:$A$1203,$A135,'DAILY ENTRY'!$B$7:$B$1203,$B135,'DAILY ENTRY'!$D$7:$D$1203,"Partnership / PR contact"))</f>
        <v/>
      </c>
      <c r="K135" s="107" t="str">
        <f aca="false">IF($A135="","",SUMIFS('DAILY ENTRY'!$F$7:$F$1203,'DAILY ENTRY'!$A$7:$A$1203,$A135,'DAILY ENTRY'!$B$7:$B$1203,$B135,'DAILY ENTRY'!$D$7:$D$1203,"Engagement (commented on someone else)"))</f>
        <v/>
      </c>
      <c r="L135" s="107" t="str">
        <f aca="false">IF($A135="","",SUMIFS('DAILY ENTRY'!$F$7:$F$1203,'DAILY ENTRY'!$A$7:$A$1203,$A135,'DAILY ENTRY'!$B$7:$B$1203,$B135,'DAILY ENTRY'!$D$7:$D$1203,"Account created / profile completed"))</f>
        <v/>
      </c>
      <c r="M135" s="108" t="str">
        <f aca="false">IF($A135="","",IFERROR(INDEX('DAILY ENTRY'!$E$7:$E$1203,MATCH(1,INDEX(('DAILY ENTRY'!$A$7:$A$1203=$A135)*('DAILY ENTRY'!$B$7:$B$1203=$B135)*('DAILY ENTRY'!$I$7:$I$1203="Meeting booked"),0),0)),IFERROR(INDEX('DAILY ENTRY'!$E$7:$E$1203,MATCH(1,INDEX(('DAILY ENTRY'!$A$7:$A$1203=$A135)*('DAILY ENTRY'!$B$7:$B$1203=$B135)*('DAILY ENTRY'!$I$7:$I$1203="Positive reply"),0),0)),"")))</f>
        <v/>
      </c>
      <c r="N135" s="108" t="str">
        <f aca="false">IF($A135="","",IFERROR(INDEX('DAILY ENTRY'!$J$7:$J$1203,MATCH(1,INDEX(('DAILY ENTRY'!$A$7:$A$1203=$A135)*('DAILY ENTRY'!$B$7:$B$1203=$B135)*('DAILY ENTRY'!$I$7:$I$1203="Blocked"),0),0)),""))</f>
        <v/>
      </c>
      <c r="O135" s="65" t="str">
        <f aca="false">IF($A135="","",(D135&gt;='START HERE'!$B$25)+(E135&gt;='START HERE'!$B$26)+(F135&gt;='START HERE'!$B$27)+(G135&gt;='START HERE'!$B$28)+(H135&gt;='START HERE'!$B$29)+(I135&gt;='START HERE'!$B$30)+(J135&gt;='START HERE'!$B$31)+(K135&gt;='START HERE'!$B$32))</f>
        <v/>
      </c>
      <c r="P135" s="46" t="str">
        <f aca="false">IF($A135="","",IF(O135&gt;=7,"Full day",IF(O135&gt;=5,"Most targets met",IF(O135&gt;=3,"Half day","Below plan - explain in the blocker column"))))</f>
        <v/>
      </c>
    </row>
    <row r="136" customFormat="false" ht="24" hidden="false" customHeight="true" outlineLevel="0" collapsed="false">
      <c r="A136" s="36"/>
      <c r="B136" s="37"/>
      <c r="C136" s="107" t="str">
        <f aca="false">IF($A136="","",ROUND(SUMIFS('DAILY ENTRY'!$G$7:$G$1203,'DAILY ENTRY'!$A$7:$A$1203,$A136,'DAILY ENTRY'!$B$7:$B$1203,$B136)/60,1))</f>
        <v/>
      </c>
      <c r="D136" s="107" t="str">
        <f aca="false">IF($A136="","",SUMIFS('DAILY ENTRY'!$F$7:$F$1203,'DAILY ENTRY'!$A$7:$A$1203,$A136,'DAILY ENTRY'!$B$7:$B$1203,$B136,'DAILY ENTRY'!$D$7:$D$1203,"Lead researched (Sales Navigator)"))</f>
        <v/>
      </c>
      <c r="E136" s="107" t="str">
        <f aca="false">IF($A136="","",SUMIFS('DAILY ENTRY'!$F$7:$F$1203,'DAILY ENTRY'!$A$7:$A$1203,$A136,'DAILY ENTRY'!$B$7:$B$1203,$B136,'DAILY ENTRY'!$D$7:$D$1203,"Connection request sent"))</f>
        <v/>
      </c>
      <c r="F136" s="107" t="str">
        <f aca="false">IF($A136="","",SUMIFS('DAILY ENTRY'!$F$7:$F$1203,'DAILY ENTRY'!$A$7:$A$1203,$A136,'DAILY ENTRY'!$B$7:$B$1203,$B136,'DAILY ENTRY'!$D$7:$D$1203,"First message sent"))</f>
        <v/>
      </c>
      <c r="G136" s="107" t="str">
        <f aca="false">IF($A136="","",SUMIFS('DAILY ENTRY'!$F$7:$F$1203,'DAILY ENTRY'!$A$7:$A$1203,$A136,'DAILY ENTRY'!$B$7:$B$1203,$B136,'DAILY ENTRY'!$D$7:$D$1203,"Follow-up message sent"))</f>
        <v/>
      </c>
      <c r="H136" s="107" t="str">
        <f aca="false">IF($A136="","",SUMIFS('DAILY ENTRY'!$F$7:$F$1203,'DAILY ENTRY'!$A$7:$A$1203,$A136,'DAILY ENTRY'!$B$7:$B$1203,$B136,'DAILY ENTRY'!$D$7:$D$1203,"Post / content published"))</f>
        <v/>
      </c>
      <c r="I136" s="107" t="str">
        <f aca="false">IF($A136="","",SUMIFS('DAILY ENTRY'!$F$7:$F$1203,'DAILY ENTRY'!$A$7:$A$1203,$A136,'DAILY ENTRY'!$B$7:$B$1203,$B136,'DAILY ENTRY'!$D$7:$D$1203,"Community answer or comment"))</f>
        <v/>
      </c>
      <c r="J136" s="107" t="str">
        <f aca="false">IF($A136="","",SUMIFS('DAILY ENTRY'!$F$7:$F$1203,'DAILY ENTRY'!$A$7:$A$1203,$A136,'DAILY ENTRY'!$B$7:$B$1203,$B136,'DAILY ENTRY'!$D$7:$D$1203,"Partnership / PR contact"))</f>
        <v/>
      </c>
      <c r="K136" s="107" t="str">
        <f aca="false">IF($A136="","",SUMIFS('DAILY ENTRY'!$F$7:$F$1203,'DAILY ENTRY'!$A$7:$A$1203,$A136,'DAILY ENTRY'!$B$7:$B$1203,$B136,'DAILY ENTRY'!$D$7:$D$1203,"Engagement (commented on someone else)"))</f>
        <v/>
      </c>
      <c r="L136" s="107" t="str">
        <f aca="false">IF($A136="","",SUMIFS('DAILY ENTRY'!$F$7:$F$1203,'DAILY ENTRY'!$A$7:$A$1203,$A136,'DAILY ENTRY'!$B$7:$B$1203,$B136,'DAILY ENTRY'!$D$7:$D$1203,"Account created / profile completed"))</f>
        <v/>
      </c>
      <c r="M136" s="108" t="str">
        <f aca="false">IF($A136="","",IFERROR(INDEX('DAILY ENTRY'!$E$7:$E$1203,MATCH(1,INDEX(('DAILY ENTRY'!$A$7:$A$1203=$A136)*('DAILY ENTRY'!$B$7:$B$1203=$B136)*('DAILY ENTRY'!$I$7:$I$1203="Meeting booked"),0),0)),IFERROR(INDEX('DAILY ENTRY'!$E$7:$E$1203,MATCH(1,INDEX(('DAILY ENTRY'!$A$7:$A$1203=$A136)*('DAILY ENTRY'!$B$7:$B$1203=$B136)*('DAILY ENTRY'!$I$7:$I$1203="Positive reply"),0),0)),"")))</f>
        <v/>
      </c>
      <c r="N136" s="108" t="str">
        <f aca="false">IF($A136="","",IFERROR(INDEX('DAILY ENTRY'!$J$7:$J$1203,MATCH(1,INDEX(('DAILY ENTRY'!$A$7:$A$1203=$A136)*('DAILY ENTRY'!$B$7:$B$1203=$B136)*('DAILY ENTRY'!$I$7:$I$1203="Blocked"),0),0)),""))</f>
        <v/>
      </c>
      <c r="O136" s="65" t="str">
        <f aca="false">IF($A136="","",(D136&gt;='START HERE'!$B$25)+(E136&gt;='START HERE'!$B$26)+(F136&gt;='START HERE'!$B$27)+(G136&gt;='START HERE'!$B$28)+(H136&gt;='START HERE'!$B$29)+(I136&gt;='START HERE'!$B$30)+(J136&gt;='START HERE'!$B$31)+(K136&gt;='START HERE'!$B$32))</f>
        <v/>
      </c>
      <c r="P136" s="46" t="str">
        <f aca="false">IF($A136="","",IF(O136&gt;=7,"Full day",IF(O136&gt;=5,"Most targets met",IF(O136&gt;=3,"Half day","Below plan - explain in the blocker column"))))</f>
        <v/>
      </c>
    </row>
    <row r="137" customFormat="false" ht="24" hidden="false" customHeight="true" outlineLevel="0" collapsed="false">
      <c r="A137" s="36"/>
      <c r="B137" s="37"/>
      <c r="C137" s="107" t="str">
        <f aca="false">IF($A137="","",ROUND(SUMIFS('DAILY ENTRY'!$G$7:$G$1203,'DAILY ENTRY'!$A$7:$A$1203,$A137,'DAILY ENTRY'!$B$7:$B$1203,$B137)/60,1))</f>
        <v/>
      </c>
      <c r="D137" s="107" t="str">
        <f aca="false">IF($A137="","",SUMIFS('DAILY ENTRY'!$F$7:$F$1203,'DAILY ENTRY'!$A$7:$A$1203,$A137,'DAILY ENTRY'!$B$7:$B$1203,$B137,'DAILY ENTRY'!$D$7:$D$1203,"Lead researched (Sales Navigator)"))</f>
        <v/>
      </c>
      <c r="E137" s="107" t="str">
        <f aca="false">IF($A137="","",SUMIFS('DAILY ENTRY'!$F$7:$F$1203,'DAILY ENTRY'!$A$7:$A$1203,$A137,'DAILY ENTRY'!$B$7:$B$1203,$B137,'DAILY ENTRY'!$D$7:$D$1203,"Connection request sent"))</f>
        <v/>
      </c>
      <c r="F137" s="107" t="str">
        <f aca="false">IF($A137="","",SUMIFS('DAILY ENTRY'!$F$7:$F$1203,'DAILY ENTRY'!$A$7:$A$1203,$A137,'DAILY ENTRY'!$B$7:$B$1203,$B137,'DAILY ENTRY'!$D$7:$D$1203,"First message sent"))</f>
        <v/>
      </c>
      <c r="G137" s="107" t="str">
        <f aca="false">IF($A137="","",SUMIFS('DAILY ENTRY'!$F$7:$F$1203,'DAILY ENTRY'!$A$7:$A$1203,$A137,'DAILY ENTRY'!$B$7:$B$1203,$B137,'DAILY ENTRY'!$D$7:$D$1203,"Follow-up message sent"))</f>
        <v/>
      </c>
      <c r="H137" s="107" t="str">
        <f aca="false">IF($A137="","",SUMIFS('DAILY ENTRY'!$F$7:$F$1203,'DAILY ENTRY'!$A$7:$A$1203,$A137,'DAILY ENTRY'!$B$7:$B$1203,$B137,'DAILY ENTRY'!$D$7:$D$1203,"Post / content published"))</f>
        <v/>
      </c>
      <c r="I137" s="107" t="str">
        <f aca="false">IF($A137="","",SUMIFS('DAILY ENTRY'!$F$7:$F$1203,'DAILY ENTRY'!$A$7:$A$1203,$A137,'DAILY ENTRY'!$B$7:$B$1203,$B137,'DAILY ENTRY'!$D$7:$D$1203,"Community answer or comment"))</f>
        <v/>
      </c>
      <c r="J137" s="107" t="str">
        <f aca="false">IF($A137="","",SUMIFS('DAILY ENTRY'!$F$7:$F$1203,'DAILY ENTRY'!$A$7:$A$1203,$A137,'DAILY ENTRY'!$B$7:$B$1203,$B137,'DAILY ENTRY'!$D$7:$D$1203,"Partnership / PR contact"))</f>
        <v/>
      </c>
      <c r="K137" s="107" t="str">
        <f aca="false">IF($A137="","",SUMIFS('DAILY ENTRY'!$F$7:$F$1203,'DAILY ENTRY'!$A$7:$A$1203,$A137,'DAILY ENTRY'!$B$7:$B$1203,$B137,'DAILY ENTRY'!$D$7:$D$1203,"Engagement (commented on someone else)"))</f>
        <v/>
      </c>
      <c r="L137" s="107" t="str">
        <f aca="false">IF($A137="","",SUMIFS('DAILY ENTRY'!$F$7:$F$1203,'DAILY ENTRY'!$A$7:$A$1203,$A137,'DAILY ENTRY'!$B$7:$B$1203,$B137,'DAILY ENTRY'!$D$7:$D$1203,"Account created / profile completed"))</f>
        <v/>
      </c>
      <c r="M137" s="108" t="str">
        <f aca="false">IF($A137="","",IFERROR(INDEX('DAILY ENTRY'!$E$7:$E$1203,MATCH(1,INDEX(('DAILY ENTRY'!$A$7:$A$1203=$A137)*('DAILY ENTRY'!$B$7:$B$1203=$B137)*('DAILY ENTRY'!$I$7:$I$1203="Meeting booked"),0),0)),IFERROR(INDEX('DAILY ENTRY'!$E$7:$E$1203,MATCH(1,INDEX(('DAILY ENTRY'!$A$7:$A$1203=$A137)*('DAILY ENTRY'!$B$7:$B$1203=$B137)*('DAILY ENTRY'!$I$7:$I$1203="Positive reply"),0),0)),"")))</f>
        <v/>
      </c>
      <c r="N137" s="108" t="str">
        <f aca="false">IF($A137="","",IFERROR(INDEX('DAILY ENTRY'!$J$7:$J$1203,MATCH(1,INDEX(('DAILY ENTRY'!$A$7:$A$1203=$A137)*('DAILY ENTRY'!$B$7:$B$1203=$B137)*('DAILY ENTRY'!$I$7:$I$1203="Blocked"),0),0)),""))</f>
        <v/>
      </c>
      <c r="O137" s="65" t="str">
        <f aca="false">IF($A137="","",(D137&gt;='START HERE'!$B$25)+(E137&gt;='START HERE'!$B$26)+(F137&gt;='START HERE'!$B$27)+(G137&gt;='START HERE'!$B$28)+(H137&gt;='START HERE'!$B$29)+(I137&gt;='START HERE'!$B$30)+(J137&gt;='START HERE'!$B$31)+(K137&gt;='START HERE'!$B$32))</f>
        <v/>
      </c>
      <c r="P137" s="46" t="str">
        <f aca="false">IF($A137="","",IF(O137&gt;=7,"Full day",IF(O137&gt;=5,"Most targets met",IF(O137&gt;=3,"Half day","Below plan - explain in the blocker column"))))</f>
        <v/>
      </c>
    </row>
    <row r="138" customFormat="false" ht="24" hidden="false" customHeight="true" outlineLevel="0" collapsed="false">
      <c r="A138" s="36"/>
      <c r="B138" s="37"/>
      <c r="C138" s="107" t="str">
        <f aca="false">IF($A138="","",ROUND(SUMIFS('DAILY ENTRY'!$G$7:$G$1203,'DAILY ENTRY'!$A$7:$A$1203,$A138,'DAILY ENTRY'!$B$7:$B$1203,$B138)/60,1))</f>
        <v/>
      </c>
      <c r="D138" s="107" t="str">
        <f aca="false">IF($A138="","",SUMIFS('DAILY ENTRY'!$F$7:$F$1203,'DAILY ENTRY'!$A$7:$A$1203,$A138,'DAILY ENTRY'!$B$7:$B$1203,$B138,'DAILY ENTRY'!$D$7:$D$1203,"Lead researched (Sales Navigator)"))</f>
        <v/>
      </c>
      <c r="E138" s="107" t="str">
        <f aca="false">IF($A138="","",SUMIFS('DAILY ENTRY'!$F$7:$F$1203,'DAILY ENTRY'!$A$7:$A$1203,$A138,'DAILY ENTRY'!$B$7:$B$1203,$B138,'DAILY ENTRY'!$D$7:$D$1203,"Connection request sent"))</f>
        <v/>
      </c>
      <c r="F138" s="107" t="str">
        <f aca="false">IF($A138="","",SUMIFS('DAILY ENTRY'!$F$7:$F$1203,'DAILY ENTRY'!$A$7:$A$1203,$A138,'DAILY ENTRY'!$B$7:$B$1203,$B138,'DAILY ENTRY'!$D$7:$D$1203,"First message sent"))</f>
        <v/>
      </c>
      <c r="G138" s="107" t="str">
        <f aca="false">IF($A138="","",SUMIFS('DAILY ENTRY'!$F$7:$F$1203,'DAILY ENTRY'!$A$7:$A$1203,$A138,'DAILY ENTRY'!$B$7:$B$1203,$B138,'DAILY ENTRY'!$D$7:$D$1203,"Follow-up message sent"))</f>
        <v/>
      </c>
      <c r="H138" s="107" t="str">
        <f aca="false">IF($A138="","",SUMIFS('DAILY ENTRY'!$F$7:$F$1203,'DAILY ENTRY'!$A$7:$A$1203,$A138,'DAILY ENTRY'!$B$7:$B$1203,$B138,'DAILY ENTRY'!$D$7:$D$1203,"Post / content published"))</f>
        <v/>
      </c>
      <c r="I138" s="107" t="str">
        <f aca="false">IF($A138="","",SUMIFS('DAILY ENTRY'!$F$7:$F$1203,'DAILY ENTRY'!$A$7:$A$1203,$A138,'DAILY ENTRY'!$B$7:$B$1203,$B138,'DAILY ENTRY'!$D$7:$D$1203,"Community answer or comment"))</f>
        <v/>
      </c>
      <c r="J138" s="107" t="str">
        <f aca="false">IF($A138="","",SUMIFS('DAILY ENTRY'!$F$7:$F$1203,'DAILY ENTRY'!$A$7:$A$1203,$A138,'DAILY ENTRY'!$B$7:$B$1203,$B138,'DAILY ENTRY'!$D$7:$D$1203,"Partnership / PR contact"))</f>
        <v/>
      </c>
      <c r="K138" s="107" t="str">
        <f aca="false">IF($A138="","",SUMIFS('DAILY ENTRY'!$F$7:$F$1203,'DAILY ENTRY'!$A$7:$A$1203,$A138,'DAILY ENTRY'!$B$7:$B$1203,$B138,'DAILY ENTRY'!$D$7:$D$1203,"Engagement (commented on someone else)"))</f>
        <v/>
      </c>
      <c r="L138" s="107" t="str">
        <f aca="false">IF($A138="","",SUMIFS('DAILY ENTRY'!$F$7:$F$1203,'DAILY ENTRY'!$A$7:$A$1203,$A138,'DAILY ENTRY'!$B$7:$B$1203,$B138,'DAILY ENTRY'!$D$7:$D$1203,"Account created / profile completed"))</f>
        <v/>
      </c>
      <c r="M138" s="108" t="str">
        <f aca="false">IF($A138="","",IFERROR(INDEX('DAILY ENTRY'!$E$7:$E$1203,MATCH(1,INDEX(('DAILY ENTRY'!$A$7:$A$1203=$A138)*('DAILY ENTRY'!$B$7:$B$1203=$B138)*('DAILY ENTRY'!$I$7:$I$1203="Meeting booked"),0),0)),IFERROR(INDEX('DAILY ENTRY'!$E$7:$E$1203,MATCH(1,INDEX(('DAILY ENTRY'!$A$7:$A$1203=$A138)*('DAILY ENTRY'!$B$7:$B$1203=$B138)*('DAILY ENTRY'!$I$7:$I$1203="Positive reply"),0),0)),"")))</f>
        <v/>
      </c>
      <c r="N138" s="108" t="str">
        <f aca="false">IF($A138="","",IFERROR(INDEX('DAILY ENTRY'!$J$7:$J$1203,MATCH(1,INDEX(('DAILY ENTRY'!$A$7:$A$1203=$A138)*('DAILY ENTRY'!$B$7:$B$1203=$B138)*('DAILY ENTRY'!$I$7:$I$1203="Blocked"),0),0)),""))</f>
        <v/>
      </c>
      <c r="O138" s="65" t="str">
        <f aca="false">IF($A138="","",(D138&gt;='START HERE'!$B$25)+(E138&gt;='START HERE'!$B$26)+(F138&gt;='START HERE'!$B$27)+(G138&gt;='START HERE'!$B$28)+(H138&gt;='START HERE'!$B$29)+(I138&gt;='START HERE'!$B$30)+(J138&gt;='START HERE'!$B$31)+(K138&gt;='START HERE'!$B$32))</f>
        <v/>
      </c>
      <c r="P138" s="46" t="str">
        <f aca="false">IF($A138="","",IF(O138&gt;=7,"Full day",IF(O138&gt;=5,"Most targets met",IF(O138&gt;=3,"Half day","Below plan - explain in the blocker column"))))</f>
        <v/>
      </c>
    </row>
    <row r="139" customFormat="false" ht="24" hidden="false" customHeight="true" outlineLevel="0" collapsed="false">
      <c r="A139" s="36"/>
      <c r="B139" s="37"/>
      <c r="C139" s="107" t="str">
        <f aca="false">IF($A139="","",ROUND(SUMIFS('DAILY ENTRY'!$G$7:$G$1203,'DAILY ENTRY'!$A$7:$A$1203,$A139,'DAILY ENTRY'!$B$7:$B$1203,$B139)/60,1))</f>
        <v/>
      </c>
      <c r="D139" s="107" t="str">
        <f aca="false">IF($A139="","",SUMIFS('DAILY ENTRY'!$F$7:$F$1203,'DAILY ENTRY'!$A$7:$A$1203,$A139,'DAILY ENTRY'!$B$7:$B$1203,$B139,'DAILY ENTRY'!$D$7:$D$1203,"Lead researched (Sales Navigator)"))</f>
        <v/>
      </c>
      <c r="E139" s="107" t="str">
        <f aca="false">IF($A139="","",SUMIFS('DAILY ENTRY'!$F$7:$F$1203,'DAILY ENTRY'!$A$7:$A$1203,$A139,'DAILY ENTRY'!$B$7:$B$1203,$B139,'DAILY ENTRY'!$D$7:$D$1203,"Connection request sent"))</f>
        <v/>
      </c>
      <c r="F139" s="107" t="str">
        <f aca="false">IF($A139="","",SUMIFS('DAILY ENTRY'!$F$7:$F$1203,'DAILY ENTRY'!$A$7:$A$1203,$A139,'DAILY ENTRY'!$B$7:$B$1203,$B139,'DAILY ENTRY'!$D$7:$D$1203,"First message sent"))</f>
        <v/>
      </c>
      <c r="G139" s="107" t="str">
        <f aca="false">IF($A139="","",SUMIFS('DAILY ENTRY'!$F$7:$F$1203,'DAILY ENTRY'!$A$7:$A$1203,$A139,'DAILY ENTRY'!$B$7:$B$1203,$B139,'DAILY ENTRY'!$D$7:$D$1203,"Follow-up message sent"))</f>
        <v/>
      </c>
      <c r="H139" s="107" t="str">
        <f aca="false">IF($A139="","",SUMIFS('DAILY ENTRY'!$F$7:$F$1203,'DAILY ENTRY'!$A$7:$A$1203,$A139,'DAILY ENTRY'!$B$7:$B$1203,$B139,'DAILY ENTRY'!$D$7:$D$1203,"Post / content published"))</f>
        <v/>
      </c>
      <c r="I139" s="107" t="str">
        <f aca="false">IF($A139="","",SUMIFS('DAILY ENTRY'!$F$7:$F$1203,'DAILY ENTRY'!$A$7:$A$1203,$A139,'DAILY ENTRY'!$B$7:$B$1203,$B139,'DAILY ENTRY'!$D$7:$D$1203,"Community answer or comment"))</f>
        <v/>
      </c>
      <c r="J139" s="107" t="str">
        <f aca="false">IF($A139="","",SUMIFS('DAILY ENTRY'!$F$7:$F$1203,'DAILY ENTRY'!$A$7:$A$1203,$A139,'DAILY ENTRY'!$B$7:$B$1203,$B139,'DAILY ENTRY'!$D$7:$D$1203,"Partnership / PR contact"))</f>
        <v/>
      </c>
      <c r="K139" s="107" t="str">
        <f aca="false">IF($A139="","",SUMIFS('DAILY ENTRY'!$F$7:$F$1203,'DAILY ENTRY'!$A$7:$A$1203,$A139,'DAILY ENTRY'!$B$7:$B$1203,$B139,'DAILY ENTRY'!$D$7:$D$1203,"Engagement (commented on someone else)"))</f>
        <v/>
      </c>
      <c r="L139" s="107" t="str">
        <f aca="false">IF($A139="","",SUMIFS('DAILY ENTRY'!$F$7:$F$1203,'DAILY ENTRY'!$A$7:$A$1203,$A139,'DAILY ENTRY'!$B$7:$B$1203,$B139,'DAILY ENTRY'!$D$7:$D$1203,"Account created / profile completed"))</f>
        <v/>
      </c>
      <c r="M139" s="108" t="str">
        <f aca="false">IF($A139="","",IFERROR(INDEX('DAILY ENTRY'!$E$7:$E$1203,MATCH(1,INDEX(('DAILY ENTRY'!$A$7:$A$1203=$A139)*('DAILY ENTRY'!$B$7:$B$1203=$B139)*('DAILY ENTRY'!$I$7:$I$1203="Meeting booked"),0),0)),IFERROR(INDEX('DAILY ENTRY'!$E$7:$E$1203,MATCH(1,INDEX(('DAILY ENTRY'!$A$7:$A$1203=$A139)*('DAILY ENTRY'!$B$7:$B$1203=$B139)*('DAILY ENTRY'!$I$7:$I$1203="Positive reply"),0),0)),"")))</f>
        <v/>
      </c>
      <c r="N139" s="108" t="str">
        <f aca="false">IF($A139="","",IFERROR(INDEX('DAILY ENTRY'!$J$7:$J$1203,MATCH(1,INDEX(('DAILY ENTRY'!$A$7:$A$1203=$A139)*('DAILY ENTRY'!$B$7:$B$1203=$B139)*('DAILY ENTRY'!$I$7:$I$1203="Blocked"),0),0)),""))</f>
        <v/>
      </c>
      <c r="O139" s="65" t="str">
        <f aca="false">IF($A139="","",(D139&gt;='START HERE'!$B$25)+(E139&gt;='START HERE'!$B$26)+(F139&gt;='START HERE'!$B$27)+(G139&gt;='START HERE'!$B$28)+(H139&gt;='START HERE'!$B$29)+(I139&gt;='START HERE'!$B$30)+(J139&gt;='START HERE'!$B$31)+(K139&gt;='START HERE'!$B$32))</f>
        <v/>
      </c>
      <c r="P139" s="46" t="str">
        <f aca="false">IF($A139="","",IF(O139&gt;=7,"Full day",IF(O139&gt;=5,"Most targets met",IF(O139&gt;=3,"Half day","Below plan - explain in the blocker column"))))</f>
        <v/>
      </c>
    </row>
    <row r="140" customFormat="false" ht="24" hidden="false" customHeight="true" outlineLevel="0" collapsed="false">
      <c r="A140" s="36"/>
      <c r="B140" s="37"/>
      <c r="C140" s="107" t="str">
        <f aca="false">IF($A140="","",ROUND(SUMIFS('DAILY ENTRY'!$G$7:$G$1203,'DAILY ENTRY'!$A$7:$A$1203,$A140,'DAILY ENTRY'!$B$7:$B$1203,$B140)/60,1))</f>
        <v/>
      </c>
      <c r="D140" s="107" t="str">
        <f aca="false">IF($A140="","",SUMIFS('DAILY ENTRY'!$F$7:$F$1203,'DAILY ENTRY'!$A$7:$A$1203,$A140,'DAILY ENTRY'!$B$7:$B$1203,$B140,'DAILY ENTRY'!$D$7:$D$1203,"Lead researched (Sales Navigator)"))</f>
        <v/>
      </c>
      <c r="E140" s="107" t="str">
        <f aca="false">IF($A140="","",SUMIFS('DAILY ENTRY'!$F$7:$F$1203,'DAILY ENTRY'!$A$7:$A$1203,$A140,'DAILY ENTRY'!$B$7:$B$1203,$B140,'DAILY ENTRY'!$D$7:$D$1203,"Connection request sent"))</f>
        <v/>
      </c>
      <c r="F140" s="107" t="str">
        <f aca="false">IF($A140="","",SUMIFS('DAILY ENTRY'!$F$7:$F$1203,'DAILY ENTRY'!$A$7:$A$1203,$A140,'DAILY ENTRY'!$B$7:$B$1203,$B140,'DAILY ENTRY'!$D$7:$D$1203,"First message sent"))</f>
        <v/>
      </c>
      <c r="G140" s="107" t="str">
        <f aca="false">IF($A140="","",SUMIFS('DAILY ENTRY'!$F$7:$F$1203,'DAILY ENTRY'!$A$7:$A$1203,$A140,'DAILY ENTRY'!$B$7:$B$1203,$B140,'DAILY ENTRY'!$D$7:$D$1203,"Follow-up message sent"))</f>
        <v/>
      </c>
      <c r="H140" s="107" t="str">
        <f aca="false">IF($A140="","",SUMIFS('DAILY ENTRY'!$F$7:$F$1203,'DAILY ENTRY'!$A$7:$A$1203,$A140,'DAILY ENTRY'!$B$7:$B$1203,$B140,'DAILY ENTRY'!$D$7:$D$1203,"Post / content published"))</f>
        <v/>
      </c>
      <c r="I140" s="107" t="str">
        <f aca="false">IF($A140="","",SUMIFS('DAILY ENTRY'!$F$7:$F$1203,'DAILY ENTRY'!$A$7:$A$1203,$A140,'DAILY ENTRY'!$B$7:$B$1203,$B140,'DAILY ENTRY'!$D$7:$D$1203,"Community answer or comment"))</f>
        <v/>
      </c>
      <c r="J140" s="107" t="str">
        <f aca="false">IF($A140="","",SUMIFS('DAILY ENTRY'!$F$7:$F$1203,'DAILY ENTRY'!$A$7:$A$1203,$A140,'DAILY ENTRY'!$B$7:$B$1203,$B140,'DAILY ENTRY'!$D$7:$D$1203,"Partnership / PR contact"))</f>
        <v/>
      </c>
      <c r="K140" s="107" t="str">
        <f aca="false">IF($A140="","",SUMIFS('DAILY ENTRY'!$F$7:$F$1203,'DAILY ENTRY'!$A$7:$A$1203,$A140,'DAILY ENTRY'!$B$7:$B$1203,$B140,'DAILY ENTRY'!$D$7:$D$1203,"Engagement (commented on someone else)"))</f>
        <v/>
      </c>
      <c r="L140" s="107" t="str">
        <f aca="false">IF($A140="","",SUMIFS('DAILY ENTRY'!$F$7:$F$1203,'DAILY ENTRY'!$A$7:$A$1203,$A140,'DAILY ENTRY'!$B$7:$B$1203,$B140,'DAILY ENTRY'!$D$7:$D$1203,"Account created / profile completed"))</f>
        <v/>
      </c>
      <c r="M140" s="108" t="str">
        <f aca="false">IF($A140="","",IFERROR(INDEX('DAILY ENTRY'!$E$7:$E$1203,MATCH(1,INDEX(('DAILY ENTRY'!$A$7:$A$1203=$A140)*('DAILY ENTRY'!$B$7:$B$1203=$B140)*('DAILY ENTRY'!$I$7:$I$1203="Meeting booked"),0),0)),IFERROR(INDEX('DAILY ENTRY'!$E$7:$E$1203,MATCH(1,INDEX(('DAILY ENTRY'!$A$7:$A$1203=$A140)*('DAILY ENTRY'!$B$7:$B$1203=$B140)*('DAILY ENTRY'!$I$7:$I$1203="Positive reply"),0),0)),"")))</f>
        <v/>
      </c>
      <c r="N140" s="108" t="str">
        <f aca="false">IF($A140="","",IFERROR(INDEX('DAILY ENTRY'!$J$7:$J$1203,MATCH(1,INDEX(('DAILY ENTRY'!$A$7:$A$1203=$A140)*('DAILY ENTRY'!$B$7:$B$1203=$B140)*('DAILY ENTRY'!$I$7:$I$1203="Blocked"),0),0)),""))</f>
        <v/>
      </c>
      <c r="O140" s="65" t="str">
        <f aca="false">IF($A140="","",(D140&gt;='START HERE'!$B$25)+(E140&gt;='START HERE'!$B$26)+(F140&gt;='START HERE'!$B$27)+(G140&gt;='START HERE'!$B$28)+(H140&gt;='START HERE'!$B$29)+(I140&gt;='START HERE'!$B$30)+(J140&gt;='START HERE'!$B$31)+(K140&gt;='START HERE'!$B$32))</f>
        <v/>
      </c>
      <c r="P140" s="46" t="str">
        <f aca="false">IF($A140="","",IF(O140&gt;=7,"Full day",IF(O140&gt;=5,"Most targets met",IF(O140&gt;=3,"Half day","Below plan - explain in the blocker column"))))</f>
        <v/>
      </c>
    </row>
    <row r="141" customFormat="false" ht="24" hidden="false" customHeight="true" outlineLevel="0" collapsed="false">
      <c r="A141" s="36"/>
      <c r="B141" s="37"/>
      <c r="C141" s="107" t="str">
        <f aca="false">IF($A141="","",ROUND(SUMIFS('DAILY ENTRY'!$G$7:$G$1203,'DAILY ENTRY'!$A$7:$A$1203,$A141,'DAILY ENTRY'!$B$7:$B$1203,$B141)/60,1))</f>
        <v/>
      </c>
      <c r="D141" s="107" t="str">
        <f aca="false">IF($A141="","",SUMIFS('DAILY ENTRY'!$F$7:$F$1203,'DAILY ENTRY'!$A$7:$A$1203,$A141,'DAILY ENTRY'!$B$7:$B$1203,$B141,'DAILY ENTRY'!$D$7:$D$1203,"Lead researched (Sales Navigator)"))</f>
        <v/>
      </c>
      <c r="E141" s="107" t="str">
        <f aca="false">IF($A141="","",SUMIFS('DAILY ENTRY'!$F$7:$F$1203,'DAILY ENTRY'!$A$7:$A$1203,$A141,'DAILY ENTRY'!$B$7:$B$1203,$B141,'DAILY ENTRY'!$D$7:$D$1203,"Connection request sent"))</f>
        <v/>
      </c>
      <c r="F141" s="107" t="str">
        <f aca="false">IF($A141="","",SUMIFS('DAILY ENTRY'!$F$7:$F$1203,'DAILY ENTRY'!$A$7:$A$1203,$A141,'DAILY ENTRY'!$B$7:$B$1203,$B141,'DAILY ENTRY'!$D$7:$D$1203,"First message sent"))</f>
        <v/>
      </c>
      <c r="G141" s="107" t="str">
        <f aca="false">IF($A141="","",SUMIFS('DAILY ENTRY'!$F$7:$F$1203,'DAILY ENTRY'!$A$7:$A$1203,$A141,'DAILY ENTRY'!$B$7:$B$1203,$B141,'DAILY ENTRY'!$D$7:$D$1203,"Follow-up message sent"))</f>
        <v/>
      </c>
      <c r="H141" s="107" t="str">
        <f aca="false">IF($A141="","",SUMIFS('DAILY ENTRY'!$F$7:$F$1203,'DAILY ENTRY'!$A$7:$A$1203,$A141,'DAILY ENTRY'!$B$7:$B$1203,$B141,'DAILY ENTRY'!$D$7:$D$1203,"Post / content published"))</f>
        <v/>
      </c>
      <c r="I141" s="107" t="str">
        <f aca="false">IF($A141="","",SUMIFS('DAILY ENTRY'!$F$7:$F$1203,'DAILY ENTRY'!$A$7:$A$1203,$A141,'DAILY ENTRY'!$B$7:$B$1203,$B141,'DAILY ENTRY'!$D$7:$D$1203,"Community answer or comment"))</f>
        <v/>
      </c>
      <c r="J141" s="107" t="str">
        <f aca="false">IF($A141="","",SUMIFS('DAILY ENTRY'!$F$7:$F$1203,'DAILY ENTRY'!$A$7:$A$1203,$A141,'DAILY ENTRY'!$B$7:$B$1203,$B141,'DAILY ENTRY'!$D$7:$D$1203,"Partnership / PR contact"))</f>
        <v/>
      </c>
      <c r="K141" s="107" t="str">
        <f aca="false">IF($A141="","",SUMIFS('DAILY ENTRY'!$F$7:$F$1203,'DAILY ENTRY'!$A$7:$A$1203,$A141,'DAILY ENTRY'!$B$7:$B$1203,$B141,'DAILY ENTRY'!$D$7:$D$1203,"Engagement (commented on someone else)"))</f>
        <v/>
      </c>
      <c r="L141" s="107" t="str">
        <f aca="false">IF($A141="","",SUMIFS('DAILY ENTRY'!$F$7:$F$1203,'DAILY ENTRY'!$A$7:$A$1203,$A141,'DAILY ENTRY'!$B$7:$B$1203,$B141,'DAILY ENTRY'!$D$7:$D$1203,"Account created / profile completed"))</f>
        <v/>
      </c>
      <c r="M141" s="108" t="str">
        <f aca="false">IF($A141="","",IFERROR(INDEX('DAILY ENTRY'!$E$7:$E$1203,MATCH(1,INDEX(('DAILY ENTRY'!$A$7:$A$1203=$A141)*('DAILY ENTRY'!$B$7:$B$1203=$B141)*('DAILY ENTRY'!$I$7:$I$1203="Meeting booked"),0),0)),IFERROR(INDEX('DAILY ENTRY'!$E$7:$E$1203,MATCH(1,INDEX(('DAILY ENTRY'!$A$7:$A$1203=$A141)*('DAILY ENTRY'!$B$7:$B$1203=$B141)*('DAILY ENTRY'!$I$7:$I$1203="Positive reply"),0),0)),"")))</f>
        <v/>
      </c>
      <c r="N141" s="108" t="str">
        <f aca="false">IF($A141="","",IFERROR(INDEX('DAILY ENTRY'!$J$7:$J$1203,MATCH(1,INDEX(('DAILY ENTRY'!$A$7:$A$1203=$A141)*('DAILY ENTRY'!$B$7:$B$1203=$B141)*('DAILY ENTRY'!$I$7:$I$1203="Blocked"),0),0)),""))</f>
        <v/>
      </c>
      <c r="O141" s="65" t="str">
        <f aca="false">IF($A141="","",(D141&gt;='START HERE'!$B$25)+(E141&gt;='START HERE'!$B$26)+(F141&gt;='START HERE'!$B$27)+(G141&gt;='START HERE'!$B$28)+(H141&gt;='START HERE'!$B$29)+(I141&gt;='START HERE'!$B$30)+(J141&gt;='START HERE'!$B$31)+(K141&gt;='START HERE'!$B$32))</f>
        <v/>
      </c>
      <c r="P141" s="46" t="str">
        <f aca="false">IF($A141="","",IF(O141&gt;=7,"Full day",IF(O141&gt;=5,"Most targets met",IF(O141&gt;=3,"Half day","Below plan - explain in the blocker column"))))</f>
        <v/>
      </c>
    </row>
    <row r="142" customFormat="false" ht="24" hidden="false" customHeight="true" outlineLevel="0" collapsed="false">
      <c r="A142" s="36"/>
      <c r="B142" s="37"/>
      <c r="C142" s="107" t="str">
        <f aca="false">IF($A142="","",ROUND(SUMIFS('DAILY ENTRY'!$G$7:$G$1203,'DAILY ENTRY'!$A$7:$A$1203,$A142,'DAILY ENTRY'!$B$7:$B$1203,$B142)/60,1))</f>
        <v/>
      </c>
      <c r="D142" s="107" t="str">
        <f aca="false">IF($A142="","",SUMIFS('DAILY ENTRY'!$F$7:$F$1203,'DAILY ENTRY'!$A$7:$A$1203,$A142,'DAILY ENTRY'!$B$7:$B$1203,$B142,'DAILY ENTRY'!$D$7:$D$1203,"Lead researched (Sales Navigator)"))</f>
        <v/>
      </c>
      <c r="E142" s="107" t="str">
        <f aca="false">IF($A142="","",SUMIFS('DAILY ENTRY'!$F$7:$F$1203,'DAILY ENTRY'!$A$7:$A$1203,$A142,'DAILY ENTRY'!$B$7:$B$1203,$B142,'DAILY ENTRY'!$D$7:$D$1203,"Connection request sent"))</f>
        <v/>
      </c>
      <c r="F142" s="107" t="str">
        <f aca="false">IF($A142="","",SUMIFS('DAILY ENTRY'!$F$7:$F$1203,'DAILY ENTRY'!$A$7:$A$1203,$A142,'DAILY ENTRY'!$B$7:$B$1203,$B142,'DAILY ENTRY'!$D$7:$D$1203,"First message sent"))</f>
        <v/>
      </c>
      <c r="G142" s="107" t="str">
        <f aca="false">IF($A142="","",SUMIFS('DAILY ENTRY'!$F$7:$F$1203,'DAILY ENTRY'!$A$7:$A$1203,$A142,'DAILY ENTRY'!$B$7:$B$1203,$B142,'DAILY ENTRY'!$D$7:$D$1203,"Follow-up message sent"))</f>
        <v/>
      </c>
      <c r="H142" s="107" t="str">
        <f aca="false">IF($A142="","",SUMIFS('DAILY ENTRY'!$F$7:$F$1203,'DAILY ENTRY'!$A$7:$A$1203,$A142,'DAILY ENTRY'!$B$7:$B$1203,$B142,'DAILY ENTRY'!$D$7:$D$1203,"Post / content published"))</f>
        <v/>
      </c>
      <c r="I142" s="107" t="str">
        <f aca="false">IF($A142="","",SUMIFS('DAILY ENTRY'!$F$7:$F$1203,'DAILY ENTRY'!$A$7:$A$1203,$A142,'DAILY ENTRY'!$B$7:$B$1203,$B142,'DAILY ENTRY'!$D$7:$D$1203,"Community answer or comment"))</f>
        <v/>
      </c>
      <c r="J142" s="107" t="str">
        <f aca="false">IF($A142="","",SUMIFS('DAILY ENTRY'!$F$7:$F$1203,'DAILY ENTRY'!$A$7:$A$1203,$A142,'DAILY ENTRY'!$B$7:$B$1203,$B142,'DAILY ENTRY'!$D$7:$D$1203,"Partnership / PR contact"))</f>
        <v/>
      </c>
      <c r="K142" s="107" t="str">
        <f aca="false">IF($A142="","",SUMIFS('DAILY ENTRY'!$F$7:$F$1203,'DAILY ENTRY'!$A$7:$A$1203,$A142,'DAILY ENTRY'!$B$7:$B$1203,$B142,'DAILY ENTRY'!$D$7:$D$1203,"Engagement (commented on someone else)"))</f>
        <v/>
      </c>
      <c r="L142" s="107" t="str">
        <f aca="false">IF($A142="","",SUMIFS('DAILY ENTRY'!$F$7:$F$1203,'DAILY ENTRY'!$A$7:$A$1203,$A142,'DAILY ENTRY'!$B$7:$B$1203,$B142,'DAILY ENTRY'!$D$7:$D$1203,"Account created / profile completed"))</f>
        <v/>
      </c>
      <c r="M142" s="108" t="str">
        <f aca="false">IF($A142="","",IFERROR(INDEX('DAILY ENTRY'!$E$7:$E$1203,MATCH(1,INDEX(('DAILY ENTRY'!$A$7:$A$1203=$A142)*('DAILY ENTRY'!$B$7:$B$1203=$B142)*('DAILY ENTRY'!$I$7:$I$1203="Meeting booked"),0),0)),IFERROR(INDEX('DAILY ENTRY'!$E$7:$E$1203,MATCH(1,INDEX(('DAILY ENTRY'!$A$7:$A$1203=$A142)*('DAILY ENTRY'!$B$7:$B$1203=$B142)*('DAILY ENTRY'!$I$7:$I$1203="Positive reply"),0),0)),"")))</f>
        <v/>
      </c>
      <c r="N142" s="108" t="str">
        <f aca="false">IF($A142="","",IFERROR(INDEX('DAILY ENTRY'!$J$7:$J$1203,MATCH(1,INDEX(('DAILY ENTRY'!$A$7:$A$1203=$A142)*('DAILY ENTRY'!$B$7:$B$1203=$B142)*('DAILY ENTRY'!$I$7:$I$1203="Blocked"),0),0)),""))</f>
        <v/>
      </c>
      <c r="O142" s="65" t="str">
        <f aca="false">IF($A142="","",(D142&gt;='START HERE'!$B$25)+(E142&gt;='START HERE'!$B$26)+(F142&gt;='START HERE'!$B$27)+(G142&gt;='START HERE'!$B$28)+(H142&gt;='START HERE'!$B$29)+(I142&gt;='START HERE'!$B$30)+(J142&gt;='START HERE'!$B$31)+(K142&gt;='START HERE'!$B$32))</f>
        <v/>
      </c>
      <c r="P142" s="46" t="str">
        <f aca="false">IF($A142="","",IF(O142&gt;=7,"Full day",IF(O142&gt;=5,"Most targets met",IF(O142&gt;=3,"Half day","Below plan - explain in the blocker column"))))</f>
        <v/>
      </c>
    </row>
    <row r="143" customFormat="false" ht="24" hidden="false" customHeight="true" outlineLevel="0" collapsed="false">
      <c r="A143" s="36"/>
      <c r="B143" s="37"/>
      <c r="C143" s="107" t="str">
        <f aca="false">IF($A143="","",ROUND(SUMIFS('DAILY ENTRY'!$G$7:$G$1203,'DAILY ENTRY'!$A$7:$A$1203,$A143,'DAILY ENTRY'!$B$7:$B$1203,$B143)/60,1))</f>
        <v/>
      </c>
      <c r="D143" s="107" t="str">
        <f aca="false">IF($A143="","",SUMIFS('DAILY ENTRY'!$F$7:$F$1203,'DAILY ENTRY'!$A$7:$A$1203,$A143,'DAILY ENTRY'!$B$7:$B$1203,$B143,'DAILY ENTRY'!$D$7:$D$1203,"Lead researched (Sales Navigator)"))</f>
        <v/>
      </c>
      <c r="E143" s="107" t="str">
        <f aca="false">IF($A143="","",SUMIFS('DAILY ENTRY'!$F$7:$F$1203,'DAILY ENTRY'!$A$7:$A$1203,$A143,'DAILY ENTRY'!$B$7:$B$1203,$B143,'DAILY ENTRY'!$D$7:$D$1203,"Connection request sent"))</f>
        <v/>
      </c>
      <c r="F143" s="107" t="str">
        <f aca="false">IF($A143="","",SUMIFS('DAILY ENTRY'!$F$7:$F$1203,'DAILY ENTRY'!$A$7:$A$1203,$A143,'DAILY ENTRY'!$B$7:$B$1203,$B143,'DAILY ENTRY'!$D$7:$D$1203,"First message sent"))</f>
        <v/>
      </c>
      <c r="G143" s="107" t="str">
        <f aca="false">IF($A143="","",SUMIFS('DAILY ENTRY'!$F$7:$F$1203,'DAILY ENTRY'!$A$7:$A$1203,$A143,'DAILY ENTRY'!$B$7:$B$1203,$B143,'DAILY ENTRY'!$D$7:$D$1203,"Follow-up message sent"))</f>
        <v/>
      </c>
      <c r="H143" s="107" t="str">
        <f aca="false">IF($A143="","",SUMIFS('DAILY ENTRY'!$F$7:$F$1203,'DAILY ENTRY'!$A$7:$A$1203,$A143,'DAILY ENTRY'!$B$7:$B$1203,$B143,'DAILY ENTRY'!$D$7:$D$1203,"Post / content published"))</f>
        <v/>
      </c>
      <c r="I143" s="107" t="str">
        <f aca="false">IF($A143="","",SUMIFS('DAILY ENTRY'!$F$7:$F$1203,'DAILY ENTRY'!$A$7:$A$1203,$A143,'DAILY ENTRY'!$B$7:$B$1203,$B143,'DAILY ENTRY'!$D$7:$D$1203,"Community answer or comment"))</f>
        <v/>
      </c>
      <c r="J143" s="107" t="str">
        <f aca="false">IF($A143="","",SUMIFS('DAILY ENTRY'!$F$7:$F$1203,'DAILY ENTRY'!$A$7:$A$1203,$A143,'DAILY ENTRY'!$B$7:$B$1203,$B143,'DAILY ENTRY'!$D$7:$D$1203,"Partnership / PR contact"))</f>
        <v/>
      </c>
      <c r="K143" s="107" t="str">
        <f aca="false">IF($A143="","",SUMIFS('DAILY ENTRY'!$F$7:$F$1203,'DAILY ENTRY'!$A$7:$A$1203,$A143,'DAILY ENTRY'!$B$7:$B$1203,$B143,'DAILY ENTRY'!$D$7:$D$1203,"Engagement (commented on someone else)"))</f>
        <v/>
      </c>
      <c r="L143" s="107" t="str">
        <f aca="false">IF($A143="","",SUMIFS('DAILY ENTRY'!$F$7:$F$1203,'DAILY ENTRY'!$A$7:$A$1203,$A143,'DAILY ENTRY'!$B$7:$B$1203,$B143,'DAILY ENTRY'!$D$7:$D$1203,"Account created / profile completed"))</f>
        <v/>
      </c>
      <c r="M143" s="108" t="str">
        <f aca="false">IF($A143="","",IFERROR(INDEX('DAILY ENTRY'!$E$7:$E$1203,MATCH(1,INDEX(('DAILY ENTRY'!$A$7:$A$1203=$A143)*('DAILY ENTRY'!$B$7:$B$1203=$B143)*('DAILY ENTRY'!$I$7:$I$1203="Meeting booked"),0),0)),IFERROR(INDEX('DAILY ENTRY'!$E$7:$E$1203,MATCH(1,INDEX(('DAILY ENTRY'!$A$7:$A$1203=$A143)*('DAILY ENTRY'!$B$7:$B$1203=$B143)*('DAILY ENTRY'!$I$7:$I$1203="Positive reply"),0),0)),"")))</f>
        <v/>
      </c>
      <c r="N143" s="108" t="str">
        <f aca="false">IF($A143="","",IFERROR(INDEX('DAILY ENTRY'!$J$7:$J$1203,MATCH(1,INDEX(('DAILY ENTRY'!$A$7:$A$1203=$A143)*('DAILY ENTRY'!$B$7:$B$1203=$B143)*('DAILY ENTRY'!$I$7:$I$1203="Blocked"),0),0)),""))</f>
        <v/>
      </c>
      <c r="O143" s="65" t="str">
        <f aca="false">IF($A143="","",(D143&gt;='START HERE'!$B$25)+(E143&gt;='START HERE'!$B$26)+(F143&gt;='START HERE'!$B$27)+(G143&gt;='START HERE'!$B$28)+(H143&gt;='START HERE'!$B$29)+(I143&gt;='START HERE'!$B$30)+(J143&gt;='START HERE'!$B$31)+(K143&gt;='START HERE'!$B$32))</f>
        <v/>
      </c>
      <c r="P143" s="46" t="str">
        <f aca="false">IF($A143="","",IF(O143&gt;=7,"Full day",IF(O143&gt;=5,"Most targets met",IF(O143&gt;=3,"Half day","Below plan - explain in the blocker column"))))</f>
        <v/>
      </c>
    </row>
    <row r="144" customFormat="false" ht="24" hidden="false" customHeight="true" outlineLevel="0" collapsed="false">
      <c r="A144" s="36"/>
      <c r="B144" s="37"/>
      <c r="C144" s="107" t="str">
        <f aca="false">IF($A144="","",ROUND(SUMIFS('DAILY ENTRY'!$G$7:$G$1203,'DAILY ENTRY'!$A$7:$A$1203,$A144,'DAILY ENTRY'!$B$7:$B$1203,$B144)/60,1))</f>
        <v/>
      </c>
      <c r="D144" s="107" t="str">
        <f aca="false">IF($A144="","",SUMIFS('DAILY ENTRY'!$F$7:$F$1203,'DAILY ENTRY'!$A$7:$A$1203,$A144,'DAILY ENTRY'!$B$7:$B$1203,$B144,'DAILY ENTRY'!$D$7:$D$1203,"Lead researched (Sales Navigator)"))</f>
        <v/>
      </c>
      <c r="E144" s="107" t="str">
        <f aca="false">IF($A144="","",SUMIFS('DAILY ENTRY'!$F$7:$F$1203,'DAILY ENTRY'!$A$7:$A$1203,$A144,'DAILY ENTRY'!$B$7:$B$1203,$B144,'DAILY ENTRY'!$D$7:$D$1203,"Connection request sent"))</f>
        <v/>
      </c>
      <c r="F144" s="107" t="str">
        <f aca="false">IF($A144="","",SUMIFS('DAILY ENTRY'!$F$7:$F$1203,'DAILY ENTRY'!$A$7:$A$1203,$A144,'DAILY ENTRY'!$B$7:$B$1203,$B144,'DAILY ENTRY'!$D$7:$D$1203,"First message sent"))</f>
        <v/>
      </c>
      <c r="G144" s="107" t="str">
        <f aca="false">IF($A144="","",SUMIFS('DAILY ENTRY'!$F$7:$F$1203,'DAILY ENTRY'!$A$7:$A$1203,$A144,'DAILY ENTRY'!$B$7:$B$1203,$B144,'DAILY ENTRY'!$D$7:$D$1203,"Follow-up message sent"))</f>
        <v/>
      </c>
      <c r="H144" s="107" t="str">
        <f aca="false">IF($A144="","",SUMIFS('DAILY ENTRY'!$F$7:$F$1203,'DAILY ENTRY'!$A$7:$A$1203,$A144,'DAILY ENTRY'!$B$7:$B$1203,$B144,'DAILY ENTRY'!$D$7:$D$1203,"Post / content published"))</f>
        <v/>
      </c>
      <c r="I144" s="107" t="str">
        <f aca="false">IF($A144="","",SUMIFS('DAILY ENTRY'!$F$7:$F$1203,'DAILY ENTRY'!$A$7:$A$1203,$A144,'DAILY ENTRY'!$B$7:$B$1203,$B144,'DAILY ENTRY'!$D$7:$D$1203,"Community answer or comment"))</f>
        <v/>
      </c>
      <c r="J144" s="107" t="str">
        <f aca="false">IF($A144="","",SUMIFS('DAILY ENTRY'!$F$7:$F$1203,'DAILY ENTRY'!$A$7:$A$1203,$A144,'DAILY ENTRY'!$B$7:$B$1203,$B144,'DAILY ENTRY'!$D$7:$D$1203,"Partnership / PR contact"))</f>
        <v/>
      </c>
      <c r="K144" s="107" t="str">
        <f aca="false">IF($A144="","",SUMIFS('DAILY ENTRY'!$F$7:$F$1203,'DAILY ENTRY'!$A$7:$A$1203,$A144,'DAILY ENTRY'!$B$7:$B$1203,$B144,'DAILY ENTRY'!$D$7:$D$1203,"Engagement (commented on someone else)"))</f>
        <v/>
      </c>
      <c r="L144" s="107" t="str">
        <f aca="false">IF($A144="","",SUMIFS('DAILY ENTRY'!$F$7:$F$1203,'DAILY ENTRY'!$A$7:$A$1203,$A144,'DAILY ENTRY'!$B$7:$B$1203,$B144,'DAILY ENTRY'!$D$7:$D$1203,"Account created / profile completed"))</f>
        <v/>
      </c>
      <c r="M144" s="108" t="str">
        <f aca="false">IF($A144="","",IFERROR(INDEX('DAILY ENTRY'!$E$7:$E$1203,MATCH(1,INDEX(('DAILY ENTRY'!$A$7:$A$1203=$A144)*('DAILY ENTRY'!$B$7:$B$1203=$B144)*('DAILY ENTRY'!$I$7:$I$1203="Meeting booked"),0),0)),IFERROR(INDEX('DAILY ENTRY'!$E$7:$E$1203,MATCH(1,INDEX(('DAILY ENTRY'!$A$7:$A$1203=$A144)*('DAILY ENTRY'!$B$7:$B$1203=$B144)*('DAILY ENTRY'!$I$7:$I$1203="Positive reply"),0),0)),"")))</f>
        <v/>
      </c>
      <c r="N144" s="108" t="str">
        <f aca="false">IF($A144="","",IFERROR(INDEX('DAILY ENTRY'!$J$7:$J$1203,MATCH(1,INDEX(('DAILY ENTRY'!$A$7:$A$1203=$A144)*('DAILY ENTRY'!$B$7:$B$1203=$B144)*('DAILY ENTRY'!$I$7:$I$1203="Blocked"),0),0)),""))</f>
        <v/>
      </c>
      <c r="O144" s="65" t="str">
        <f aca="false">IF($A144="","",(D144&gt;='START HERE'!$B$25)+(E144&gt;='START HERE'!$B$26)+(F144&gt;='START HERE'!$B$27)+(G144&gt;='START HERE'!$B$28)+(H144&gt;='START HERE'!$B$29)+(I144&gt;='START HERE'!$B$30)+(J144&gt;='START HERE'!$B$31)+(K144&gt;='START HERE'!$B$32))</f>
        <v/>
      </c>
      <c r="P144" s="46" t="str">
        <f aca="false">IF($A144="","",IF(O144&gt;=7,"Full day",IF(O144&gt;=5,"Most targets met",IF(O144&gt;=3,"Half day","Below plan - explain in the blocker column"))))</f>
        <v/>
      </c>
    </row>
    <row r="145" customFormat="false" ht="24" hidden="false" customHeight="true" outlineLevel="0" collapsed="false">
      <c r="A145" s="36"/>
      <c r="B145" s="37"/>
      <c r="C145" s="107" t="str">
        <f aca="false">IF($A145="","",ROUND(SUMIFS('DAILY ENTRY'!$G$7:$G$1203,'DAILY ENTRY'!$A$7:$A$1203,$A145,'DAILY ENTRY'!$B$7:$B$1203,$B145)/60,1))</f>
        <v/>
      </c>
      <c r="D145" s="107" t="str">
        <f aca="false">IF($A145="","",SUMIFS('DAILY ENTRY'!$F$7:$F$1203,'DAILY ENTRY'!$A$7:$A$1203,$A145,'DAILY ENTRY'!$B$7:$B$1203,$B145,'DAILY ENTRY'!$D$7:$D$1203,"Lead researched (Sales Navigator)"))</f>
        <v/>
      </c>
      <c r="E145" s="107" t="str">
        <f aca="false">IF($A145="","",SUMIFS('DAILY ENTRY'!$F$7:$F$1203,'DAILY ENTRY'!$A$7:$A$1203,$A145,'DAILY ENTRY'!$B$7:$B$1203,$B145,'DAILY ENTRY'!$D$7:$D$1203,"Connection request sent"))</f>
        <v/>
      </c>
      <c r="F145" s="107" t="str">
        <f aca="false">IF($A145="","",SUMIFS('DAILY ENTRY'!$F$7:$F$1203,'DAILY ENTRY'!$A$7:$A$1203,$A145,'DAILY ENTRY'!$B$7:$B$1203,$B145,'DAILY ENTRY'!$D$7:$D$1203,"First message sent"))</f>
        <v/>
      </c>
      <c r="G145" s="107" t="str">
        <f aca="false">IF($A145="","",SUMIFS('DAILY ENTRY'!$F$7:$F$1203,'DAILY ENTRY'!$A$7:$A$1203,$A145,'DAILY ENTRY'!$B$7:$B$1203,$B145,'DAILY ENTRY'!$D$7:$D$1203,"Follow-up message sent"))</f>
        <v/>
      </c>
      <c r="H145" s="107" t="str">
        <f aca="false">IF($A145="","",SUMIFS('DAILY ENTRY'!$F$7:$F$1203,'DAILY ENTRY'!$A$7:$A$1203,$A145,'DAILY ENTRY'!$B$7:$B$1203,$B145,'DAILY ENTRY'!$D$7:$D$1203,"Post / content published"))</f>
        <v/>
      </c>
      <c r="I145" s="107" t="str">
        <f aca="false">IF($A145="","",SUMIFS('DAILY ENTRY'!$F$7:$F$1203,'DAILY ENTRY'!$A$7:$A$1203,$A145,'DAILY ENTRY'!$B$7:$B$1203,$B145,'DAILY ENTRY'!$D$7:$D$1203,"Community answer or comment"))</f>
        <v/>
      </c>
      <c r="J145" s="107" t="str">
        <f aca="false">IF($A145="","",SUMIFS('DAILY ENTRY'!$F$7:$F$1203,'DAILY ENTRY'!$A$7:$A$1203,$A145,'DAILY ENTRY'!$B$7:$B$1203,$B145,'DAILY ENTRY'!$D$7:$D$1203,"Partnership / PR contact"))</f>
        <v/>
      </c>
      <c r="K145" s="107" t="str">
        <f aca="false">IF($A145="","",SUMIFS('DAILY ENTRY'!$F$7:$F$1203,'DAILY ENTRY'!$A$7:$A$1203,$A145,'DAILY ENTRY'!$B$7:$B$1203,$B145,'DAILY ENTRY'!$D$7:$D$1203,"Engagement (commented on someone else)"))</f>
        <v/>
      </c>
      <c r="L145" s="107" t="str">
        <f aca="false">IF($A145="","",SUMIFS('DAILY ENTRY'!$F$7:$F$1203,'DAILY ENTRY'!$A$7:$A$1203,$A145,'DAILY ENTRY'!$B$7:$B$1203,$B145,'DAILY ENTRY'!$D$7:$D$1203,"Account created / profile completed"))</f>
        <v/>
      </c>
      <c r="M145" s="108" t="str">
        <f aca="false">IF($A145="","",IFERROR(INDEX('DAILY ENTRY'!$E$7:$E$1203,MATCH(1,INDEX(('DAILY ENTRY'!$A$7:$A$1203=$A145)*('DAILY ENTRY'!$B$7:$B$1203=$B145)*('DAILY ENTRY'!$I$7:$I$1203="Meeting booked"),0),0)),IFERROR(INDEX('DAILY ENTRY'!$E$7:$E$1203,MATCH(1,INDEX(('DAILY ENTRY'!$A$7:$A$1203=$A145)*('DAILY ENTRY'!$B$7:$B$1203=$B145)*('DAILY ENTRY'!$I$7:$I$1203="Positive reply"),0),0)),"")))</f>
        <v/>
      </c>
      <c r="N145" s="108" t="str">
        <f aca="false">IF($A145="","",IFERROR(INDEX('DAILY ENTRY'!$J$7:$J$1203,MATCH(1,INDEX(('DAILY ENTRY'!$A$7:$A$1203=$A145)*('DAILY ENTRY'!$B$7:$B$1203=$B145)*('DAILY ENTRY'!$I$7:$I$1203="Blocked"),0),0)),""))</f>
        <v/>
      </c>
      <c r="O145" s="65" t="str">
        <f aca="false">IF($A145="","",(D145&gt;='START HERE'!$B$25)+(E145&gt;='START HERE'!$B$26)+(F145&gt;='START HERE'!$B$27)+(G145&gt;='START HERE'!$B$28)+(H145&gt;='START HERE'!$B$29)+(I145&gt;='START HERE'!$B$30)+(J145&gt;='START HERE'!$B$31)+(K145&gt;='START HERE'!$B$32))</f>
        <v/>
      </c>
      <c r="P145" s="46" t="str">
        <f aca="false">IF($A145="","",IF(O145&gt;=7,"Full day",IF(O145&gt;=5,"Most targets met",IF(O145&gt;=3,"Half day","Below plan - explain in the blocker column"))))</f>
        <v/>
      </c>
    </row>
    <row r="146" customFormat="false" ht="24" hidden="false" customHeight="true" outlineLevel="0" collapsed="false">
      <c r="A146" s="36"/>
      <c r="B146" s="37"/>
      <c r="C146" s="107" t="str">
        <f aca="false">IF($A146="","",ROUND(SUMIFS('DAILY ENTRY'!$G$7:$G$1203,'DAILY ENTRY'!$A$7:$A$1203,$A146,'DAILY ENTRY'!$B$7:$B$1203,$B146)/60,1))</f>
        <v/>
      </c>
      <c r="D146" s="107" t="str">
        <f aca="false">IF($A146="","",SUMIFS('DAILY ENTRY'!$F$7:$F$1203,'DAILY ENTRY'!$A$7:$A$1203,$A146,'DAILY ENTRY'!$B$7:$B$1203,$B146,'DAILY ENTRY'!$D$7:$D$1203,"Lead researched (Sales Navigator)"))</f>
        <v/>
      </c>
      <c r="E146" s="107" t="str">
        <f aca="false">IF($A146="","",SUMIFS('DAILY ENTRY'!$F$7:$F$1203,'DAILY ENTRY'!$A$7:$A$1203,$A146,'DAILY ENTRY'!$B$7:$B$1203,$B146,'DAILY ENTRY'!$D$7:$D$1203,"Connection request sent"))</f>
        <v/>
      </c>
      <c r="F146" s="107" t="str">
        <f aca="false">IF($A146="","",SUMIFS('DAILY ENTRY'!$F$7:$F$1203,'DAILY ENTRY'!$A$7:$A$1203,$A146,'DAILY ENTRY'!$B$7:$B$1203,$B146,'DAILY ENTRY'!$D$7:$D$1203,"First message sent"))</f>
        <v/>
      </c>
      <c r="G146" s="107" t="str">
        <f aca="false">IF($A146="","",SUMIFS('DAILY ENTRY'!$F$7:$F$1203,'DAILY ENTRY'!$A$7:$A$1203,$A146,'DAILY ENTRY'!$B$7:$B$1203,$B146,'DAILY ENTRY'!$D$7:$D$1203,"Follow-up message sent"))</f>
        <v/>
      </c>
      <c r="H146" s="107" t="str">
        <f aca="false">IF($A146="","",SUMIFS('DAILY ENTRY'!$F$7:$F$1203,'DAILY ENTRY'!$A$7:$A$1203,$A146,'DAILY ENTRY'!$B$7:$B$1203,$B146,'DAILY ENTRY'!$D$7:$D$1203,"Post / content published"))</f>
        <v/>
      </c>
      <c r="I146" s="107" t="str">
        <f aca="false">IF($A146="","",SUMIFS('DAILY ENTRY'!$F$7:$F$1203,'DAILY ENTRY'!$A$7:$A$1203,$A146,'DAILY ENTRY'!$B$7:$B$1203,$B146,'DAILY ENTRY'!$D$7:$D$1203,"Community answer or comment"))</f>
        <v/>
      </c>
      <c r="J146" s="107" t="str">
        <f aca="false">IF($A146="","",SUMIFS('DAILY ENTRY'!$F$7:$F$1203,'DAILY ENTRY'!$A$7:$A$1203,$A146,'DAILY ENTRY'!$B$7:$B$1203,$B146,'DAILY ENTRY'!$D$7:$D$1203,"Partnership / PR contact"))</f>
        <v/>
      </c>
      <c r="K146" s="107" t="str">
        <f aca="false">IF($A146="","",SUMIFS('DAILY ENTRY'!$F$7:$F$1203,'DAILY ENTRY'!$A$7:$A$1203,$A146,'DAILY ENTRY'!$B$7:$B$1203,$B146,'DAILY ENTRY'!$D$7:$D$1203,"Engagement (commented on someone else)"))</f>
        <v/>
      </c>
      <c r="L146" s="107" t="str">
        <f aca="false">IF($A146="","",SUMIFS('DAILY ENTRY'!$F$7:$F$1203,'DAILY ENTRY'!$A$7:$A$1203,$A146,'DAILY ENTRY'!$B$7:$B$1203,$B146,'DAILY ENTRY'!$D$7:$D$1203,"Account created / profile completed"))</f>
        <v/>
      </c>
      <c r="M146" s="108" t="str">
        <f aca="false">IF($A146="","",IFERROR(INDEX('DAILY ENTRY'!$E$7:$E$1203,MATCH(1,INDEX(('DAILY ENTRY'!$A$7:$A$1203=$A146)*('DAILY ENTRY'!$B$7:$B$1203=$B146)*('DAILY ENTRY'!$I$7:$I$1203="Meeting booked"),0),0)),IFERROR(INDEX('DAILY ENTRY'!$E$7:$E$1203,MATCH(1,INDEX(('DAILY ENTRY'!$A$7:$A$1203=$A146)*('DAILY ENTRY'!$B$7:$B$1203=$B146)*('DAILY ENTRY'!$I$7:$I$1203="Positive reply"),0),0)),"")))</f>
        <v/>
      </c>
      <c r="N146" s="108" t="str">
        <f aca="false">IF($A146="","",IFERROR(INDEX('DAILY ENTRY'!$J$7:$J$1203,MATCH(1,INDEX(('DAILY ENTRY'!$A$7:$A$1203=$A146)*('DAILY ENTRY'!$B$7:$B$1203=$B146)*('DAILY ENTRY'!$I$7:$I$1203="Blocked"),0),0)),""))</f>
        <v/>
      </c>
      <c r="O146" s="65" t="str">
        <f aca="false">IF($A146="","",(D146&gt;='START HERE'!$B$25)+(E146&gt;='START HERE'!$B$26)+(F146&gt;='START HERE'!$B$27)+(G146&gt;='START HERE'!$B$28)+(H146&gt;='START HERE'!$B$29)+(I146&gt;='START HERE'!$B$30)+(J146&gt;='START HERE'!$B$31)+(K146&gt;='START HERE'!$B$32))</f>
        <v/>
      </c>
      <c r="P146" s="46" t="str">
        <f aca="false">IF($A146="","",IF(O146&gt;=7,"Full day",IF(O146&gt;=5,"Most targets met",IF(O146&gt;=3,"Half day","Below plan - explain in the blocker column"))))</f>
        <v/>
      </c>
    </row>
    <row r="147" customFormat="false" ht="24" hidden="false" customHeight="true" outlineLevel="0" collapsed="false">
      <c r="A147" s="36"/>
      <c r="B147" s="37"/>
      <c r="C147" s="107" t="str">
        <f aca="false">IF($A147="","",ROUND(SUMIFS('DAILY ENTRY'!$G$7:$G$1203,'DAILY ENTRY'!$A$7:$A$1203,$A147,'DAILY ENTRY'!$B$7:$B$1203,$B147)/60,1))</f>
        <v/>
      </c>
      <c r="D147" s="107" t="str">
        <f aca="false">IF($A147="","",SUMIFS('DAILY ENTRY'!$F$7:$F$1203,'DAILY ENTRY'!$A$7:$A$1203,$A147,'DAILY ENTRY'!$B$7:$B$1203,$B147,'DAILY ENTRY'!$D$7:$D$1203,"Lead researched (Sales Navigator)"))</f>
        <v/>
      </c>
      <c r="E147" s="107" t="str">
        <f aca="false">IF($A147="","",SUMIFS('DAILY ENTRY'!$F$7:$F$1203,'DAILY ENTRY'!$A$7:$A$1203,$A147,'DAILY ENTRY'!$B$7:$B$1203,$B147,'DAILY ENTRY'!$D$7:$D$1203,"Connection request sent"))</f>
        <v/>
      </c>
      <c r="F147" s="107" t="str">
        <f aca="false">IF($A147="","",SUMIFS('DAILY ENTRY'!$F$7:$F$1203,'DAILY ENTRY'!$A$7:$A$1203,$A147,'DAILY ENTRY'!$B$7:$B$1203,$B147,'DAILY ENTRY'!$D$7:$D$1203,"First message sent"))</f>
        <v/>
      </c>
      <c r="G147" s="107" t="str">
        <f aca="false">IF($A147="","",SUMIFS('DAILY ENTRY'!$F$7:$F$1203,'DAILY ENTRY'!$A$7:$A$1203,$A147,'DAILY ENTRY'!$B$7:$B$1203,$B147,'DAILY ENTRY'!$D$7:$D$1203,"Follow-up message sent"))</f>
        <v/>
      </c>
      <c r="H147" s="107" t="str">
        <f aca="false">IF($A147="","",SUMIFS('DAILY ENTRY'!$F$7:$F$1203,'DAILY ENTRY'!$A$7:$A$1203,$A147,'DAILY ENTRY'!$B$7:$B$1203,$B147,'DAILY ENTRY'!$D$7:$D$1203,"Post / content published"))</f>
        <v/>
      </c>
      <c r="I147" s="107" t="str">
        <f aca="false">IF($A147="","",SUMIFS('DAILY ENTRY'!$F$7:$F$1203,'DAILY ENTRY'!$A$7:$A$1203,$A147,'DAILY ENTRY'!$B$7:$B$1203,$B147,'DAILY ENTRY'!$D$7:$D$1203,"Community answer or comment"))</f>
        <v/>
      </c>
      <c r="J147" s="107" t="str">
        <f aca="false">IF($A147="","",SUMIFS('DAILY ENTRY'!$F$7:$F$1203,'DAILY ENTRY'!$A$7:$A$1203,$A147,'DAILY ENTRY'!$B$7:$B$1203,$B147,'DAILY ENTRY'!$D$7:$D$1203,"Partnership / PR contact"))</f>
        <v/>
      </c>
      <c r="K147" s="107" t="str">
        <f aca="false">IF($A147="","",SUMIFS('DAILY ENTRY'!$F$7:$F$1203,'DAILY ENTRY'!$A$7:$A$1203,$A147,'DAILY ENTRY'!$B$7:$B$1203,$B147,'DAILY ENTRY'!$D$7:$D$1203,"Engagement (commented on someone else)"))</f>
        <v/>
      </c>
      <c r="L147" s="107" t="str">
        <f aca="false">IF($A147="","",SUMIFS('DAILY ENTRY'!$F$7:$F$1203,'DAILY ENTRY'!$A$7:$A$1203,$A147,'DAILY ENTRY'!$B$7:$B$1203,$B147,'DAILY ENTRY'!$D$7:$D$1203,"Account created / profile completed"))</f>
        <v/>
      </c>
      <c r="M147" s="108" t="str">
        <f aca="false">IF($A147="","",IFERROR(INDEX('DAILY ENTRY'!$E$7:$E$1203,MATCH(1,INDEX(('DAILY ENTRY'!$A$7:$A$1203=$A147)*('DAILY ENTRY'!$B$7:$B$1203=$B147)*('DAILY ENTRY'!$I$7:$I$1203="Meeting booked"),0),0)),IFERROR(INDEX('DAILY ENTRY'!$E$7:$E$1203,MATCH(1,INDEX(('DAILY ENTRY'!$A$7:$A$1203=$A147)*('DAILY ENTRY'!$B$7:$B$1203=$B147)*('DAILY ENTRY'!$I$7:$I$1203="Positive reply"),0),0)),"")))</f>
        <v/>
      </c>
      <c r="N147" s="108" t="str">
        <f aca="false">IF($A147="","",IFERROR(INDEX('DAILY ENTRY'!$J$7:$J$1203,MATCH(1,INDEX(('DAILY ENTRY'!$A$7:$A$1203=$A147)*('DAILY ENTRY'!$B$7:$B$1203=$B147)*('DAILY ENTRY'!$I$7:$I$1203="Blocked"),0),0)),""))</f>
        <v/>
      </c>
      <c r="O147" s="65" t="str">
        <f aca="false">IF($A147="","",(D147&gt;='START HERE'!$B$25)+(E147&gt;='START HERE'!$B$26)+(F147&gt;='START HERE'!$B$27)+(G147&gt;='START HERE'!$B$28)+(H147&gt;='START HERE'!$B$29)+(I147&gt;='START HERE'!$B$30)+(J147&gt;='START HERE'!$B$31)+(K147&gt;='START HERE'!$B$32))</f>
        <v/>
      </c>
      <c r="P147" s="46" t="str">
        <f aca="false">IF($A147="","",IF(O147&gt;=7,"Full day",IF(O147&gt;=5,"Most targets met",IF(O147&gt;=3,"Half day","Below plan - explain in the blocker column"))))</f>
        <v/>
      </c>
    </row>
    <row r="148" customFormat="false" ht="24" hidden="false" customHeight="true" outlineLevel="0" collapsed="false">
      <c r="A148" s="36"/>
      <c r="B148" s="37"/>
      <c r="C148" s="107" t="str">
        <f aca="false">IF($A148="","",ROUND(SUMIFS('DAILY ENTRY'!$G$7:$G$1203,'DAILY ENTRY'!$A$7:$A$1203,$A148,'DAILY ENTRY'!$B$7:$B$1203,$B148)/60,1))</f>
        <v/>
      </c>
      <c r="D148" s="107" t="str">
        <f aca="false">IF($A148="","",SUMIFS('DAILY ENTRY'!$F$7:$F$1203,'DAILY ENTRY'!$A$7:$A$1203,$A148,'DAILY ENTRY'!$B$7:$B$1203,$B148,'DAILY ENTRY'!$D$7:$D$1203,"Lead researched (Sales Navigator)"))</f>
        <v/>
      </c>
      <c r="E148" s="107" t="str">
        <f aca="false">IF($A148="","",SUMIFS('DAILY ENTRY'!$F$7:$F$1203,'DAILY ENTRY'!$A$7:$A$1203,$A148,'DAILY ENTRY'!$B$7:$B$1203,$B148,'DAILY ENTRY'!$D$7:$D$1203,"Connection request sent"))</f>
        <v/>
      </c>
      <c r="F148" s="107" t="str">
        <f aca="false">IF($A148="","",SUMIFS('DAILY ENTRY'!$F$7:$F$1203,'DAILY ENTRY'!$A$7:$A$1203,$A148,'DAILY ENTRY'!$B$7:$B$1203,$B148,'DAILY ENTRY'!$D$7:$D$1203,"First message sent"))</f>
        <v/>
      </c>
      <c r="G148" s="107" t="str">
        <f aca="false">IF($A148="","",SUMIFS('DAILY ENTRY'!$F$7:$F$1203,'DAILY ENTRY'!$A$7:$A$1203,$A148,'DAILY ENTRY'!$B$7:$B$1203,$B148,'DAILY ENTRY'!$D$7:$D$1203,"Follow-up message sent"))</f>
        <v/>
      </c>
      <c r="H148" s="107" t="str">
        <f aca="false">IF($A148="","",SUMIFS('DAILY ENTRY'!$F$7:$F$1203,'DAILY ENTRY'!$A$7:$A$1203,$A148,'DAILY ENTRY'!$B$7:$B$1203,$B148,'DAILY ENTRY'!$D$7:$D$1203,"Post / content published"))</f>
        <v/>
      </c>
      <c r="I148" s="107" t="str">
        <f aca="false">IF($A148="","",SUMIFS('DAILY ENTRY'!$F$7:$F$1203,'DAILY ENTRY'!$A$7:$A$1203,$A148,'DAILY ENTRY'!$B$7:$B$1203,$B148,'DAILY ENTRY'!$D$7:$D$1203,"Community answer or comment"))</f>
        <v/>
      </c>
      <c r="J148" s="107" t="str">
        <f aca="false">IF($A148="","",SUMIFS('DAILY ENTRY'!$F$7:$F$1203,'DAILY ENTRY'!$A$7:$A$1203,$A148,'DAILY ENTRY'!$B$7:$B$1203,$B148,'DAILY ENTRY'!$D$7:$D$1203,"Partnership / PR contact"))</f>
        <v/>
      </c>
      <c r="K148" s="107" t="str">
        <f aca="false">IF($A148="","",SUMIFS('DAILY ENTRY'!$F$7:$F$1203,'DAILY ENTRY'!$A$7:$A$1203,$A148,'DAILY ENTRY'!$B$7:$B$1203,$B148,'DAILY ENTRY'!$D$7:$D$1203,"Engagement (commented on someone else)"))</f>
        <v/>
      </c>
      <c r="L148" s="107" t="str">
        <f aca="false">IF($A148="","",SUMIFS('DAILY ENTRY'!$F$7:$F$1203,'DAILY ENTRY'!$A$7:$A$1203,$A148,'DAILY ENTRY'!$B$7:$B$1203,$B148,'DAILY ENTRY'!$D$7:$D$1203,"Account created / profile completed"))</f>
        <v/>
      </c>
      <c r="M148" s="108" t="str">
        <f aca="false">IF($A148="","",IFERROR(INDEX('DAILY ENTRY'!$E$7:$E$1203,MATCH(1,INDEX(('DAILY ENTRY'!$A$7:$A$1203=$A148)*('DAILY ENTRY'!$B$7:$B$1203=$B148)*('DAILY ENTRY'!$I$7:$I$1203="Meeting booked"),0),0)),IFERROR(INDEX('DAILY ENTRY'!$E$7:$E$1203,MATCH(1,INDEX(('DAILY ENTRY'!$A$7:$A$1203=$A148)*('DAILY ENTRY'!$B$7:$B$1203=$B148)*('DAILY ENTRY'!$I$7:$I$1203="Positive reply"),0),0)),"")))</f>
        <v/>
      </c>
      <c r="N148" s="108" t="str">
        <f aca="false">IF($A148="","",IFERROR(INDEX('DAILY ENTRY'!$J$7:$J$1203,MATCH(1,INDEX(('DAILY ENTRY'!$A$7:$A$1203=$A148)*('DAILY ENTRY'!$B$7:$B$1203=$B148)*('DAILY ENTRY'!$I$7:$I$1203="Blocked"),0),0)),""))</f>
        <v/>
      </c>
      <c r="O148" s="65" t="str">
        <f aca="false">IF($A148="","",(D148&gt;='START HERE'!$B$25)+(E148&gt;='START HERE'!$B$26)+(F148&gt;='START HERE'!$B$27)+(G148&gt;='START HERE'!$B$28)+(H148&gt;='START HERE'!$B$29)+(I148&gt;='START HERE'!$B$30)+(J148&gt;='START HERE'!$B$31)+(K148&gt;='START HERE'!$B$32))</f>
        <v/>
      </c>
      <c r="P148" s="46" t="str">
        <f aca="false">IF($A148="","",IF(O148&gt;=7,"Full day",IF(O148&gt;=5,"Most targets met",IF(O148&gt;=3,"Half day","Below plan - explain in the blocker column"))))</f>
        <v/>
      </c>
    </row>
    <row r="149" customFormat="false" ht="24" hidden="false" customHeight="true" outlineLevel="0" collapsed="false">
      <c r="A149" s="36"/>
      <c r="B149" s="37"/>
      <c r="C149" s="107" t="str">
        <f aca="false">IF($A149="","",ROUND(SUMIFS('DAILY ENTRY'!$G$7:$G$1203,'DAILY ENTRY'!$A$7:$A$1203,$A149,'DAILY ENTRY'!$B$7:$B$1203,$B149)/60,1))</f>
        <v/>
      </c>
      <c r="D149" s="107" t="str">
        <f aca="false">IF($A149="","",SUMIFS('DAILY ENTRY'!$F$7:$F$1203,'DAILY ENTRY'!$A$7:$A$1203,$A149,'DAILY ENTRY'!$B$7:$B$1203,$B149,'DAILY ENTRY'!$D$7:$D$1203,"Lead researched (Sales Navigator)"))</f>
        <v/>
      </c>
      <c r="E149" s="107" t="str">
        <f aca="false">IF($A149="","",SUMIFS('DAILY ENTRY'!$F$7:$F$1203,'DAILY ENTRY'!$A$7:$A$1203,$A149,'DAILY ENTRY'!$B$7:$B$1203,$B149,'DAILY ENTRY'!$D$7:$D$1203,"Connection request sent"))</f>
        <v/>
      </c>
      <c r="F149" s="107" t="str">
        <f aca="false">IF($A149="","",SUMIFS('DAILY ENTRY'!$F$7:$F$1203,'DAILY ENTRY'!$A$7:$A$1203,$A149,'DAILY ENTRY'!$B$7:$B$1203,$B149,'DAILY ENTRY'!$D$7:$D$1203,"First message sent"))</f>
        <v/>
      </c>
      <c r="G149" s="107" t="str">
        <f aca="false">IF($A149="","",SUMIFS('DAILY ENTRY'!$F$7:$F$1203,'DAILY ENTRY'!$A$7:$A$1203,$A149,'DAILY ENTRY'!$B$7:$B$1203,$B149,'DAILY ENTRY'!$D$7:$D$1203,"Follow-up message sent"))</f>
        <v/>
      </c>
      <c r="H149" s="107" t="str">
        <f aca="false">IF($A149="","",SUMIFS('DAILY ENTRY'!$F$7:$F$1203,'DAILY ENTRY'!$A$7:$A$1203,$A149,'DAILY ENTRY'!$B$7:$B$1203,$B149,'DAILY ENTRY'!$D$7:$D$1203,"Post / content published"))</f>
        <v/>
      </c>
      <c r="I149" s="107" t="str">
        <f aca="false">IF($A149="","",SUMIFS('DAILY ENTRY'!$F$7:$F$1203,'DAILY ENTRY'!$A$7:$A$1203,$A149,'DAILY ENTRY'!$B$7:$B$1203,$B149,'DAILY ENTRY'!$D$7:$D$1203,"Community answer or comment"))</f>
        <v/>
      </c>
      <c r="J149" s="107" t="str">
        <f aca="false">IF($A149="","",SUMIFS('DAILY ENTRY'!$F$7:$F$1203,'DAILY ENTRY'!$A$7:$A$1203,$A149,'DAILY ENTRY'!$B$7:$B$1203,$B149,'DAILY ENTRY'!$D$7:$D$1203,"Partnership / PR contact"))</f>
        <v/>
      </c>
      <c r="K149" s="107" t="str">
        <f aca="false">IF($A149="","",SUMIFS('DAILY ENTRY'!$F$7:$F$1203,'DAILY ENTRY'!$A$7:$A$1203,$A149,'DAILY ENTRY'!$B$7:$B$1203,$B149,'DAILY ENTRY'!$D$7:$D$1203,"Engagement (commented on someone else)"))</f>
        <v/>
      </c>
      <c r="L149" s="107" t="str">
        <f aca="false">IF($A149="","",SUMIFS('DAILY ENTRY'!$F$7:$F$1203,'DAILY ENTRY'!$A$7:$A$1203,$A149,'DAILY ENTRY'!$B$7:$B$1203,$B149,'DAILY ENTRY'!$D$7:$D$1203,"Account created / profile completed"))</f>
        <v/>
      </c>
      <c r="M149" s="108" t="str">
        <f aca="false">IF($A149="","",IFERROR(INDEX('DAILY ENTRY'!$E$7:$E$1203,MATCH(1,INDEX(('DAILY ENTRY'!$A$7:$A$1203=$A149)*('DAILY ENTRY'!$B$7:$B$1203=$B149)*('DAILY ENTRY'!$I$7:$I$1203="Meeting booked"),0),0)),IFERROR(INDEX('DAILY ENTRY'!$E$7:$E$1203,MATCH(1,INDEX(('DAILY ENTRY'!$A$7:$A$1203=$A149)*('DAILY ENTRY'!$B$7:$B$1203=$B149)*('DAILY ENTRY'!$I$7:$I$1203="Positive reply"),0),0)),"")))</f>
        <v/>
      </c>
      <c r="N149" s="108" t="str">
        <f aca="false">IF($A149="","",IFERROR(INDEX('DAILY ENTRY'!$J$7:$J$1203,MATCH(1,INDEX(('DAILY ENTRY'!$A$7:$A$1203=$A149)*('DAILY ENTRY'!$B$7:$B$1203=$B149)*('DAILY ENTRY'!$I$7:$I$1203="Blocked"),0),0)),""))</f>
        <v/>
      </c>
      <c r="O149" s="65" t="str">
        <f aca="false">IF($A149="","",(D149&gt;='START HERE'!$B$25)+(E149&gt;='START HERE'!$B$26)+(F149&gt;='START HERE'!$B$27)+(G149&gt;='START HERE'!$B$28)+(H149&gt;='START HERE'!$B$29)+(I149&gt;='START HERE'!$B$30)+(J149&gt;='START HERE'!$B$31)+(K149&gt;='START HERE'!$B$32))</f>
        <v/>
      </c>
      <c r="P149" s="46" t="str">
        <f aca="false">IF($A149="","",IF(O149&gt;=7,"Full day",IF(O149&gt;=5,"Most targets met",IF(O149&gt;=3,"Half day","Below plan - explain in the blocker column"))))</f>
        <v/>
      </c>
    </row>
    <row r="150" customFormat="false" ht="24" hidden="false" customHeight="true" outlineLevel="0" collapsed="false">
      <c r="A150" s="36"/>
      <c r="B150" s="37"/>
      <c r="C150" s="107" t="str">
        <f aca="false">IF($A150="","",ROUND(SUMIFS('DAILY ENTRY'!$G$7:$G$1203,'DAILY ENTRY'!$A$7:$A$1203,$A150,'DAILY ENTRY'!$B$7:$B$1203,$B150)/60,1))</f>
        <v/>
      </c>
      <c r="D150" s="107" t="str">
        <f aca="false">IF($A150="","",SUMIFS('DAILY ENTRY'!$F$7:$F$1203,'DAILY ENTRY'!$A$7:$A$1203,$A150,'DAILY ENTRY'!$B$7:$B$1203,$B150,'DAILY ENTRY'!$D$7:$D$1203,"Lead researched (Sales Navigator)"))</f>
        <v/>
      </c>
      <c r="E150" s="107" t="str">
        <f aca="false">IF($A150="","",SUMIFS('DAILY ENTRY'!$F$7:$F$1203,'DAILY ENTRY'!$A$7:$A$1203,$A150,'DAILY ENTRY'!$B$7:$B$1203,$B150,'DAILY ENTRY'!$D$7:$D$1203,"Connection request sent"))</f>
        <v/>
      </c>
      <c r="F150" s="107" t="str">
        <f aca="false">IF($A150="","",SUMIFS('DAILY ENTRY'!$F$7:$F$1203,'DAILY ENTRY'!$A$7:$A$1203,$A150,'DAILY ENTRY'!$B$7:$B$1203,$B150,'DAILY ENTRY'!$D$7:$D$1203,"First message sent"))</f>
        <v/>
      </c>
      <c r="G150" s="107" t="str">
        <f aca="false">IF($A150="","",SUMIFS('DAILY ENTRY'!$F$7:$F$1203,'DAILY ENTRY'!$A$7:$A$1203,$A150,'DAILY ENTRY'!$B$7:$B$1203,$B150,'DAILY ENTRY'!$D$7:$D$1203,"Follow-up message sent"))</f>
        <v/>
      </c>
      <c r="H150" s="107" t="str">
        <f aca="false">IF($A150="","",SUMIFS('DAILY ENTRY'!$F$7:$F$1203,'DAILY ENTRY'!$A$7:$A$1203,$A150,'DAILY ENTRY'!$B$7:$B$1203,$B150,'DAILY ENTRY'!$D$7:$D$1203,"Post / content published"))</f>
        <v/>
      </c>
      <c r="I150" s="107" t="str">
        <f aca="false">IF($A150="","",SUMIFS('DAILY ENTRY'!$F$7:$F$1203,'DAILY ENTRY'!$A$7:$A$1203,$A150,'DAILY ENTRY'!$B$7:$B$1203,$B150,'DAILY ENTRY'!$D$7:$D$1203,"Community answer or comment"))</f>
        <v/>
      </c>
      <c r="J150" s="107" t="str">
        <f aca="false">IF($A150="","",SUMIFS('DAILY ENTRY'!$F$7:$F$1203,'DAILY ENTRY'!$A$7:$A$1203,$A150,'DAILY ENTRY'!$B$7:$B$1203,$B150,'DAILY ENTRY'!$D$7:$D$1203,"Partnership / PR contact"))</f>
        <v/>
      </c>
      <c r="K150" s="107" t="str">
        <f aca="false">IF($A150="","",SUMIFS('DAILY ENTRY'!$F$7:$F$1203,'DAILY ENTRY'!$A$7:$A$1203,$A150,'DAILY ENTRY'!$B$7:$B$1203,$B150,'DAILY ENTRY'!$D$7:$D$1203,"Engagement (commented on someone else)"))</f>
        <v/>
      </c>
      <c r="L150" s="107" t="str">
        <f aca="false">IF($A150="","",SUMIFS('DAILY ENTRY'!$F$7:$F$1203,'DAILY ENTRY'!$A$7:$A$1203,$A150,'DAILY ENTRY'!$B$7:$B$1203,$B150,'DAILY ENTRY'!$D$7:$D$1203,"Account created / profile completed"))</f>
        <v/>
      </c>
      <c r="M150" s="108" t="str">
        <f aca="false">IF($A150="","",IFERROR(INDEX('DAILY ENTRY'!$E$7:$E$1203,MATCH(1,INDEX(('DAILY ENTRY'!$A$7:$A$1203=$A150)*('DAILY ENTRY'!$B$7:$B$1203=$B150)*('DAILY ENTRY'!$I$7:$I$1203="Meeting booked"),0),0)),IFERROR(INDEX('DAILY ENTRY'!$E$7:$E$1203,MATCH(1,INDEX(('DAILY ENTRY'!$A$7:$A$1203=$A150)*('DAILY ENTRY'!$B$7:$B$1203=$B150)*('DAILY ENTRY'!$I$7:$I$1203="Positive reply"),0),0)),"")))</f>
        <v/>
      </c>
      <c r="N150" s="108" t="str">
        <f aca="false">IF($A150="","",IFERROR(INDEX('DAILY ENTRY'!$J$7:$J$1203,MATCH(1,INDEX(('DAILY ENTRY'!$A$7:$A$1203=$A150)*('DAILY ENTRY'!$B$7:$B$1203=$B150)*('DAILY ENTRY'!$I$7:$I$1203="Blocked"),0),0)),""))</f>
        <v/>
      </c>
      <c r="O150" s="65" t="str">
        <f aca="false">IF($A150="","",(D150&gt;='START HERE'!$B$25)+(E150&gt;='START HERE'!$B$26)+(F150&gt;='START HERE'!$B$27)+(G150&gt;='START HERE'!$B$28)+(H150&gt;='START HERE'!$B$29)+(I150&gt;='START HERE'!$B$30)+(J150&gt;='START HERE'!$B$31)+(K150&gt;='START HERE'!$B$32))</f>
        <v/>
      </c>
      <c r="P150" s="46" t="str">
        <f aca="false">IF($A150="","",IF(O150&gt;=7,"Full day",IF(O150&gt;=5,"Most targets met",IF(O150&gt;=3,"Half day","Below plan - explain in the blocker column"))))</f>
        <v/>
      </c>
    </row>
    <row r="151" customFormat="false" ht="24" hidden="false" customHeight="true" outlineLevel="0" collapsed="false">
      <c r="A151" s="36"/>
      <c r="B151" s="37"/>
      <c r="C151" s="107" t="str">
        <f aca="false">IF($A151="","",ROUND(SUMIFS('DAILY ENTRY'!$G$7:$G$1203,'DAILY ENTRY'!$A$7:$A$1203,$A151,'DAILY ENTRY'!$B$7:$B$1203,$B151)/60,1))</f>
        <v/>
      </c>
      <c r="D151" s="107" t="str">
        <f aca="false">IF($A151="","",SUMIFS('DAILY ENTRY'!$F$7:$F$1203,'DAILY ENTRY'!$A$7:$A$1203,$A151,'DAILY ENTRY'!$B$7:$B$1203,$B151,'DAILY ENTRY'!$D$7:$D$1203,"Lead researched (Sales Navigator)"))</f>
        <v/>
      </c>
      <c r="E151" s="107" t="str">
        <f aca="false">IF($A151="","",SUMIFS('DAILY ENTRY'!$F$7:$F$1203,'DAILY ENTRY'!$A$7:$A$1203,$A151,'DAILY ENTRY'!$B$7:$B$1203,$B151,'DAILY ENTRY'!$D$7:$D$1203,"Connection request sent"))</f>
        <v/>
      </c>
      <c r="F151" s="107" t="str">
        <f aca="false">IF($A151="","",SUMIFS('DAILY ENTRY'!$F$7:$F$1203,'DAILY ENTRY'!$A$7:$A$1203,$A151,'DAILY ENTRY'!$B$7:$B$1203,$B151,'DAILY ENTRY'!$D$7:$D$1203,"First message sent"))</f>
        <v/>
      </c>
      <c r="G151" s="107" t="str">
        <f aca="false">IF($A151="","",SUMIFS('DAILY ENTRY'!$F$7:$F$1203,'DAILY ENTRY'!$A$7:$A$1203,$A151,'DAILY ENTRY'!$B$7:$B$1203,$B151,'DAILY ENTRY'!$D$7:$D$1203,"Follow-up message sent"))</f>
        <v/>
      </c>
      <c r="H151" s="107" t="str">
        <f aca="false">IF($A151="","",SUMIFS('DAILY ENTRY'!$F$7:$F$1203,'DAILY ENTRY'!$A$7:$A$1203,$A151,'DAILY ENTRY'!$B$7:$B$1203,$B151,'DAILY ENTRY'!$D$7:$D$1203,"Post / content published"))</f>
        <v/>
      </c>
      <c r="I151" s="107" t="str">
        <f aca="false">IF($A151="","",SUMIFS('DAILY ENTRY'!$F$7:$F$1203,'DAILY ENTRY'!$A$7:$A$1203,$A151,'DAILY ENTRY'!$B$7:$B$1203,$B151,'DAILY ENTRY'!$D$7:$D$1203,"Community answer or comment"))</f>
        <v/>
      </c>
      <c r="J151" s="107" t="str">
        <f aca="false">IF($A151="","",SUMIFS('DAILY ENTRY'!$F$7:$F$1203,'DAILY ENTRY'!$A$7:$A$1203,$A151,'DAILY ENTRY'!$B$7:$B$1203,$B151,'DAILY ENTRY'!$D$7:$D$1203,"Partnership / PR contact"))</f>
        <v/>
      </c>
      <c r="K151" s="107" t="str">
        <f aca="false">IF($A151="","",SUMIFS('DAILY ENTRY'!$F$7:$F$1203,'DAILY ENTRY'!$A$7:$A$1203,$A151,'DAILY ENTRY'!$B$7:$B$1203,$B151,'DAILY ENTRY'!$D$7:$D$1203,"Engagement (commented on someone else)"))</f>
        <v/>
      </c>
      <c r="L151" s="107" t="str">
        <f aca="false">IF($A151="","",SUMIFS('DAILY ENTRY'!$F$7:$F$1203,'DAILY ENTRY'!$A$7:$A$1203,$A151,'DAILY ENTRY'!$B$7:$B$1203,$B151,'DAILY ENTRY'!$D$7:$D$1203,"Account created / profile completed"))</f>
        <v/>
      </c>
      <c r="M151" s="108" t="str">
        <f aca="false">IF($A151="","",IFERROR(INDEX('DAILY ENTRY'!$E$7:$E$1203,MATCH(1,INDEX(('DAILY ENTRY'!$A$7:$A$1203=$A151)*('DAILY ENTRY'!$B$7:$B$1203=$B151)*('DAILY ENTRY'!$I$7:$I$1203="Meeting booked"),0),0)),IFERROR(INDEX('DAILY ENTRY'!$E$7:$E$1203,MATCH(1,INDEX(('DAILY ENTRY'!$A$7:$A$1203=$A151)*('DAILY ENTRY'!$B$7:$B$1203=$B151)*('DAILY ENTRY'!$I$7:$I$1203="Positive reply"),0),0)),"")))</f>
        <v/>
      </c>
      <c r="N151" s="108" t="str">
        <f aca="false">IF($A151="","",IFERROR(INDEX('DAILY ENTRY'!$J$7:$J$1203,MATCH(1,INDEX(('DAILY ENTRY'!$A$7:$A$1203=$A151)*('DAILY ENTRY'!$B$7:$B$1203=$B151)*('DAILY ENTRY'!$I$7:$I$1203="Blocked"),0),0)),""))</f>
        <v/>
      </c>
      <c r="O151" s="65" t="str">
        <f aca="false">IF($A151="","",(D151&gt;='START HERE'!$B$25)+(E151&gt;='START HERE'!$B$26)+(F151&gt;='START HERE'!$B$27)+(G151&gt;='START HERE'!$B$28)+(H151&gt;='START HERE'!$B$29)+(I151&gt;='START HERE'!$B$30)+(J151&gt;='START HERE'!$B$31)+(K151&gt;='START HERE'!$B$32))</f>
        <v/>
      </c>
      <c r="P151" s="46" t="str">
        <f aca="false">IF($A151="","",IF(O151&gt;=7,"Full day",IF(O151&gt;=5,"Most targets met",IF(O151&gt;=3,"Half day","Below plan - explain in the blocker column"))))</f>
        <v/>
      </c>
    </row>
    <row r="152" customFormat="false" ht="24" hidden="false" customHeight="true" outlineLevel="0" collapsed="false">
      <c r="A152" s="36"/>
      <c r="B152" s="37"/>
      <c r="C152" s="107" t="str">
        <f aca="false">IF($A152="","",ROUND(SUMIFS('DAILY ENTRY'!$G$7:$G$1203,'DAILY ENTRY'!$A$7:$A$1203,$A152,'DAILY ENTRY'!$B$7:$B$1203,$B152)/60,1))</f>
        <v/>
      </c>
      <c r="D152" s="107" t="str">
        <f aca="false">IF($A152="","",SUMIFS('DAILY ENTRY'!$F$7:$F$1203,'DAILY ENTRY'!$A$7:$A$1203,$A152,'DAILY ENTRY'!$B$7:$B$1203,$B152,'DAILY ENTRY'!$D$7:$D$1203,"Lead researched (Sales Navigator)"))</f>
        <v/>
      </c>
      <c r="E152" s="107" t="str">
        <f aca="false">IF($A152="","",SUMIFS('DAILY ENTRY'!$F$7:$F$1203,'DAILY ENTRY'!$A$7:$A$1203,$A152,'DAILY ENTRY'!$B$7:$B$1203,$B152,'DAILY ENTRY'!$D$7:$D$1203,"Connection request sent"))</f>
        <v/>
      </c>
      <c r="F152" s="107" t="str">
        <f aca="false">IF($A152="","",SUMIFS('DAILY ENTRY'!$F$7:$F$1203,'DAILY ENTRY'!$A$7:$A$1203,$A152,'DAILY ENTRY'!$B$7:$B$1203,$B152,'DAILY ENTRY'!$D$7:$D$1203,"First message sent"))</f>
        <v/>
      </c>
      <c r="G152" s="107" t="str">
        <f aca="false">IF($A152="","",SUMIFS('DAILY ENTRY'!$F$7:$F$1203,'DAILY ENTRY'!$A$7:$A$1203,$A152,'DAILY ENTRY'!$B$7:$B$1203,$B152,'DAILY ENTRY'!$D$7:$D$1203,"Follow-up message sent"))</f>
        <v/>
      </c>
      <c r="H152" s="107" t="str">
        <f aca="false">IF($A152="","",SUMIFS('DAILY ENTRY'!$F$7:$F$1203,'DAILY ENTRY'!$A$7:$A$1203,$A152,'DAILY ENTRY'!$B$7:$B$1203,$B152,'DAILY ENTRY'!$D$7:$D$1203,"Post / content published"))</f>
        <v/>
      </c>
      <c r="I152" s="107" t="str">
        <f aca="false">IF($A152="","",SUMIFS('DAILY ENTRY'!$F$7:$F$1203,'DAILY ENTRY'!$A$7:$A$1203,$A152,'DAILY ENTRY'!$B$7:$B$1203,$B152,'DAILY ENTRY'!$D$7:$D$1203,"Community answer or comment"))</f>
        <v/>
      </c>
      <c r="J152" s="107" t="str">
        <f aca="false">IF($A152="","",SUMIFS('DAILY ENTRY'!$F$7:$F$1203,'DAILY ENTRY'!$A$7:$A$1203,$A152,'DAILY ENTRY'!$B$7:$B$1203,$B152,'DAILY ENTRY'!$D$7:$D$1203,"Partnership / PR contact"))</f>
        <v/>
      </c>
      <c r="K152" s="107" t="str">
        <f aca="false">IF($A152="","",SUMIFS('DAILY ENTRY'!$F$7:$F$1203,'DAILY ENTRY'!$A$7:$A$1203,$A152,'DAILY ENTRY'!$B$7:$B$1203,$B152,'DAILY ENTRY'!$D$7:$D$1203,"Engagement (commented on someone else)"))</f>
        <v/>
      </c>
      <c r="L152" s="107" t="str">
        <f aca="false">IF($A152="","",SUMIFS('DAILY ENTRY'!$F$7:$F$1203,'DAILY ENTRY'!$A$7:$A$1203,$A152,'DAILY ENTRY'!$B$7:$B$1203,$B152,'DAILY ENTRY'!$D$7:$D$1203,"Account created / profile completed"))</f>
        <v/>
      </c>
      <c r="M152" s="108" t="str">
        <f aca="false">IF($A152="","",IFERROR(INDEX('DAILY ENTRY'!$E$7:$E$1203,MATCH(1,INDEX(('DAILY ENTRY'!$A$7:$A$1203=$A152)*('DAILY ENTRY'!$B$7:$B$1203=$B152)*('DAILY ENTRY'!$I$7:$I$1203="Meeting booked"),0),0)),IFERROR(INDEX('DAILY ENTRY'!$E$7:$E$1203,MATCH(1,INDEX(('DAILY ENTRY'!$A$7:$A$1203=$A152)*('DAILY ENTRY'!$B$7:$B$1203=$B152)*('DAILY ENTRY'!$I$7:$I$1203="Positive reply"),0),0)),"")))</f>
        <v/>
      </c>
      <c r="N152" s="108" t="str">
        <f aca="false">IF($A152="","",IFERROR(INDEX('DAILY ENTRY'!$J$7:$J$1203,MATCH(1,INDEX(('DAILY ENTRY'!$A$7:$A$1203=$A152)*('DAILY ENTRY'!$B$7:$B$1203=$B152)*('DAILY ENTRY'!$I$7:$I$1203="Blocked"),0),0)),""))</f>
        <v/>
      </c>
      <c r="O152" s="65" t="str">
        <f aca="false">IF($A152="","",(D152&gt;='START HERE'!$B$25)+(E152&gt;='START HERE'!$B$26)+(F152&gt;='START HERE'!$B$27)+(G152&gt;='START HERE'!$B$28)+(H152&gt;='START HERE'!$B$29)+(I152&gt;='START HERE'!$B$30)+(J152&gt;='START HERE'!$B$31)+(K152&gt;='START HERE'!$B$32))</f>
        <v/>
      </c>
      <c r="P152" s="46" t="str">
        <f aca="false">IF($A152="","",IF(O152&gt;=7,"Full day",IF(O152&gt;=5,"Most targets met",IF(O152&gt;=3,"Half day","Below plan - explain in the blocker column"))))</f>
        <v/>
      </c>
    </row>
    <row r="153" customFormat="false" ht="24" hidden="false" customHeight="true" outlineLevel="0" collapsed="false">
      <c r="A153" s="36"/>
      <c r="B153" s="37"/>
      <c r="C153" s="107" t="str">
        <f aca="false">IF($A153="","",ROUND(SUMIFS('DAILY ENTRY'!$G$7:$G$1203,'DAILY ENTRY'!$A$7:$A$1203,$A153,'DAILY ENTRY'!$B$7:$B$1203,$B153)/60,1))</f>
        <v/>
      </c>
      <c r="D153" s="107" t="str">
        <f aca="false">IF($A153="","",SUMIFS('DAILY ENTRY'!$F$7:$F$1203,'DAILY ENTRY'!$A$7:$A$1203,$A153,'DAILY ENTRY'!$B$7:$B$1203,$B153,'DAILY ENTRY'!$D$7:$D$1203,"Lead researched (Sales Navigator)"))</f>
        <v/>
      </c>
      <c r="E153" s="107" t="str">
        <f aca="false">IF($A153="","",SUMIFS('DAILY ENTRY'!$F$7:$F$1203,'DAILY ENTRY'!$A$7:$A$1203,$A153,'DAILY ENTRY'!$B$7:$B$1203,$B153,'DAILY ENTRY'!$D$7:$D$1203,"Connection request sent"))</f>
        <v/>
      </c>
      <c r="F153" s="107" t="str">
        <f aca="false">IF($A153="","",SUMIFS('DAILY ENTRY'!$F$7:$F$1203,'DAILY ENTRY'!$A$7:$A$1203,$A153,'DAILY ENTRY'!$B$7:$B$1203,$B153,'DAILY ENTRY'!$D$7:$D$1203,"First message sent"))</f>
        <v/>
      </c>
      <c r="G153" s="107" t="str">
        <f aca="false">IF($A153="","",SUMIFS('DAILY ENTRY'!$F$7:$F$1203,'DAILY ENTRY'!$A$7:$A$1203,$A153,'DAILY ENTRY'!$B$7:$B$1203,$B153,'DAILY ENTRY'!$D$7:$D$1203,"Follow-up message sent"))</f>
        <v/>
      </c>
      <c r="H153" s="107" t="str">
        <f aca="false">IF($A153="","",SUMIFS('DAILY ENTRY'!$F$7:$F$1203,'DAILY ENTRY'!$A$7:$A$1203,$A153,'DAILY ENTRY'!$B$7:$B$1203,$B153,'DAILY ENTRY'!$D$7:$D$1203,"Post / content published"))</f>
        <v/>
      </c>
      <c r="I153" s="107" t="str">
        <f aca="false">IF($A153="","",SUMIFS('DAILY ENTRY'!$F$7:$F$1203,'DAILY ENTRY'!$A$7:$A$1203,$A153,'DAILY ENTRY'!$B$7:$B$1203,$B153,'DAILY ENTRY'!$D$7:$D$1203,"Community answer or comment"))</f>
        <v/>
      </c>
      <c r="J153" s="107" t="str">
        <f aca="false">IF($A153="","",SUMIFS('DAILY ENTRY'!$F$7:$F$1203,'DAILY ENTRY'!$A$7:$A$1203,$A153,'DAILY ENTRY'!$B$7:$B$1203,$B153,'DAILY ENTRY'!$D$7:$D$1203,"Partnership / PR contact"))</f>
        <v/>
      </c>
      <c r="K153" s="107" t="str">
        <f aca="false">IF($A153="","",SUMIFS('DAILY ENTRY'!$F$7:$F$1203,'DAILY ENTRY'!$A$7:$A$1203,$A153,'DAILY ENTRY'!$B$7:$B$1203,$B153,'DAILY ENTRY'!$D$7:$D$1203,"Engagement (commented on someone else)"))</f>
        <v/>
      </c>
      <c r="L153" s="107" t="str">
        <f aca="false">IF($A153="","",SUMIFS('DAILY ENTRY'!$F$7:$F$1203,'DAILY ENTRY'!$A$7:$A$1203,$A153,'DAILY ENTRY'!$B$7:$B$1203,$B153,'DAILY ENTRY'!$D$7:$D$1203,"Account created / profile completed"))</f>
        <v/>
      </c>
      <c r="M153" s="108" t="str">
        <f aca="false">IF($A153="","",IFERROR(INDEX('DAILY ENTRY'!$E$7:$E$1203,MATCH(1,INDEX(('DAILY ENTRY'!$A$7:$A$1203=$A153)*('DAILY ENTRY'!$B$7:$B$1203=$B153)*('DAILY ENTRY'!$I$7:$I$1203="Meeting booked"),0),0)),IFERROR(INDEX('DAILY ENTRY'!$E$7:$E$1203,MATCH(1,INDEX(('DAILY ENTRY'!$A$7:$A$1203=$A153)*('DAILY ENTRY'!$B$7:$B$1203=$B153)*('DAILY ENTRY'!$I$7:$I$1203="Positive reply"),0),0)),"")))</f>
        <v/>
      </c>
      <c r="N153" s="108" t="str">
        <f aca="false">IF($A153="","",IFERROR(INDEX('DAILY ENTRY'!$J$7:$J$1203,MATCH(1,INDEX(('DAILY ENTRY'!$A$7:$A$1203=$A153)*('DAILY ENTRY'!$B$7:$B$1203=$B153)*('DAILY ENTRY'!$I$7:$I$1203="Blocked"),0),0)),""))</f>
        <v/>
      </c>
      <c r="O153" s="65" t="str">
        <f aca="false">IF($A153="","",(D153&gt;='START HERE'!$B$25)+(E153&gt;='START HERE'!$B$26)+(F153&gt;='START HERE'!$B$27)+(G153&gt;='START HERE'!$B$28)+(H153&gt;='START HERE'!$B$29)+(I153&gt;='START HERE'!$B$30)+(J153&gt;='START HERE'!$B$31)+(K153&gt;='START HERE'!$B$32))</f>
        <v/>
      </c>
      <c r="P153" s="46" t="str">
        <f aca="false">IF($A153="","",IF(O153&gt;=7,"Full day",IF(O153&gt;=5,"Most targets met",IF(O153&gt;=3,"Half day","Below plan - explain in the blocker column"))))</f>
        <v/>
      </c>
    </row>
    <row r="154" customFormat="false" ht="24" hidden="false" customHeight="true" outlineLevel="0" collapsed="false">
      <c r="A154" s="36"/>
      <c r="B154" s="37"/>
      <c r="C154" s="107" t="str">
        <f aca="false">IF($A154="","",ROUND(SUMIFS('DAILY ENTRY'!$G$7:$G$1203,'DAILY ENTRY'!$A$7:$A$1203,$A154,'DAILY ENTRY'!$B$7:$B$1203,$B154)/60,1))</f>
        <v/>
      </c>
      <c r="D154" s="107" t="str">
        <f aca="false">IF($A154="","",SUMIFS('DAILY ENTRY'!$F$7:$F$1203,'DAILY ENTRY'!$A$7:$A$1203,$A154,'DAILY ENTRY'!$B$7:$B$1203,$B154,'DAILY ENTRY'!$D$7:$D$1203,"Lead researched (Sales Navigator)"))</f>
        <v/>
      </c>
      <c r="E154" s="107" t="str">
        <f aca="false">IF($A154="","",SUMIFS('DAILY ENTRY'!$F$7:$F$1203,'DAILY ENTRY'!$A$7:$A$1203,$A154,'DAILY ENTRY'!$B$7:$B$1203,$B154,'DAILY ENTRY'!$D$7:$D$1203,"Connection request sent"))</f>
        <v/>
      </c>
      <c r="F154" s="107" t="str">
        <f aca="false">IF($A154="","",SUMIFS('DAILY ENTRY'!$F$7:$F$1203,'DAILY ENTRY'!$A$7:$A$1203,$A154,'DAILY ENTRY'!$B$7:$B$1203,$B154,'DAILY ENTRY'!$D$7:$D$1203,"First message sent"))</f>
        <v/>
      </c>
      <c r="G154" s="107" t="str">
        <f aca="false">IF($A154="","",SUMIFS('DAILY ENTRY'!$F$7:$F$1203,'DAILY ENTRY'!$A$7:$A$1203,$A154,'DAILY ENTRY'!$B$7:$B$1203,$B154,'DAILY ENTRY'!$D$7:$D$1203,"Follow-up message sent"))</f>
        <v/>
      </c>
      <c r="H154" s="107" t="str">
        <f aca="false">IF($A154="","",SUMIFS('DAILY ENTRY'!$F$7:$F$1203,'DAILY ENTRY'!$A$7:$A$1203,$A154,'DAILY ENTRY'!$B$7:$B$1203,$B154,'DAILY ENTRY'!$D$7:$D$1203,"Post / content published"))</f>
        <v/>
      </c>
      <c r="I154" s="107" t="str">
        <f aca="false">IF($A154="","",SUMIFS('DAILY ENTRY'!$F$7:$F$1203,'DAILY ENTRY'!$A$7:$A$1203,$A154,'DAILY ENTRY'!$B$7:$B$1203,$B154,'DAILY ENTRY'!$D$7:$D$1203,"Community answer or comment"))</f>
        <v/>
      </c>
      <c r="J154" s="107" t="str">
        <f aca="false">IF($A154="","",SUMIFS('DAILY ENTRY'!$F$7:$F$1203,'DAILY ENTRY'!$A$7:$A$1203,$A154,'DAILY ENTRY'!$B$7:$B$1203,$B154,'DAILY ENTRY'!$D$7:$D$1203,"Partnership / PR contact"))</f>
        <v/>
      </c>
      <c r="K154" s="107" t="str">
        <f aca="false">IF($A154="","",SUMIFS('DAILY ENTRY'!$F$7:$F$1203,'DAILY ENTRY'!$A$7:$A$1203,$A154,'DAILY ENTRY'!$B$7:$B$1203,$B154,'DAILY ENTRY'!$D$7:$D$1203,"Engagement (commented on someone else)"))</f>
        <v/>
      </c>
      <c r="L154" s="107" t="str">
        <f aca="false">IF($A154="","",SUMIFS('DAILY ENTRY'!$F$7:$F$1203,'DAILY ENTRY'!$A$7:$A$1203,$A154,'DAILY ENTRY'!$B$7:$B$1203,$B154,'DAILY ENTRY'!$D$7:$D$1203,"Account created / profile completed"))</f>
        <v/>
      </c>
      <c r="M154" s="108" t="str">
        <f aca="false">IF($A154="","",IFERROR(INDEX('DAILY ENTRY'!$E$7:$E$1203,MATCH(1,INDEX(('DAILY ENTRY'!$A$7:$A$1203=$A154)*('DAILY ENTRY'!$B$7:$B$1203=$B154)*('DAILY ENTRY'!$I$7:$I$1203="Meeting booked"),0),0)),IFERROR(INDEX('DAILY ENTRY'!$E$7:$E$1203,MATCH(1,INDEX(('DAILY ENTRY'!$A$7:$A$1203=$A154)*('DAILY ENTRY'!$B$7:$B$1203=$B154)*('DAILY ENTRY'!$I$7:$I$1203="Positive reply"),0),0)),"")))</f>
        <v/>
      </c>
      <c r="N154" s="108" t="str">
        <f aca="false">IF($A154="","",IFERROR(INDEX('DAILY ENTRY'!$J$7:$J$1203,MATCH(1,INDEX(('DAILY ENTRY'!$A$7:$A$1203=$A154)*('DAILY ENTRY'!$B$7:$B$1203=$B154)*('DAILY ENTRY'!$I$7:$I$1203="Blocked"),0),0)),""))</f>
        <v/>
      </c>
      <c r="O154" s="65" t="str">
        <f aca="false">IF($A154="","",(D154&gt;='START HERE'!$B$25)+(E154&gt;='START HERE'!$B$26)+(F154&gt;='START HERE'!$B$27)+(G154&gt;='START HERE'!$B$28)+(H154&gt;='START HERE'!$B$29)+(I154&gt;='START HERE'!$B$30)+(J154&gt;='START HERE'!$B$31)+(K154&gt;='START HERE'!$B$32))</f>
        <v/>
      </c>
      <c r="P154" s="46" t="str">
        <f aca="false">IF($A154="","",IF(O154&gt;=7,"Full day",IF(O154&gt;=5,"Most targets met",IF(O154&gt;=3,"Half day","Below plan - explain in the blocker column"))))</f>
        <v/>
      </c>
    </row>
    <row r="155" customFormat="false" ht="24" hidden="false" customHeight="true" outlineLevel="0" collapsed="false">
      <c r="A155" s="36"/>
      <c r="B155" s="37"/>
      <c r="C155" s="107" t="str">
        <f aca="false">IF($A155="","",ROUND(SUMIFS('DAILY ENTRY'!$G$7:$G$1203,'DAILY ENTRY'!$A$7:$A$1203,$A155,'DAILY ENTRY'!$B$7:$B$1203,$B155)/60,1))</f>
        <v/>
      </c>
      <c r="D155" s="107" t="str">
        <f aca="false">IF($A155="","",SUMIFS('DAILY ENTRY'!$F$7:$F$1203,'DAILY ENTRY'!$A$7:$A$1203,$A155,'DAILY ENTRY'!$B$7:$B$1203,$B155,'DAILY ENTRY'!$D$7:$D$1203,"Lead researched (Sales Navigator)"))</f>
        <v/>
      </c>
      <c r="E155" s="107" t="str">
        <f aca="false">IF($A155="","",SUMIFS('DAILY ENTRY'!$F$7:$F$1203,'DAILY ENTRY'!$A$7:$A$1203,$A155,'DAILY ENTRY'!$B$7:$B$1203,$B155,'DAILY ENTRY'!$D$7:$D$1203,"Connection request sent"))</f>
        <v/>
      </c>
      <c r="F155" s="107" t="str">
        <f aca="false">IF($A155="","",SUMIFS('DAILY ENTRY'!$F$7:$F$1203,'DAILY ENTRY'!$A$7:$A$1203,$A155,'DAILY ENTRY'!$B$7:$B$1203,$B155,'DAILY ENTRY'!$D$7:$D$1203,"First message sent"))</f>
        <v/>
      </c>
      <c r="G155" s="107" t="str">
        <f aca="false">IF($A155="","",SUMIFS('DAILY ENTRY'!$F$7:$F$1203,'DAILY ENTRY'!$A$7:$A$1203,$A155,'DAILY ENTRY'!$B$7:$B$1203,$B155,'DAILY ENTRY'!$D$7:$D$1203,"Follow-up message sent"))</f>
        <v/>
      </c>
      <c r="H155" s="107" t="str">
        <f aca="false">IF($A155="","",SUMIFS('DAILY ENTRY'!$F$7:$F$1203,'DAILY ENTRY'!$A$7:$A$1203,$A155,'DAILY ENTRY'!$B$7:$B$1203,$B155,'DAILY ENTRY'!$D$7:$D$1203,"Post / content published"))</f>
        <v/>
      </c>
      <c r="I155" s="107" t="str">
        <f aca="false">IF($A155="","",SUMIFS('DAILY ENTRY'!$F$7:$F$1203,'DAILY ENTRY'!$A$7:$A$1203,$A155,'DAILY ENTRY'!$B$7:$B$1203,$B155,'DAILY ENTRY'!$D$7:$D$1203,"Community answer or comment"))</f>
        <v/>
      </c>
      <c r="J155" s="107" t="str">
        <f aca="false">IF($A155="","",SUMIFS('DAILY ENTRY'!$F$7:$F$1203,'DAILY ENTRY'!$A$7:$A$1203,$A155,'DAILY ENTRY'!$B$7:$B$1203,$B155,'DAILY ENTRY'!$D$7:$D$1203,"Partnership / PR contact"))</f>
        <v/>
      </c>
      <c r="K155" s="107" t="str">
        <f aca="false">IF($A155="","",SUMIFS('DAILY ENTRY'!$F$7:$F$1203,'DAILY ENTRY'!$A$7:$A$1203,$A155,'DAILY ENTRY'!$B$7:$B$1203,$B155,'DAILY ENTRY'!$D$7:$D$1203,"Engagement (commented on someone else)"))</f>
        <v/>
      </c>
      <c r="L155" s="107" t="str">
        <f aca="false">IF($A155="","",SUMIFS('DAILY ENTRY'!$F$7:$F$1203,'DAILY ENTRY'!$A$7:$A$1203,$A155,'DAILY ENTRY'!$B$7:$B$1203,$B155,'DAILY ENTRY'!$D$7:$D$1203,"Account created / profile completed"))</f>
        <v/>
      </c>
      <c r="M155" s="108" t="str">
        <f aca="false">IF($A155="","",IFERROR(INDEX('DAILY ENTRY'!$E$7:$E$1203,MATCH(1,INDEX(('DAILY ENTRY'!$A$7:$A$1203=$A155)*('DAILY ENTRY'!$B$7:$B$1203=$B155)*('DAILY ENTRY'!$I$7:$I$1203="Meeting booked"),0),0)),IFERROR(INDEX('DAILY ENTRY'!$E$7:$E$1203,MATCH(1,INDEX(('DAILY ENTRY'!$A$7:$A$1203=$A155)*('DAILY ENTRY'!$B$7:$B$1203=$B155)*('DAILY ENTRY'!$I$7:$I$1203="Positive reply"),0),0)),"")))</f>
        <v/>
      </c>
      <c r="N155" s="108" t="str">
        <f aca="false">IF($A155="","",IFERROR(INDEX('DAILY ENTRY'!$J$7:$J$1203,MATCH(1,INDEX(('DAILY ENTRY'!$A$7:$A$1203=$A155)*('DAILY ENTRY'!$B$7:$B$1203=$B155)*('DAILY ENTRY'!$I$7:$I$1203="Blocked"),0),0)),""))</f>
        <v/>
      </c>
      <c r="O155" s="65" t="str">
        <f aca="false">IF($A155="","",(D155&gt;='START HERE'!$B$25)+(E155&gt;='START HERE'!$B$26)+(F155&gt;='START HERE'!$B$27)+(G155&gt;='START HERE'!$B$28)+(H155&gt;='START HERE'!$B$29)+(I155&gt;='START HERE'!$B$30)+(J155&gt;='START HERE'!$B$31)+(K155&gt;='START HERE'!$B$32))</f>
        <v/>
      </c>
      <c r="P155" s="46" t="str">
        <f aca="false">IF($A155="","",IF(O155&gt;=7,"Full day",IF(O155&gt;=5,"Most targets met",IF(O155&gt;=3,"Half day","Below plan - explain in the blocker column"))))</f>
        <v/>
      </c>
    </row>
    <row r="156" customFormat="false" ht="24" hidden="false" customHeight="true" outlineLevel="0" collapsed="false">
      <c r="A156" s="36"/>
      <c r="B156" s="37"/>
      <c r="C156" s="107" t="str">
        <f aca="false">IF($A156="","",ROUND(SUMIFS('DAILY ENTRY'!$G$7:$G$1203,'DAILY ENTRY'!$A$7:$A$1203,$A156,'DAILY ENTRY'!$B$7:$B$1203,$B156)/60,1))</f>
        <v/>
      </c>
      <c r="D156" s="107" t="str">
        <f aca="false">IF($A156="","",SUMIFS('DAILY ENTRY'!$F$7:$F$1203,'DAILY ENTRY'!$A$7:$A$1203,$A156,'DAILY ENTRY'!$B$7:$B$1203,$B156,'DAILY ENTRY'!$D$7:$D$1203,"Lead researched (Sales Navigator)"))</f>
        <v/>
      </c>
      <c r="E156" s="107" t="str">
        <f aca="false">IF($A156="","",SUMIFS('DAILY ENTRY'!$F$7:$F$1203,'DAILY ENTRY'!$A$7:$A$1203,$A156,'DAILY ENTRY'!$B$7:$B$1203,$B156,'DAILY ENTRY'!$D$7:$D$1203,"Connection request sent"))</f>
        <v/>
      </c>
      <c r="F156" s="107" t="str">
        <f aca="false">IF($A156="","",SUMIFS('DAILY ENTRY'!$F$7:$F$1203,'DAILY ENTRY'!$A$7:$A$1203,$A156,'DAILY ENTRY'!$B$7:$B$1203,$B156,'DAILY ENTRY'!$D$7:$D$1203,"First message sent"))</f>
        <v/>
      </c>
      <c r="G156" s="107" t="str">
        <f aca="false">IF($A156="","",SUMIFS('DAILY ENTRY'!$F$7:$F$1203,'DAILY ENTRY'!$A$7:$A$1203,$A156,'DAILY ENTRY'!$B$7:$B$1203,$B156,'DAILY ENTRY'!$D$7:$D$1203,"Follow-up message sent"))</f>
        <v/>
      </c>
      <c r="H156" s="107" t="str">
        <f aca="false">IF($A156="","",SUMIFS('DAILY ENTRY'!$F$7:$F$1203,'DAILY ENTRY'!$A$7:$A$1203,$A156,'DAILY ENTRY'!$B$7:$B$1203,$B156,'DAILY ENTRY'!$D$7:$D$1203,"Post / content published"))</f>
        <v/>
      </c>
      <c r="I156" s="107" t="str">
        <f aca="false">IF($A156="","",SUMIFS('DAILY ENTRY'!$F$7:$F$1203,'DAILY ENTRY'!$A$7:$A$1203,$A156,'DAILY ENTRY'!$B$7:$B$1203,$B156,'DAILY ENTRY'!$D$7:$D$1203,"Community answer or comment"))</f>
        <v/>
      </c>
      <c r="J156" s="107" t="str">
        <f aca="false">IF($A156="","",SUMIFS('DAILY ENTRY'!$F$7:$F$1203,'DAILY ENTRY'!$A$7:$A$1203,$A156,'DAILY ENTRY'!$B$7:$B$1203,$B156,'DAILY ENTRY'!$D$7:$D$1203,"Partnership / PR contact"))</f>
        <v/>
      </c>
      <c r="K156" s="107" t="str">
        <f aca="false">IF($A156="","",SUMIFS('DAILY ENTRY'!$F$7:$F$1203,'DAILY ENTRY'!$A$7:$A$1203,$A156,'DAILY ENTRY'!$B$7:$B$1203,$B156,'DAILY ENTRY'!$D$7:$D$1203,"Engagement (commented on someone else)"))</f>
        <v/>
      </c>
      <c r="L156" s="107" t="str">
        <f aca="false">IF($A156="","",SUMIFS('DAILY ENTRY'!$F$7:$F$1203,'DAILY ENTRY'!$A$7:$A$1203,$A156,'DAILY ENTRY'!$B$7:$B$1203,$B156,'DAILY ENTRY'!$D$7:$D$1203,"Account created / profile completed"))</f>
        <v/>
      </c>
      <c r="M156" s="108" t="str">
        <f aca="false">IF($A156="","",IFERROR(INDEX('DAILY ENTRY'!$E$7:$E$1203,MATCH(1,INDEX(('DAILY ENTRY'!$A$7:$A$1203=$A156)*('DAILY ENTRY'!$B$7:$B$1203=$B156)*('DAILY ENTRY'!$I$7:$I$1203="Meeting booked"),0),0)),IFERROR(INDEX('DAILY ENTRY'!$E$7:$E$1203,MATCH(1,INDEX(('DAILY ENTRY'!$A$7:$A$1203=$A156)*('DAILY ENTRY'!$B$7:$B$1203=$B156)*('DAILY ENTRY'!$I$7:$I$1203="Positive reply"),0),0)),"")))</f>
        <v/>
      </c>
      <c r="N156" s="108" t="str">
        <f aca="false">IF($A156="","",IFERROR(INDEX('DAILY ENTRY'!$J$7:$J$1203,MATCH(1,INDEX(('DAILY ENTRY'!$A$7:$A$1203=$A156)*('DAILY ENTRY'!$B$7:$B$1203=$B156)*('DAILY ENTRY'!$I$7:$I$1203="Blocked"),0),0)),""))</f>
        <v/>
      </c>
      <c r="O156" s="65" t="str">
        <f aca="false">IF($A156="","",(D156&gt;='START HERE'!$B$25)+(E156&gt;='START HERE'!$B$26)+(F156&gt;='START HERE'!$B$27)+(G156&gt;='START HERE'!$B$28)+(H156&gt;='START HERE'!$B$29)+(I156&gt;='START HERE'!$B$30)+(J156&gt;='START HERE'!$B$31)+(K156&gt;='START HERE'!$B$32))</f>
        <v/>
      </c>
      <c r="P156" s="46" t="str">
        <f aca="false">IF($A156="","",IF(O156&gt;=7,"Full day",IF(O156&gt;=5,"Most targets met",IF(O156&gt;=3,"Half day","Below plan - explain in the blocker column"))))</f>
        <v/>
      </c>
    </row>
    <row r="157" customFormat="false" ht="24" hidden="false" customHeight="true" outlineLevel="0" collapsed="false">
      <c r="A157" s="36"/>
      <c r="B157" s="37"/>
      <c r="C157" s="107" t="str">
        <f aca="false">IF($A157="","",ROUND(SUMIFS('DAILY ENTRY'!$G$7:$G$1203,'DAILY ENTRY'!$A$7:$A$1203,$A157,'DAILY ENTRY'!$B$7:$B$1203,$B157)/60,1))</f>
        <v/>
      </c>
      <c r="D157" s="107" t="str">
        <f aca="false">IF($A157="","",SUMIFS('DAILY ENTRY'!$F$7:$F$1203,'DAILY ENTRY'!$A$7:$A$1203,$A157,'DAILY ENTRY'!$B$7:$B$1203,$B157,'DAILY ENTRY'!$D$7:$D$1203,"Lead researched (Sales Navigator)"))</f>
        <v/>
      </c>
      <c r="E157" s="107" t="str">
        <f aca="false">IF($A157="","",SUMIFS('DAILY ENTRY'!$F$7:$F$1203,'DAILY ENTRY'!$A$7:$A$1203,$A157,'DAILY ENTRY'!$B$7:$B$1203,$B157,'DAILY ENTRY'!$D$7:$D$1203,"Connection request sent"))</f>
        <v/>
      </c>
      <c r="F157" s="107" t="str">
        <f aca="false">IF($A157="","",SUMIFS('DAILY ENTRY'!$F$7:$F$1203,'DAILY ENTRY'!$A$7:$A$1203,$A157,'DAILY ENTRY'!$B$7:$B$1203,$B157,'DAILY ENTRY'!$D$7:$D$1203,"First message sent"))</f>
        <v/>
      </c>
      <c r="G157" s="107" t="str">
        <f aca="false">IF($A157="","",SUMIFS('DAILY ENTRY'!$F$7:$F$1203,'DAILY ENTRY'!$A$7:$A$1203,$A157,'DAILY ENTRY'!$B$7:$B$1203,$B157,'DAILY ENTRY'!$D$7:$D$1203,"Follow-up message sent"))</f>
        <v/>
      </c>
      <c r="H157" s="107" t="str">
        <f aca="false">IF($A157="","",SUMIFS('DAILY ENTRY'!$F$7:$F$1203,'DAILY ENTRY'!$A$7:$A$1203,$A157,'DAILY ENTRY'!$B$7:$B$1203,$B157,'DAILY ENTRY'!$D$7:$D$1203,"Post / content published"))</f>
        <v/>
      </c>
      <c r="I157" s="107" t="str">
        <f aca="false">IF($A157="","",SUMIFS('DAILY ENTRY'!$F$7:$F$1203,'DAILY ENTRY'!$A$7:$A$1203,$A157,'DAILY ENTRY'!$B$7:$B$1203,$B157,'DAILY ENTRY'!$D$7:$D$1203,"Community answer or comment"))</f>
        <v/>
      </c>
      <c r="J157" s="107" t="str">
        <f aca="false">IF($A157="","",SUMIFS('DAILY ENTRY'!$F$7:$F$1203,'DAILY ENTRY'!$A$7:$A$1203,$A157,'DAILY ENTRY'!$B$7:$B$1203,$B157,'DAILY ENTRY'!$D$7:$D$1203,"Partnership / PR contact"))</f>
        <v/>
      </c>
      <c r="K157" s="107" t="str">
        <f aca="false">IF($A157="","",SUMIFS('DAILY ENTRY'!$F$7:$F$1203,'DAILY ENTRY'!$A$7:$A$1203,$A157,'DAILY ENTRY'!$B$7:$B$1203,$B157,'DAILY ENTRY'!$D$7:$D$1203,"Engagement (commented on someone else)"))</f>
        <v/>
      </c>
      <c r="L157" s="107" t="str">
        <f aca="false">IF($A157="","",SUMIFS('DAILY ENTRY'!$F$7:$F$1203,'DAILY ENTRY'!$A$7:$A$1203,$A157,'DAILY ENTRY'!$B$7:$B$1203,$B157,'DAILY ENTRY'!$D$7:$D$1203,"Account created / profile completed"))</f>
        <v/>
      </c>
      <c r="M157" s="108" t="str">
        <f aca="false">IF($A157="","",IFERROR(INDEX('DAILY ENTRY'!$E$7:$E$1203,MATCH(1,INDEX(('DAILY ENTRY'!$A$7:$A$1203=$A157)*('DAILY ENTRY'!$B$7:$B$1203=$B157)*('DAILY ENTRY'!$I$7:$I$1203="Meeting booked"),0),0)),IFERROR(INDEX('DAILY ENTRY'!$E$7:$E$1203,MATCH(1,INDEX(('DAILY ENTRY'!$A$7:$A$1203=$A157)*('DAILY ENTRY'!$B$7:$B$1203=$B157)*('DAILY ENTRY'!$I$7:$I$1203="Positive reply"),0),0)),"")))</f>
        <v/>
      </c>
      <c r="N157" s="108" t="str">
        <f aca="false">IF($A157="","",IFERROR(INDEX('DAILY ENTRY'!$J$7:$J$1203,MATCH(1,INDEX(('DAILY ENTRY'!$A$7:$A$1203=$A157)*('DAILY ENTRY'!$B$7:$B$1203=$B157)*('DAILY ENTRY'!$I$7:$I$1203="Blocked"),0),0)),""))</f>
        <v/>
      </c>
      <c r="O157" s="65" t="str">
        <f aca="false">IF($A157="","",(D157&gt;='START HERE'!$B$25)+(E157&gt;='START HERE'!$B$26)+(F157&gt;='START HERE'!$B$27)+(G157&gt;='START HERE'!$B$28)+(H157&gt;='START HERE'!$B$29)+(I157&gt;='START HERE'!$B$30)+(J157&gt;='START HERE'!$B$31)+(K157&gt;='START HERE'!$B$32))</f>
        <v/>
      </c>
      <c r="P157" s="46" t="str">
        <f aca="false">IF($A157="","",IF(O157&gt;=7,"Full day",IF(O157&gt;=5,"Most targets met",IF(O157&gt;=3,"Half day","Below plan - explain in the blocker column"))))</f>
        <v/>
      </c>
    </row>
    <row r="158" customFormat="false" ht="24" hidden="false" customHeight="true" outlineLevel="0" collapsed="false">
      <c r="A158" s="36"/>
      <c r="B158" s="37"/>
      <c r="C158" s="107" t="str">
        <f aca="false">IF($A158="","",ROUND(SUMIFS('DAILY ENTRY'!$G$7:$G$1203,'DAILY ENTRY'!$A$7:$A$1203,$A158,'DAILY ENTRY'!$B$7:$B$1203,$B158)/60,1))</f>
        <v/>
      </c>
      <c r="D158" s="107" t="str">
        <f aca="false">IF($A158="","",SUMIFS('DAILY ENTRY'!$F$7:$F$1203,'DAILY ENTRY'!$A$7:$A$1203,$A158,'DAILY ENTRY'!$B$7:$B$1203,$B158,'DAILY ENTRY'!$D$7:$D$1203,"Lead researched (Sales Navigator)"))</f>
        <v/>
      </c>
      <c r="E158" s="107" t="str">
        <f aca="false">IF($A158="","",SUMIFS('DAILY ENTRY'!$F$7:$F$1203,'DAILY ENTRY'!$A$7:$A$1203,$A158,'DAILY ENTRY'!$B$7:$B$1203,$B158,'DAILY ENTRY'!$D$7:$D$1203,"Connection request sent"))</f>
        <v/>
      </c>
      <c r="F158" s="107" t="str">
        <f aca="false">IF($A158="","",SUMIFS('DAILY ENTRY'!$F$7:$F$1203,'DAILY ENTRY'!$A$7:$A$1203,$A158,'DAILY ENTRY'!$B$7:$B$1203,$B158,'DAILY ENTRY'!$D$7:$D$1203,"First message sent"))</f>
        <v/>
      </c>
      <c r="G158" s="107" t="str">
        <f aca="false">IF($A158="","",SUMIFS('DAILY ENTRY'!$F$7:$F$1203,'DAILY ENTRY'!$A$7:$A$1203,$A158,'DAILY ENTRY'!$B$7:$B$1203,$B158,'DAILY ENTRY'!$D$7:$D$1203,"Follow-up message sent"))</f>
        <v/>
      </c>
      <c r="H158" s="107" t="str">
        <f aca="false">IF($A158="","",SUMIFS('DAILY ENTRY'!$F$7:$F$1203,'DAILY ENTRY'!$A$7:$A$1203,$A158,'DAILY ENTRY'!$B$7:$B$1203,$B158,'DAILY ENTRY'!$D$7:$D$1203,"Post / content published"))</f>
        <v/>
      </c>
      <c r="I158" s="107" t="str">
        <f aca="false">IF($A158="","",SUMIFS('DAILY ENTRY'!$F$7:$F$1203,'DAILY ENTRY'!$A$7:$A$1203,$A158,'DAILY ENTRY'!$B$7:$B$1203,$B158,'DAILY ENTRY'!$D$7:$D$1203,"Community answer or comment"))</f>
        <v/>
      </c>
      <c r="J158" s="107" t="str">
        <f aca="false">IF($A158="","",SUMIFS('DAILY ENTRY'!$F$7:$F$1203,'DAILY ENTRY'!$A$7:$A$1203,$A158,'DAILY ENTRY'!$B$7:$B$1203,$B158,'DAILY ENTRY'!$D$7:$D$1203,"Partnership / PR contact"))</f>
        <v/>
      </c>
      <c r="K158" s="107" t="str">
        <f aca="false">IF($A158="","",SUMIFS('DAILY ENTRY'!$F$7:$F$1203,'DAILY ENTRY'!$A$7:$A$1203,$A158,'DAILY ENTRY'!$B$7:$B$1203,$B158,'DAILY ENTRY'!$D$7:$D$1203,"Engagement (commented on someone else)"))</f>
        <v/>
      </c>
      <c r="L158" s="107" t="str">
        <f aca="false">IF($A158="","",SUMIFS('DAILY ENTRY'!$F$7:$F$1203,'DAILY ENTRY'!$A$7:$A$1203,$A158,'DAILY ENTRY'!$B$7:$B$1203,$B158,'DAILY ENTRY'!$D$7:$D$1203,"Account created / profile completed"))</f>
        <v/>
      </c>
      <c r="M158" s="108" t="str">
        <f aca="false">IF($A158="","",IFERROR(INDEX('DAILY ENTRY'!$E$7:$E$1203,MATCH(1,INDEX(('DAILY ENTRY'!$A$7:$A$1203=$A158)*('DAILY ENTRY'!$B$7:$B$1203=$B158)*('DAILY ENTRY'!$I$7:$I$1203="Meeting booked"),0),0)),IFERROR(INDEX('DAILY ENTRY'!$E$7:$E$1203,MATCH(1,INDEX(('DAILY ENTRY'!$A$7:$A$1203=$A158)*('DAILY ENTRY'!$B$7:$B$1203=$B158)*('DAILY ENTRY'!$I$7:$I$1203="Positive reply"),0),0)),"")))</f>
        <v/>
      </c>
      <c r="N158" s="108" t="str">
        <f aca="false">IF($A158="","",IFERROR(INDEX('DAILY ENTRY'!$J$7:$J$1203,MATCH(1,INDEX(('DAILY ENTRY'!$A$7:$A$1203=$A158)*('DAILY ENTRY'!$B$7:$B$1203=$B158)*('DAILY ENTRY'!$I$7:$I$1203="Blocked"),0),0)),""))</f>
        <v/>
      </c>
      <c r="O158" s="65" t="str">
        <f aca="false">IF($A158="","",(D158&gt;='START HERE'!$B$25)+(E158&gt;='START HERE'!$B$26)+(F158&gt;='START HERE'!$B$27)+(G158&gt;='START HERE'!$B$28)+(H158&gt;='START HERE'!$B$29)+(I158&gt;='START HERE'!$B$30)+(J158&gt;='START HERE'!$B$31)+(K158&gt;='START HERE'!$B$32))</f>
        <v/>
      </c>
      <c r="P158" s="46" t="str">
        <f aca="false">IF($A158="","",IF(O158&gt;=7,"Full day",IF(O158&gt;=5,"Most targets met",IF(O158&gt;=3,"Half day","Below plan - explain in the blocker column"))))</f>
        <v/>
      </c>
    </row>
    <row r="159" customFormat="false" ht="24" hidden="false" customHeight="true" outlineLevel="0" collapsed="false">
      <c r="A159" s="36"/>
      <c r="B159" s="37"/>
      <c r="C159" s="107" t="str">
        <f aca="false">IF($A159="","",ROUND(SUMIFS('DAILY ENTRY'!$G$7:$G$1203,'DAILY ENTRY'!$A$7:$A$1203,$A159,'DAILY ENTRY'!$B$7:$B$1203,$B159)/60,1))</f>
        <v/>
      </c>
      <c r="D159" s="107" t="str">
        <f aca="false">IF($A159="","",SUMIFS('DAILY ENTRY'!$F$7:$F$1203,'DAILY ENTRY'!$A$7:$A$1203,$A159,'DAILY ENTRY'!$B$7:$B$1203,$B159,'DAILY ENTRY'!$D$7:$D$1203,"Lead researched (Sales Navigator)"))</f>
        <v/>
      </c>
      <c r="E159" s="107" t="str">
        <f aca="false">IF($A159="","",SUMIFS('DAILY ENTRY'!$F$7:$F$1203,'DAILY ENTRY'!$A$7:$A$1203,$A159,'DAILY ENTRY'!$B$7:$B$1203,$B159,'DAILY ENTRY'!$D$7:$D$1203,"Connection request sent"))</f>
        <v/>
      </c>
      <c r="F159" s="107" t="str">
        <f aca="false">IF($A159="","",SUMIFS('DAILY ENTRY'!$F$7:$F$1203,'DAILY ENTRY'!$A$7:$A$1203,$A159,'DAILY ENTRY'!$B$7:$B$1203,$B159,'DAILY ENTRY'!$D$7:$D$1203,"First message sent"))</f>
        <v/>
      </c>
      <c r="G159" s="107" t="str">
        <f aca="false">IF($A159="","",SUMIFS('DAILY ENTRY'!$F$7:$F$1203,'DAILY ENTRY'!$A$7:$A$1203,$A159,'DAILY ENTRY'!$B$7:$B$1203,$B159,'DAILY ENTRY'!$D$7:$D$1203,"Follow-up message sent"))</f>
        <v/>
      </c>
      <c r="H159" s="107" t="str">
        <f aca="false">IF($A159="","",SUMIFS('DAILY ENTRY'!$F$7:$F$1203,'DAILY ENTRY'!$A$7:$A$1203,$A159,'DAILY ENTRY'!$B$7:$B$1203,$B159,'DAILY ENTRY'!$D$7:$D$1203,"Post / content published"))</f>
        <v/>
      </c>
      <c r="I159" s="107" t="str">
        <f aca="false">IF($A159="","",SUMIFS('DAILY ENTRY'!$F$7:$F$1203,'DAILY ENTRY'!$A$7:$A$1203,$A159,'DAILY ENTRY'!$B$7:$B$1203,$B159,'DAILY ENTRY'!$D$7:$D$1203,"Community answer or comment"))</f>
        <v/>
      </c>
      <c r="J159" s="107" t="str">
        <f aca="false">IF($A159="","",SUMIFS('DAILY ENTRY'!$F$7:$F$1203,'DAILY ENTRY'!$A$7:$A$1203,$A159,'DAILY ENTRY'!$B$7:$B$1203,$B159,'DAILY ENTRY'!$D$7:$D$1203,"Partnership / PR contact"))</f>
        <v/>
      </c>
      <c r="K159" s="107" t="str">
        <f aca="false">IF($A159="","",SUMIFS('DAILY ENTRY'!$F$7:$F$1203,'DAILY ENTRY'!$A$7:$A$1203,$A159,'DAILY ENTRY'!$B$7:$B$1203,$B159,'DAILY ENTRY'!$D$7:$D$1203,"Engagement (commented on someone else)"))</f>
        <v/>
      </c>
      <c r="L159" s="107" t="str">
        <f aca="false">IF($A159="","",SUMIFS('DAILY ENTRY'!$F$7:$F$1203,'DAILY ENTRY'!$A$7:$A$1203,$A159,'DAILY ENTRY'!$B$7:$B$1203,$B159,'DAILY ENTRY'!$D$7:$D$1203,"Account created / profile completed"))</f>
        <v/>
      </c>
      <c r="M159" s="108" t="str">
        <f aca="false">IF($A159="","",IFERROR(INDEX('DAILY ENTRY'!$E$7:$E$1203,MATCH(1,INDEX(('DAILY ENTRY'!$A$7:$A$1203=$A159)*('DAILY ENTRY'!$B$7:$B$1203=$B159)*('DAILY ENTRY'!$I$7:$I$1203="Meeting booked"),0),0)),IFERROR(INDEX('DAILY ENTRY'!$E$7:$E$1203,MATCH(1,INDEX(('DAILY ENTRY'!$A$7:$A$1203=$A159)*('DAILY ENTRY'!$B$7:$B$1203=$B159)*('DAILY ENTRY'!$I$7:$I$1203="Positive reply"),0),0)),"")))</f>
        <v/>
      </c>
      <c r="N159" s="108" t="str">
        <f aca="false">IF($A159="","",IFERROR(INDEX('DAILY ENTRY'!$J$7:$J$1203,MATCH(1,INDEX(('DAILY ENTRY'!$A$7:$A$1203=$A159)*('DAILY ENTRY'!$B$7:$B$1203=$B159)*('DAILY ENTRY'!$I$7:$I$1203="Blocked"),0),0)),""))</f>
        <v/>
      </c>
      <c r="O159" s="65" t="str">
        <f aca="false">IF($A159="","",(D159&gt;='START HERE'!$B$25)+(E159&gt;='START HERE'!$B$26)+(F159&gt;='START HERE'!$B$27)+(G159&gt;='START HERE'!$B$28)+(H159&gt;='START HERE'!$B$29)+(I159&gt;='START HERE'!$B$30)+(J159&gt;='START HERE'!$B$31)+(K159&gt;='START HERE'!$B$32))</f>
        <v/>
      </c>
      <c r="P159" s="46" t="str">
        <f aca="false">IF($A159="","",IF(O159&gt;=7,"Full day",IF(O159&gt;=5,"Most targets met",IF(O159&gt;=3,"Half day","Below plan - explain in the blocker column"))))</f>
        <v/>
      </c>
    </row>
    <row r="160" customFormat="false" ht="24" hidden="false" customHeight="true" outlineLevel="0" collapsed="false">
      <c r="A160" s="36"/>
      <c r="B160" s="37"/>
      <c r="C160" s="107" t="str">
        <f aca="false">IF($A160="","",ROUND(SUMIFS('DAILY ENTRY'!$G$7:$G$1203,'DAILY ENTRY'!$A$7:$A$1203,$A160,'DAILY ENTRY'!$B$7:$B$1203,$B160)/60,1))</f>
        <v/>
      </c>
      <c r="D160" s="107" t="str">
        <f aca="false">IF($A160="","",SUMIFS('DAILY ENTRY'!$F$7:$F$1203,'DAILY ENTRY'!$A$7:$A$1203,$A160,'DAILY ENTRY'!$B$7:$B$1203,$B160,'DAILY ENTRY'!$D$7:$D$1203,"Lead researched (Sales Navigator)"))</f>
        <v/>
      </c>
      <c r="E160" s="107" t="str">
        <f aca="false">IF($A160="","",SUMIFS('DAILY ENTRY'!$F$7:$F$1203,'DAILY ENTRY'!$A$7:$A$1203,$A160,'DAILY ENTRY'!$B$7:$B$1203,$B160,'DAILY ENTRY'!$D$7:$D$1203,"Connection request sent"))</f>
        <v/>
      </c>
      <c r="F160" s="107" t="str">
        <f aca="false">IF($A160="","",SUMIFS('DAILY ENTRY'!$F$7:$F$1203,'DAILY ENTRY'!$A$7:$A$1203,$A160,'DAILY ENTRY'!$B$7:$B$1203,$B160,'DAILY ENTRY'!$D$7:$D$1203,"First message sent"))</f>
        <v/>
      </c>
      <c r="G160" s="107" t="str">
        <f aca="false">IF($A160="","",SUMIFS('DAILY ENTRY'!$F$7:$F$1203,'DAILY ENTRY'!$A$7:$A$1203,$A160,'DAILY ENTRY'!$B$7:$B$1203,$B160,'DAILY ENTRY'!$D$7:$D$1203,"Follow-up message sent"))</f>
        <v/>
      </c>
      <c r="H160" s="107" t="str">
        <f aca="false">IF($A160="","",SUMIFS('DAILY ENTRY'!$F$7:$F$1203,'DAILY ENTRY'!$A$7:$A$1203,$A160,'DAILY ENTRY'!$B$7:$B$1203,$B160,'DAILY ENTRY'!$D$7:$D$1203,"Post / content published"))</f>
        <v/>
      </c>
      <c r="I160" s="107" t="str">
        <f aca="false">IF($A160="","",SUMIFS('DAILY ENTRY'!$F$7:$F$1203,'DAILY ENTRY'!$A$7:$A$1203,$A160,'DAILY ENTRY'!$B$7:$B$1203,$B160,'DAILY ENTRY'!$D$7:$D$1203,"Community answer or comment"))</f>
        <v/>
      </c>
      <c r="J160" s="107" t="str">
        <f aca="false">IF($A160="","",SUMIFS('DAILY ENTRY'!$F$7:$F$1203,'DAILY ENTRY'!$A$7:$A$1203,$A160,'DAILY ENTRY'!$B$7:$B$1203,$B160,'DAILY ENTRY'!$D$7:$D$1203,"Partnership / PR contact"))</f>
        <v/>
      </c>
      <c r="K160" s="107" t="str">
        <f aca="false">IF($A160="","",SUMIFS('DAILY ENTRY'!$F$7:$F$1203,'DAILY ENTRY'!$A$7:$A$1203,$A160,'DAILY ENTRY'!$B$7:$B$1203,$B160,'DAILY ENTRY'!$D$7:$D$1203,"Engagement (commented on someone else)"))</f>
        <v/>
      </c>
      <c r="L160" s="107" t="str">
        <f aca="false">IF($A160="","",SUMIFS('DAILY ENTRY'!$F$7:$F$1203,'DAILY ENTRY'!$A$7:$A$1203,$A160,'DAILY ENTRY'!$B$7:$B$1203,$B160,'DAILY ENTRY'!$D$7:$D$1203,"Account created / profile completed"))</f>
        <v/>
      </c>
      <c r="M160" s="108" t="str">
        <f aca="false">IF($A160="","",IFERROR(INDEX('DAILY ENTRY'!$E$7:$E$1203,MATCH(1,INDEX(('DAILY ENTRY'!$A$7:$A$1203=$A160)*('DAILY ENTRY'!$B$7:$B$1203=$B160)*('DAILY ENTRY'!$I$7:$I$1203="Meeting booked"),0),0)),IFERROR(INDEX('DAILY ENTRY'!$E$7:$E$1203,MATCH(1,INDEX(('DAILY ENTRY'!$A$7:$A$1203=$A160)*('DAILY ENTRY'!$B$7:$B$1203=$B160)*('DAILY ENTRY'!$I$7:$I$1203="Positive reply"),0),0)),"")))</f>
        <v/>
      </c>
      <c r="N160" s="108" t="str">
        <f aca="false">IF($A160="","",IFERROR(INDEX('DAILY ENTRY'!$J$7:$J$1203,MATCH(1,INDEX(('DAILY ENTRY'!$A$7:$A$1203=$A160)*('DAILY ENTRY'!$B$7:$B$1203=$B160)*('DAILY ENTRY'!$I$7:$I$1203="Blocked"),0),0)),""))</f>
        <v/>
      </c>
      <c r="O160" s="65" t="str">
        <f aca="false">IF($A160="","",(D160&gt;='START HERE'!$B$25)+(E160&gt;='START HERE'!$B$26)+(F160&gt;='START HERE'!$B$27)+(G160&gt;='START HERE'!$B$28)+(H160&gt;='START HERE'!$B$29)+(I160&gt;='START HERE'!$B$30)+(J160&gt;='START HERE'!$B$31)+(K160&gt;='START HERE'!$B$32))</f>
        <v/>
      </c>
      <c r="P160" s="46" t="str">
        <f aca="false">IF($A160="","",IF(O160&gt;=7,"Full day",IF(O160&gt;=5,"Most targets met",IF(O160&gt;=3,"Half day","Below plan - explain in the blocker column"))))</f>
        <v/>
      </c>
    </row>
    <row r="161" customFormat="false" ht="24" hidden="false" customHeight="true" outlineLevel="0" collapsed="false">
      <c r="A161" s="36"/>
      <c r="B161" s="37"/>
      <c r="C161" s="107" t="str">
        <f aca="false">IF($A161="","",ROUND(SUMIFS('DAILY ENTRY'!$G$7:$G$1203,'DAILY ENTRY'!$A$7:$A$1203,$A161,'DAILY ENTRY'!$B$7:$B$1203,$B161)/60,1))</f>
        <v/>
      </c>
      <c r="D161" s="107" t="str">
        <f aca="false">IF($A161="","",SUMIFS('DAILY ENTRY'!$F$7:$F$1203,'DAILY ENTRY'!$A$7:$A$1203,$A161,'DAILY ENTRY'!$B$7:$B$1203,$B161,'DAILY ENTRY'!$D$7:$D$1203,"Lead researched (Sales Navigator)"))</f>
        <v/>
      </c>
      <c r="E161" s="107" t="str">
        <f aca="false">IF($A161="","",SUMIFS('DAILY ENTRY'!$F$7:$F$1203,'DAILY ENTRY'!$A$7:$A$1203,$A161,'DAILY ENTRY'!$B$7:$B$1203,$B161,'DAILY ENTRY'!$D$7:$D$1203,"Connection request sent"))</f>
        <v/>
      </c>
      <c r="F161" s="107" t="str">
        <f aca="false">IF($A161="","",SUMIFS('DAILY ENTRY'!$F$7:$F$1203,'DAILY ENTRY'!$A$7:$A$1203,$A161,'DAILY ENTRY'!$B$7:$B$1203,$B161,'DAILY ENTRY'!$D$7:$D$1203,"First message sent"))</f>
        <v/>
      </c>
      <c r="G161" s="107" t="str">
        <f aca="false">IF($A161="","",SUMIFS('DAILY ENTRY'!$F$7:$F$1203,'DAILY ENTRY'!$A$7:$A$1203,$A161,'DAILY ENTRY'!$B$7:$B$1203,$B161,'DAILY ENTRY'!$D$7:$D$1203,"Follow-up message sent"))</f>
        <v/>
      </c>
      <c r="H161" s="107" t="str">
        <f aca="false">IF($A161="","",SUMIFS('DAILY ENTRY'!$F$7:$F$1203,'DAILY ENTRY'!$A$7:$A$1203,$A161,'DAILY ENTRY'!$B$7:$B$1203,$B161,'DAILY ENTRY'!$D$7:$D$1203,"Post / content published"))</f>
        <v/>
      </c>
      <c r="I161" s="107" t="str">
        <f aca="false">IF($A161="","",SUMIFS('DAILY ENTRY'!$F$7:$F$1203,'DAILY ENTRY'!$A$7:$A$1203,$A161,'DAILY ENTRY'!$B$7:$B$1203,$B161,'DAILY ENTRY'!$D$7:$D$1203,"Community answer or comment"))</f>
        <v/>
      </c>
      <c r="J161" s="107" t="str">
        <f aca="false">IF($A161="","",SUMIFS('DAILY ENTRY'!$F$7:$F$1203,'DAILY ENTRY'!$A$7:$A$1203,$A161,'DAILY ENTRY'!$B$7:$B$1203,$B161,'DAILY ENTRY'!$D$7:$D$1203,"Partnership / PR contact"))</f>
        <v/>
      </c>
      <c r="K161" s="107" t="str">
        <f aca="false">IF($A161="","",SUMIFS('DAILY ENTRY'!$F$7:$F$1203,'DAILY ENTRY'!$A$7:$A$1203,$A161,'DAILY ENTRY'!$B$7:$B$1203,$B161,'DAILY ENTRY'!$D$7:$D$1203,"Engagement (commented on someone else)"))</f>
        <v/>
      </c>
      <c r="L161" s="107" t="str">
        <f aca="false">IF($A161="","",SUMIFS('DAILY ENTRY'!$F$7:$F$1203,'DAILY ENTRY'!$A$7:$A$1203,$A161,'DAILY ENTRY'!$B$7:$B$1203,$B161,'DAILY ENTRY'!$D$7:$D$1203,"Account created / profile completed"))</f>
        <v/>
      </c>
      <c r="M161" s="108" t="str">
        <f aca="false">IF($A161="","",IFERROR(INDEX('DAILY ENTRY'!$E$7:$E$1203,MATCH(1,INDEX(('DAILY ENTRY'!$A$7:$A$1203=$A161)*('DAILY ENTRY'!$B$7:$B$1203=$B161)*('DAILY ENTRY'!$I$7:$I$1203="Meeting booked"),0),0)),IFERROR(INDEX('DAILY ENTRY'!$E$7:$E$1203,MATCH(1,INDEX(('DAILY ENTRY'!$A$7:$A$1203=$A161)*('DAILY ENTRY'!$B$7:$B$1203=$B161)*('DAILY ENTRY'!$I$7:$I$1203="Positive reply"),0),0)),"")))</f>
        <v/>
      </c>
      <c r="N161" s="108" t="str">
        <f aca="false">IF($A161="","",IFERROR(INDEX('DAILY ENTRY'!$J$7:$J$1203,MATCH(1,INDEX(('DAILY ENTRY'!$A$7:$A$1203=$A161)*('DAILY ENTRY'!$B$7:$B$1203=$B161)*('DAILY ENTRY'!$I$7:$I$1203="Blocked"),0),0)),""))</f>
        <v/>
      </c>
      <c r="O161" s="65" t="str">
        <f aca="false">IF($A161="","",(D161&gt;='START HERE'!$B$25)+(E161&gt;='START HERE'!$B$26)+(F161&gt;='START HERE'!$B$27)+(G161&gt;='START HERE'!$B$28)+(H161&gt;='START HERE'!$B$29)+(I161&gt;='START HERE'!$B$30)+(J161&gt;='START HERE'!$B$31)+(K161&gt;='START HERE'!$B$32))</f>
        <v/>
      </c>
      <c r="P161" s="46" t="str">
        <f aca="false">IF($A161="","",IF(O161&gt;=7,"Full day",IF(O161&gt;=5,"Most targets met",IF(O161&gt;=3,"Half day","Below plan - explain in the blocker column"))))</f>
        <v/>
      </c>
    </row>
    <row r="162" customFormat="false" ht="24" hidden="false" customHeight="true" outlineLevel="0" collapsed="false">
      <c r="A162" s="36"/>
      <c r="B162" s="37"/>
      <c r="C162" s="107" t="str">
        <f aca="false">IF($A162="","",ROUND(SUMIFS('DAILY ENTRY'!$G$7:$G$1203,'DAILY ENTRY'!$A$7:$A$1203,$A162,'DAILY ENTRY'!$B$7:$B$1203,$B162)/60,1))</f>
        <v/>
      </c>
      <c r="D162" s="107" t="str">
        <f aca="false">IF($A162="","",SUMIFS('DAILY ENTRY'!$F$7:$F$1203,'DAILY ENTRY'!$A$7:$A$1203,$A162,'DAILY ENTRY'!$B$7:$B$1203,$B162,'DAILY ENTRY'!$D$7:$D$1203,"Lead researched (Sales Navigator)"))</f>
        <v/>
      </c>
      <c r="E162" s="107" t="str">
        <f aca="false">IF($A162="","",SUMIFS('DAILY ENTRY'!$F$7:$F$1203,'DAILY ENTRY'!$A$7:$A$1203,$A162,'DAILY ENTRY'!$B$7:$B$1203,$B162,'DAILY ENTRY'!$D$7:$D$1203,"Connection request sent"))</f>
        <v/>
      </c>
      <c r="F162" s="107" t="str">
        <f aca="false">IF($A162="","",SUMIFS('DAILY ENTRY'!$F$7:$F$1203,'DAILY ENTRY'!$A$7:$A$1203,$A162,'DAILY ENTRY'!$B$7:$B$1203,$B162,'DAILY ENTRY'!$D$7:$D$1203,"First message sent"))</f>
        <v/>
      </c>
      <c r="G162" s="107" t="str">
        <f aca="false">IF($A162="","",SUMIFS('DAILY ENTRY'!$F$7:$F$1203,'DAILY ENTRY'!$A$7:$A$1203,$A162,'DAILY ENTRY'!$B$7:$B$1203,$B162,'DAILY ENTRY'!$D$7:$D$1203,"Follow-up message sent"))</f>
        <v/>
      </c>
      <c r="H162" s="107" t="str">
        <f aca="false">IF($A162="","",SUMIFS('DAILY ENTRY'!$F$7:$F$1203,'DAILY ENTRY'!$A$7:$A$1203,$A162,'DAILY ENTRY'!$B$7:$B$1203,$B162,'DAILY ENTRY'!$D$7:$D$1203,"Post / content published"))</f>
        <v/>
      </c>
      <c r="I162" s="107" t="str">
        <f aca="false">IF($A162="","",SUMIFS('DAILY ENTRY'!$F$7:$F$1203,'DAILY ENTRY'!$A$7:$A$1203,$A162,'DAILY ENTRY'!$B$7:$B$1203,$B162,'DAILY ENTRY'!$D$7:$D$1203,"Community answer or comment"))</f>
        <v/>
      </c>
      <c r="J162" s="107" t="str">
        <f aca="false">IF($A162="","",SUMIFS('DAILY ENTRY'!$F$7:$F$1203,'DAILY ENTRY'!$A$7:$A$1203,$A162,'DAILY ENTRY'!$B$7:$B$1203,$B162,'DAILY ENTRY'!$D$7:$D$1203,"Partnership / PR contact"))</f>
        <v/>
      </c>
      <c r="K162" s="107" t="str">
        <f aca="false">IF($A162="","",SUMIFS('DAILY ENTRY'!$F$7:$F$1203,'DAILY ENTRY'!$A$7:$A$1203,$A162,'DAILY ENTRY'!$B$7:$B$1203,$B162,'DAILY ENTRY'!$D$7:$D$1203,"Engagement (commented on someone else)"))</f>
        <v/>
      </c>
      <c r="L162" s="107" t="str">
        <f aca="false">IF($A162="","",SUMIFS('DAILY ENTRY'!$F$7:$F$1203,'DAILY ENTRY'!$A$7:$A$1203,$A162,'DAILY ENTRY'!$B$7:$B$1203,$B162,'DAILY ENTRY'!$D$7:$D$1203,"Account created / profile completed"))</f>
        <v/>
      </c>
      <c r="M162" s="108" t="str">
        <f aca="false">IF($A162="","",IFERROR(INDEX('DAILY ENTRY'!$E$7:$E$1203,MATCH(1,INDEX(('DAILY ENTRY'!$A$7:$A$1203=$A162)*('DAILY ENTRY'!$B$7:$B$1203=$B162)*('DAILY ENTRY'!$I$7:$I$1203="Meeting booked"),0),0)),IFERROR(INDEX('DAILY ENTRY'!$E$7:$E$1203,MATCH(1,INDEX(('DAILY ENTRY'!$A$7:$A$1203=$A162)*('DAILY ENTRY'!$B$7:$B$1203=$B162)*('DAILY ENTRY'!$I$7:$I$1203="Positive reply"),0),0)),"")))</f>
        <v/>
      </c>
      <c r="N162" s="108" t="str">
        <f aca="false">IF($A162="","",IFERROR(INDEX('DAILY ENTRY'!$J$7:$J$1203,MATCH(1,INDEX(('DAILY ENTRY'!$A$7:$A$1203=$A162)*('DAILY ENTRY'!$B$7:$B$1203=$B162)*('DAILY ENTRY'!$I$7:$I$1203="Blocked"),0),0)),""))</f>
        <v/>
      </c>
      <c r="O162" s="65" t="str">
        <f aca="false">IF($A162="","",(D162&gt;='START HERE'!$B$25)+(E162&gt;='START HERE'!$B$26)+(F162&gt;='START HERE'!$B$27)+(G162&gt;='START HERE'!$B$28)+(H162&gt;='START HERE'!$B$29)+(I162&gt;='START HERE'!$B$30)+(J162&gt;='START HERE'!$B$31)+(K162&gt;='START HERE'!$B$32))</f>
        <v/>
      </c>
      <c r="P162" s="46" t="str">
        <f aca="false">IF($A162="","",IF(O162&gt;=7,"Full day",IF(O162&gt;=5,"Most targets met",IF(O162&gt;=3,"Half day","Below plan - explain in the blocker column"))))</f>
        <v/>
      </c>
    </row>
    <row r="163" customFormat="false" ht="24" hidden="false" customHeight="true" outlineLevel="0" collapsed="false">
      <c r="A163" s="36"/>
      <c r="B163" s="37"/>
      <c r="C163" s="107" t="str">
        <f aca="false">IF($A163="","",ROUND(SUMIFS('DAILY ENTRY'!$G$7:$G$1203,'DAILY ENTRY'!$A$7:$A$1203,$A163,'DAILY ENTRY'!$B$7:$B$1203,$B163)/60,1))</f>
        <v/>
      </c>
      <c r="D163" s="107" t="str">
        <f aca="false">IF($A163="","",SUMIFS('DAILY ENTRY'!$F$7:$F$1203,'DAILY ENTRY'!$A$7:$A$1203,$A163,'DAILY ENTRY'!$B$7:$B$1203,$B163,'DAILY ENTRY'!$D$7:$D$1203,"Lead researched (Sales Navigator)"))</f>
        <v/>
      </c>
      <c r="E163" s="107" t="str">
        <f aca="false">IF($A163="","",SUMIFS('DAILY ENTRY'!$F$7:$F$1203,'DAILY ENTRY'!$A$7:$A$1203,$A163,'DAILY ENTRY'!$B$7:$B$1203,$B163,'DAILY ENTRY'!$D$7:$D$1203,"Connection request sent"))</f>
        <v/>
      </c>
      <c r="F163" s="107" t="str">
        <f aca="false">IF($A163="","",SUMIFS('DAILY ENTRY'!$F$7:$F$1203,'DAILY ENTRY'!$A$7:$A$1203,$A163,'DAILY ENTRY'!$B$7:$B$1203,$B163,'DAILY ENTRY'!$D$7:$D$1203,"First message sent"))</f>
        <v/>
      </c>
      <c r="G163" s="107" t="str">
        <f aca="false">IF($A163="","",SUMIFS('DAILY ENTRY'!$F$7:$F$1203,'DAILY ENTRY'!$A$7:$A$1203,$A163,'DAILY ENTRY'!$B$7:$B$1203,$B163,'DAILY ENTRY'!$D$7:$D$1203,"Follow-up message sent"))</f>
        <v/>
      </c>
      <c r="H163" s="107" t="str">
        <f aca="false">IF($A163="","",SUMIFS('DAILY ENTRY'!$F$7:$F$1203,'DAILY ENTRY'!$A$7:$A$1203,$A163,'DAILY ENTRY'!$B$7:$B$1203,$B163,'DAILY ENTRY'!$D$7:$D$1203,"Post / content published"))</f>
        <v/>
      </c>
      <c r="I163" s="107" t="str">
        <f aca="false">IF($A163="","",SUMIFS('DAILY ENTRY'!$F$7:$F$1203,'DAILY ENTRY'!$A$7:$A$1203,$A163,'DAILY ENTRY'!$B$7:$B$1203,$B163,'DAILY ENTRY'!$D$7:$D$1203,"Community answer or comment"))</f>
        <v/>
      </c>
      <c r="J163" s="107" t="str">
        <f aca="false">IF($A163="","",SUMIFS('DAILY ENTRY'!$F$7:$F$1203,'DAILY ENTRY'!$A$7:$A$1203,$A163,'DAILY ENTRY'!$B$7:$B$1203,$B163,'DAILY ENTRY'!$D$7:$D$1203,"Partnership / PR contact"))</f>
        <v/>
      </c>
      <c r="K163" s="107" t="str">
        <f aca="false">IF($A163="","",SUMIFS('DAILY ENTRY'!$F$7:$F$1203,'DAILY ENTRY'!$A$7:$A$1203,$A163,'DAILY ENTRY'!$B$7:$B$1203,$B163,'DAILY ENTRY'!$D$7:$D$1203,"Engagement (commented on someone else)"))</f>
        <v/>
      </c>
      <c r="L163" s="107" t="str">
        <f aca="false">IF($A163="","",SUMIFS('DAILY ENTRY'!$F$7:$F$1203,'DAILY ENTRY'!$A$7:$A$1203,$A163,'DAILY ENTRY'!$B$7:$B$1203,$B163,'DAILY ENTRY'!$D$7:$D$1203,"Account created / profile completed"))</f>
        <v/>
      </c>
      <c r="M163" s="108" t="str">
        <f aca="false">IF($A163="","",IFERROR(INDEX('DAILY ENTRY'!$E$7:$E$1203,MATCH(1,INDEX(('DAILY ENTRY'!$A$7:$A$1203=$A163)*('DAILY ENTRY'!$B$7:$B$1203=$B163)*('DAILY ENTRY'!$I$7:$I$1203="Meeting booked"),0),0)),IFERROR(INDEX('DAILY ENTRY'!$E$7:$E$1203,MATCH(1,INDEX(('DAILY ENTRY'!$A$7:$A$1203=$A163)*('DAILY ENTRY'!$B$7:$B$1203=$B163)*('DAILY ENTRY'!$I$7:$I$1203="Positive reply"),0),0)),"")))</f>
        <v/>
      </c>
      <c r="N163" s="108" t="str">
        <f aca="false">IF($A163="","",IFERROR(INDEX('DAILY ENTRY'!$J$7:$J$1203,MATCH(1,INDEX(('DAILY ENTRY'!$A$7:$A$1203=$A163)*('DAILY ENTRY'!$B$7:$B$1203=$B163)*('DAILY ENTRY'!$I$7:$I$1203="Blocked"),0),0)),""))</f>
        <v/>
      </c>
      <c r="O163" s="65" t="str">
        <f aca="false">IF($A163="","",(D163&gt;='START HERE'!$B$25)+(E163&gt;='START HERE'!$B$26)+(F163&gt;='START HERE'!$B$27)+(G163&gt;='START HERE'!$B$28)+(H163&gt;='START HERE'!$B$29)+(I163&gt;='START HERE'!$B$30)+(J163&gt;='START HERE'!$B$31)+(K163&gt;='START HERE'!$B$32))</f>
        <v/>
      </c>
      <c r="P163" s="46" t="str">
        <f aca="false">IF($A163="","",IF(O163&gt;=7,"Full day",IF(O163&gt;=5,"Most targets met",IF(O163&gt;=3,"Half day","Below plan - explain in the blocker column"))))</f>
        <v/>
      </c>
    </row>
    <row r="164" customFormat="false" ht="24" hidden="false" customHeight="true" outlineLevel="0" collapsed="false">
      <c r="A164" s="36"/>
      <c r="B164" s="37"/>
      <c r="C164" s="107" t="str">
        <f aca="false">IF($A164="","",ROUND(SUMIFS('DAILY ENTRY'!$G$7:$G$1203,'DAILY ENTRY'!$A$7:$A$1203,$A164,'DAILY ENTRY'!$B$7:$B$1203,$B164)/60,1))</f>
        <v/>
      </c>
      <c r="D164" s="107" t="str">
        <f aca="false">IF($A164="","",SUMIFS('DAILY ENTRY'!$F$7:$F$1203,'DAILY ENTRY'!$A$7:$A$1203,$A164,'DAILY ENTRY'!$B$7:$B$1203,$B164,'DAILY ENTRY'!$D$7:$D$1203,"Lead researched (Sales Navigator)"))</f>
        <v/>
      </c>
      <c r="E164" s="107" t="str">
        <f aca="false">IF($A164="","",SUMIFS('DAILY ENTRY'!$F$7:$F$1203,'DAILY ENTRY'!$A$7:$A$1203,$A164,'DAILY ENTRY'!$B$7:$B$1203,$B164,'DAILY ENTRY'!$D$7:$D$1203,"Connection request sent"))</f>
        <v/>
      </c>
      <c r="F164" s="107" t="str">
        <f aca="false">IF($A164="","",SUMIFS('DAILY ENTRY'!$F$7:$F$1203,'DAILY ENTRY'!$A$7:$A$1203,$A164,'DAILY ENTRY'!$B$7:$B$1203,$B164,'DAILY ENTRY'!$D$7:$D$1203,"First message sent"))</f>
        <v/>
      </c>
      <c r="G164" s="107" t="str">
        <f aca="false">IF($A164="","",SUMIFS('DAILY ENTRY'!$F$7:$F$1203,'DAILY ENTRY'!$A$7:$A$1203,$A164,'DAILY ENTRY'!$B$7:$B$1203,$B164,'DAILY ENTRY'!$D$7:$D$1203,"Follow-up message sent"))</f>
        <v/>
      </c>
      <c r="H164" s="107" t="str">
        <f aca="false">IF($A164="","",SUMIFS('DAILY ENTRY'!$F$7:$F$1203,'DAILY ENTRY'!$A$7:$A$1203,$A164,'DAILY ENTRY'!$B$7:$B$1203,$B164,'DAILY ENTRY'!$D$7:$D$1203,"Post / content published"))</f>
        <v/>
      </c>
      <c r="I164" s="107" t="str">
        <f aca="false">IF($A164="","",SUMIFS('DAILY ENTRY'!$F$7:$F$1203,'DAILY ENTRY'!$A$7:$A$1203,$A164,'DAILY ENTRY'!$B$7:$B$1203,$B164,'DAILY ENTRY'!$D$7:$D$1203,"Community answer or comment"))</f>
        <v/>
      </c>
      <c r="J164" s="107" t="str">
        <f aca="false">IF($A164="","",SUMIFS('DAILY ENTRY'!$F$7:$F$1203,'DAILY ENTRY'!$A$7:$A$1203,$A164,'DAILY ENTRY'!$B$7:$B$1203,$B164,'DAILY ENTRY'!$D$7:$D$1203,"Partnership / PR contact"))</f>
        <v/>
      </c>
      <c r="K164" s="107" t="str">
        <f aca="false">IF($A164="","",SUMIFS('DAILY ENTRY'!$F$7:$F$1203,'DAILY ENTRY'!$A$7:$A$1203,$A164,'DAILY ENTRY'!$B$7:$B$1203,$B164,'DAILY ENTRY'!$D$7:$D$1203,"Engagement (commented on someone else)"))</f>
        <v/>
      </c>
      <c r="L164" s="107" t="str">
        <f aca="false">IF($A164="","",SUMIFS('DAILY ENTRY'!$F$7:$F$1203,'DAILY ENTRY'!$A$7:$A$1203,$A164,'DAILY ENTRY'!$B$7:$B$1203,$B164,'DAILY ENTRY'!$D$7:$D$1203,"Account created / profile completed"))</f>
        <v/>
      </c>
      <c r="M164" s="108" t="str">
        <f aca="false">IF($A164="","",IFERROR(INDEX('DAILY ENTRY'!$E$7:$E$1203,MATCH(1,INDEX(('DAILY ENTRY'!$A$7:$A$1203=$A164)*('DAILY ENTRY'!$B$7:$B$1203=$B164)*('DAILY ENTRY'!$I$7:$I$1203="Meeting booked"),0),0)),IFERROR(INDEX('DAILY ENTRY'!$E$7:$E$1203,MATCH(1,INDEX(('DAILY ENTRY'!$A$7:$A$1203=$A164)*('DAILY ENTRY'!$B$7:$B$1203=$B164)*('DAILY ENTRY'!$I$7:$I$1203="Positive reply"),0),0)),"")))</f>
        <v/>
      </c>
      <c r="N164" s="108" t="str">
        <f aca="false">IF($A164="","",IFERROR(INDEX('DAILY ENTRY'!$J$7:$J$1203,MATCH(1,INDEX(('DAILY ENTRY'!$A$7:$A$1203=$A164)*('DAILY ENTRY'!$B$7:$B$1203=$B164)*('DAILY ENTRY'!$I$7:$I$1203="Blocked"),0),0)),""))</f>
        <v/>
      </c>
      <c r="O164" s="65" t="str">
        <f aca="false">IF($A164="","",(D164&gt;='START HERE'!$B$25)+(E164&gt;='START HERE'!$B$26)+(F164&gt;='START HERE'!$B$27)+(G164&gt;='START HERE'!$B$28)+(H164&gt;='START HERE'!$B$29)+(I164&gt;='START HERE'!$B$30)+(J164&gt;='START HERE'!$B$31)+(K164&gt;='START HERE'!$B$32))</f>
        <v/>
      </c>
      <c r="P164" s="46" t="str">
        <f aca="false">IF($A164="","",IF(O164&gt;=7,"Full day",IF(O164&gt;=5,"Most targets met",IF(O164&gt;=3,"Half day","Below plan - explain in the blocker column"))))</f>
        <v/>
      </c>
    </row>
    <row r="165" customFormat="false" ht="24" hidden="false" customHeight="true" outlineLevel="0" collapsed="false">
      <c r="A165" s="36"/>
      <c r="B165" s="37"/>
      <c r="C165" s="107" t="str">
        <f aca="false">IF($A165="","",ROUND(SUMIFS('DAILY ENTRY'!$G$7:$G$1203,'DAILY ENTRY'!$A$7:$A$1203,$A165,'DAILY ENTRY'!$B$7:$B$1203,$B165)/60,1))</f>
        <v/>
      </c>
      <c r="D165" s="107" t="str">
        <f aca="false">IF($A165="","",SUMIFS('DAILY ENTRY'!$F$7:$F$1203,'DAILY ENTRY'!$A$7:$A$1203,$A165,'DAILY ENTRY'!$B$7:$B$1203,$B165,'DAILY ENTRY'!$D$7:$D$1203,"Lead researched (Sales Navigator)"))</f>
        <v/>
      </c>
      <c r="E165" s="107" t="str">
        <f aca="false">IF($A165="","",SUMIFS('DAILY ENTRY'!$F$7:$F$1203,'DAILY ENTRY'!$A$7:$A$1203,$A165,'DAILY ENTRY'!$B$7:$B$1203,$B165,'DAILY ENTRY'!$D$7:$D$1203,"Connection request sent"))</f>
        <v/>
      </c>
      <c r="F165" s="107" t="str">
        <f aca="false">IF($A165="","",SUMIFS('DAILY ENTRY'!$F$7:$F$1203,'DAILY ENTRY'!$A$7:$A$1203,$A165,'DAILY ENTRY'!$B$7:$B$1203,$B165,'DAILY ENTRY'!$D$7:$D$1203,"First message sent"))</f>
        <v/>
      </c>
      <c r="G165" s="107" t="str">
        <f aca="false">IF($A165="","",SUMIFS('DAILY ENTRY'!$F$7:$F$1203,'DAILY ENTRY'!$A$7:$A$1203,$A165,'DAILY ENTRY'!$B$7:$B$1203,$B165,'DAILY ENTRY'!$D$7:$D$1203,"Follow-up message sent"))</f>
        <v/>
      </c>
      <c r="H165" s="107" t="str">
        <f aca="false">IF($A165="","",SUMIFS('DAILY ENTRY'!$F$7:$F$1203,'DAILY ENTRY'!$A$7:$A$1203,$A165,'DAILY ENTRY'!$B$7:$B$1203,$B165,'DAILY ENTRY'!$D$7:$D$1203,"Post / content published"))</f>
        <v/>
      </c>
      <c r="I165" s="107" t="str">
        <f aca="false">IF($A165="","",SUMIFS('DAILY ENTRY'!$F$7:$F$1203,'DAILY ENTRY'!$A$7:$A$1203,$A165,'DAILY ENTRY'!$B$7:$B$1203,$B165,'DAILY ENTRY'!$D$7:$D$1203,"Community answer or comment"))</f>
        <v/>
      </c>
      <c r="J165" s="107" t="str">
        <f aca="false">IF($A165="","",SUMIFS('DAILY ENTRY'!$F$7:$F$1203,'DAILY ENTRY'!$A$7:$A$1203,$A165,'DAILY ENTRY'!$B$7:$B$1203,$B165,'DAILY ENTRY'!$D$7:$D$1203,"Partnership / PR contact"))</f>
        <v/>
      </c>
      <c r="K165" s="107" t="str">
        <f aca="false">IF($A165="","",SUMIFS('DAILY ENTRY'!$F$7:$F$1203,'DAILY ENTRY'!$A$7:$A$1203,$A165,'DAILY ENTRY'!$B$7:$B$1203,$B165,'DAILY ENTRY'!$D$7:$D$1203,"Engagement (commented on someone else)"))</f>
        <v/>
      </c>
      <c r="L165" s="107" t="str">
        <f aca="false">IF($A165="","",SUMIFS('DAILY ENTRY'!$F$7:$F$1203,'DAILY ENTRY'!$A$7:$A$1203,$A165,'DAILY ENTRY'!$B$7:$B$1203,$B165,'DAILY ENTRY'!$D$7:$D$1203,"Account created / profile completed"))</f>
        <v/>
      </c>
      <c r="M165" s="108" t="str">
        <f aca="false">IF($A165="","",IFERROR(INDEX('DAILY ENTRY'!$E$7:$E$1203,MATCH(1,INDEX(('DAILY ENTRY'!$A$7:$A$1203=$A165)*('DAILY ENTRY'!$B$7:$B$1203=$B165)*('DAILY ENTRY'!$I$7:$I$1203="Meeting booked"),0),0)),IFERROR(INDEX('DAILY ENTRY'!$E$7:$E$1203,MATCH(1,INDEX(('DAILY ENTRY'!$A$7:$A$1203=$A165)*('DAILY ENTRY'!$B$7:$B$1203=$B165)*('DAILY ENTRY'!$I$7:$I$1203="Positive reply"),0),0)),"")))</f>
        <v/>
      </c>
      <c r="N165" s="108" t="str">
        <f aca="false">IF($A165="","",IFERROR(INDEX('DAILY ENTRY'!$J$7:$J$1203,MATCH(1,INDEX(('DAILY ENTRY'!$A$7:$A$1203=$A165)*('DAILY ENTRY'!$B$7:$B$1203=$B165)*('DAILY ENTRY'!$I$7:$I$1203="Blocked"),0),0)),""))</f>
        <v/>
      </c>
      <c r="O165" s="65" t="str">
        <f aca="false">IF($A165="","",(D165&gt;='START HERE'!$B$25)+(E165&gt;='START HERE'!$B$26)+(F165&gt;='START HERE'!$B$27)+(G165&gt;='START HERE'!$B$28)+(H165&gt;='START HERE'!$B$29)+(I165&gt;='START HERE'!$B$30)+(J165&gt;='START HERE'!$B$31)+(K165&gt;='START HERE'!$B$32))</f>
        <v/>
      </c>
      <c r="P165" s="46" t="str">
        <f aca="false">IF($A165="","",IF(O165&gt;=7,"Full day",IF(O165&gt;=5,"Most targets met",IF(O165&gt;=3,"Half day","Below plan - explain in the blocker column"))))</f>
        <v/>
      </c>
    </row>
    <row r="166" customFormat="false" ht="24" hidden="false" customHeight="true" outlineLevel="0" collapsed="false">
      <c r="A166" s="36"/>
      <c r="B166" s="37"/>
      <c r="C166" s="107" t="str">
        <f aca="false">IF($A166="","",ROUND(SUMIFS('DAILY ENTRY'!$G$7:$G$1203,'DAILY ENTRY'!$A$7:$A$1203,$A166,'DAILY ENTRY'!$B$7:$B$1203,$B166)/60,1))</f>
        <v/>
      </c>
      <c r="D166" s="107" t="str">
        <f aca="false">IF($A166="","",SUMIFS('DAILY ENTRY'!$F$7:$F$1203,'DAILY ENTRY'!$A$7:$A$1203,$A166,'DAILY ENTRY'!$B$7:$B$1203,$B166,'DAILY ENTRY'!$D$7:$D$1203,"Lead researched (Sales Navigator)"))</f>
        <v/>
      </c>
      <c r="E166" s="107" t="str">
        <f aca="false">IF($A166="","",SUMIFS('DAILY ENTRY'!$F$7:$F$1203,'DAILY ENTRY'!$A$7:$A$1203,$A166,'DAILY ENTRY'!$B$7:$B$1203,$B166,'DAILY ENTRY'!$D$7:$D$1203,"Connection request sent"))</f>
        <v/>
      </c>
      <c r="F166" s="107" t="str">
        <f aca="false">IF($A166="","",SUMIFS('DAILY ENTRY'!$F$7:$F$1203,'DAILY ENTRY'!$A$7:$A$1203,$A166,'DAILY ENTRY'!$B$7:$B$1203,$B166,'DAILY ENTRY'!$D$7:$D$1203,"First message sent"))</f>
        <v/>
      </c>
      <c r="G166" s="107" t="str">
        <f aca="false">IF($A166="","",SUMIFS('DAILY ENTRY'!$F$7:$F$1203,'DAILY ENTRY'!$A$7:$A$1203,$A166,'DAILY ENTRY'!$B$7:$B$1203,$B166,'DAILY ENTRY'!$D$7:$D$1203,"Follow-up message sent"))</f>
        <v/>
      </c>
      <c r="H166" s="107" t="str">
        <f aca="false">IF($A166="","",SUMIFS('DAILY ENTRY'!$F$7:$F$1203,'DAILY ENTRY'!$A$7:$A$1203,$A166,'DAILY ENTRY'!$B$7:$B$1203,$B166,'DAILY ENTRY'!$D$7:$D$1203,"Post / content published"))</f>
        <v/>
      </c>
      <c r="I166" s="107" t="str">
        <f aca="false">IF($A166="","",SUMIFS('DAILY ENTRY'!$F$7:$F$1203,'DAILY ENTRY'!$A$7:$A$1203,$A166,'DAILY ENTRY'!$B$7:$B$1203,$B166,'DAILY ENTRY'!$D$7:$D$1203,"Community answer or comment"))</f>
        <v/>
      </c>
      <c r="J166" s="107" t="str">
        <f aca="false">IF($A166="","",SUMIFS('DAILY ENTRY'!$F$7:$F$1203,'DAILY ENTRY'!$A$7:$A$1203,$A166,'DAILY ENTRY'!$B$7:$B$1203,$B166,'DAILY ENTRY'!$D$7:$D$1203,"Partnership / PR contact"))</f>
        <v/>
      </c>
      <c r="K166" s="107" t="str">
        <f aca="false">IF($A166="","",SUMIFS('DAILY ENTRY'!$F$7:$F$1203,'DAILY ENTRY'!$A$7:$A$1203,$A166,'DAILY ENTRY'!$B$7:$B$1203,$B166,'DAILY ENTRY'!$D$7:$D$1203,"Engagement (commented on someone else)"))</f>
        <v/>
      </c>
      <c r="L166" s="107" t="str">
        <f aca="false">IF($A166="","",SUMIFS('DAILY ENTRY'!$F$7:$F$1203,'DAILY ENTRY'!$A$7:$A$1203,$A166,'DAILY ENTRY'!$B$7:$B$1203,$B166,'DAILY ENTRY'!$D$7:$D$1203,"Account created / profile completed"))</f>
        <v/>
      </c>
      <c r="M166" s="108" t="str">
        <f aca="false">IF($A166="","",IFERROR(INDEX('DAILY ENTRY'!$E$7:$E$1203,MATCH(1,INDEX(('DAILY ENTRY'!$A$7:$A$1203=$A166)*('DAILY ENTRY'!$B$7:$B$1203=$B166)*('DAILY ENTRY'!$I$7:$I$1203="Meeting booked"),0),0)),IFERROR(INDEX('DAILY ENTRY'!$E$7:$E$1203,MATCH(1,INDEX(('DAILY ENTRY'!$A$7:$A$1203=$A166)*('DAILY ENTRY'!$B$7:$B$1203=$B166)*('DAILY ENTRY'!$I$7:$I$1203="Positive reply"),0),0)),"")))</f>
        <v/>
      </c>
      <c r="N166" s="108" t="str">
        <f aca="false">IF($A166="","",IFERROR(INDEX('DAILY ENTRY'!$J$7:$J$1203,MATCH(1,INDEX(('DAILY ENTRY'!$A$7:$A$1203=$A166)*('DAILY ENTRY'!$B$7:$B$1203=$B166)*('DAILY ENTRY'!$I$7:$I$1203="Blocked"),0),0)),""))</f>
        <v/>
      </c>
      <c r="O166" s="65" t="str">
        <f aca="false">IF($A166="","",(D166&gt;='START HERE'!$B$25)+(E166&gt;='START HERE'!$B$26)+(F166&gt;='START HERE'!$B$27)+(G166&gt;='START HERE'!$B$28)+(H166&gt;='START HERE'!$B$29)+(I166&gt;='START HERE'!$B$30)+(J166&gt;='START HERE'!$B$31)+(K166&gt;='START HERE'!$B$32))</f>
        <v/>
      </c>
      <c r="P166" s="46" t="str">
        <f aca="false">IF($A166="","",IF(O166&gt;=7,"Full day",IF(O166&gt;=5,"Most targets met",IF(O166&gt;=3,"Half day","Below plan - explain in the blocker column"))))</f>
        <v/>
      </c>
    </row>
    <row r="167" customFormat="false" ht="24" hidden="false" customHeight="true" outlineLevel="0" collapsed="false">
      <c r="A167" s="36"/>
      <c r="B167" s="37"/>
      <c r="C167" s="107" t="str">
        <f aca="false">IF($A167="","",ROUND(SUMIFS('DAILY ENTRY'!$G$7:$G$1203,'DAILY ENTRY'!$A$7:$A$1203,$A167,'DAILY ENTRY'!$B$7:$B$1203,$B167)/60,1))</f>
        <v/>
      </c>
      <c r="D167" s="107" t="str">
        <f aca="false">IF($A167="","",SUMIFS('DAILY ENTRY'!$F$7:$F$1203,'DAILY ENTRY'!$A$7:$A$1203,$A167,'DAILY ENTRY'!$B$7:$B$1203,$B167,'DAILY ENTRY'!$D$7:$D$1203,"Lead researched (Sales Navigator)"))</f>
        <v/>
      </c>
      <c r="E167" s="107" t="str">
        <f aca="false">IF($A167="","",SUMIFS('DAILY ENTRY'!$F$7:$F$1203,'DAILY ENTRY'!$A$7:$A$1203,$A167,'DAILY ENTRY'!$B$7:$B$1203,$B167,'DAILY ENTRY'!$D$7:$D$1203,"Connection request sent"))</f>
        <v/>
      </c>
      <c r="F167" s="107" t="str">
        <f aca="false">IF($A167="","",SUMIFS('DAILY ENTRY'!$F$7:$F$1203,'DAILY ENTRY'!$A$7:$A$1203,$A167,'DAILY ENTRY'!$B$7:$B$1203,$B167,'DAILY ENTRY'!$D$7:$D$1203,"First message sent"))</f>
        <v/>
      </c>
      <c r="G167" s="107" t="str">
        <f aca="false">IF($A167="","",SUMIFS('DAILY ENTRY'!$F$7:$F$1203,'DAILY ENTRY'!$A$7:$A$1203,$A167,'DAILY ENTRY'!$B$7:$B$1203,$B167,'DAILY ENTRY'!$D$7:$D$1203,"Follow-up message sent"))</f>
        <v/>
      </c>
      <c r="H167" s="107" t="str">
        <f aca="false">IF($A167="","",SUMIFS('DAILY ENTRY'!$F$7:$F$1203,'DAILY ENTRY'!$A$7:$A$1203,$A167,'DAILY ENTRY'!$B$7:$B$1203,$B167,'DAILY ENTRY'!$D$7:$D$1203,"Post / content published"))</f>
        <v/>
      </c>
      <c r="I167" s="107" t="str">
        <f aca="false">IF($A167="","",SUMIFS('DAILY ENTRY'!$F$7:$F$1203,'DAILY ENTRY'!$A$7:$A$1203,$A167,'DAILY ENTRY'!$B$7:$B$1203,$B167,'DAILY ENTRY'!$D$7:$D$1203,"Community answer or comment"))</f>
        <v/>
      </c>
      <c r="J167" s="107" t="str">
        <f aca="false">IF($A167="","",SUMIFS('DAILY ENTRY'!$F$7:$F$1203,'DAILY ENTRY'!$A$7:$A$1203,$A167,'DAILY ENTRY'!$B$7:$B$1203,$B167,'DAILY ENTRY'!$D$7:$D$1203,"Partnership / PR contact"))</f>
        <v/>
      </c>
      <c r="K167" s="107" t="str">
        <f aca="false">IF($A167="","",SUMIFS('DAILY ENTRY'!$F$7:$F$1203,'DAILY ENTRY'!$A$7:$A$1203,$A167,'DAILY ENTRY'!$B$7:$B$1203,$B167,'DAILY ENTRY'!$D$7:$D$1203,"Engagement (commented on someone else)"))</f>
        <v/>
      </c>
      <c r="L167" s="107" t="str">
        <f aca="false">IF($A167="","",SUMIFS('DAILY ENTRY'!$F$7:$F$1203,'DAILY ENTRY'!$A$7:$A$1203,$A167,'DAILY ENTRY'!$B$7:$B$1203,$B167,'DAILY ENTRY'!$D$7:$D$1203,"Account created / profile completed"))</f>
        <v/>
      </c>
      <c r="M167" s="108" t="str">
        <f aca="false">IF($A167="","",IFERROR(INDEX('DAILY ENTRY'!$E$7:$E$1203,MATCH(1,INDEX(('DAILY ENTRY'!$A$7:$A$1203=$A167)*('DAILY ENTRY'!$B$7:$B$1203=$B167)*('DAILY ENTRY'!$I$7:$I$1203="Meeting booked"),0),0)),IFERROR(INDEX('DAILY ENTRY'!$E$7:$E$1203,MATCH(1,INDEX(('DAILY ENTRY'!$A$7:$A$1203=$A167)*('DAILY ENTRY'!$B$7:$B$1203=$B167)*('DAILY ENTRY'!$I$7:$I$1203="Positive reply"),0),0)),"")))</f>
        <v/>
      </c>
      <c r="N167" s="108" t="str">
        <f aca="false">IF($A167="","",IFERROR(INDEX('DAILY ENTRY'!$J$7:$J$1203,MATCH(1,INDEX(('DAILY ENTRY'!$A$7:$A$1203=$A167)*('DAILY ENTRY'!$B$7:$B$1203=$B167)*('DAILY ENTRY'!$I$7:$I$1203="Blocked"),0),0)),""))</f>
        <v/>
      </c>
      <c r="O167" s="65" t="str">
        <f aca="false">IF($A167="","",(D167&gt;='START HERE'!$B$25)+(E167&gt;='START HERE'!$B$26)+(F167&gt;='START HERE'!$B$27)+(G167&gt;='START HERE'!$B$28)+(H167&gt;='START HERE'!$B$29)+(I167&gt;='START HERE'!$B$30)+(J167&gt;='START HERE'!$B$31)+(K167&gt;='START HERE'!$B$32))</f>
        <v/>
      </c>
      <c r="P167" s="46" t="str">
        <f aca="false">IF($A167="","",IF(O167&gt;=7,"Full day",IF(O167&gt;=5,"Most targets met",IF(O167&gt;=3,"Half day","Below plan - explain in the blocker column"))))</f>
        <v/>
      </c>
    </row>
    <row r="168" customFormat="false" ht="24" hidden="false" customHeight="true" outlineLevel="0" collapsed="false">
      <c r="A168" s="36"/>
      <c r="B168" s="37"/>
      <c r="C168" s="107" t="str">
        <f aca="false">IF($A168="","",ROUND(SUMIFS('DAILY ENTRY'!$G$7:$G$1203,'DAILY ENTRY'!$A$7:$A$1203,$A168,'DAILY ENTRY'!$B$7:$B$1203,$B168)/60,1))</f>
        <v/>
      </c>
      <c r="D168" s="107" t="str">
        <f aca="false">IF($A168="","",SUMIFS('DAILY ENTRY'!$F$7:$F$1203,'DAILY ENTRY'!$A$7:$A$1203,$A168,'DAILY ENTRY'!$B$7:$B$1203,$B168,'DAILY ENTRY'!$D$7:$D$1203,"Lead researched (Sales Navigator)"))</f>
        <v/>
      </c>
      <c r="E168" s="107" t="str">
        <f aca="false">IF($A168="","",SUMIFS('DAILY ENTRY'!$F$7:$F$1203,'DAILY ENTRY'!$A$7:$A$1203,$A168,'DAILY ENTRY'!$B$7:$B$1203,$B168,'DAILY ENTRY'!$D$7:$D$1203,"Connection request sent"))</f>
        <v/>
      </c>
      <c r="F168" s="107" t="str">
        <f aca="false">IF($A168="","",SUMIFS('DAILY ENTRY'!$F$7:$F$1203,'DAILY ENTRY'!$A$7:$A$1203,$A168,'DAILY ENTRY'!$B$7:$B$1203,$B168,'DAILY ENTRY'!$D$7:$D$1203,"First message sent"))</f>
        <v/>
      </c>
      <c r="G168" s="107" t="str">
        <f aca="false">IF($A168="","",SUMIFS('DAILY ENTRY'!$F$7:$F$1203,'DAILY ENTRY'!$A$7:$A$1203,$A168,'DAILY ENTRY'!$B$7:$B$1203,$B168,'DAILY ENTRY'!$D$7:$D$1203,"Follow-up message sent"))</f>
        <v/>
      </c>
      <c r="H168" s="107" t="str">
        <f aca="false">IF($A168="","",SUMIFS('DAILY ENTRY'!$F$7:$F$1203,'DAILY ENTRY'!$A$7:$A$1203,$A168,'DAILY ENTRY'!$B$7:$B$1203,$B168,'DAILY ENTRY'!$D$7:$D$1203,"Post / content published"))</f>
        <v/>
      </c>
      <c r="I168" s="107" t="str">
        <f aca="false">IF($A168="","",SUMIFS('DAILY ENTRY'!$F$7:$F$1203,'DAILY ENTRY'!$A$7:$A$1203,$A168,'DAILY ENTRY'!$B$7:$B$1203,$B168,'DAILY ENTRY'!$D$7:$D$1203,"Community answer or comment"))</f>
        <v/>
      </c>
      <c r="J168" s="107" t="str">
        <f aca="false">IF($A168="","",SUMIFS('DAILY ENTRY'!$F$7:$F$1203,'DAILY ENTRY'!$A$7:$A$1203,$A168,'DAILY ENTRY'!$B$7:$B$1203,$B168,'DAILY ENTRY'!$D$7:$D$1203,"Partnership / PR contact"))</f>
        <v/>
      </c>
      <c r="K168" s="107" t="str">
        <f aca="false">IF($A168="","",SUMIFS('DAILY ENTRY'!$F$7:$F$1203,'DAILY ENTRY'!$A$7:$A$1203,$A168,'DAILY ENTRY'!$B$7:$B$1203,$B168,'DAILY ENTRY'!$D$7:$D$1203,"Engagement (commented on someone else)"))</f>
        <v/>
      </c>
      <c r="L168" s="107" t="str">
        <f aca="false">IF($A168="","",SUMIFS('DAILY ENTRY'!$F$7:$F$1203,'DAILY ENTRY'!$A$7:$A$1203,$A168,'DAILY ENTRY'!$B$7:$B$1203,$B168,'DAILY ENTRY'!$D$7:$D$1203,"Account created / profile completed"))</f>
        <v/>
      </c>
      <c r="M168" s="108" t="str">
        <f aca="false">IF($A168="","",IFERROR(INDEX('DAILY ENTRY'!$E$7:$E$1203,MATCH(1,INDEX(('DAILY ENTRY'!$A$7:$A$1203=$A168)*('DAILY ENTRY'!$B$7:$B$1203=$B168)*('DAILY ENTRY'!$I$7:$I$1203="Meeting booked"),0),0)),IFERROR(INDEX('DAILY ENTRY'!$E$7:$E$1203,MATCH(1,INDEX(('DAILY ENTRY'!$A$7:$A$1203=$A168)*('DAILY ENTRY'!$B$7:$B$1203=$B168)*('DAILY ENTRY'!$I$7:$I$1203="Positive reply"),0),0)),"")))</f>
        <v/>
      </c>
      <c r="N168" s="108" t="str">
        <f aca="false">IF($A168="","",IFERROR(INDEX('DAILY ENTRY'!$J$7:$J$1203,MATCH(1,INDEX(('DAILY ENTRY'!$A$7:$A$1203=$A168)*('DAILY ENTRY'!$B$7:$B$1203=$B168)*('DAILY ENTRY'!$I$7:$I$1203="Blocked"),0),0)),""))</f>
        <v/>
      </c>
      <c r="O168" s="65" t="str">
        <f aca="false">IF($A168="","",(D168&gt;='START HERE'!$B$25)+(E168&gt;='START HERE'!$B$26)+(F168&gt;='START HERE'!$B$27)+(G168&gt;='START HERE'!$B$28)+(H168&gt;='START HERE'!$B$29)+(I168&gt;='START HERE'!$B$30)+(J168&gt;='START HERE'!$B$31)+(K168&gt;='START HERE'!$B$32))</f>
        <v/>
      </c>
      <c r="P168" s="46" t="str">
        <f aca="false">IF($A168="","",IF(O168&gt;=7,"Full day",IF(O168&gt;=5,"Most targets met",IF(O168&gt;=3,"Half day","Below plan - explain in the blocker column"))))</f>
        <v/>
      </c>
    </row>
    <row r="169" customFormat="false" ht="24" hidden="false" customHeight="true" outlineLevel="0" collapsed="false">
      <c r="A169" s="36"/>
      <c r="B169" s="37"/>
      <c r="C169" s="107" t="str">
        <f aca="false">IF($A169="","",ROUND(SUMIFS('DAILY ENTRY'!$G$7:$G$1203,'DAILY ENTRY'!$A$7:$A$1203,$A169,'DAILY ENTRY'!$B$7:$B$1203,$B169)/60,1))</f>
        <v/>
      </c>
      <c r="D169" s="107" t="str">
        <f aca="false">IF($A169="","",SUMIFS('DAILY ENTRY'!$F$7:$F$1203,'DAILY ENTRY'!$A$7:$A$1203,$A169,'DAILY ENTRY'!$B$7:$B$1203,$B169,'DAILY ENTRY'!$D$7:$D$1203,"Lead researched (Sales Navigator)"))</f>
        <v/>
      </c>
      <c r="E169" s="107" t="str">
        <f aca="false">IF($A169="","",SUMIFS('DAILY ENTRY'!$F$7:$F$1203,'DAILY ENTRY'!$A$7:$A$1203,$A169,'DAILY ENTRY'!$B$7:$B$1203,$B169,'DAILY ENTRY'!$D$7:$D$1203,"Connection request sent"))</f>
        <v/>
      </c>
      <c r="F169" s="107" t="str">
        <f aca="false">IF($A169="","",SUMIFS('DAILY ENTRY'!$F$7:$F$1203,'DAILY ENTRY'!$A$7:$A$1203,$A169,'DAILY ENTRY'!$B$7:$B$1203,$B169,'DAILY ENTRY'!$D$7:$D$1203,"First message sent"))</f>
        <v/>
      </c>
      <c r="G169" s="107" t="str">
        <f aca="false">IF($A169="","",SUMIFS('DAILY ENTRY'!$F$7:$F$1203,'DAILY ENTRY'!$A$7:$A$1203,$A169,'DAILY ENTRY'!$B$7:$B$1203,$B169,'DAILY ENTRY'!$D$7:$D$1203,"Follow-up message sent"))</f>
        <v/>
      </c>
      <c r="H169" s="107" t="str">
        <f aca="false">IF($A169="","",SUMIFS('DAILY ENTRY'!$F$7:$F$1203,'DAILY ENTRY'!$A$7:$A$1203,$A169,'DAILY ENTRY'!$B$7:$B$1203,$B169,'DAILY ENTRY'!$D$7:$D$1203,"Post / content published"))</f>
        <v/>
      </c>
      <c r="I169" s="107" t="str">
        <f aca="false">IF($A169="","",SUMIFS('DAILY ENTRY'!$F$7:$F$1203,'DAILY ENTRY'!$A$7:$A$1203,$A169,'DAILY ENTRY'!$B$7:$B$1203,$B169,'DAILY ENTRY'!$D$7:$D$1203,"Community answer or comment"))</f>
        <v/>
      </c>
      <c r="J169" s="107" t="str">
        <f aca="false">IF($A169="","",SUMIFS('DAILY ENTRY'!$F$7:$F$1203,'DAILY ENTRY'!$A$7:$A$1203,$A169,'DAILY ENTRY'!$B$7:$B$1203,$B169,'DAILY ENTRY'!$D$7:$D$1203,"Partnership / PR contact"))</f>
        <v/>
      </c>
      <c r="K169" s="107" t="str">
        <f aca="false">IF($A169="","",SUMIFS('DAILY ENTRY'!$F$7:$F$1203,'DAILY ENTRY'!$A$7:$A$1203,$A169,'DAILY ENTRY'!$B$7:$B$1203,$B169,'DAILY ENTRY'!$D$7:$D$1203,"Engagement (commented on someone else)"))</f>
        <v/>
      </c>
      <c r="L169" s="107" t="str">
        <f aca="false">IF($A169="","",SUMIFS('DAILY ENTRY'!$F$7:$F$1203,'DAILY ENTRY'!$A$7:$A$1203,$A169,'DAILY ENTRY'!$B$7:$B$1203,$B169,'DAILY ENTRY'!$D$7:$D$1203,"Account created / profile completed"))</f>
        <v/>
      </c>
      <c r="M169" s="108" t="str">
        <f aca="false">IF($A169="","",IFERROR(INDEX('DAILY ENTRY'!$E$7:$E$1203,MATCH(1,INDEX(('DAILY ENTRY'!$A$7:$A$1203=$A169)*('DAILY ENTRY'!$B$7:$B$1203=$B169)*('DAILY ENTRY'!$I$7:$I$1203="Meeting booked"),0),0)),IFERROR(INDEX('DAILY ENTRY'!$E$7:$E$1203,MATCH(1,INDEX(('DAILY ENTRY'!$A$7:$A$1203=$A169)*('DAILY ENTRY'!$B$7:$B$1203=$B169)*('DAILY ENTRY'!$I$7:$I$1203="Positive reply"),0),0)),"")))</f>
        <v/>
      </c>
      <c r="N169" s="108" t="str">
        <f aca="false">IF($A169="","",IFERROR(INDEX('DAILY ENTRY'!$J$7:$J$1203,MATCH(1,INDEX(('DAILY ENTRY'!$A$7:$A$1203=$A169)*('DAILY ENTRY'!$B$7:$B$1203=$B169)*('DAILY ENTRY'!$I$7:$I$1203="Blocked"),0),0)),""))</f>
        <v/>
      </c>
      <c r="O169" s="65" t="str">
        <f aca="false">IF($A169="","",(D169&gt;='START HERE'!$B$25)+(E169&gt;='START HERE'!$B$26)+(F169&gt;='START HERE'!$B$27)+(G169&gt;='START HERE'!$B$28)+(H169&gt;='START HERE'!$B$29)+(I169&gt;='START HERE'!$B$30)+(J169&gt;='START HERE'!$B$31)+(K169&gt;='START HERE'!$B$32))</f>
        <v/>
      </c>
      <c r="P169" s="46" t="str">
        <f aca="false">IF($A169="","",IF(O169&gt;=7,"Full day",IF(O169&gt;=5,"Most targets met",IF(O169&gt;=3,"Half day","Below plan - explain in the blocker column"))))</f>
        <v/>
      </c>
    </row>
    <row r="170" customFormat="false" ht="24" hidden="false" customHeight="true" outlineLevel="0" collapsed="false">
      <c r="A170" s="36"/>
      <c r="B170" s="37"/>
      <c r="C170" s="107" t="str">
        <f aca="false">IF($A170="","",ROUND(SUMIFS('DAILY ENTRY'!$G$7:$G$1203,'DAILY ENTRY'!$A$7:$A$1203,$A170,'DAILY ENTRY'!$B$7:$B$1203,$B170)/60,1))</f>
        <v/>
      </c>
      <c r="D170" s="107" t="str">
        <f aca="false">IF($A170="","",SUMIFS('DAILY ENTRY'!$F$7:$F$1203,'DAILY ENTRY'!$A$7:$A$1203,$A170,'DAILY ENTRY'!$B$7:$B$1203,$B170,'DAILY ENTRY'!$D$7:$D$1203,"Lead researched (Sales Navigator)"))</f>
        <v/>
      </c>
      <c r="E170" s="107" t="str">
        <f aca="false">IF($A170="","",SUMIFS('DAILY ENTRY'!$F$7:$F$1203,'DAILY ENTRY'!$A$7:$A$1203,$A170,'DAILY ENTRY'!$B$7:$B$1203,$B170,'DAILY ENTRY'!$D$7:$D$1203,"Connection request sent"))</f>
        <v/>
      </c>
      <c r="F170" s="107" t="str">
        <f aca="false">IF($A170="","",SUMIFS('DAILY ENTRY'!$F$7:$F$1203,'DAILY ENTRY'!$A$7:$A$1203,$A170,'DAILY ENTRY'!$B$7:$B$1203,$B170,'DAILY ENTRY'!$D$7:$D$1203,"First message sent"))</f>
        <v/>
      </c>
      <c r="G170" s="107" t="str">
        <f aca="false">IF($A170="","",SUMIFS('DAILY ENTRY'!$F$7:$F$1203,'DAILY ENTRY'!$A$7:$A$1203,$A170,'DAILY ENTRY'!$B$7:$B$1203,$B170,'DAILY ENTRY'!$D$7:$D$1203,"Follow-up message sent"))</f>
        <v/>
      </c>
      <c r="H170" s="107" t="str">
        <f aca="false">IF($A170="","",SUMIFS('DAILY ENTRY'!$F$7:$F$1203,'DAILY ENTRY'!$A$7:$A$1203,$A170,'DAILY ENTRY'!$B$7:$B$1203,$B170,'DAILY ENTRY'!$D$7:$D$1203,"Post / content published"))</f>
        <v/>
      </c>
      <c r="I170" s="107" t="str">
        <f aca="false">IF($A170="","",SUMIFS('DAILY ENTRY'!$F$7:$F$1203,'DAILY ENTRY'!$A$7:$A$1203,$A170,'DAILY ENTRY'!$B$7:$B$1203,$B170,'DAILY ENTRY'!$D$7:$D$1203,"Community answer or comment"))</f>
        <v/>
      </c>
      <c r="J170" s="107" t="str">
        <f aca="false">IF($A170="","",SUMIFS('DAILY ENTRY'!$F$7:$F$1203,'DAILY ENTRY'!$A$7:$A$1203,$A170,'DAILY ENTRY'!$B$7:$B$1203,$B170,'DAILY ENTRY'!$D$7:$D$1203,"Partnership / PR contact"))</f>
        <v/>
      </c>
      <c r="K170" s="107" t="str">
        <f aca="false">IF($A170="","",SUMIFS('DAILY ENTRY'!$F$7:$F$1203,'DAILY ENTRY'!$A$7:$A$1203,$A170,'DAILY ENTRY'!$B$7:$B$1203,$B170,'DAILY ENTRY'!$D$7:$D$1203,"Engagement (commented on someone else)"))</f>
        <v/>
      </c>
      <c r="L170" s="107" t="str">
        <f aca="false">IF($A170="","",SUMIFS('DAILY ENTRY'!$F$7:$F$1203,'DAILY ENTRY'!$A$7:$A$1203,$A170,'DAILY ENTRY'!$B$7:$B$1203,$B170,'DAILY ENTRY'!$D$7:$D$1203,"Account created / profile completed"))</f>
        <v/>
      </c>
      <c r="M170" s="108" t="str">
        <f aca="false">IF($A170="","",IFERROR(INDEX('DAILY ENTRY'!$E$7:$E$1203,MATCH(1,INDEX(('DAILY ENTRY'!$A$7:$A$1203=$A170)*('DAILY ENTRY'!$B$7:$B$1203=$B170)*('DAILY ENTRY'!$I$7:$I$1203="Meeting booked"),0),0)),IFERROR(INDEX('DAILY ENTRY'!$E$7:$E$1203,MATCH(1,INDEX(('DAILY ENTRY'!$A$7:$A$1203=$A170)*('DAILY ENTRY'!$B$7:$B$1203=$B170)*('DAILY ENTRY'!$I$7:$I$1203="Positive reply"),0),0)),"")))</f>
        <v/>
      </c>
      <c r="N170" s="108" t="str">
        <f aca="false">IF($A170="","",IFERROR(INDEX('DAILY ENTRY'!$J$7:$J$1203,MATCH(1,INDEX(('DAILY ENTRY'!$A$7:$A$1203=$A170)*('DAILY ENTRY'!$B$7:$B$1203=$B170)*('DAILY ENTRY'!$I$7:$I$1203="Blocked"),0),0)),""))</f>
        <v/>
      </c>
      <c r="O170" s="65" t="str">
        <f aca="false">IF($A170="","",(D170&gt;='START HERE'!$B$25)+(E170&gt;='START HERE'!$B$26)+(F170&gt;='START HERE'!$B$27)+(G170&gt;='START HERE'!$B$28)+(H170&gt;='START HERE'!$B$29)+(I170&gt;='START HERE'!$B$30)+(J170&gt;='START HERE'!$B$31)+(K170&gt;='START HERE'!$B$32))</f>
        <v/>
      </c>
      <c r="P170" s="46" t="str">
        <f aca="false">IF($A170="","",IF(O170&gt;=7,"Full day",IF(O170&gt;=5,"Most targets met",IF(O170&gt;=3,"Half day","Below plan - explain in the blocker column"))))</f>
        <v/>
      </c>
    </row>
    <row r="171" customFormat="false" ht="24" hidden="false" customHeight="true" outlineLevel="0" collapsed="false">
      <c r="A171" s="36"/>
      <c r="B171" s="37"/>
      <c r="C171" s="107" t="str">
        <f aca="false">IF($A171="","",ROUND(SUMIFS('DAILY ENTRY'!$G$7:$G$1203,'DAILY ENTRY'!$A$7:$A$1203,$A171,'DAILY ENTRY'!$B$7:$B$1203,$B171)/60,1))</f>
        <v/>
      </c>
      <c r="D171" s="107" t="str">
        <f aca="false">IF($A171="","",SUMIFS('DAILY ENTRY'!$F$7:$F$1203,'DAILY ENTRY'!$A$7:$A$1203,$A171,'DAILY ENTRY'!$B$7:$B$1203,$B171,'DAILY ENTRY'!$D$7:$D$1203,"Lead researched (Sales Navigator)"))</f>
        <v/>
      </c>
      <c r="E171" s="107" t="str">
        <f aca="false">IF($A171="","",SUMIFS('DAILY ENTRY'!$F$7:$F$1203,'DAILY ENTRY'!$A$7:$A$1203,$A171,'DAILY ENTRY'!$B$7:$B$1203,$B171,'DAILY ENTRY'!$D$7:$D$1203,"Connection request sent"))</f>
        <v/>
      </c>
      <c r="F171" s="107" t="str">
        <f aca="false">IF($A171="","",SUMIFS('DAILY ENTRY'!$F$7:$F$1203,'DAILY ENTRY'!$A$7:$A$1203,$A171,'DAILY ENTRY'!$B$7:$B$1203,$B171,'DAILY ENTRY'!$D$7:$D$1203,"First message sent"))</f>
        <v/>
      </c>
      <c r="G171" s="107" t="str">
        <f aca="false">IF($A171="","",SUMIFS('DAILY ENTRY'!$F$7:$F$1203,'DAILY ENTRY'!$A$7:$A$1203,$A171,'DAILY ENTRY'!$B$7:$B$1203,$B171,'DAILY ENTRY'!$D$7:$D$1203,"Follow-up message sent"))</f>
        <v/>
      </c>
      <c r="H171" s="107" t="str">
        <f aca="false">IF($A171="","",SUMIFS('DAILY ENTRY'!$F$7:$F$1203,'DAILY ENTRY'!$A$7:$A$1203,$A171,'DAILY ENTRY'!$B$7:$B$1203,$B171,'DAILY ENTRY'!$D$7:$D$1203,"Post / content published"))</f>
        <v/>
      </c>
      <c r="I171" s="107" t="str">
        <f aca="false">IF($A171="","",SUMIFS('DAILY ENTRY'!$F$7:$F$1203,'DAILY ENTRY'!$A$7:$A$1203,$A171,'DAILY ENTRY'!$B$7:$B$1203,$B171,'DAILY ENTRY'!$D$7:$D$1203,"Community answer or comment"))</f>
        <v/>
      </c>
      <c r="J171" s="107" t="str">
        <f aca="false">IF($A171="","",SUMIFS('DAILY ENTRY'!$F$7:$F$1203,'DAILY ENTRY'!$A$7:$A$1203,$A171,'DAILY ENTRY'!$B$7:$B$1203,$B171,'DAILY ENTRY'!$D$7:$D$1203,"Partnership / PR contact"))</f>
        <v/>
      </c>
      <c r="K171" s="107" t="str">
        <f aca="false">IF($A171="","",SUMIFS('DAILY ENTRY'!$F$7:$F$1203,'DAILY ENTRY'!$A$7:$A$1203,$A171,'DAILY ENTRY'!$B$7:$B$1203,$B171,'DAILY ENTRY'!$D$7:$D$1203,"Engagement (commented on someone else)"))</f>
        <v/>
      </c>
      <c r="L171" s="107" t="str">
        <f aca="false">IF($A171="","",SUMIFS('DAILY ENTRY'!$F$7:$F$1203,'DAILY ENTRY'!$A$7:$A$1203,$A171,'DAILY ENTRY'!$B$7:$B$1203,$B171,'DAILY ENTRY'!$D$7:$D$1203,"Account created / profile completed"))</f>
        <v/>
      </c>
      <c r="M171" s="108" t="str">
        <f aca="false">IF($A171="","",IFERROR(INDEX('DAILY ENTRY'!$E$7:$E$1203,MATCH(1,INDEX(('DAILY ENTRY'!$A$7:$A$1203=$A171)*('DAILY ENTRY'!$B$7:$B$1203=$B171)*('DAILY ENTRY'!$I$7:$I$1203="Meeting booked"),0),0)),IFERROR(INDEX('DAILY ENTRY'!$E$7:$E$1203,MATCH(1,INDEX(('DAILY ENTRY'!$A$7:$A$1203=$A171)*('DAILY ENTRY'!$B$7:$B$1203=$B171)*('DAILY ENTRY'!$I$7:$I$1203="Positive reply"),0),0)),"")))</f>
        <v/>
      </c>
      <c r="N171" s="108" t="str">
        <f aca="false">IF($A171="","",IFERROR(INDEX('DAILY ENTRY'!$J$7:$J$1203,MATCH(1,INDEX(('DAILY ENTRY'!$A$7:$A$1203=$A171)*('DAILY ENTRY'!$B$7:$B$1203=$B171)*('DAILY ENTRY'!$I$7:$I$1203="Blocked"),0),0)),""))</f>
        <v/>
      </c>
      <c r="O171" s="65" t="str">
        <f aca="false">IF($A171="","",(D171&gt;='START HERE'!$B$25)+(E171&gt;='START HERE'!$B$26)+(F171&gt;='START HERE'!$B$27)+(G171&gt;='START HERE'!$B$28)+(H171&gt;='START HERE'!$B$29)+(I171&gt;='START HERE'!$B$30)+(J171&gt;='START HERE'!$B$31)+(K171&gt;='START HERE'!$B$32))</f>
        <v/>
      </c>
      <c r="P171" s="46" t="str">
        <f aca="false">IF($A171="","",IF(O171&gt;=7,"Full day",IF(O171&gt;=5,"Most targets met",IF(O171&gt;=3,"Half day","Below plan - explain in the blocker column"))))</f>
        <v/>
      </c>
    </row>
    <row r="172" customFormat="false" ht="24" hidden="false" customHeight="true" outlineLevel="0" collapsed="false">
      <c r="A172" s="36"/>
      <c r="B172" s="37"/>
      <c r="C172" s="107" t="str">
        <f aca="false">IF($A172="","",ROUND(SUMIFS('DAILY ENTRY'!$G$7:$G$1203,'DAILY ENTRY'!$A$7:$A$1203,$A172,'DAILY ENTRY'!$B$7:$B$1203,$B172)/60,1))</f>
        <v/>
      </c>
      <c r="D172" s="107" t="str">
        <f aca="false">IF($A172="","",SUMIFS('DAILY ENTRY'!$F$7:$F$1203,'DAILY ENTRY'!$A$7:$A$1203,$A172,'DAILY ENTRY'!$B$7:$B$1203,$B172,'DAILY ENTRY'!$D$7:$D$1203,"Lead researched (Sales Navigator)"))</f>
        <v/>
      </c>
      <c r="E172" s="107" t="str">
        <f aca="false">IF($A172="","",SUMIFS('DAILY ENTRY'!$F$7:$F$1203,'DAILY ENTRY'!$A$7:$A$1203,$A172,'DAILY ENTRY'!$B$7:$B$1203,$B172,'DAILY ENTRY'!$D$7:$D$1203,"Connection request sent"))</f>
        <v/>
      </c>
      <c r="F172" s="107" t="str">
        <f aca="false">IF($A172="","",SUMIFS('DAILY ENTRY'!$F$7:$F$1203,'DAILY ENTRY'!$A$7:$A$1203,$A172,'DAILY ENTRY'!$B$7:$B$1203,$B172,'DAILY ENTRY'!$D$7:$D$1203,"First message sent"))</f>
        <v/>
      </c>
      <c r="G172" s="107" t="str">
        <f aca="false">IF($A172="","",SUMIFS('DAILY ENTRY'!$F$7:$F$1203,'DAILY ENTRY'!$A$7:$A$1203,$A172,'DAILY ENTRY'!$B$7:$B$1203,$B172,'DAILY ENTRY'!$D$7:$D$1203,"Follow-up message sent"))</f>
        <v/>
      </c>
      <c r="H172" s="107" t="str">
        <f aca="false">IF($A172="","",SUMIFS('DAILY ENTRY'!$F$7:$F$1203,'DAILY ENTRY'!$A$7:$A$1203,$A172,'DAILY ENTRY'!$B$7:$B$1203,$B172,'DAILY ENTRY'!$D$7:$D$1203,"Post / content published"))</f>
        <v/>
      </c>
      <c r="I172" s="107" t="str">
        <f aca="false">IF($A172="","",SUMIFS('DAILY ENTRY'!$F$7:$F$1203,'DAILY ENTRY'!$A$7:$A$1203,$A172,'DAILY ENTRY'!$B$7:$B$1203,$B172,'DAILY ENTRY'!$D$7:$D$1203,"Community answer or comment"))</f>
        <v/>
      </c>
      <c r="J172" s="107" t="str">
        <f aca="false">IF($A172="","",SUMIFS('DAILY ENTRY'!$F$7:$F$1203,'DAILY ENTRY'!$A$7:$A$1203,$A172,'DAILY ENTRY'!$B$7:$B$1203,$B172,'DAILY ENTRY'!$D$7:$D$1203,"Partnership / PR contact"))</f>
        <v/>
      </c>
      <c r="K172" s="107" t="str">
        <f aca="false">IF($A172="","",SUMIFS('DAILY ENTRY'!$F$7:$F$1203,'DAILY ENTRY'!$A$7:$A$1203,$A172,'DAILY ENTRY'!$B$7:$B$1203,$B172,'DAILY ENTRY'!$D$7:$D$1203,"Engagement (commented on someone else)"))</f>
        <v/>
      </c>
      <c r="L172" s="107" t="str">
        <f aca="false">IF($A172="","",SUMIFS('DAILY ENTRY'!$F$7:$F$1203,'DAILY ENTRY'!$A$7:$A$1203,$A172,'DAILY ENTRY'!$B$7:$B$1203,$B172,'DAILY ENTRY'!$D$7:$D$1203,"Account created / profile completed"))</f>
        <v/>
      </c>
      <c r="M172" s="108" t="str">
        <f aca="false">IF($A172="","",IFERROR(INDEX('DAILY ENTRY'!$E$7:$E$1203,MATCH(1,INDEX(('DAILY ENTRY'!$A$7:$A$1203=$A172)*('DAILY ENTRY'!$B$7:$B$1203=$B172)*('DAILY ENTRY'!$I$7:$I$1203="Meeting booked"),0),0)),IFERROR(INDEX('DAILY ENTRY'!$E$7:$E$1203,MATCH(1,INDEX(('DAILY ENTRY'!$A$7:$A$1203=$A172)*('DAILY ENTRY'!$B$7:$B$1203=$B172)*('DAILY ENTRY'!$I$7:$I$1203="Positive reply"),0),0)),"")))</f>
        <v/>
      </c>
      <c r="N172" s="108" t="str">
        <f aca="false">IF($A172="","",IFERROR(INDEX('DAILY ENTRY'!$J$7:$J$1203,MATCH(1,INDEX(('DAILY ENTRY'!$A$7:$A$1203=$A172)*('DAILY ENTRY'!$B$7:$B$1203=$B172)*('DAILY ENTRY'!$I$7:$I$1203="Blocked"),0),0)),""))</f>
        <v/>
      </c>
      <c r="O172" s="65" t="str">
        <f aca="false">IF($A172="","",(D172&gt;='START HERE'!$B$25)+(E172&gt;='START HERE'!$B$26)+(F172&gt;='START HERE'!$B$27)+(G172&gt;='START HERE'!$B$28)+(H172&gt;='START HERE'!$B$29)+(I172&gt;='START HERE'!$B$30)+(J172&gt;='START HERE'!$B$31)+(K172&gt;='START HERE'!$B$32))</f>
        <v/>
      </c>
      <c r="P172" s="46" t="str">
        <f aca="false">IF($A172="","",IF(O172&gt;=7,"Full day",IF(O172&gt;=5,"Most targets met",IF(O172&gt;=3,"Half day","Below plan - explain in the blocker column"))))</f>
        <v/>
      </c>
    </row>
    <row r="173" customFormat="false" ht="24" hidden="false" customHeight="true" outlineLevel="0" collapsed="false">
      <c r="A173" s="36"/>
      <c r="B173" s="37"/>
      <c r="C173" s="107" t="str">
        <f aca="false">IF($A173="","",ROUND(SUMIFS('DAILY ENTRY'!$G$7:$G$1203,'DAILY ENTRY'!$A$7:$A$1203,$A173,'DAILY ENTRY'!$B$7:$B$1203,$B173)/60,1))</f>
        <v/>
      </c>
      <c r="D173" s="107" t="str">
        <f aca="false">IF($A173="","",SUMIFS('DAILY ENTRY'!$F$7:$F$1203,'DAILY ENTRY'!$A$7:$A$1203,$A173,'DAILY ENTRY'!$B$7:$B$1203,$B173,'DAILY ENTRY'!$D$7:$D$1203,"Lead researched (Sales Navigator)"))</f>
        <v/>
      </c>
      <c r="E173" s="107" t="str">
        <f aca="false">IF($A173="","",SUMIFS('DAILY ENTRY'!$F$7:$F$1203,'DAILY ENTRY'!$A$7:$A$1203,$A173,'DAILY ENTRY'!$B$7:$B$1203,$B173,'DAILY ENTRY'!$D$7:$D$1203,"Connection request sent"))</f>
        <v/>
      </c>
      <c r="F173" s="107" t="str">
        <f aca="false">IF($A173="","",SUMIFS('DAILY ENTRY'!$F$7:$F$1203,'DAILY ENTRY'!$A$7:$A$1203,$A173,'DAILY ENTRY'!$B$7:$B$1203,$B173,'DAILY ENTRY'!$D$7:$D$1203,"First message sent"))</f>
        <v/>
      </c>
      <c r="G173" s="107" t="str">
        <f aca="false">IF($A173="","",SUMIFS('DAILY ENTRY'!$F$7:$F$1203,'DAILY ENTRY'!$A$7:$A$1203,$A173,'DAILY ENTRY'!$B$7:$B$1203,$B173,'DAILY ENTRY'!$D$7:$D$1203,"Follow-up message sent"))</f>
        <v/>
      </c>
      <c r="H173" s="107" t="str">
        <f aca="false">IF($A173="","",SUMIFS('DAILY ENTRY'!$F$7:$F$1203,'DAILY ENTRY'!$A$7:$A$1203,$A173,'DAILY ENTRY'!$B$7:$B$1203,$B173,'DAILY ENTRY'!$D$7:$D$1203,"Post / content published"))</f>
        <v/>
      </c>
      <c r="I173" s="107" t="str">
        <f aca="false">IF($A173="","",SUMIFS('DAILY ENTRY'!$F$7:$F$1203,'DAILY ENTRY'!$A$7:$A$1203,$A173,'DAILY ENTRY'!$B$7:$B$1203,$B173,'DAILY ENTRY'!$D$7:$D$1203,"Community answer or comment"))</f>
        <v/>
      </c>
      <c r="J173" s="107" t="str">
        <f aca="false">IF($A173="","",SUMIFS('DAILY ENTRY'!$F$7:$F$1203,'DAILY ENTRY'!$A$7:$A$1203,$A173,'DAILY ENTRY'!$B$7:$B$1203,$B173,'DAILY ENTRY'!$D$7:$D$1203,"Partnership / PR contact"))</f>
        <v/>
      </c>
      <c r="K173" s="107" t="str">
        <f aca="false">IF($A173="","",SUMIFS('DAILY ENTRY'!$F$7:$F$1203,'DAILY ENTRY'!$A$7:$A$1203,$A173,'DAILY ENTRY'!$B$7:$B$1203,$B173,'DAILY ENTRY'!$D$7:$D$1203,"Engagement (commented on someone else)"))</f>
        <v/>
      </c>
      <c r="L173" s="107" t="str">
        <f aca="false">IF($A173="","",SUMIFS('DAILY ENTRY'!$F$7:$F$1203,'DAILY ENTRY'!$A$7:$A$1203,$A173,'DAILY ENTRY'!$B$7:$B$1203,$B173,'DAILY ENTRY'!$D$7:$D$1203,"Account created / profile completed"))</f>
        <v/>
      </c>
      <c r="M173" s="108" t="str">
        <f aca="false">IF($A173="","",IFERROR(INDEX('DAILY ENTRY'!$E$7:$E$1203,MATCH(1,INDEX(('DAILY ENTRY'!$A$7:$A$1203=$A173)*('DAILY ENTRY'!$B$7:$B$1203=$B173)*('DAILY ENTRY'!$I$7:$I$1203="Meeting booked"),0),0)),IFERROR(INDEX('DAILY ENTRY'!$E$7:$E$1203,MATCH(1,INDEX(('DAILY ENTRY'!$A$7:$A$1203=$A173)*('DAILY ENTRY'!$B$7:$B$1203=$B173)*('DAILY ENTRY'!$I$7:$I$1203="Positive reply"),0),0)),"")))</f>
        <v/>
      </c>
      <c r="N173" s="108" t="str">
        <f aca="false">IF($A173="","",IFERROR(INDEX('DAILY ENTRY'!$J$7:$J$1203,MATCH(1,INDEX(('DAILY ENTRY'!$A$7:$A$1203=$A173)*('DAILY ENTRY'!$B$7:$B$1203=$B173)*('DAILY ENTRY'!$I$7:$I$1203="Blocked"),0),0)),""))</f>
        <v/>
      </c>
      <c r="O173" s="65" t="str">
        <f aca="false">IF($A173="","",(D173&gt;='START HERE'!$B$25)+(E173&gt;='START HERE'!$B$26)+(F173&gt;='START HERE'!$B$27)+(G173&gt;='START HERE'!$B$28)+(H173&gt;='START HERE'!$B$29)+(I173&gt;='START HERE'!$B$30)+(J173&gt;='START HERE'!$B$31)+(K173&gt;='START HERE'!$B$32))</f>
        <v/>
      </c>
      <c r="P173" s="46" t="str">
        <f aca="false">IF($A173="","",IF(O173&gt;=7,"Full day",IF(O173&gt;=5,"Most targets met",IF(O173&gt;=3,"Half day","Below plan - explain in the blocker column"))))</f>
        <v/>
      </c>
    </row>
    <row r="174" customFormat="false" ht="24" hidden="false" customHeight="true" outlineLevel="0" collapsed="false">
      <c r="A174" s="36"/>
      <c r="B174" s="37"/>
      <c r="C174" s="107" t="str">
        <f aca="false">IF($A174="","",ROUND(SUMIFS('DAILY ENTRY'!$G$7:$G$1203,'DAILY ENTRY'!$A$7:$A$1203,$A174,'DAILY ENTRY'!$B$7:$B$1203,$B174)/60,1))</f>
        <v/>
      </c>
      <c r="D174" s="107" t="str">
        <f aca="false">IF($A174="","",SUMIFS('DAILY ENTRY'!$F$7:$F$1203,'DAILY ENTRY'!$A$7:$A$1203,$A174,'DAILY ENTRY'!$B$7:$B$1203,$B174,'DAILY ENTRY'!$D$7:$D$1203,"Lead researched (Sales Navigator)"))</f>
        <v/>
      </c>
      <c r="E174" s="107" t="str">
        <f aca="false">IF($A174="","",SUMIFS('DAILY ENTRY'!$F$7:$F$1203,'DAILY ENTRY'!$A$7:$A$1203,$A174,'DAILY ENTRY'!$B$7:$B$1203,$B174,'DAILY ENTRY'!$D$7:$D$1203,"Connection request sent"))</f>
        <v/>
      </c>
      <c r="F174" s="107" t="str">
        <f aca="false">IF($A174="","",SUMIFS('DAILY ENTRY'!$F$7:$F$1203,'DAILY ENTRY'!$A$7:$A$1203,$A174,'DAILY ENTRY'!$B$7:$B$1203,$B174,'DAILY ENTRY'!$D$7:$D$1203,"First message sent"))</f>
        <v/>
      </c>
      <c r="G174" s="107" t="str">
        <f aca="false">IF($A174="","",SUMIFS('DAILY ENTRY'!$F$7:$F$1203,'DAILY ENTRY'!$A$7:$A$1203,$A174,'DAILY ENTRY'!$B$7:$B$1203,$B174,'DAILY ENTRY'!$D$7:$D$1203,"Follow-up message sent"))</f>
        <v/>
      </c>
      <c r="H174" s="107" t="str">
        <f aca="false">IF($A174="","",SUMIFS('DAILY ENTRY'!$F$7:$F$1203,'DAILY ENTRY'!$A$7:$A$1203,$A174,'DAILY ENTRY'!$B$7:$B$1203,$B174,'DAILY ENTRY'!$D$7:$D$1203,"Post / content published"))</f>
        <v/>
      </c>
      <c r="I174" s="107" t="str">
        <f aca="false">IF($A174="","",SUMIFS('DAILY ENTRY'!$F$7:$F$1203,'DAILY ENTRY'!$A$7:$A$1203,$A174,'DAILY ENTRY'!$B$7:$B$1203,$B174,'DAILY ENTRY'!$D$7:$D$1203,"Community answer or comment"))</f>
        <v/>
      </c>
      <c r="J174" s="107" t="str">
        <f aca="false">IF($A174="","",SUMIFS('DAILY ENTRY'!$F$7:$F$1203,'DAILY ENTRY'!$A$7:$A$1203,$A174,'DAILY ENTRY'!$B$7:$B$1203,$B174,'DAILY ENTRY'!$D$7:$D$1203,"Partnership / PR contact"))</f>
        <v/>
      </c>
      <c r="K174" s="107" t="str">
        <f aca="false">IF($A174="","",SUMIFS('DAILY ENTRY'!$F$7:$F$1203,'DAILY ENTRY'!$A$7:$A$1203,$A174,'DAILY ENTRY'!$B$7:$B$1203,$B174,'DAILY ENTRY'!$D$7:$D$1203,"Engagement (commented on someone else)"))</f>
        <v/>
      </c>
      <c r="L174" s="107" t="str">
        <f aca="false">IF($A174="","",SUMIFS('DAILY ENTRY'!$F$7:$F$1203,'DAILY ENTRY'!$A$7:$A$1203,$A174,'DAILY ENTRY'!$B$7:$B$1203,$B174,'DAILY ENTRY'!$D$7:$D$1203,"Account created / profile completed"))</f>
        <v/>
      </c>
      <c r="M174" s="108" t="str">
        <f aca="false">IF($A174="","",IFERROR(INDEX('DAILY ENTRY'!$E$7:$E$1203,MATCH(1,INDEX(('DAILY ENTRY'!$A$7:$A$1203=$A174)*('DAILY ENTRY'!$B$7:$B$1203=$B174)*('DAILY ENTRY'!$I$7:$I$1203="Meeting booked"),0),0)),IFERROR(INDEX('DAILY ENTRY'!$E$7:$E$1203,MATCH(1,INDEX(('DAILY ENTRY'!$A$7:$A$1203=$A174)*('DAILY ENTRY'!$B$7:$B$1203=$B174)*('DAILY ENTRY'!$I$7:$I$1203="Positive reply"),0),0)),"")))</f>
        <v/>
      </c>
      <c r="N174" s="108" t="str">
        <f aca="false">IF($A174="","",IFERROR(INDEX('DAILY ENTRY'!$J$7:$J$1203,MATCH(1,INDEX(('DAILY ENTRY'!$A$7:$A$1203=$A174)*('DAILY ENTRY'!$B$7:$B$1203=$B174)*('DAILY ENTRY'!$I$7:$I$1203="Blocked"),0),0)),""))</f>
        <v/>
      </c>
      <c r="O174" s="65" t="str">
        <f aca="false">IF($A174="","",(D174&gt;='START HERE'!$B$25)+(E174&gt;='START HERE'!$B$26)+(F174&gt;='START HERE'!$B$27)+(G174&gt;='START HERE'!$B$28)+(H174&gt;='START HERE'!$B$29)+(I174&gt;='START HERE'!$B$30)+(J174&gt;='START HERE'!$B$31)+(K174&gt;='START HERE'!$B$32))</f>
        <v/>
      </c>
      <c r="P174" s="46" t="str">
        <f aca="false">IF($A174="","",IF(O174&gt;=7,"Full day",IF(O174&gt;=5,"Most targets met",IF(O174&gt;=3,"Half day","Below plan - explain in the blocker column"))))</f>
        <v/>
      </c>
    </row>
    <row r="175" customFormat="false" ht="24" hidden="false" customHeight="true" outlineLevel="0" collapsed="false">
      <c r="A175" s="36"/>
      <c r="B175" s="37"/>
      <c r="C175" s="107" t="str">
        <f aca="false">IF($A175="","",ROUND(SUMIFS('DAILY ENTRY'!$G$7:$G$1203,'DAILY ENTRY'!$A$7:$A$1203,$A175,'DAILY ENTRY'!$B$7:$B$1203,$B175)/60,1))</f>
        <v/>
      </c>
      <c r="D175" s="107" t="str">
        <f aca="false">IF($A175="","",SUMIFS('DAILY ENTRY'!$F$7:$F$1203,'DAILY ENTRY'!$A$7:$A$1203,$A175,'DAILY ENTRY'!$B$7:$B$1203,$B175,'DAILY ENTRY'!$D$7:$D$1203,"Lead researched (Sales Navigator)"))</f>
        <v/>
      </c>
      <c r="E175" s="107" t="str">
        <f aca="false">IF($A175="","",SUMIFS('DAILY ENTRY'!$F$7:$F$1203,'DAILY ENTRY'!$A$7:$A$1203,$A175,'DAILY ENTRY'!$B$7:$B$1203,$B175,'DAILY ENTRY'!$D$7:$D$1203,"Connection request sent"))</f>
        <v/>
      </c>
      <c r="F175" s="107" t="str">
        <f aca="false">IF($A175="","",SUMIFS('DAILY ENTRY'!$F$7:$F$1203,'DAILY ENTRY'!$A$7:$A$1203,$A175,'DAILY ENTRY'!$B$7:$B$1203,$B175,'DAILY ENTRY'!$D$7:$D$1203,"First message sent"))</f>
        <v/>
      </c>
      <c r="G175" s="107" t="str">
        <f aca="false">IF($A175="","",SUMIFS('DAILY ENTRY'!$F$7:$F$1203,'DAILY ENTRY'!$A$7:$A$1203,$A175,'DAILY ENTRY'!$B$7:$B$1203,$B175,'DAILY ENTRY'!$D$7:$D$1203,"Follow-up message sent"))</f>
        <v/>
      </c>
      <c r="H175" s="107" t="str">
        <f aca="false">IF($A175="","",SUMIFS('DAILY ENTRY'!$F$7:$F$1203,'DAILY ENTRY'!$A$7:$A$1203,$A175,'DAILY ENTRY'!$B$7:$B$1203,$B175,'DAILY ENTRY'!$D$7:$D$1203,"Post / content published"))</f>
        <v/>
      </c>
      <c r="I175" s="107" t="str">
        <f aca="false">IF($A175="","",SUMIFS('DAILY ENTRY'!$F$7:$F$1203,'DAILY ENTRY'!$A$7:$A$1203,$A175,'DAILY ENTRY'!$B$7:$B$1203,$B175,'DAILY ENTRY'!$D$7:$D$1203,"Community answer or comment"))</f>
        <v/>
      </c>
      <c r="J175" s="107" t="str">
        <f aca="false">IF($A175="","",SUMIFS('DAILY ENTRY'!$F$7:$F$1203,'DAILY ENTRY'!$A$7:$A$1203,$A175,'DAILY ENTRY'!$B$7:$B$1203,$B175,'DAILY ENTRY'!$D$7:$D$1203,"Partnership / PR contact"))</f>
        <v/>
      </c>
      <c r="K175" s="107" t="str">
        <f aca="false">IF($A175="","",SUMIFS('DAILY ENTRY'!$F$7:$F$1203,'DAILY ENTRY'!$A$7:$A$1203,$A175,'DAILY ENTRY'!$B$7:$B$1203,$B175,'DAILY ENTRY'!$D$7:$D$1203,"Engagement (commented on someone else)"))</f>
        <v/>
      </c>
      <c r="L175" s="107" t="str">
        <f aca="false">IF($A175="","",SUMIFS('DAILY ENTRY'!$F$7:$F$1203,'DAILY ENTRY'!$A$7:$A$1203,$A175,'DAILY ENTRY'!$B$7:$B$1203,$B175,'DAILY ENTRY'!$D$7:$D$1203,"Account created / profile completed"))</f>
        <v/>
      </c>
      <c r="M175" s="108" t="str">
        <f aca="false">IF($A175="","",IFERROR(INDEX('DAILY ENTRY'!$E$7:$E$1203,MATCH(1,INDEX(('DAILY ENTRY'!$A$7:$A$1203=$A175)*('DAILY ENTRY'!$B$7:$B$1203=$B175)*('DAILY ENTRY'!$I$7:$I$1203="Meeting booked"),0),0)),IFERROR(INDEX('DAILY ENTRY'!$E$7:$E$1203,MATCH(1,INDEX(('DAILY ENTRY'!$A$7:$A$1203=$A175)*('DAILY ENTRY'!$B$7:$B$1203=$B175)*('DAILY ENTRY'!$I$7:$I$1203="Positive reply"),0),0)),"")))</f>
        <v/>
      </c>
      <c r="N175" s="108" t="str">
        <f aca="false">IF($A175="","",IFERROR(INDEX('DAILY ENTRY'!$J$7:$J$1203,MATCH(1,INDEX(('DAILY ENTRY'!$A$7:$A$1203=$A175)*('DAILY ENTRY'!$B$7:$B$1203=$B175)*('DAILY ENTRY'!$I$7:$I$1203="Blocked"),0),0)),""))</f>
        <v/>
      </c>
      <c r="O175" s="65" t="str">
        <f aca="false">IF($A175="","",(D175&gt;='START HERE'!$B$25)+(E175&gt;='START HERE'!$B$26)+(F175&gt;='START HERE'!$B$27)+(G175&gt;='START HERE'!$B$28)+(H175&gt;='START HERE'!$B$29)+(I175&gt;='START HERE'!$B$30)+(J175&gt;='START HERE'!$B$31)+(K175&gt;='START HERE'!$B$32))</f>
        <v/>
      </c>
      <c r="P175" s="46" t="str">
        <f aca="false">IF($A175="","",IF(O175&gt;=7,"Full day",IF(O175&gt;=5,"Most targets met",IF(O175&gt;=3,"Half day","Below plan - explain in the blocker column"))))</f>
        <v/>
      </c>
    </row>
    <row r="176" customFormat="false" ht="24" hidden="false" customHeight="true" outlineLevel="0" collapsed="false">
      <c r="A176" s="36"/>
      <c r="B176" s="37"/>
      <c r="C176" s="107" t="str">
        <f aca="false">IF($A176="","",ROUND(SUMIFS('DAILY ENTRY'!$G$7:$G$1203,'DAILY ENTRY'!$A$7:$A$1203,$A176,'DAILY ENTRY'!$B$7:$B$1203,$B176)/60,1))</f>
        <v/>
      </c>
      <c r="D176" s="107" t="str">
        <f aca="false">IF($A176="","",SUMIFS('DAILY ENTRY'!$F$7:$F$1203,'DAILY ENTRY'!$A$7:$A$1203,$A176,'DAILY ENTRY'!$B$7:$B$1203,$B176,'DAILY ENTRY'!$D$7:$D$1203,"Lead researched (Sales Navigator)"))</f>
        <v/>
      </c>
      <c r="E176" s="107" t="str">
        <f aca="false">IF($A176="","",SUMIFS('DAILY ENTRY'!$F$7:$F$1203,'DAILY ENTRY'!$A$7:$A$1203,$A176,'DAILY ENTRY'!$B$7:$B$1203,$B176,'DAILY ENTRY'!$D$7:$D$1203,"Connection request sent"))</f>
        <v/>
      </c>
      <c r="F176" s="107" t="str">
        <f aca="false">IF($A176="","",SUMIFS('DAILY ENTRY'!$F$7:$F$1203,'DAILY ENTRY'!$A$7:$A$1203,$A176,'DAILY ENTRY'!$B$7:$B$1203,$B176,'DAILY ENTRY'!$D$7:$D$1203,"First message sent"))</f>
        <v/>
      </c>
      <c r="G176" s="107" t="str">
        <f aca="false">IF($A176="","",SUMIFS('DAILY ENTRY'!$F$7:$F$1203,'DAILY ENTRY'!$A$7:$A$1203,$A176,'DAILY ENTRY'!$B$7:$B$1203,$B176,'DAILY ENTRY'!$D$7:$D$1203,"Follow-up message sent"))</f>
        <v/>
      </c>
      <c r="H176" s="107" t="str">
        <f aca="false">IF($A176="","",SUMIFS('DAILY ENTRY'!$F$7:$F$1203,'DAILY ENTRY'!$A$7:$A$1203,$A176,'DAILY ENTRY'!$B$7:$B$1203,$B176,'DAILY ENTRY'!$D$7:$D$1203,"Post / content published"))</f>
        <v/>
      </c>
      <c r="I176" s="107" t="str">
        <f aca="false">IF($A176="","",SUMIFS('DAILY ENTRY'!$F$7:$F$1203,'DAILY ENTRY'!$A$7:$A$1203,$A176,'DAILY ENTRY'!$B$7:$B$1203,$B176,'DAILY ENTRY'!$D$7:$D$1203,"Community answer or comment"))</f>
        <v/>
      </c>
      <c r="J176" s="107" t="str">
        <f aca="false">IF($A176="","",SUMIFS('DAILY ENTRY'!$F$7:$F$1203,'DAILY ENTRY'!$A$7:$A$1203,$A176,'DAILY ENTRY'!$B$7:$B$1203,$B176,'DAILY ENTRY'!$D$7:$D$1203,"Partnership / PR contact"))</f>
        <v/>
      </c>
      <c r="K176" s="107" t="str">
        <f aca="false">IF($A176="","",SUMIFS('DAILY ENTRY'!$F$7:$F$1203,'DAILY ENTRY'!$A$7:$A$1203,$A176,'DAILY ENTRY'!$B$7:$B$1203,$B176,'DAILY ENTRY'!$D$7:$D$1203,"Engagement (commented on someone else)"))</f>
        <v/>
      </c>
      <c r="L176" s="107" t="str">
        <f aca="false">IF($A176="","",SUMIFS('DAILY ENTRY'!$F$7:$F$1203,'DAILY ENTRY'!$A$7:$A$1203,$A176,'DAILY ENTRY'!$B$7:$B$1203,$B176,'DAILY ENTRY'!$D$7:$D$1203,"Account created / profile completed"))</f>
        <v/>
      </c>
      <c r="M176" s="108" t="str">
        <f aca="false">IF($A176="","",IFERROR(INDEX('DAILY ENTRY'!$E$7:$E$1203,MATCH(1,INDEX(('DAILY ENTRY'!$A$7:$A$1203=$A176)*('DAILY ENTRY'!$B$7:$B$1203=$B176)*('DAILY ENTRY'!$I$7:$I$1203="Meeting booked"),0),0)),IFERROR(INDEX('DAILY ENTRY'!$E$7:$E$1203,MATCH(1,INDEX(('DAILY ENTRY'!$A$7:$A$1203=$A176)*('DAILY ENTRY'!$B$7:$B$1203=$B176)*('DAILY ENTRY'!$I$7:$I$1203="Positive reply"),0),0)),"")))</f>
        <v/>
      </c>
      <c r="N176" s="108" t="str">
        <f aca="false">IF($A176="","",IFERROR(INDEX('DAILY ENTRY'!$J$7:$J$1203,MATCH(1,INDEX(('DAILY ENTRY'!$A$7:$A$1203=$A176)*('DAILY ENTRY'!$B$7:$B$1203=$B176)*('DAILY ENTRY'!$I$7:$I$1203="Blocked"),0),0)),""))</f>
        <v/>
      </c>
      <c r="O176" s="65" t="str">
        <f aca="false">IF($A176="","",(D176&gt;='START HERE'!$B$25)+(E176&gt;='START HERE'!$B$26)+(F176&gt;='START HERE'!$B$27)+(G176&gt;='START HERE'!$B$28)+(H176&gt;='START HERE'!$B$29)+(I176&gt;='START HERE'!$B$30)+(J176&gt;='START HERE'!$B$31)+(K176&gt;='START HERE'!$B$32))</f>
        <v/>
      </c>
      <c r="P176" s="46" t="str">
        <f aca="false">IF($A176="","",IF(O176&gt;=7,"Full day",IF(O176&gt;=5,"Most targets met",IF(O176&gt;=3,"Half day","Below plan - explain in the blocker column"))))</f>
        <v/>
      </c>
    </row>
    <row r="177" customFormat="false" ht="24" hidden="false" customHeight="true" outlineLevel="0" collapsed="false">
      <c r="A177" s="36"/>
      <c r="B177" s="37"/>
      <c r="C177" s="107" t="str">
        <f aca="false">IF($A177="","",ROUND(SUMIFS('DAILY ENTRY'!$G$7:$G$1203,'DAILY ENTRY'!$A$7:$A$1203,$A177,'DAILY ENTRY'!$B$7:$B$1203,$B177)/60,1))</f>
        <v/>
      </c>
      <c r="D177" s="107" t="str">
        <f aca="false">IF($A177="","",SUMIFS('DAILY ENTRY'!$F$7:$F$1203,'DAILY ENTRY'!$A$7:$A$1203,$A177,'DAILY ENTRY'!$B$7:$B$1203,$B177,'DAILY ENTRY'!$D$7:$D$1203,"Lead researched (Sales Navigator)"))</f>
        <v/>
      </c>
      <c r="E177" s="107" t="str">
        <f aca="false">IF($A177="","",SUMIFS('DAILY ENTRY'!$F$7:$F$1203,'DAILY ENTRY'!$A$7:$A$1203,$A177,'DAILY ENTRY'!$B$7:$B$1203,$B177,'DAILY ENTRY'!$D$7:$D$1203,"Connection request sent"))</f>
        <v/>
      </c>
      <c r="F177" s="107" t="str">
        <f aca="false">IF($A177="","",SUMIFS('DAILY ENTRY'!$F$7:$F$1203,'DAILY ENTRY'!$A$7:$A$1203,$A177,'DAILY ENTRY'!$B$7:$B$1203,$B177,'DAILY ENTRY'!$D$7:$D$1203,"First message sent"))</f>
        <v/>
      </c>
      <c r="G177" s="107" t="str">
        <f aca="false">IF($A177="","",SUMIFS('DAILY ENTRY'!$F$7:$F$1203,'DAILY ENTRY'!$A$7:$A$1203,$A177,'DAILY ENTRY'!$B$7:$B$1203,$B177,'DAILY ENTRY'!$D$7:$D$1203,"Follow-up message sent"))</f>
        <v/>
      </c>
      <c r="H177" s="107" t="str">
        <f aca="false">IF($A177="","",SUMIFS('DAILY ENTRY'!$F$7:$F$1203,'DAILY ENTRY'!$A$7:$A$1203,$A177,'DAILY ENTRY'!$B$7:$B$1203,$B177,'DAILY ENTRY'!$D$7:$D$1203,"Post / content published"))</f>
        <v/>
      </c>
      <c r="I177" s="107" t="str">
        <f aca="false">IF($A177="","",SUMIFS('DAILY ENTRY'!$F$7:$F$1203,'DAILY ENTRY'!$A$7:$A$1203,$A177,'DAILY ENTRY'!$B$7:$B$1203,$B177,'DAILY ENTRY'!$D$7:$D$1203,"Community answer or comment"))</f>
        <v/>
      </c>
      <c r="J177" s="107" t="str">
        <f aca="false">IF($A177="","",SUMIFS('DAILY ENTRY'!$F$7:$F$1203,'DAILY ENTRY'!$A$7:$A$1203,$A177,'DAILY ENTRY'!$B$7:$B$1203,$B177,'DAILY ENTRY'!$D$7:$D$1203,"Partnership / PR contact"))</f>
        <v/>
      </c>
      <c r="K177" s="107" t="str">
        <f aca="false">IF($A177="","",SUMIFS('DAILY ENTRY'!$F$7:$F$1203,'DAILY ENTRY'!$A$7:$A$1203,$A177,'DAILY ENTRY'!$B$7:$B$1203,$B177,'DAILY ENTRY'!$D$7:$D$1203,"Engagement (commented on someone else)"))</f>
        <v/>
      </c>
      <c r="L177" s="107" t="str">
        <f aca="false">IF($A177="","",SUMIFS('DAILY ENTRY'!$F$7:$F$1203,'DAILY ENTRY'!$A$7:$A$1203,$A177,'DAILY ENTRY'!$B$7:$B$1203,$B177,'DAILY ENTRY'!$D$7:$D$1203,"Account created / profile completed"))</f>
        <v/>
      </c>
      <c r="M177" s="108" t="str">
        <f aca="false">IF($A177="","",IFERROR(INDEX('DAILY ENTRY'!$E$7:$E$1203,MATCH(1,INDEX(('DAILY ENTRY'!$A$7:$A$1203=$A177)*('DAILY ENTRY'!$B$7:$B$1203=$B177)*('DAILY ENTRY'!$I$7:$I$1203="Meeting booked"),0),0)),IFERROR(INDEX('DAILY ENTRY'!$E$7:$E$1203,MATCH(1,INDEX(('DAILY ENTRY'!$A$7:$A$1203=$A177)*('DAILY ENTRY'!$B$7:$B$1203=$B177)*('DAILY ENTRY'!$I$7:$I$1203="Positive reply"),0),0)),"")))</f>
        <v/>
      </c>
      <c r="N177" s="108" t="str">
        <f aca="false">IF($A177="","",IFERROR(INDEX('DAILY ENTRY'!$J$7:$J$1203,MATCH(1,INDEX(('DAILY ENTRY'!$A$7:$A$1203=$A177)*('DAILY ENTRY'!$B$7:$B$1203=$B177)*('DAILY ENTRY'!$I$7:$I$1203="Blocked"),0),0)),""))</f>
        <v/>
      </c>
      <c r="O177" s="65" t="str">
        <f aca="false">IF($A177="","",(D177&gt;='START HERE'!$B$25)+(E177&gt;='START HERE'!$B$26)+(F177&gt;='START HERE'!$B$27)+(G177&gt;='START HERE'!$B$28)+(H177&gt;='START HERE'!$B$29)+(I177&gt;='START HERE'!$B$30)+(J177&gt;='START HERE'!$B$31)+(K177&gt;='START HERE'!$B$32))</f>
        <v/>
      </c>
      <c r="P177" s="46" t="str">
        <f aca="false">IF($A177="","",IF(O177&gt;=7,"Full day",IF(O177&gt;=5,"Most targets met",IF(O177&gt;=3,"Half day","Below plan - explain in the blocker column"))))</f>
        <v/>
      </c>
    </row>
    <row r="178" customFormat="false" ht="24" hidden="false" customHeight="true" outlineLevel="0" collapsed="false">
      <c r="A178" s="36"/>
      <c r="B178" s="37"/>
      <c r="C178" s="107" t="str">
        <f aca="false">IF($A178="","",ROUND(SUMIFS('DAILY ENTRY'!$G$7:$G$1203,'DAILY ENTRY'!$A$7:$A$1203,$A178,'DAILY ENTRY'!$B$7:$B$1203,$B178)/60,1))</f>
        <v/>
      </c>
      <c r="D178" s="107" t="str">
        <f aca="false">IF($A178="","",SUMIFS('DAILY ENTRY'!$F$7:$F$1203,'DAILY ENTRY'!$A$7:$A$1203,$A178,'DAILY ENTRY'!$B$7:$B$1203,$B178,'DAILY ENTRY'!$D$7:$D$1203,"Lead researched (Sales Navigator)"))</f>
        <v/>
      </c>
      <c r="E178" s="107" t="str">
        <f aca="false">IF($A178="","",SUMIFS('DAILY ENTRY'!$F$7:$F$1203,'DAILY ENTRY'!$A$7:$A$1203,$A178,'DAILY ENTRY'!$B$7:$B$1203,$B178,'DAILY ENTRY'!$D$7:$D$1203,"Connection request sent"))</f>
        <v/>
      </c>
      <c r="F178" s="107" t="str">
        <f aca="false">IF($A178="","",SUMIFS('DAILY ENTRY'!$F$7:$F$1203,'DAILY ENTRY'!$A$7:$A$1203,$A178,'DAILY ENTRY'!$B$7:$B$1203,$B178,'DAILY ENTRY'!$D$7:$D$1203,"First message sent"))</f>
        <v/>
      </c>
      <c r="G178" s="107" t="str">
        <f aca="false">IF($A178="","",SUMIFS('DAILY ENTRY'!$F$7:$F$1203,'DAILY ENTRY'!$A$7:$A$1203,$A178,'DAILY ENTRY'!$B$7:$B$1203,$B178,'DAILY ENTRY'!$D$7:$D$1203,"Follow-up message sent"))</f>
        <v/>
      </c>
      <c r="H178" s="107" t="str">
        <f aca="false">IF($A178="","",SUMIFS('DAILY ENTRY'!$F$7:$F$1203,'DAILY ENTRY'!$A$7:$A$1203,$A178,'DAILY ENTRY'!$B$7:$B$1203,$B178,'DAILY ENTRY'!$D$7:$D$1203,"Post / content published"))</f>
        <v/>
      </c>
      <c r="I178" s="107" t="str">
        <f aca="false">IF($A178="","",SUMIFS('DAILY ENTRY'!$F$7:$F$1203,'DAILY ENTRY'!$A$7:$A$1203,$A178,'DAILY ENTRY'!$B$7:$B$1203,$B178,'DAILY ENTRY'!$D$7:$D$1203,"Community answer or comment"))</f>
        <v/>
      </c>
      <c r="J178" s="107" t="str">
        <f aca="false">IF($A178="","",SUMIFS('DAILY ENTRY'!$F$7:$F$1203,'DAILY ENTRY'!$A$7:$A$1203,$A178,'DAILY ENTRY'!$B$7:$B$1203,$B178,'DAILY ENTRY'!$D$7:$D$1203,"Partnership / PR contact"))</f>
        <v/>
      </c>
      <c r="K178" s="107" t="str">
        <f aca="false">IF($A178="","",SUMIFS('DAILY ENTRY'!$F$7:$F$1203,'DAILY ENTRY'!$A$7:$A$1203,$A178,'DAILY ENTRY'!$B$7:$B$1203,$B178,'DAILY ENTRY'!$D$7:$D$1203,"Engagement (commented on someone else)"))</f>
        <v/>
      </c>
      <c r="L178" s="107" t="str">
        <f aca="false">IF($A178="","",SUMIFS('DAILY ENTRY'!$F$7:$F$1203,'DAILY ENTRY'!$A$7:$A$1203,$A178,'DAILY ENTRY'!$B$7:$B$1203,$B178,'DAILY ENTRY'!$D$7:$D$1203,"Account created / profile completed"))</f>
        <v/>
      </c>
      <c r="M178" s="108" t="str">
        <f aca="false">IF($A178="","",IFERROR(INDEX('DAILY ENTRY'!$E$7:$E$1203,MATCH(1,INDEX(('DAILY ENTRY'!$A$7:$A$1203=$A178)*('DAILY ENTRY'!$B$7:$B$1203=$B178)*('DAILY ENTRY'!$I$7:$I$1203="Meeting booked"),0),0)),IFERROR(INDEX('DAILY ENTRY'!$E$7:$E$1203,MATCH(1,INDEX(('DAILY ENTRY'!$A$7:$A$1203=$A178)*('DAILY ENTRY'!$B$7:$B$1203=$B178)*('DAILY ENTRY'!$I$7:$I$1203="Positive reply"),0),0)),"")))</f>
        <v/>
      </c>
      <c r="N178" s="108" t="str">
        <f aca="false">IF($A178="","",IFERROR(INDEX('DAILY ENTRY'!$J$7:$J$1203,MATCH(1,INDEX(('DAILY ENTRY'!$A$7:$A$1203=$A178)*('DAILY ENTRY'!$B$7:$B$1203=$B178)*('DAILY ENTRY'!$I$7:$I$1203="Blocked"),0),0)),""))</f>
        <v/>
      </c>
      <c r="O178" s="65" t="str">
        <f aca="false">IF($A178="","",(D178&gt;='START HERE'!$B$25)+(E178&gt;='START HERE'!$B$26)+(F178&gt;='START HERE'!$B$27)+(G178&gt;='START HERE'!$B$28)+(H178&gt;='START HERE'!$B$29)+(I178&gt;='START HERE'!$B$30)+(J178&gt;='START HERE'!$B$31)+(K178&gt;='START HERE'!$B$32))</f>
        <v/>
      </c>
      <c r="P178" s="46" t="str">
        <f aca="false">IF($A178="","",IF(O178&gt;=7,"Full day",IF(O178&gt;=5,"Most targets met",IF(O178&gt;=3,"Half day","Below plan - explain in the blocker column"))))</f>
        <v/>
      </c>
    </row>
    <row r="179" customFormat="false" ht="24" hidden="false" customHeight="true" outlineLevel="0" collapsed="false">
      <c r="A179" s="36"/>
      <c r="B179" s="37"/>
      <c r="C179" s="107" t="str">
        <f aca="false">IF($A179="","",ROUND(SUMIFS('DAILY ENTRY'!$G$7:$G$1203,'DAILY ENTRY'!$A$7:$A$1203,$A179,'DAILY ENTRY'!$B$7:$B$1203,$B179)/60,1))</f>
        <v/>
      </c>
      <c r="D179" s="107" t="str">
        <f aca="false">IF($A179="","",SUMIFS('DAILY ENTRY'!$F$7:$F$1203,'DAILY ENTRY'!$A$7:$A$1203,$A179,'DAILY ENTRY'!$B$7:$B$1203,$B179,'DAILY ENTRY'!$D$7:$D$1203,"Lead researched (Sales Navigator)"))</f>
        <v/>
      </c>
      <c r="E179" s="107" t="str">
        <f aca="false">IF($A179="","",SUMIFS('DAILY ENTRY'!$F$7:$F$1203,'DAILY ENTRY'!$A$7:$A$1203,$A179,'DAILY ENTRY'!$B$7:$B$1203,$B179,'DAILY ENTRY'!$D$7:$D$1203,"Connection request sent"))</f>
        <v/>
      </c>
      <c r="F179" s="107" t="str">
        <f aca="false">IF($A179="","",SUMIFS('DAILY ENTRY'!$F$7:$F$1203,'DAILY ENTRY'!$A$7:$A$1203,$A179,'DAILY ENTRY'!$B$7:$B$1203,$B179,'DAILY ENTRY'!$D$7:$D$1203,"First message sent"))</f>
        <v/>
      </c>
      <c r="G179" s="107" t="str">
        <f aca="false">IF($A179="","",SUMIFS('DAILY ENTRY'!$F$7:$F$1203,'DAILY ENTRY'!$A$7:$A$1203,$A179,'DAILY ENTRY'!$B$7:$B$1203,$B179,'DAILY ENTRY'!$D$7:$D$1203,"Follow-up message sent"))</f>
        <v/>
      </c>
      <c r="H179" s="107" t="str">
        <f aca="false">IF($A179="","",SUMIFS('DAILY ENTRY'!$F$7:$F$1203,'DAILY ENTRY'!$A$7:$A$1203,$A179,'DAILY ENTRY'!$B$7:$B$1203,$B179,'DAILY ENTRY'!$D$7:$D$1203,"Post / content published"))</f>
        <v/>
      </c>
      <c r="I179" s="107" t="str">
        <f aca="false">IF($A179="","",SUMIFS('DAILY ENTRY'!$F$7:$F$1203,'DAILY ENTRY'!$A$7:$A$1203,$A179,'DAILY ENTRY'!$B$7:$B$1203,$B179,'DAILY ENTRY'!$D$7:$D$1203,"Community answer or comment"))</f>
        <v/>
      </c>
      <c r="J179" s="107" t="str">
        <f aca="false">IF($A179="","",SUMIFS('DAILY ENTRY'!$F$7:$F$1203,'DAILY ENTRY'!$A$7:$A$1203,$A179,'DAILY ENTRY'!$B$7:$B$1203,$B179,'DAILY ENTRY'!$D$7:$D$1203,"Partnership / PR contact"))</f>
        <v/>
      </c>
      <c r="K179" s="107" t="str">
        <f aca="false">IF($A179="","",SUMIFS('DAILY ENTRY'!$F$7:$F$1203,'DAILY ENTRY'!$A$7:$A$1203,$A179,'DAILY ENTRY'!$B$7:$B$1203,$B179,'DAILY ENTRY'!$D$7:$D$1203,"Engagement (commented on someone else)"))</f>
        <v/>
      </c>
      <c r="L179" s="107" t="str">
        <f aca="false">IF($A179="","",SUMIFS('DAILY ENTRY'!$F$7:$F$1203,'DAILY ENTRY'!$A$7:$A$1203,$A179,'DAILY ENTRY'!$B$7:$B$1203,$B179,'DAILY ENTRY'!$D$7:$D$1203,"Account created / profile completed"))</f>
        <v/>
      </c>
      <c r="M179" s="108" t="str">
        <f aca="false">IF($A179="","",IFERROR(INDEX('DAILY ENTRY'!$E$7:$E$1203,MATCH(1,INDEX(('DAILY ENTRY'!$A$7:$A$1203=$A179)*('DAILY ENTRY'!$B$7:$B$1203=$B179)*('DAILY ENTRY'!$I$7:$I$1203="Meeting booked"),0),0)),IFERROR(INDEX('DAILY ENTRY'!$E$7:$E$1203,MATCH(1,INDEX(('DAILY ENTRY'!$A$7:$A$1203=$A179)*('DAILY ENTRY'!$B$7:$B$1203=$B179)*('DAILY ENTRY'!$I$7:$I$1203="Positive reply"),0),0)),"")))</f>
        <v/>
      </c>
      <c r="N179" s="108" t="str">
        <f aca="false">IF($A179="","",IFERROR(INDEX('DAILY ENTRY'!$J$7:$J$1203,MATCH(1,INDEX(('DAILY ENTRY'!$A$7:$A$1203=$A179)*('DAILY ENTRY'!$B$7:$B$1203=$B179)*('DAILY ENTRY'!$I$7:$I$1203="Blocked"),0),0)),""))</f>
        <v/>
      </c>
      <c r="O179" s="65" t="str">
        <f aca="false">IF($A179="","",(D179&gt;='START HERE'!$B$25)+(E179&gt;='START HERE'!$B$26)+(F179&gt;='START HERE'!$B$27)+(G179&gt;='START HERE'!$B$28)+(H179&gt;='START HERE'!$B$29)+(I179&gt;='START HERE'!$B$30)+(J179&gt;='START HERE'!$B$31)+(K179&gt;='START HERE'!$B$32))</f>
        <v/>
      </c>
      <c r="P179" s="46" t="str">
        <f aca="false">IF($A179="","",IF(O179&gt;=7,"Full day",IF(O179&gt;=5,"Most targets met",IF(O179&gt;=3,"Half day","Below plan - explain in the blocker column"))))</f>
        <v/>
      </c>
    </row>
    <row r="180" customFormat="false" ht="24" hidden="false" customHeight="true" outlineLevel="0" collapsed="false">
      <c r="A180" s="36"/>
      <c r="B180" s="37"/>
      <c r="C180" s="107" t="str">
        <f aca="false">IF($A180="","",ROUND(SUMIFS('DAILY ENTRY'!$G$7:$G$1203,'DAILY ENTRY'!$A$7:$A$1203,$A180,'DAILY ENTRY'!$B$7:$B$1203,$B180)/60,1))</f>
        <v/>
      </c>
      <c r="D180" s="107" t="str">
        <f aca="false">IF($A180="","",SUMIFS('DAILY ENTRY'!$F$7:$F$1203,'DAILY ENTRY'!$A$7:$A$1203,$A180,'DAILY ENTRY'!$B$7:$B$1203,$B180,'DAILY ENTRY'!$D$7:$D$1203,"Lead researched (Sales Navigator)"))</f>
        <v/>
      </c>
      <c r="E180" s="107" t="str">
        <f aca="false">IF($A180="","",SUMIFS('DAILY ENTRY'!$F$7:$F$1203,'DAILY ENTRY'!$A$7:$A$1203,$A180,'DAILY ENTRY'!$B$7:$B$1203,$B180,'DAILY ENTRY'!$D$7:$D$1203,"Connection request sent"))</f>
        <v/>
      </c>
      <c r="F180" s="107" t="str">
        <f aca="false">IF($A180="","",SUMIFS('DAILY ENTRY'!$F$7:$F$1203,'DAILY ENTRY'!$A$7:$A$1203,$A180,'DAILY ENTRY'!$B$7:$B$1203,$B180,'DAILY ENTRY'!$D$7:$D$1203,"First message sent"))</f>
        <v/>
      </c>
      <c r="G180" s="107" t="str">
        <f aca="false">IF($A180="","",SUMIFS('DAILY ENTRY'!$F$7:$F$1203,'DAILY ENTRY'!$A$7:$A$1203,$A180,'DAILY ENTRY'!$B$7:$B$1203,$B180,'DAILY ENTRY'!$D$7:$D$1203,"Follow-up message sent"))</f>
        <v/>
      </c>
      <c r="H180" s="107" t="str">
        <f aca="false">IF($A180="","",SUMIFS('DAILY ENTRY'!$F$7:$F$1203,'DAILY ENTRY'!$A$7:$A$1203,$A180,'DAILY ENTRY'!$B$7:$B$1203,$B180,'DAILY ENTRY'!$D$7:$D$1203,"Post / content published"))</f>
        <v/>
      </c>
      <c r="I180" s="107" t="str">
        <f aca="false">IF($A180="","",SUMIFS('DAILY ENTRY'!$F$7:$F$1203,'DAILY ENTRY'!$A$7:$A$1203,$A180,'DAILY ENTRY'!$B$7:$B$1203,$B180,'DAILY ENTRY'!$D$7:$D$1203,"Community answer or comment"))</f>
        <v/>
      </c>
      <c r="J180" s="107" t="str">
        <f aca="false">IF($A180="","",SUMIFS('DAILY ENTRY'!$F$7:$F$1203,'DAILY ENTRY'!$A$7:$A$1203,$A180,'DAILY ENTRY'!$B$7:$B$1203,$B180,'DAILY ENTRY'!$D$7:$D$1203,"Partnership / PR contact"))</f>
        <v/>
      </c>
      <c r="K180" s="107" t="str">
        <f aca="false">IF($A180="","",SUMIFS('DAILY ENTRY'!$F$7:$F$1203,'DAILY ENTRY'!$A$7:$A$1203,$A180,'DAILY ENTRY'!$B$7:$B$1203,$B180,'DAILY ENTRY'!$D$7:$D$1203,"Engagement (commented on someone else)"))</f>
        <v/>
      </c>
      <c r="L180" s="107" t="str">
        <f aca="false">IF($A180="","",SUMIFS('DAILY ENTRY'!$F$7:$F$1203,'DAILY ENTRY'!$A$7:$A$1203,$A180,'DAILY ENTRY'!$B$7:$B$1203,$B180,'DAILY ENTRY'!$D$7:$D$1203,"Account created / profile completed"))</f>
        <v/>
      </c>
      <c r="M180" s="108" t="str">
        <f aca="false">IF($A180="","",IFERROR(INDEX('DAILY ENTRY'!$E$7:$E$1203,MATCH(1,INDEX(('DAILY ENTRY'!$A$7:$A$1203=$A180)*('DAILY ENTRY'!$B$7:$B$1203=$B180)*('DAILY ENTRY'!$I$7:$I$1203="Meeting booked"),0),0)),IFERROR(INDEX('DAILY ENTRY'!$E$7:$E$1203,MATCH(1,INDEX(('DAILY ENTRY'!$A$7:$A$1203=$A180)*('DAILY ENTRY'!$B$7:$B$1203=$B180)*('DAILY ENTRY'!$I$7:$I$1203="Positive reply"),0),0)),"")))</f>
        <v/>
      </c>
      <c r="N180" s="108" t="str">
        <f aca="false">IF($A180="","",IFERROR(INDEX('DAILY ENTRY'!$J$7:$J$1203,MATCH(1,INDEX(('DAILY ENTRY'!$A$7:$A$1203=$A180)*('DAILY ENTRY'!$B$7:$B$1203=$B180)*('DAILY ENTRY'!$I$7:$I$1203="Blocked"),0),0)),""))</f>
        <v/>
      </c>
      <c r="O180" s="65" t="str">
        <f aca="false">IF($A180="","",(D180&gt;='START HERE'!$B$25)+(E180&gt;='START HERE'!$B$26)+(F180&gt;='START HERE'!$B$27)+(G180&gt;='START HERE'!$B$28)+(H180&gt;='START HERE'!$B$29)+(I180&gt;='START HERE'!$B$30)+(J180&gt;='START HERE'!$B$31)+(K180&gt;='START HERE'!$B$32))</f>
        <v/>
      </c>
      <c r="P180" s="46" t="str">
        <f aca="false">IF($A180="","",IF(O180&gt;=7,"Full day",IF(O180&gt;=5,"Most targets met",IF(O180&gt;=3,"Half day","Below plan - explain in the blocker column"))))</f>
        <v/>
      </c>
    </row>
    <row r="181" customFormat="false" ht="24" hidden="false" customHeight="true" outlineLevel="0" collapsed="false">
      <c r="A181" s="36"/>
      <c r="B181" s="37"/>
      <c r="C181" s="107" t="str">
        <f aca="false">IF($A181="","",ROUND(SUMIFS('DAILY ENTRY'!$G$7:$G$1203,'DAILY ENTRY'!$A$7:$A$1203,$A181,'DAILY ENTRY'!$B$7:$B$1203,$B181)/60,1))</f>
        <v/>
      </c>
      <c r="D181" s="107" t="str">
        <f aca="false">IF($A181="","",SUMIFS('DAILY ENTRY'!$F$7:$F$1203,'DAILY ENTRY'!$A$7:$A$1203,$A181,'DAILY ENTRY'!$B$7:$B$1203,$B181,'DAILY ENTRY'!$D$7:$D$1203,"Lead researched (Sales Navigator)"))</f>
        <v/>
      </c>
      <c r="E181" s="107" t="str">
        <f aca="false">IF($A181="","",SUMIFS('DAILY ENTRY'!$F$7:$F$1203,'DAILY ENTRY'!$A$7:$A$1203,$A181,'DAILY ENTRY'!$B$7:$B$1203,$B181,'DAILY ENTRY'!$D$7:$D$1203,"Connection request sent"))</f>
        <v/>
      </c>
      <c r="F181" s="107" t="str">
        <f aca="false">IF($A181="","",SUMIFS('DAILY ENTRY'!$F$7:$F$1203,'DAILY ENTRY'!$A$7:$A$1203,$A181,'DAILY ENTRY'!$B$7:$B$1203,$B181,'DAILY ENTRY'!$D$7:$D$1203,"First message sent"))</f>
        <v/>
      </c>
      <c r="G181" s="107" t="str">
        <f aca="false">IF($A181="","",SUMIFS('DAILY ENTRY'!$F$7:$F$1203,'DAILY ENTRY'!$A$7:$A$1203,$A181,'DAILY ENTRY'!$B$7:$B$1203,$B181,'DAILY ENTRY'!$D$7:$D$1203,"Follow-up message sent"))</f>
        <v/>
      </c>
      <c r="H181" s="107" t="str">
        <f aca="false">IF($A181="","",SUMIFS('DAILY ENTRY'!$F$7:$F$1203,'DAILY ENTRY'!$A$7:$A$1203,$A181,'DAILY ENTRY'!$B$7:$B$1203,$B181,'DAILY ENTRY'!$D$7:$D$1203,"Post / content published"))</f>
        <v/>
      </c>
      <c r="I181" s="107" t="str">
        <f aca="false">IF($A181="","",SUMIFS('DAILY ENTRY'!$F$7:$F$1203,'DAILY ENTRY'!$A$7:$A$1203,$A181,'DAILY ENTRY'!$B$7:$B$1203,$B181,'DAILY ENTRY'!$D$7:$D$1203,"Community answer or comment"))</f>
        <v/>
      </c>
      <c r="J181" s="107" t="str">
        <f aca="false">IF($A181="","",SUMIFS('DAILY ENTRY'!$F$7:$F$1203,'DAILY ENTRY'!$A$7:$A$1203,$A181,'DAILY ENTRY'!$B$7:$B$1203,$B181,'DAILY ENTRY'!$D$7:$D$1203,"Partnership / PR contact"))</f>
        <v/>
      </c>
      <c r="K181" s="107" t="str">
        <f aca="false">IF($A181="","",SUMIFS('DAILY ENTRY'!$F$7:$F$1203,'DAILY ENTRY'!$A$7:$A$1203,$A181,'DAILY ENTRY'!$B$7:$B$1203,$B181,'DAILY ENTRY'!$D$7:$D$1203,"Engagement (commented on someone else)"))</f>
        <v/>
      </c>
      <c r="L181" s="107" t="str">
        <f aca="false">IF($A181="","",SUMIFS('DAILY ENTRY'!$F$7:$F$1203,'DAILY ENTRY'!$A$7:$A$1203,$A181,'DAILY ENTRY'!$B$7:$B$1203,$B181,'DAILY ENTRY'!$D$7:$D$1203,"Account created / profile completed"))</f>
        <v/>
      </c>
      <c r="M181" s="108" t="str">
        <f aca="false">IF($A181="","",IFERROR(INDEX('DAILY ENTRY'!$E$7:$E$1203,MATCH(1,INDEX(('DAILY ENTRY'!$A$7:$A$1203=$A181)*('DAILY ENTRY'!$B$7:$B$1203=$B181)*('DAILY ENTRY'!$I$7:$I$1203="Meeting booked"),0),0)),IFERROR(INDEX('DAILY ENTRY'!$E$7:$E$1203,MATCH(1,INDEX(('DAILY ENTRY'!$A$7:$A$1203=$A181)*('DAILY ENTRY'!$B$7:$B$1203=$B181)*('DAILY ENTRY'!$I$7:$I$1203="Positive reply"),0),0)),"")))</f>
        <v/>
      </c>
      <c r="N181" s="108" t="str">
        <f aca="false">IF($A181="","",IFERROR(INDEX('DAILY ENTRY'!$J$7:$J$1203,MATCH(1,INDEX(('DAILY ENTRY'!$A$7:$A$1203=$A181)*('DAILY ENTRY'!$B$7:$B$1203=$B181)*('DAILY ENTRY'!$I$7:$I$1203="Blocked"),0),0)),""))</f>
        <v/>
      </c>
      <c r="O181" s="65" t="str">
        <f aca="false">IF($A181="","",(D181&gt;='START HERE'!$B$25)+(E181&gt;='START HERE'!$B$26)+(F181&gt;='START HERE'!$B$27)+(G181&gt;='START HERE'!$B$28)+(H181&gt;='START HERE'!$B$29)+(I181&gt;='START HERE'!$B$30)+(J181&gt;='START HERE'!$B$31)+(K181&gt;='START HERE'!$B$32))</f>
        <v/>
      </c>
      <c r="P181" s="46" t="str">
        <f aca="false">IF($A181="","",IF(O181&gt;=7,"Full day",IF(O181&gt;=5,"Most targets met",IF(O181&gt;=3,"Half day","Below plan - explain in the blocker column"))))</f>
        <v/>
      </c>
    </row>
    <row r="182" customFormat="false" ht="24" hidden="false" customHeight="true" outlineLevel="0" collapsed="false">
      <c r="A182" s="36"/>
      <c r="B182" s="37"/>
      <c r="C182" s="107" t="str">
        <f aca="false">IF($A182="","",ROUND(SUMIFS('DAILY ENTRY'!$G$7:$G$1203,'DAILY ENTRY'!$A$7:$A$1203,$A182,'DAILY ENTRY'!$B$7:$B$1203,$B182)/60,1))</f>
        <v/>
      </c>
      <c r="D182" s="107" t="str">
        <f aca="false">IF($A182="","",SUMIFS('DAILY ENTRY'!$F$7:$F$1203,'DAILY ENTRY'!$A$7:$A$1203,$A182,'DAILY ENTRY'!$B$7:$B$1203,$B182,'DAILY ENTRY'!$D$7:$D$1203,"Lead researched (Sales Navigator)"))</f>
        <v/>
      </c>
      <c r="E182" s="107" t="str">
        <f aca="false">IF($A182="","",SUMIFS('DAILY ENTRY'!$F$7:$F$1203,'DAILY ENTRY'!$A$7:$A$1203,$A182,'DAILY ENTRY'!$B$7:$B$1203,$B182,'DAILY ENTRY'!$D$7:$D$1203,"Connection request sent"))</f>
        <v/>
      </c>
      <c r="F182" s="107" t="str">
        <f aca="false">IF($A182="","",SUMIFS('DAILY ENTRY'!$F$7:$F$1203,'DAILY ENTRY'!$A$7:$A$1203,$A182,'DAILY ENTRY'!$B$7:$B$1203,$B182,'DAILY ENTRY'!$D$7:$D$1203,"First message sent"))</f>
        <v/>
      </c>
      <c r="G182" s="107" t="str">
        <f aca="false">IF($A182="","",SUMIFS('DAILY ENTRY'!$F$7:$F$1203,'DAILY ENTRY'!$A$7:$A$1203,$A182,'DAILY ENTRY'!$B$7:$B$1203,$B182,'DAILY ENTRY'!$D$7:$D$1203,"Follow-up message sent"))</f>
        <v/>
      </c>
      <c r="H182" s="107" t="str">
        <f aca="false">IF($A182="","",SUMIFS('DAILY ENTRY'!$F$7:$F$1203,'DAILY ENTRY'!$A$7:$A$1203,$A182,'DAILY ENTRY'!$B$7:$B$1203,$B182,'DAILY ENTRY'!$D$7:$D$1203,"Post / content published"))</f>
        <v/>
      </c>
      <c r="I182" s="107" t="str">
        <f aca="false">IF($A182="","",SUMIFS('DAILY ENTRY'!$F$7:$F$1203,'DAILY ENTRY'!$A$7:$A$1203,$A182,'DAILY ENTRY'!$B$7:$B$1203,$B182,'DAILY ENTRY'!$D$7:$D$1203,"Community answer or comment"))</f>
        <v/>
      </c>
      <c r="J182" s="107" t="str">
        <f aca="false">IF($A182="","",SUMIFS('DAILY ENTRY'!$F$7:$F$1203,'DAILY ENTRY'!$A$7:$A$1203,$A182,'DAILY ENTRY'!$B$7:$B$1203,$B182,'DAILY ENTRY'!$D$7:$D$1203,"Partnership / PR contact"))</f>
        <v/>
      </c>
      <c r="K182" s="107" t="str">
        <f aca="false">IF($A182="","",SUMIFS('DAILY ENTRY'!$F$7:$F$1203,'DAILY ENTRY'!$A$7:$A$1203,$A182,'DAILY ENTRY'!$B$7:$B$1203,$B182,'DAILY ENTRY'!$D$7:$D$1203,"Engagement (commented on someone else)"))</f>
        <v/>
      </c>
      <c r="L182" s="107" t="str">
        <f aca="false">IF($A182="","",SUMIFS('DAILY ENTRY'!$F$7:$F$1203,'DAILY ENTRY'!$A$7:$A$1203,$A182,'DAILY ENTRY'!$B$7:$B$1203,$B182,'DAILY ENTRY'!$D$7:$D$1203,"Account created / profile completed"))</f>
        <v/>
      </c>
      <c r="M182" s="108" t="str">
        <f aca="false">IF($A182="","",IFERROR(INDEX('DAILY ENTRY'!$E$7:$E$1203,MATCH(1,INDEX(('DAILY ENTRY'!$A$7:$A$1203=$A182)*('DAILY ENTRY'!$B$7:$B$1203=$B182)*('DAILY ENTRY'!$I$7:$I$1203="Meeting booked"),0),0)),IFERROR(INDEX('DAILY ENTRY'!$E$7:$E$1203,MATCH(1,INDEX(('DAILY ENTRY'!$A$7:$A$1203=$A182)*('DAILY ENTRY'!$B$7:$B$1203=$B182)*('DAILY ENTRY'!$I$7:$I$1203="Positive reply"),0),0)),"")))</f>
        <v/>
      </c>
      <c r="N182" s="108" t="str">
        <f aca="false">IF($A182="","",IFERROR(INDEX('DAILY ENTRY'!$J$7:$J$1203,MATCH(1,INDEX(('DAILY ENTRY'!$A$7:$A$1203=$A182)*('DAILY ENTRY'!$B$7:$B$1203=$B182)*('DAILY ENTRY'!$I$7:$I$1203="Blocked"),0),0)),""))</f>
        <v/>
      </c>
      <c r="O182" s="65" t="str">
        <f aca="false">IF($A182="","",(D182&gt;='START HERE'!$B$25)+(E182&gt;='START HERE'!$B$26)+(F182&gt;='START HERE'!$B$27)+(G182&gt;='START HERE'!$B$28)+(H182&gt;='START HERE'!$B$29)+(I182&gt;='START HERE'!$B$30)+(J182&gt;='START HERE'!$B$31)+(K182&gt;='START HERE'!$B$32))</f>
        <v/>
      </c>
      <c r="P182" s="46" t="str">
        <f aca="false">IF($A182="","",IF(O182&gt;=7,"Full day",IF(O182&gt;=5,"Most targets met",IF(O182&gt;=3,"Half day","Below plan - explain in the blocker column"))))</f>
        <v/>
      </c>
    </row>
    <row r="183" customFormat="false" ht="24" hidden="false" customHeight="true" outlineLevel="0" collapsed="false">
      <c r="A183" s="36"/>
      <c r="B183" s="37"/>
      <c r="C183" s="107" t="str">
        <f aca="false">IF($A183="","",ROUND(SUMIFS('DAILY ENTRY'!$G$7:$G$1203,'DAILY ENTRY'!$A$7:$A$1203,$A183,'DAILY ENTRY'!$B$7:$B$1203,$B183)/60,1))</f>
        <v/>
      </c>
      <c r="D183" s="107" t="str">
        <f aca="false">IF($A183="","",SUMIFS('DAILY ENTRY'!$F$7:$F$1203,'DAILY ENTRY'!$A$7:$A$1203,$A183,'DAILY ENTRY'!$B$7:$B$1203,$B183,'DAILY ENTRY'!$D$7:$D$1203,"Lead researched (Sales Navigator)"))</f>
        <v/>
      </c>
      <c r="E183" s="107" t="str">
        <f aca="false">IF($A183="","",SUMIFS('DAILY ENTRY'!$F$7:$F$1203,'DAILY ENTRY'!$A$7:$A$1203,$A183,'DAILY ENTRY'!$B$7:$B$1203,$B183,'DAILY ENTRY'!$D$7:$D$1203,"Connection request sent"))</f>
        <v/>
      </c>
      <c r="F183" s="107" t="str">
        <f aca="false">IF($A183="","",SUMIFS('DAILY ENTRY'!$F$7:$F$1203,'DAILY ENTRY'!$A$7:$A$1203,$A183,'DAILY ENTRY'!$B$7:$B$1203,$B183,'DAILY ENTRY'!$D$7:$D$1203,"First message sent"))</f>
        <v/>
      </c>
      <c r="G183" s="107" t="str">
        <f aca="false">IF($A183="","",SUMIFS('DAILY ENTRY'!$F$7:$F$1203,'DAILY ENTRY'!$A$7:$A$1203,$A183,'DAILY ENTRY'!$B$7:$B$1203,$B183,'DAILY ENTRY'!$D$7:$D$1203,"Follow-up message sent"))</f>
        <v/>
      </c>
      <c r="H183" s="107" t="str">
        <f aca="false">IF($A183="","",SUMIFS('DAILY ENTRY'!$F$7:$F$1203,'DAILY ENTRY'!$A$7:$A$1203,$A183,'DAILY ENTRY'!$B$7:$B$1203,$B183,'DAILY ENTRY'!$D$7:$D$1203,"Post / content published"))</f>
        <v/>
      </c>
      <c r="I183" s="107" t="str">
        <f aca="false">IF($A183="","",SUMIFS('DAILY ENTRY'!$F$7:$F$1203,'DAILY ENTRY'!$A$7:$A$1203,$A183,'DAILY ENTRY'!$B$7:$B$1203,$B183,'DAILY ENTRY'!$D$7:$D$1203,"Community answer or comment"))</f>
        <v/>
      </c>
      <c r="J183" s="107" t="str">
        <f aca="false">IF($A183="","",SUMIFS('DAILY ENTRY'!$F$7:$F$1203,'DAILY ENTRY'!$A$7:$A$1203,$A183,'DAILY ENTRY'!$B$7:$B$1203,$B183,'DAILY ENTRY'!$D$7:$D$1203,"Partnership / PR contact"))</f>
        <v/>
      </c>
      <c r="K183" s="107" t="str">
        <f aca="false">IF($A183="","",SUMIFS('DAILY ENTRY'!$F$7:$F$1203,'DAILY ENTRY'!$A$7:$A$1203,$A183,'DAILY ENTRY'!$B$7:$B$1203,$B183,'DAILY ENTRY'!$D$7:$D$1203,"Engagement (commented on someone else)"))</f>
        <v/>
      </c>
      <c r="L183" s="107" t="str">
        <f aca="false">IF($A183="","",SUMIFS('DAILY ENTRY'!$F$7:$F$1203,'DAILY ENTRY'!$A$7:$A$1203,$A183,'DAILY ENTRY'!$B$7:$B$1203,$B183,'DAILY ENTRY'!$D$7:$D$1203,"Account created / profile completed"))</f>
        <v/>
      </c>
      <c r="M183" s="108" t="str">
        <f aca="false">IF($A183="","",IFERROR(INDEX('DAILY ENTRY'!$E$7:$E$1203,MATCH(1,INDEX(('DAILY ENTRY'!$A$7:$A$1203=$A183)*('DAILY ENTRY'!$B$7:$B$1203=$B183)*('DAILY ENTRY'!$I$7:$I$1203="Meeting booked"),0),0)),IFERROR(INDEX('DAILY ENTRY'!$E$7:$E$1203,MATCH(1,INDEX(('DAILY ENTRY'!$A$7:$A$1203=$A183)*('DAILY ENTRY'!$B$7:$B$1203=$B183)*('DAILY ENTRY'!$I$7:$I$1203="Positive reply"),0),0)),"")))</f>
        <v/>
      </c>
      <c r="N183" s="108" t="str">
        <f aca="false">IF($A183="","",IFERROR(INDEX('DAILY ENTRY'!$J$7:$J$1203,MATCH(1,INDEX(('DAILY ENTRY'!$A$7:$A$1203=$A183)*('DAILY ENTRY'!$B$7:$B$1203=$B183)*('DAILY ENTRY'!$I$7:$I$1203="Blocked"),0),0)),""))</f>
        <v/>
      </c>
      <c r="O183" s="65" t="str">
        <f aca="false">IF($A183="","",(D183&gt;='START HERE'!$B$25)+(E183&gt;='START HERE'!$B$26)+(F183&gt;='START HERE'!$B$27)+(G183&gt;='START HERE'!$B$28)+(H183&gt;='START HERE'!$B$29)+(I183&gt;='START HERE'!$B$30)+(J183&gt;='START HERE'!$B$31)+(K183&gt;='START HERE'!$B$32))</f>
        <v/>
      </c>
      <c r="P183" s="46" t="str">
        <f aca="false">IF($A183="","",IF(O183&gt;=7,"Full day",IF(O183&gt;=5,"Most targets met",IF(O183&gt;=3,"Half day","Below plan - explain in the blocker column"))))</f>
        <v/>
      </c>
    </row>
    <row r="184" customFormat="false" ht="24" hidden="false" customHeight="true" outlineLevel="0" collapsed="false">
      <c r="A184" s="36"/>
      <c r="B184" s="37"/>
      <c r="C184" s="107" t="str">
        <f aca="false">IF($A184="","",ROUND(SUMIFS('DAILY ENTRY'!$G$7:$G$1203,'DAILY ENTRY'!$A$7:$A$1203,$A184,'DAILY ENTRY'!$B$7:$B$1203,$B184)/60,1))</f>
        <v/>
      </c>
      <c r="D184" s="107" t="str">
        <f aca="false">IF($A184="","",SUMIFS('DAILY ENTRY'!$F$7:$F$1203,'DAILY ENTRY'!$A$7:$A$1203,$A184,'DAILY ENTRY'!$B$7:$B$1203,$B184,'DAILY ENTRY'!$D$7:$D$1203,"Lead researched (Sales Navigator)"))</f>
        <v/>
      </c>
      <c r="E184" s="107" t="str">
        <f aca="false">IF($A184="","",SUMIFS('DAILY ENTRY'!$F$7:$F$1203,'DAILY ENTRY'!$A$7:$A$1203,$A184,'DAILY ENTRY'!$B$7:$B$1203,$B184,'DAILY ENTRY'!$D$7:$D$1203,"Connection request sent"))</f>
        <v/>
      </c>
      <c r="F184" s="107" t="str">
        <f aca="false">IF($A184="","",SUMIFS('DAILY ENTRY'!$F$7:$F$1203,'DAILY ENTRY'!$A$7:$A$1203,$A184,'DAILY ENTRY'!$B$7:$B$1203,$B184,'DAILY ENTRY'!$D$7:$D$1203,"First message sent"))</f>
        <v/>
      </c>
      <c r="G184" s="107" t="str">
        <f aca="false">IF($A184="","",SUMIFS('DAILY ENTRY'!$F$7:$F$1203,'DAILY ENTRY'!$A$7:$A$1203,$A184,'DAILY ENTRY'!$B$7:$B$1203,$B184,'DAILY ENTRY'!$D$7:$D$1203,"Follow-up message sent"))</f>
        <v/>
      </c>
      <c r="H184" s="107" t="str">
        <f aca="false">IF($A184="","",SUMIFS('DAILY ENTRY'!$F$7:$F$1203,'DAILY ENTRY'!$A$7:$A$1203,$A184,'DAILY ENTRY'!$B$7:$B$1203,$B184,'DAILY ENTRY'!$D$7:$D$1203,"Post / content published"))</f>
        <v/>
      </c>
      <c r="I184" s="107" t="str">
        <f aca="false">IF($A184="","",SUMIFS('DAILY ENTRY'!$F$7:$F$1203,'DAILY ENTRY'!$A$7:$A$1203,$A184,'DAILY ENTRY'!$B$7:$B$1203,$B184,'DAILY ENTRY'!$D$7:$D$1203,"Community answer or comment"))</f>
        <v/>
      </c>
      <c r="J184" s="107" t="str">
        <f aca="false">IF($A184="","",SUMIFS('DAILY ENTRY'!$F$7:$F$1203,'DAILY ENTRY'!$A$7:$A$1203,$A184,'DAILY ENTRY'!$B$7:$B$1203,$B184,'DAILY ENTRY'!$D$7:$D$1203,"Partnership / PR contact"))</f>
        <v/>
      </c>
      <c r="K184" s="107" t="str">
        <f aca="false">IF($A184="","",SUMIFS('DAILY ENTRY'!$F$7:$F$1203,'DAILY ENTRY'!$A$7:$A$1203,$A184,'DAILY ENTRY'!$B$7:$B$1203,$B184,'DAILY ENTRY'!$D$7:$D$1203,"Engagement (commented on someone else)"))</f>
        <v/>
      </c>
      <c r="L184" s="107" t="str">
        <f aca="false">IF($A184="","",SUMIFS('DAILY ENTRY'!$F$7:$F$1203,'DAILY ENTRY'!$A$7:$A$1203,$A184,'DAILY ENTRY'!$B$7:$B$1203,$B184,'DAILY ENTRY'!$D$7:$D$1203,"Account created / profile completed"))</f>
        <v/>
      </c>
      <c r="M184" s="108" t="str">
        <f aca="false">IF($A184="","",IFERROR(INDEX('DAILY ENTRY'!$E$7:$E$1203,MATCH(1,INDEX(('DAILY ENTRY'!$A$7:$A$1203=$A184)*('DAILY ENTRY'!$B$7:$B$1203=$B184)*('DAILY ENTRY'!$I$7:$I$1203="Meeting booked"),0),0)),IFERROR(INDEX('DAILY ENTRY'!$E$7:$E$1203,MATCH(1,INDEX(('DAILY ENTRY'!$A$7:$A$1203=$A184)*('DAILY ENTRY'!$B$7:$B$1203=$B184)*('DAILY ENTRY'!$I$7:$I$1203="Positive reply"),0),0)),"")))</f>
        <v/>
      </c>
      <c r="N184" s="108" t="str">
        <f aca="false">IF($A184="","",IFERROR(INDEX('DAILY ENTRY'!$J$7:$J$1203,MATCH(1,INDEX(('DAILY ENTRY'!$A$7:$A$1203=$A184)*('DAILY ENTRY'!$B$7:$B$1203=$B184)*('DAILY ENTRY'!$I$7:$I$1203="Blocked"),0),0)),""))</f>
        <v/>
      </c>
      <c r="O184" s="65" t="str">
        <f aca="false">IF($A184="","",(D184&gt;='START HERE'!$B$25)+(E184&gt;='START HERE'!$B$26)+(F184&gt;='START HERE'!$B$27)+(G184&gt;='START HERE'!$B$28)+(H184&gt;='START HERE'!$B$29)+(I184&gt;='START HERE'!$B$30)+(J184&gt;='START HERE'!$B$31)+(K184&gt;='START HERE'!$B$32))</f>
        <v/>
      </c>
      <c r="P184" s="46" t="str">
        <f aca="false">IF($A184="","",IF(O184&gt;=7,"Full day",IF(O184&gt;=5,"Most targets met",IF(O184&gt;=3,"Half day","Below plan - explain in the blocker column"))))</f>
        <v/>
      </c>
    </row>
    <row r="185" customFormat="false" ht="24" hidden="false" customHeight="true" outlineLevel="0" collapsed="false">
      <c r="A185" s="36"/>
      <c r="B185" s="37"/>
      <c r="C185" s="107" t="str">
        <f aca="false">IF($A185="","",ROUND(SUMIFS('DAILY ENTRY'!$G$7:$G$1203,'DAILY ENTRY'!$A$7:$A$1203,$A185,'DAILY ENTRY'!$B$7:$B$1203,$B185)/60,1))</f>
        <v/>
      </c>
      <c r="D185" s="107" t="str">
        <f aca="false">IF($A185="","",SUMIFS('DAILY ENTRY'!$F$7:$F$1203,'DAILY ENTRY'!$A$7:$A$1203,$A185,'DAILY ENTRY'!$B$7:$B$1203,$B185,'DAILY ENTRY'!$D$7:$D$1203,"Lead researched (Sales Navigator)"))</f>
        <v/>
      </c>
      <c r="E185" s="107" t="str">
        <f aca="false">IF($A185="","",SUMIFS('DAILY ENTRY'!$F$7:$F$1203,'DAILY ENTRY'!$A$7:$A$1203,$A185,'DAILY ENTRY'!$B$7:$B$1203,$B185,'DAILY ENTRY'!$D$7:$D$1203,"Connection request sent"))</f>
        <v/>
      </c>
      <c r="F185" s="107" t="str">
        <f aca="false">IF($A185="","",SUMIFS('DAILY ENTRY'!$F$7:$F$1203,'DAILY ENTRY'!$A$7:$A$1203,$A185,'DAILY ENTRY'!$B$7:$B$1203,$B185,'DAILY ENTRY'!$D$7:$D$1203,"First message sent"))</f>
        <v/>
      </c>
      <c r="G185" s="107" t="str">
        <f aca="false">IF($A185="","",SUMIFS('DAILY ENTRY'!$F$7:$F$1203,'DAILY ENTRY'!$A$7:$A$1203,$A185,'DAILY ENTRY'!$B$7:$B$1203,$B185,'DAILY ENTRY'!$D$7:$D$1203,"Follow-up message sent"))</f>
        <v/>
      </c>
      <c r="H185" s="107" t="str">
        <f aca="false">IF($A185="","",SUMIFS('DAILY ENTRY'!$F$7:$F$1203,'DAILY ENTRY'!$A$7:$A$1203,$A185,'DAILY ENTRY'!$B$7:$B$1203,$B185,'DAILY ENTRY'!$D$7:$D$1203,"Post / content published"))</f>
        <v/>
      </c>
      <c r="I185" s="107" t="str">
        <f aca="false">IF($A185="","",SUMIFS('DAILY ENTRY'!$F$7:$F$1203,'DAILY ENTRY'!$A$7:$A$1203,$A185,'DAILY ENTRY'!$B$7:$B$1203,$B185,'DAILY ENTRY'!$D$7:$D$1203,"Community answer or comment"))</f>
        <v/>
      </c>
      <c r="J185" s="107" t="str">
        <f aca="false">IF($A185="","",SUMIFS('DAILY ENTRY'!$F$7:$F$1203,'DAILY ENTRY'!$A$7:$A$1203,$A185,'DAILY ENTRY'!$B$7:$B$1203,$B185,'DAILY ENTRY'!$D$7:$D$1203,"Partnership / PR contact"))</f>
        <v/>
      </c>
      <c r="K185" s="107" t="str">
        <f aca="false">IF($A185="","",SUMIFS('DAILY ENTRY'!$F$7:$F$1203,'DAILY ENTRY'!$A$7:$A$1203,$A185,'DAILY ENTRY'!$B$7:$B$1203,$B185,'DAILY ENTRY'!$D$7:$D$1203,"Engagement (commented on someone else)"))</f>
        <v/>
      </c>
      <c r="L185" s="107" t="str">
        <f aca="false">IF($A185="","",SUMIFS('DAILY ENTRY'!$F$7:$F$1203,'DAILY ENTRY'!$A$7:$A$1203,$A185,'DAILY ENTRY'!$B$7:$B$1203,$B185,'DAILY ENTRY'!$D$7:$D$1203,"Account created / profile completed"))</f>
        <v/>
      </c>
      <c r="M185" s="108" t="str">
        <f aca="false">IF($A185="","",IFERROR(INDEX('DAILY ENTRY'!$E$7:$E$1203,MATCH(1,INDEX(('DAILY ENTRY'!$A$7:$A$1203=$A185)*('DAILY ENTRY'!$B$7:$B$1203=$B185)*('DAILY ENTRY'!$I$7:$I$1203="Meeting booked"),0),0)),IFERROR(INDEX('DAILY ENTRY'!$E$7:$E$1203,MATCH(1,INDEX(('DAILY ENTRY'!$A$7:$A$1203=$A185)*('DAILY ENTRY'!$B$7:$B$1203=$B185)*('DAILY ENTRY'!$I$7:$I$1203="Positive reply"),0),0)),"")))</f>
        <v/>
      </c>
      <c r="N185" s="108" t="str">
        <f aca="false">IF($A185="","",IFERROR(INDEX('DAILY ENTRY'!$J$7:$J$1203,MATCH(1,INDEX(('DAILY ENTRY'!$A$7:$A$1203=$A185)*('DAILY ENTRY'!$B$7:$B$1203=$B185)*('DAILY ENTRY'!$I$7:$I$1203="Blocked"),0),0)),""))</f>
        <v/>
      </c>
      <c r="O185" s="65" t="str">
        <f aca="false">IF($A185="","",(D185&gt;='START HERE'!$B$25)+(E185&gt;='START HERE'!$B$26)+(F185&gt;='START HERE'!$B$27)+(G185&gt;='START HERE'!$B$28)+(H185&gt;='START HERE'!$B$29)+(I185&gt;='START HERE'!$B$30)+(J185&gt;='START HERE'!$B$31)+(K185&gt;='START HERE'!$B$32))</f>
        <v/>
      </c>
      <c r="P185" s="46" t="str">
        <f aca="false">IF($A185="","",IF(O185&gt;=7,"Full day",IF(O185&gt;=5,"Most targets met",IF(O185&gt;=3,"Half day","Below plan - explain in the blocker column"))))</f>
        <v/>
      </c>
    </row>
    <row r="186" customFormat="false" ht="24" hidden="false" customHeight="true" outlineLevel="0" collapsed="false">
      <c r="A186" s="36"/>
      <c r="B186" s="37"/>
      <c r="C186" s="107" t="str">
        <f aca="false">IF($A186="","",ROUND(SUMIFS('DAILY ENTRY'!$G$7:$G$1203,'DAILY ENTRY'!$A$7:$A$1203,$A186,'DAILY ENTRY'!$B$7:$B$1203,$B186)/60,1))</f>
        <v/>
      </c>
      <c r="D186" s="107" t="str">
        <f aca="false">IF($A186="","",SUMIFS('DAILY ENTRY'!$F$7:$F$1203,'DAILY ENTRY'!$A$7:$A$1203,$A186,'DAILY ENTRY'!$B$7:$B$1203,$B186,'DAILY ENTRY'!$D$7:$D$1203,"Lead researched (Sales Navigator)"))</f>
        <v/>
      </c>
      <c r="E186" s="107" t="str">
        <f aca="false">IF($A186="","",SUMIFS('DAILY ENTRY'!$F$7:$F$1203,'DAILY ENTRY'!$A$7:$A$1203,$A186,'DAILY ENTRY'!$B$7:$B$1203,$B186,'DAILY ENTRY'!$D$7:$D$1203,"Connection request sent"))</f>
        <v/>
      </c>
      <c r="F186" s="107" t="str">
        <f aca="false">IF($A186="","",SUMIFS('DAILY ENTRY'!$F$7:$F$1203,'DAILY ENTRY'!$A$7:$A$1203,$A186,'DAILY ENTRY'!$B$7:$B$1203,$B186,'DAILY ENTRY'!$D$7:$D$1203,"First message sent"))</f>
        <v/>
      </c>
      <c r="G186" s="107" t="str">
        <f aca="false">IF($A186="","",SUMIFS('DAILY ENTRY'!$F$7:$F$1203,'DAILY ENTRY'!$A$7:$A$1203,$A186,'DAILY ENTRY'!$B$7:$B$1203,$B186,'DAILY ENTRY'!$D$7:$D$1203,"Follow-up message sent"))</f>
        <v/>
      </c>
      <c r="H186" s="107" t="str">
        <f aca="false">IF($A186="","",SUMIFS('DAILY ENTRY'!$F$7:$F$1203,'DAILY ENTRY'!$A$7:$A$1203,$A186,'DAILY ENTRY'!$B$7:$B$1203,$B186,'DAILY ENTRY'!$D$7:$D$1203,"Post / content published"))</f>
        <v/>
      </c>
      <c r="I186" s="107" t="str">
        <f aca="false">IF($A186="","",SUMIFS('DAILY ENTRY'!$F$7:$F$1203,'DAILY ENTRY'!$A$7:$A$1203,$A186,'DAILY ENTRY'!$B$7:$B$1203,$B186,'DAILY ENTRY'!$D$7:$D$1203,"Community answer or comment"))</f>
        <v/>
      </c>
      <c r="J186" s="107" t="str">
        <f aca="false">IF($A186="","",SUMIFS('DAILY ENTRY'!$F$7:$F$1203,'DAILY ENTRY'!$A$7:$A$1203,$A186,'DAILY ENTRY'!$B$7:$B$1203,$B186,'DAILY ENTRY'!$D$7:$D$1203,"Partnership / PR contact"))</f>
        <v/>
      </c>
      <c r="K186" s="107" t="str">
        <f aca="false">IF($A186="","",SUMIFS('DAILY ENTRY'!$F$7:$F$1203,'DAILY ENTRY'!$A$7:$A$1203,$A186,'DAILY ENTRY'!$B$7:$B$1203,$B186,'DAILY ENTRY'!$D$7:$D$1203,"Engagement (commented on someone else)"))</f>
        <v/>
      </c>
      <c r="L186" s="107" t="str">
        <f aca="false">IF($A186="","",SUMIFS('DAILY ENTRY'!$F$7:$F$1203,'DAILY ENTRY'!$A$7:$A$1203,$A186,'DAILY ENTRY'!$B$7:$B$1203,$B186,'DAILY ENTRY'!$D$7:$D$1203,"Account created / profile completed"))</f>
        <v/>
      </c>
      <c r="M186" s="108" t="str">
        <f aca="false">IF($A186="","",IFERROR(INDEX('DAILY ENTRY'!$E$7:$E$1203,MATCH(1,INDEX(('DAILY ENTRY'!$A$7:$A$1203=$A186)*('DAILY ENTRY'!$B$7:$B$1203=$B186)*('DAILY ENTRY'!$I$7:$I$1203="Meeting booked"),0),0)),IFERROR(INDEX('DAILY ENTRY'!$E$7:$E$1203,MATCH(1,INDEX(('DAILY ENTRY'!$A$7:$A$1203=$A186)*('DAILY ENTRY'!$B$7:$B$1203=$B186)*('DAILY ENTRY'!$I$7:$I$1203="Positive reply"),0),0)),"")))</f>
        <v/>
      </c>
      <c r="N186" s="108" t="str">
        <f aca="false">IF($A186="","",IFERROR(INDEX('DAILY ENTRY'!$J$7:$J$1203,MATCH(1,INDEX(('DAILY ENTRY'!$A$7:$A$1203=$A186)*('DAILY ENTRY'!$B$7:$B$1203=$B186)*('DAILY ENTRY'!$I$7:$I$1203="Blocked"),0),0)),""))</f>
        <v/>
      </c>
      <c r="O186" s="65" t="str">
        <f aca="false">IF($A186="","",(D186&gt;='START HERE'!$B$25)+(E186&gt;='START HERE'!$B$26)+(F186&gt;='START HERE'!$B$27)+(G186&gt;='START HERE'!$B$28)+(H186&gt;='START HERE'!$B$29)+(I186&gt;='START HERE'!$B$30)+(J186&gt;='START HERE'!$B$31)+(K186&gt;='START HERE'!$B$32))</f>
        <v/>
      </c>
      <c r="P186" s="46" t="str">
        <f aca="false">IF($A186="","",IF(O186&gt;=7,"Full day",IF(O186&gt;=5,"Most targets met",IF(O186&gt;=3,"Half day","Below plan - explain in the blocker column"))))</f>
        <v/>
      </c>
    </row>
    <row r="187" customFormat="false" ht="24" hidden="false" customHeight="true" outlineLevel="0" collapsed="false">
      <c r="A187" s="36"/>
      <c r="B187" s="37"/>
      <c r="C187" s="107" t="str">
        <f aca="false">IF($A187="","",ROUND(SUMIFS('DAILY ENTRY'!$G$7:$G$1203,'DAILY ENTRY'!$A$7:$A$1203,$A187,'DAILY ENTRY'!$B$7:$B$1203,$B187)/60,1))</f>
        <v/>
      </c>
      <c r="D187" s="107" t="str">
        <f aca="false">IF($A187="","",SUMIFS('DAILY ENTRY'!$F$7:$F$1203,'DAILY ENTRY'!$A$7:$A$1203,$A187,'DAILY ENTRY'!$B$7:$B$1203,$B187,'DAILY ENTRY'!$D$7:$D$1203,"Lead researched (Sales Navigator)"))</f>
        <v/>
      </c>
      <c r="E187" s="107" t="str">
        <f aca="false">IF($A187="","",SUMIFS('DAILY ENTRY'!$F$7:$F$1203,'DAILY ENTRY'!$A$7:$A$1203,$A187,'DAILY ENTRY'!$B$7:$B$1203,$B187,'DAILY ENTRY'!$D$7:$D$1203,"Connection request sent"))</f>
        <v/>
      </c>
      <c r="F187" s="107" t="str">
        <f aca="false">IF($A187="","",SUMIFS('DAILY ENTRY'!$F$7:$F$1203,'DAILY ENTRY'!$A$7:$A$1203,$A187,'DAILY ENTRY'!$B$7:$B$1203,$B187,'DAILY ENTRY'!$D$7:$D$1203,"First message sent"))</f>
        <v/>
      </c>
      <c r="G187" s="107" t="str">
        <f aca="false">IF($A187="","",SUMIFS('DAILY ENTRY'!$F$7:$F$1203,'DAILY ENTRY'!$A$7:$A$1203,$A187,'DAILY ENTRY'!$B$7:$B$1203,$B187,'DAILY ENTRY'!$D$7:$D$1203,"Follow-up message sent"))</f>
        <v/>
      </c>
      <c r="H187" s="107" t="str">
        <f aca="false">IF($A187="","",SUMIFS('DAILY ENTRY'!$F$7:$F$1203,'DAILY ENTRY'!$A$7:$A$1203,$A187,'DAILY ENTRY'!$B$7:$B$1203,$B187,'DAILY ENTRY'!$D$7:$D$1203,"Post / content published"))</f>
        <v/>
      </c>
      <c r="I187" s="107" t="str">
        <f aca="false">IF($A187="","",SUMIFS('DAILY ENTRY'!$F$7:$F$1203,'DAILY ENTRY'!$A$7:$A$1203,$A187,'DAILY ENTRY'!$B$7:$B$1203,$B187,'DAILY ENTRY'!$D$7:$D$1203,"Community answer or comment"))</f>
        <v/>
      </c>
      <c r="J187" s="107" t="str">
        <f aca="false">IF($A187="","",SUMIFS('DAILY ENTRY'!$F$7:$F$1203,'DAILY ENTRY'!$A$7:$A$1203,$A187,'DAILY ENTRY'!$B$7:$B$1203,$B187,'DAILY ENTRY'!$D$7:$D$1203,"Partnership / PR contact"))</f>
        <v/>
      </c>
      <c r="K187" s="107" t="str">
        <f aca="false">IF($A187="","",SUMIFS('DAILY ENTRY'!$F$7:$F$1203,'DAILY ENTRY'!$A$7:$A$1203,$A187,'DAILY ENTRY'!$B$7:$B$1203,$B187,'DAILY ENTRY'!$D$7:$D$1203,"Engagement (commented on someone else)"))</f>
        <v/>
      </c>
      <c r="L187" s="107" t="str">
        <f aca="false">IF($A187="","",SUMIFS('DAILY ENTRY'!$F$7:$F$1203,'DAILY ENTRY'!$A$7:$A$1203,$A187,'DAILY ENTRY'!$B$7:$B$1203,$B187,'DAILY ENTRY'!$D$7:$D$1203,"Account created / profile completed"))</f>
        <v/>
      </c>
      <c r="M187" s="108" t="str">
        <f aca="false">IF($A187="","",IFERROR(INDEX('DAILY ENTRY'!$E$7:$E$1203,MATCH(1,INDEX(('DAILY ENTRY'!$A$7:$A$1203=$A187)*('DAILY ENTRY'!$B$7:$B$1203=$B187)*('DAILY ENTRY'!$I$7:$I$1203="Meeting booked"),0),0)),IFERROR(INDEX('DAILY ENTRY'!$E$7:$E$1203,MATCH(1,INDEX(('DAILY ENTRY'!$A$7:$A$1203=$A187)*('DAILY ENTRY'!$B$7:$B$1203=$B187)*('DAILY ENTRY'!$I$7:$I$1203="Positive reply"),0),0)),"")))</f>
        <v/>
      </c>
      <c r="N187" s="108" t="str">
        <f aca="false">IF($A187="","",IFERROR(INDEX('DAILY ENTRY'!$J$7:$J$1203,MATCH(1,INDEX(('DAILY ENTRY'!$A$7:$A$1203=$A187)*('DAILY ENTRY'!$B$7:$B$1203=$B187)*('DAILY ENTRY'!$I$7:$I$1203="Blocked"),0),0)),""))</f>
        <v/>
      </c>
      <c r="O187" s="65" t="str">
        <f aca="false">IF($A187="","",(D187&gt;='START HERE'!$B$25)+(E187&gt;='START HERE'!$B$26)+(F187&gt;='START HERE'!$B$27)+(G187&gt;='START HERE'!$B$28)+(H187&gt;='START HERE'!$B$29)+(I187&gt;='START HERE'!$B$30)+(J187&gt;='START HERE'!$B$31)+(K187&gt;='START HERE'!$B$32))</f>
        <v/>
      </c>
      <c r="P187" s="46" t="str">
        <f aca="false">IF($A187="","",IF(O187&gt;=7,"Full day",IF(O187&gt;=5,"Most targets met",IF(O187&gt;=3,"Half day","Below plan - explain in the blocker column"))))</f>
        <v/>
      </c>
    </row>
    <row r="188" customFormat="false" ht="24" hidden="false" customHeight="true" outlineLevel="0" collapsed="false">
      <c r="A188" s="36"/>
      <c r="B188" s="37"/>
      <c r="C188" s="107" t="str">
        <f aca="false">IF($A188="","",ROUND(SUMIFS('DAILY ENTRY'!$G$7:$G$1203,'DAILY ENTRY'!$A$7:$A$1203,$A188,'DAILY ENTRY'!$B$7:$B$1203,$B188)/60,1))</f>
        <v/>
      </c>
      <c r="D188" s="107" t="str">
        <f aca="false">IF($A188="","",SUMIFS('DAILY ENTRY'!$F$7:$F$1203,'DAILY ENTRY'!$A$7:$A$1203,$A188,'DAILY ENTRY'!$B$7:$B$1203,$B188,'DAILY ENTRY'!$D$7:$D$1203,"Lead researched (Sales Navigator)"))</f>
        <v/>
      </c>
      <c r="E188" s="107" t="str">
        <f aca="false">IF($A188="","",SUMIFS('DAILY ENTRY'!$F$7:$F$1203,'DAILY ENTRY'!$A$7:$A$1203,$A188,'DAILY ENTRY'!$B$7:$B$1203,$B188,'DAILY ENTRY'!$D$7:$D$1203,"Connection request sent"))</f>
        <v/>
      </c>
      <c r="F188" s="107" t="str">
        <f aca="false">IF($A188="","",SUMIFS('DAILY ENTRY'!$F$7:$F$1203,'DAILY ENTRY'!$A$7:$A$1203,$A188,'DAILY ENTRY'!$B$7:$B$1203,$B188,'DAILY ENTRY'!$D$7:$D$1203,"First message sent"))</f>
        <v/>
      </c>
      <c r="G188" s="107" t="str">
        <f aca="false">IF($A188="","",SUMIFS('DAILY ENTRY'!$F$7:$F$1203,'DAILY ENTRY'!$A$7:$A$1203,$A188,'DAILY ENTRY'!$B$7:$B$1203,$B188,'DAILY ENTRY'!$D$7:$D$1203,"Follow-up message sent"))</f>
        <v/>
      </c>
      <c r="H188" s="107" t="str">
        <f aca="false">IF($A188="","",SUMIFS('DAILY ENTRY'!$F$7:$F$1203,'DAILY ENTRY'!$A$7:$A$1203,$A188,'DAILY ENTRY'!$B$7:$B$1203,$B188,'DAILY ENTRY'!$D$7:$D$1203,"Post / content published"))</f>
        <v/>
      </c>
      <c r="I188" s="107" t="str">
        <f aca="false">IF($A188="","",SUMIFS('DAILY ENTRY'!$F$7:$F$1203,'DAILY ENTRY'!$A$7:$A$1203,$A188,'DAILY ENTRY'!$B$7:$B$1203,$B188,'DAILY ENTRY'!$D$7:$D$1203,"Community answer or comment"))</f>
        <v/>
      </c>
      <c r="J188" s="107" t="str">
        <f aca="false">IF($A188="","",SUMIFS('DAILY ENTRY'!$F$7:$F$1203,'DAILY ENTRY'!$A$7:$A$1203,$A188,'DAILY ENTRY'!$B$7:$B$1203,$B188,'DAILY ENTRY'!$D$7:$D$1203,"Partnership / PR contact"))</f>
        <v/>
      </c>
      <c r="K188" s="107" t="str">
        <f aca="false">IF($A188="","",SUMIFS('DAILY ENTRY'!$F$7:$F$1203,'DAILY ENTRY'!$A$7:$A$1203,$A188,'DAILY ENTRY'!$B$7:$B$1203,$B188,'DAILY ENTRY'!$D$7:$D$1203,"Engagement (commented on someone else)"))</f>
        <v/>
      </c>
      <c r="L188" s="107" t="str">
        <f aca="false">IF($A188="","",SUMIFS('DAILY ENTRY'!$F$7:$F$1203,'DAILY ENTRY'!$A$7:$A$1203,$A188,'DAILY ENTRY'!$B$7:$B$1203,$B188,'DAILY ENTRY'!$D$7:$D$1203,"Account created / profile completed"))</f>
        <v/>
      </c>
      <c r="M188" s="108" t="str">
        <f aca="false">IF($A188="","",IFERROR(INDEX('DAILY ENTRY'!$E$7:$E$1203,MATCH(1,INDEX(('DAILY ENTRY'!$A$7:$A$1203=$A188)*('DAILY ENTRY'!$B$7:$B$1203=$B188)*('DAILY ENTRY'!$I$7:$I$1203="Meeting booked"),0),0)),IFERROR(INDEX('DAILY ENTRY'!$E$7:$E$1203,MATCH(1,INDEX(('DAILY ENTRY'!$A$7:$A$1203=$A188)*('DAILY ENTRY'!$B$7:$B$1203=$B188)*('DAILY ENTRY'!$I$7:$I$1203="Positive reply"),0),0)),"")))</f>
        <v/>
      </c>
      <c r="N188" s="108" t="str">
        <f aca="false">IF($A188="","",IFERROR(INDEX('DAILY ENTRY'!$J$7:$J$1203,MATCH(1,INDEX(('DAILY ENTRY'!$A$7:$A$1203=$A188)*('DAILY ENTRY'!$B$7:$B$1203=$B188)*('DAILY ENTRY'!$I$7:$I$1203="Blocked"),0),0)),""))</f>
        <v/>
      </c>
      <c r="O188" s="65" t="str">
        <f aca="false">IF($A188="","",(D188&gt;='START HERE'!$B$25)+(E188&gt;='START HERE'!$B$26)+(F188&gt;='START HERE'!$B$27)+(G188&gt;='START HERE'!$B$28)+(H188&gt;='START HERE'!$B$29)+(I188&gt;='START HERE'!$B$30)+(J188&gt;='START HERE'!$B$31)+(K188&gt;='START HERE'!$B$32))</f>
        <v/>
      </c>
      <c r="P188" s="46" t="str">
        <f aca="false">IF($A188="","",IF(O188&gt;=7,"Full day",IF(O188&gt;=5,"Most targets met",IF(O188&gt;=3,"Half day","Below plan - explain in the blocker column"))))</f>
        <v/>
      </c>
    </row>
    <row r="189" customFormat="false" ht="24" hidden="false" customHeight="true" outlineLevel="0" collapsed="false">
      <c r="A189" s="36"/>
      <c r="B189" s="37"/>
      <c r="C189" s="107" t="str">
        <f aca="false">IF($A189="","",ROUND(SUMIFS('DAILY ENTRY'!$G$7:$G$1203,'DAILY ENTRY'!$A$7:$A$1203,$A189,'DAILY ENTRY'!$B$7:$B$1203,$B189)/60,1))</f>
        <v/>
      </c>
      <c r="D189" s="107" t="str">
        <f aca="false">IF($A189="","",SUMIFS('DAILY ENTRY'!$F$7:$F$1203,'DAILY ENTRY'!$A$7:$A$1203,$A189,'DAILY ENTRY'!$B$7:$B$1203,$B189,'DAILY ENTRY'!$D$7:$D$1203,"Lead researched (Sales Navigator)"))</f>
        <v/>
      </c>
      <c r="E189" s="107" t="str">
        <f aca="false">IF($A189="","",SUMIFS('DAILY ENTRY'!$F$7:$F$1203,'DAILY ENTRY'!$A$7:$A$1203,$A189,'DAILY ENTRY'!$B$7:$B$1203,$B189,'DAILY ENTRY'!$D$7:$D$1203,"Connection request sent"))</f>
        <v/>
      </c>
      <c r="F189" s="107" t="str">
        <f aca="false">IF($A189="","",SUMIFS('DAILY ENTRY'!$F$7:$F$1203,'DAILY ENTRY'!$A$7:$A$1203,$A189,'DAILY ENTRY'!$B$7:$B$1203,$B189,'DAILY ENTRY'!$D$7:$D$1203,"First message sent"))</f>
        <v/>
      </c>
      <c r="G189" s="107" t="str">
        <f aca="false">IF($A189="","",SUMIFS('DAILY ENTRY'!$F$7:$F$1203,'DAILY ENTRY'!$A$7:$A$1203,$A189,'DAILY ENTRY'!$B$7:$B$1203,$B189,'DAILY ENTRY'!$D$7:$D$1203,"Follow-up message sent"))</f>
        <v/>
      </c>
      <c r="H189" s="107" t="str">
        <f aca="false">IF($A189="","",SUMIFS('DAILY ENTRY'!$F$7:$F$1203,'DAILY ENTRY'!$A$7:$A$1203,$A189,'DAILY ENTRY'!$B$7:$B$1203,$B189,'DAILY ENTRY'!$D$7:$D$1203,"Post / content published"))</f>
        <v/>
      </c>
      <c r="I189" s="107" t="str">
        <f aca="false">IF($A189="","",SUMIFS('DAILY ENTRY'!$F$7:$F$1203,'DAILY ENTRY'!$A$7:$A$1203,$A189,'DAILY ENTRY'!$B$7:$B$1203,$B189,'DAILY ENTRY'!$D$7:$D$1203,"Community answer or comment"))</f>
        <v/>
      </c>
      <c r="J189" s="107" t="str">
        <f aca="false">IF($A189="","",SUMIFS('DAILY ENTRY'!$F$7:$F$1203,'DAILY ENTRY'!$A$7:$A$1203,$A189,'DAILY ENTRY'!$B$7:$B$1203,$B189,'DAILY ENTRY'!$D$7:$D$1203,"Partnership / PR contact"))</f>
        <v/>
      </c>
      <c r="K189" s="107" t="str">
        <f aca="false">IF($A189="","",SUMIFS('DAILY ENTRY'!$F$7:$F$1203,'DAILY ENTRY'!$A$7:$A$1203,$A189,'DAILY ENTRY'!$B$7:$B$1203,$B189,'DAILY ENTRY'!$D$7:$D$1203,"Engagement (commented on someone else)"))</f>
        <v/>
      </c>
      <c r="L189" s="107" t="str">
        <f aca="false">IF($A189="","",SUMIFS('DAILY ENTRY'!$F$7:$F$1203,'DAILY ENTRY'!$A$7:$A$1203,$A189,'DAILY ENTRY'!$B$7:$B$1203,$B189,'DAILY ENTRY'!$D$7:$D$1203,"Account created / profile completed"))</f>
        <v/>
      </c>
      <c r="M189" s="108" t="str">
        <f aca="false">IF($A189="","",IFERROR(INDEX('DAILY ENTRY'!$E$7:$E$1203,MATCH(1,INDEX(('DAILY ENTRY'!$A$7:$A$1203=$A189)*('DAILY ENTRY'!$B$7:$B$1203=$B189)*('DAILY ENTRY'!$I$7:$I$1203="Meeting booked"),0),0)),IFERROR(INDEX('DAILY ENTRY'!$E$7:$E$1203,MATCH(1,INDEX(('DAILY ENTRY'!$A$7:$A$1203=$A189)*('DAILY ENTRY'!$B$7:$B$1203=$B189)*('DAILY ENTRY'!$I$7:$I$1203="Positive reply"),0),0)),"")))</f>
        <v/>
      </c>
      <c r="N189" s="108" t="str">
        <f aca="false">IF($A189="","",IFERROR(INDEX('DAILY ENTRY'!$J$7:$J$1203,MATCH(1,INDEX(('DAILY ENTRY'!$A$7:$A$1203=$A189)*('DAILY ENTRY'!$B$7:$B$1203=$B189)*('DAILY ENTRY'!$I$7:$I$1203="Blocked"),0),0)),""))</f>
        <v/>
      </c>
      <c r="O189" s="65" t="str">
        <f aca="false">IF($A189="","",(D189&gt;='START HERE'!$B$25)+(E189&gt;='START HERE'!$B$26)+(F189&gt;='START HERE'!$B$27)+(G189&gt;='START HERE'!$B$28)+(H189&gt;='START HERE'!$B$29)+(I189&gt;='START HERE'!$B$30)+(J189&gt;='START HERE'!$B$31)+(K189&gt;='START HERE'!$B$32))</f>
        <v/>
      </c>
      <c r="P189" s="46" t="str">
        <f aca="false">IF($A189="","",IF(O189&gt;=7,"Full day",IF(O189&gt;=5,"Most targets met",IF(O189&gt;=3,"Half day","Below plan - explain in the blocker column"))))</f>
        <v/>
      </c>
    </row>
    <row r="190" customFormat="false" ht="24" hidden="false" customHeight="true" outlineLevel="0" collapsed="false">
      <c r="A190" s="36"/>
      <c r="B190" s="37"/>
      <c r="C190" s="107" t="str">
        <f aca="false">IF($A190="","",ROUND(SUMIFS('DAILY ENTRY'!$G$7:$G$1203,'DAILY ENTRY'!$A$7:$A$1203,$A190,'DAILY ENTRY'!$B$7:$B$1203,$B190)/60,1))</f>
        <v/>
      </c>
      <c r="D190" s="107" t="str">
        <f aca="false">IF($A190="","",SUMIFS('DAILY ENTRY'!$F$7:$F$1203,'DAILY ENTRY'!$A$7:$A$1203,$A190,'DAILY ENTRY'!$B$7:$B$1203,$B190,'DAILY ENTRY'!$D$7:$D$1203,"Lead researched (Sales Navigator)"))</f>
        <v/>
      </c>
      <c r="E190" s="107" t="str">
        <f aca="false">IF($A190="","",SUMIFS('DAILY ENTRY'!$F$7:$F$1203,'DAILY ENTRY'!$A$7:$A$1203,$A190,'DAILY ENTRY'!$B$7:$B$1203,$B190,'DAILY ENTRY'!$D$7:$D$1203,"Connection request sent"))</f>
        <v/>
      </c>
      <c r="F190" s="107" t="str">
        <f aca="false">IF($A190="","",SUMIFS('DAILY ENTRY'!$F$7:$F$1203,'DAILY ENTRY'!$A$7:$A$1203,$A190,'DAILY ENTRY'!$B$7:$B$1203,$B190,'DAILY ENTRY'!$D$7:$D$1203,"First message sent"))</f>
        <v/>
      </c>
      <c r="G190" s="107" t="str">
        <f aca="false">IF($A190="","",SUMIFS('DAILY ENTRY'!$F$7:$F$1203,'DAILY ENTRY'!$A$7:$A$1203,$A190,'DAILY ENTRY'!$B$7:$B$1203,$B190,'DAILY ENTRY'!$D$7:$D$1203,"Follow-up message sent"))</f>
        <v/>
      </c>
      <c r="H190" s="107" t="str">
        <f aca="false">IF($A190="","",SUMIFS('DAILY ENTRY'!$F$7:$F$1203,'DAILY ENTRY'!$A$7:$A$1203,$A190,'DAILY ENTRY'!$B$7:$B$1203,$B190,'DAILY ENTRY'!$D$7:$D$1203,"Post / content published"))</f>
        <v/>
      </c>
      <c r="I190" s="107" t="str">
        <f aca="false">IF($A190="","",SUMIFS('DAILY ENTRY'!$F$7:$F$1203,'DAILY ENTRY'!$A$7:$A$1203,$A190,'DAILY ENTRY'!$B$7:$B$1203,$B190,'DAILY ENTRY'!$D$7:$D$1203,"Community answer or comment"))</f>
        <v/>
      </c>
      <c r="J190" s="107" t="str">
        <f aca="false">IF($A190="","",SUMIFS('DAILY ENTRY'!$F$7:$F$1203,'DAILY ENTRY'!$A$7:$A$1203,$A190,'DAILY ENTRY'!$B$7:$B$1203,$B190,'DAILY ENTRY'!$D$7:$D$1203,"Partnership / PR contact"))</f>
        <v/>
      </c>
      <c r="K190" s="107" t="str">
        <f aca="false">IF($A190="","",SUMIFS('DAILY ENTRY'!$F$7:$F$1203,'DAILY ENTRY'!$A$7:$A$1203,$A190,'DAILY ENTRY'!$B$7:$B$1203,$B190,'DAILY ENTRY'!$D$7:$D$1203,"Engagement (commented on someone else)"))</f>
        <v/>
      </c>
      <c r="L190" s="107" t="str">
        <f aca="false">IF($A190="","",SUMIFS('DAILY ENTRY'!$F$7:$F$1203,'DAILY ENTRY'!$A$7:$A$1203,$A190,'DAILY ENTRY'!$B$7:$B$1203,$B190,'DAILY ENTRY'!$D$7:$D$1203,"Account created / profile completed"))</f>
        <v/>
      </c>
      <c r="M190" s="108" t="str">
        <f aca="false">IF($A190="","",IFERROR(INDEX('DAILY ENTRY'!$E$7:$E$1203,MATCH(1,INDEX(('DAILY ENTRY'!$A$7:$A$1203=$A190)*('DAILY ENTRY'!$B$7:$B$1203=$B190)*('DAILY ENTRY'!$I$7:$I$1203="Meeting booked"),0),0)),IFERROR(INDEX('DAILY ENTRY'!$E$7:$E$1203,MATCH(1,INDEX(('DAILY ENTRY'!$A$7:$A$1203=$A190)*('DAILY ENTRY'!$B$7:$B$1203=$B190)*('DAILY ENTRY'!$I$7:$I$1203="Positive reply"),0),0)),"")))</f>
        <v/>
      </c>
      <c r="N190" s="108" t="str">
        <f aca="false">IF($A190="","",IFERROR(INDEX('DAILY ENTRY'!$J$7:$J$1203,MATCH(1,INDEX(('DAILY ENTRY'!$A$7:$A$1203=$A190)*('DAILY ENTRY'!$B$7:$B$1203=$B190)*('DAILY ENTRY'!$I$7:$I$1203="Blocked"),0),0)),""))</f>
        <v/>
      </c>
      <c r="O190" s="65" t="str">
        <f aca="false">IF($A190="","",(D190&gt;='START HERE'!$B$25)+(E190&gt;='START HERE'!$B$26)+(F190&gt;='START HERE'!$B$27)+(G190&gt;='START HERE'!$B$28)+(H190&gt;='START HERE'!$B$29)+(I190&gt;='START HERE'!$B$30)+(J190&gt;='START HERE'!$B$31)+(K190&gt;='START HERE'!$B$32))</f>
        <v/>
      </c>
      <c r="P190" s="46" t="str">
        <f aca="false">IF($A190="","",IF(O190&gt;=7,"Full day",IF(O190&gt;=5,"Most targets met",IF(O190&gt;=3,"Half day","Below plan - explain in the blocker column"))))</f>
        <v/>
      </c>
    </row>
    <row r="191" customFormat="false" ht="24" hidden="false" customHeight="true" outlineLevel="0" collapsed="false">
      <c r="A191" s="36"/>
      <c r="B191" s="37"/>
      <c r="C191" s="107" t="str">
        <f aca="false">IF($A191="","",ROUND(SUMIFS('DAILY ENTRY'!$G$7:$G$1203,'DAILY ENTRY'!$A$7:$A$1203,$A191,'DAILY ENTRY'!$B$7:$B$1203,$B191)/60,1))</f>
        <v/>
      </c>
      <c r="D191" s="107" t="str">
        <f aca="false">IF($A191="","",SUMIFS('DAILY ENTRY'!$F$7:$F$1203,'DAILY ENTRY'!$A$7:$A$1203,$A191,'DAILY ENTRY'!$B$7:$B$1203,$B191,'DAILY ENTRY'!$D$7:$D$1203,"Lead researched (Sales Navigator)"))</f>
        <v/>
      </c>
      <c r="E191" s="107" t="str">
        <f aca="false">IF($A191="","",SUMIFS('DAILY ENTRY'!$F$7:$F$1203,'DAILY ENTRY'!$A$7:$A$1203,$A191,'DAILY ENTRY'!$B$7:$B$1203,$B191,'DAILY ENTRY'!$D$7:$D$1203,"Connection request sent"))</f>
        <v/>
      </c>
      <c r="F191" s="107" t="str">
        <f aca="false">IF($A191="","",SUMIFS('DAILY ENTRY'!$F$7:$F$1203,'DAILY ENTRY'!$A$7:$A$1203,$A191,'DAILY ENTRY'!$B$7:$B$1203,$B191,'DAILY ENTRY'!$D$7:$D$1203,"First message sent"))</f>
        <v/>
      </c>
      <c r="G191" s="107" t="str">
        <f aca="false">IF($A191="","",SUMIFS('DAILY ENTRY'!$F$7:$F$1203,'DAILY ENTRY'!$A$7:$A$1203,$A191,'DAILY ENTRY'!$B$7:$B$1203,$B191,'DAILY ENTRY'!$D$7:$D$1203,"Follow-up message sent"))</f>
        <v/>
      </c>
      <c r="H191" s="107" t="str">
        <f aca="false">IF($A191="","",SUMIFS('DAILY ENTRY'!$F$7:$F$1203,'DAILY ENTRY'!$A$7:$A$1203,$A191,'DAILY ENTRY'!$B$7:$B$1203,$B191,'DAILY ENTRY'!$D$7:$D$1203,"Post / content published"))</f>
        <v/>
      </c>
      <c r="I191" s="107" t="str">
        <f aca="false">IF($A191="","",SUMIFS('DAILY ENTRY'!$F$7:$F$1203,'DAILY ENTRY'!$A$7:$A$1203,$A191,'DAILY ENTRY'!$B$7:$B$1203,$B191,'DAILY ENTRY'!$D$7:$D$1203,"Community answer or comment"))</f>
        <v/>
      </c>
      <c r="J191" s="107" t="str">
        <f aca="false">IF($A191="","",SUMIFS('DAILY ENTRY'!$F$7:$F$1203,'DAILY ENTRY'!$A$7:$A$1203,$A191,'DAILY ENTRY'!$B$7:$B$1203,$B191,'DAILY ENTRY'!$D$7:$D$1203,"Partnership / PR contact"))</f>
        <v/>
      </c>
      <c r="K191" s="107" t="str">
        <f aca="false">IF($A191="","",SUMIFS('DAILY ENTRY'!$F$7:$F$1203,'DAILY ENTRY'!$A$7:$A$1203,$A191,'DAILY ENTRY'!$B$7:$B$1203,$B191,'DAILY ENTRY'!$D$7:$D$1203,"Engagement (commented on someone else)"))</f>
        <v/>
      </c>
      <c r="L191" s="107" t="str">
        <f aca="false">IF($A191="","",SUMIFS('DAILY ENTRY'!$F$7:$F$1203,'DAILY ENTRY'!$A$7:$A$1203,$A191,'DAILY ENTRY'!$B$7:$B$1203,$B191,'DAILY ENTRY'!$D$7:$D$1203,"Account created / profile completed"))</f>
        <v/>
      </c>
      <c r="M191" s="108" t="str">
        <f aca="false">IF($A191="","",IFERROR(INDEX('DAILY ENTRY'!$E$7:$E$1203,MATCH(1,INDEX(('DAILY ENTRY'!$A$7:$A$1203=$A191)*('DAILY ENTRY'!$B$7:$B$1203=$B191)*('DAILY ENTRY'!$I$7:$I$1203="Meeting booked"),0),0)),IFERROR(INDEX('DAILY ENTRY'!$E$7:$E$1203,MATCH(1,INDEX(('DAILY ENTRY'!$A$7:$A$1203=$A191)*('DAILY ENTRY'!$B$7:$B$1203=$B191)*('DAILY ENTRY'!$I$7:$I$1203="Positive reply"),0),0)),"")))</f>
        <v/>
      </c>
      <c r="N191" s="108" t="str">
        <f aca="false">IF($A191="","",IFERROR(INDEX('DAILY ENTRY'!$J$7:$J$1203,MATCH(1,INDEX(('DAILY ENTRY'!$A$7:$A$1203=$A191)*('DAILY ENTRY'!$B$7:$B$1203=$B191)*('DAILY ENTRY'!$I$7:$I$1203="Blocked"),0),0)),""))</f>
        <v/>
      </c>
      <c r="O191" s="65" t="str">
        <f aca="false">IF($A191="","",(D191&gt;='START HERE'!$B$25)+(E191&gt;='START HERE'!$B$26)+(F191&gt;='START HERE'!$B$27)+(G191&gt;='START HERE'!$B$28)+(H191&gt;='START HERE'!$B$29)+(I191&gt;='START HERE'!$B$30)+(J191&gt;='START HERE'!$B$31)+(K191&gt;='START HERE'!$B$32))</f>
        <v/>
      </c>
      <c r="P191" s="46" t="str">
        <f aca="false">IF($A191="","",IF(O191&gt;=7,"Full day",IF(O191&gt;=5,"Most targets met",IF(O191&gt;=3,"Half day","Below plan - explain in the blocker column"))))</f>
        <v/>
      </c>
    </row>
    <row r="192" customFormat="false" ht="24" hidden="false" customHeight="true" outlineLevel="0" collapsed="false">
      <c r="A192" s="36"/>
      <c r="B192" s="37"/>
      <c r="C192" s="107" t="str">
        <f aca="false">IF($A192="","",ROUND(SUMIFS('DAILY ENTRY'!$G$7:$G$1203,'DAILY ENTRY'!$A$7:$A$1203,$A192,'DAILY ENTRY'!$B$7:$B$1203,$B192)/60,1))</f>
        <v/>
      </c>
      <c r="D192" s="107" t="str">
        <f aca="false">IF($A192="","",SUMIFS('DAILY ENTRY'!$F$7:$F$1203,'DAILY ENTRY'!$A$7:$A$1203,$A192,'DAILY ENTRY'!$B$7:$B$1203,$B192,'DAILY ENTRY'!$D$7:$D$1203,"Lead researched (Sales Navigator)"))</f>
        <v/>
      </c>
      <c r="E192" s="107" t="str">
        <f aca="false">IF($A192="","",SUMIFS('DAILY ENTRY'!$F$7:$F$1203,'DAILY ENTRY'!$A$7:$A$1203,$A192,'DAILY ENTRY'!$B$7:$B$1203,$B192,'DAILY ENTRY'!$D$7:$D$1203,"Connection request sent"))</f>
        <v/>
      </c>
      <c r="F192" s="107" t="str">
        <f aca="false">IF($A192="","",SUMIFS('DAILY ENTRY'!$F$7:$F$1203,'DAILY ENTRY'!$A$7:$A$1203,$A192,'DAILY ENTRY'!$B$7:$B$1203,$B192,'DAILY ENTRY'!$D$7:$D$1203,"First message sent"))</f>
        <v/>
      </c>
      <c r="G192" s="107" t="str">
        <f aca="false">IF($A192="","",SUMIFS('DAILY ENTRY'!$F$7:$F$1203,'DAILY ENTRY'!$A$7:$A$1203,$A192,'DAILY ENTRY'!$B$7:$B$1203,$B192,'DAILY ENTRY'!$D$7:$D$1203,"Follow-up message sent"))</f>
        <v/>
      </c>
      <c r="H192" s="107" t="str">
        <f aca="false">IF($A192="","",SUMIFS('DAILY ENTRY'!$F$7:$F$1203,'DAILY ENTRY'!$A$7:$A$1203,$A192,'DAILY ENTRY'!$B$7:$B$1203,$B192,'DAILY ENTRY'!$D$7:$D$1203,"Post / content published"))</f>
        <v/>
      </c>
      <c r="I192" s="107" t="str">
        <f aca="false">IF($A192="","",SUMIFS('DAILY ENTRY'!$F$7:$F$1203,'DAILY ENTRY'!$A$7:$A$1203,$A192,'DAILY ENTRY'!$B$7:$B$1203,$B192,'DAILY ENTRY'!$D$7:$D$1203,"Community answer or comment"))</f>
        <v/>
      </c>
      <c r="J192" s="107" t="str">
        <f aca="false">IF($A192="","",SUMIFS('DAILY ENTRY'!$F$7:$F$1203,'DAILY ENTRY'!$A$7:$A$1203,$A192,'DAILY ENTRY'!$B$7:$B$1203,$B192,'DAILY ENTRY'!$D$7:$D$1203,"Partnership / PR contact"))</f>
        <v/>
      </c>
      <c r="K192" s="107" t="str">
        <f aca="false">IF($A192="","",SUMIFS('DAILY ENTRY'!$F$7:$F$1203,'DAILY ENTRY'!$A$7:$A$1203,$A192,'DAILY ENTRY'!$B$7:$B$1203,$B192,'DAILY ENTRY'!$D$7:$D$1203,"Engagement (commented on someone else)"))</f>
        <v/>
      </c>
      <c r="L192" s="107" t="str">
        <f aca="false">IF($A192="","",SUMIFS('DAILY ENTRY'!$F$7:$F$1203,'DAILY ENTRY'!$A$7:$A$1203,$A192,'DAILY ENTRY'!$B$7:$B$1203,$B192,'DAILY ENTRY'!$D$7:$D$1203,"Account created / profile completed"))</f>
        <v/>
      </c>
      <c r="M192" s="108" t="str">
        <f aca="false">IF($A192="","",IFERROR(INDEX('DAILY ENTRY'!$E$7:$E$1203,MATCH(1,INDEX(('DAILY ENTRY'!$A$7:$A$1203=$A192)*('DAILY ENTRY'!$B$7:$B$1203=$B192)*('DAILY ENTRY'!$I$7:$I$1203="Meeting booked"),0),0)),IFERROR(INDEX('DAILY ENTRY'!$E$7:$E$1203,MATCH(1,INDEX(('DAILY ENTRY'!$A$7:$A$1203=$A192)*('DAILY ENTRY'!$B$7:$B$1203=$B192)*('DAILY ENTRY'!$I$7:$I$1203="Positive reply"),0),0)),"")))</f>
        <v/>
      </c>
      <c r="N192" s="108" t="str">
        <f aca="false">IF($A192="","",IFERROR(INDEX('DAILY ENTRY'!$J$7:$J$1203,MATCH(1,INDEX(('DAILY ENTRY'!$A$7:$A$1203=$A192)*('DAILY ENTRY'!$B$7:$B$1203=$B192)*('DAILY ENTRY'!$I$7:$I$1203="Blocked"),0),0)),""))</f>
        <v/>
      </c>
      <c r="O192" s="65" t="str">
        <f aca="false">IF($A192="","",(D192&gt;='START HERE'!$B$25)+(E192&gt;='START HERE'!$B$26)+(F192&gt;='START HERE'!$B$27)+(G192&gt;='START HERE'!$B$28)+(H192&gt;='START HERE'!$B$29)+(I192&gt;='START HERE'!$B$30)+(J192&gt;='START HERE'!$B$31)+(K192&gt;='START HERE'!$B$32))</f>
        <v/>
      </c>
      <c r="P192" s="46" t="str">
        <f aca="false">IF($A192="","",IF(O192&gt;=7,"Full day",IF(O192&gt;=5,"Most targets met",IF(O192&gt;=3,"Half day","Below plan - explain in the blocker column"))))</f>
        <v/>
      </c>
    </row>
    <row r="193" customFormat="false" ht="24" hidden="false" customHeight="true" outlineLevel="0" collapsed="false">
      <c r="A193" s="36"/>
      <c r="B193" s="37"/>
      <c r="C193" s="107" t="str">
        <f aca="false">IF($A193="","",ROUND(SUMIFS('DAILY ENTRY'!$G$7:$G$1203,'DAILY ENTRY'!$A$7:$A$1203,$A193,'DAILY ENTRY'!$B$7:$B$1203,$B193)/60,1))</f>
        <v/>
      </c>
      <c r="D193" s="107" t="str">
        <f aca="false">IF($A193="","",SUMIFS('DAILY ENTRY'!$F$7:$F$1203,'DAILY ENTRY'!$A$7:$A$1203,$A193,'DAILY ENTRY'!$B$7:$B$1203,$B193,'DAILY ENTRY'!$D$7:$D$1203,"Lead researched (Sales Navigator)"))</f>
        <v/>
      </c>
      <c r="E193" s="107" t="str">
        <f aca="false">IF($A193="","",SUMIFS('DAILY ENTRY'!$F$7:$F$1203,'DAILY ENTRY'!$A$7:$A$1203,$A193,'DAILY ENTRY'!$B$7:$B$1203,$B193,'DAILY ENTRY'!$D$7:$D$1203,"Connection request sent"))</f>
        <v/>
      </c>
      <c r="F193" s="107" t="str">
        <f aca="false">IF($A193="","",SUMIFS('DAILY ENTRY'!$F$7:$F$1203,'DAILY ENTRY'!$A$7:$A$1203,$A193,'DAILY ENTRY'!$B$7:$B$1203,$B193,'DAILY ENTRY'!$D$7:$D$1203,"First message sent"))</f>
        <v/>
      </c>
      <c r="G193" s="107" t="str">
        <f aca="false">IF($A193="","",SUMIFS('DAILY ENTRY'!$F$7:$F$1203,'DAILY ENTRY'!$A$7:$A$1203,$A193,'DAILY ENTRY'!$B$7:$B$1203,$B193,'DAILY ENTRY'!$D$7:$D$1203,"Follow-up message sent"))</f>
        <v/>
      </c>
      <c r="H193" s="107" t="str">
        <f aca="false">IF($A193="","",SUMIFS('DAILY ENTRY'!$F$7:$F$1203,'DAILY ENTRY'!$A$7:$A$1203,$A193,'DAILY ENTRY'!$B$7:$B$1203,$B193,'DAILY ENTRY'!$D$7:$D$1203,"Post / content published"))</f>
        <v/>
      </c>
      <c r="I193" s="107" t="str">
        <f aca="false">IF($A193="","",SUMIFS('DAILY ENTRY'!$F$7:$F$1203,'DAILY ENTRY'!$A$7:$A$1203,$A193,'DAILY ENTRY'!$B$7:$B$1203,$B193,'DAILY ENTRY'!$D$7:$D$1203,"Community answer or comment"))</f>
        <v/>
      </c>
      <c r="J193" s="107" t="str">
        <f aca="false">IF($A193="","",SUMIFS('DAILY ENTRY'!$F$7:$F$1203,'DAILY ENTRY'!$A$7:$A$1203,$A193,'DAILY ENTRY'!$B$7:$B$1203,$B193,'DAILY ENTRY'!$D$7:$D$1203,"Partnership / PR contact"))</f>
        <v/>
      </c>
      <c r="K193" s="107" t="str">
        <f aca="false">IF($A193="","",SUMIFS('DAILY ENTRY'!$F$7:$F$1203,'DAILY ENTRY'!$A$7:$A$1203,$A193,'DAILY ENTRY'!$B$7:$B$1203,$B193,'DAILY ENTRY'!$D$7:$D$1203,"Engagement (commented on someone else)"))</f>
        <v/>
      </c>
      <c r="L193" s="107" t="str">
        <f aca="false">IF($A193="","",SUMIFS('DAILY ENTRY'!$F$7:$F$1203,'DAILY ENTRY'!$A$7:$A$1203,$A193,'DAILY ENTRY'!$B$7:$B$1203,$B193,'DAILY ENTRY'!$D$7:$D$1203,"Account created / profile completed"))</f>
        <v/>
      </c>
      <c r="M193" s="108" t="str">
        <f aca="false">IF($A193="","",IFERROR(INDEX('DAILY ENTRY'!$E$7:$E$1203,MATCH(1,INDEX(('DAILY ENTRY'!$A$7:$A$1203=$A193)*('DAILY ENTRY'!$B$7:$B$1203=$B193)*('DAILY ENTRY'!$I$7:$I$1203="Meeting booked"),0),0)),IFERROR(INDEX('DAILY ENTRY'!$E$7:$E$1203,MATCH(1,INDEX(('DAILY ENTRY'!$A$7:$A$1203=$A193)*('DAILY ENTRY'!$B$7:$B$1203=$B193)*('DAILY ENTRY'!$I$7:$I$1203="Positive reply"),0),0)),"")))</f>
        <v/>
      </c>
      <c r="N193" s="108" t="str">
        <f aca="false">IF($A193="","",IFERROR(INDEX('DAILY ENTRY'!$J$7:$J$1203,MATCH(1,INDEX(('DAILY ENTRY'!$A$7:$A$1203=$A193)*('DAILY ENTRY'!$B$7:$B$1203=$B193)*('DAILY ENTRY'!$I$7:$I$1203="Blocked"),0),0)),""))</f>
        <v/>
      </c>
      <c r="O193" s="65" t="str">
        <f aca="false">IF($A193="","",(D193&gt;='START HERE'!$B$25)+(E193&gt;='START HERE'!$B$26)+(F193&gt;='START HERE'!$B$27)+(G193&gt;='START HERE'!$B$28)+(H193&gt;='START HERE'!$B$29)+(I193&gt;='START HERE'!$B$30)+(J193&gt;='START HERE'!$B$31)+(K193&gt;='START HERE'!$B$32))</f>
        <v/>
      </c>
      <c r="P193" s="46" t="str">
        <f aca="false">IF($A193="","",IF(O193&gt;=7,"Full day",IF(O193&gt;=5,"Most targets met",IF(O193&gt;=3,"Half day","Below plan - explain in the blocker column"))))</f>
        <v/>
      </c>
    </row>
    <row r="194" customFormat="false" ht="24" hidden="false" customHeight="true" outlineLevel="0" collapsed="false">
      <c r="A194" s="36"/>
      <c r="B194" s="37"/>
      <c r="C194" s="107" t="str">
        <f aca="false">IF($A194="","",ROUND(SUMIFS('DAILY ENTRY'!$G$7:$G$1203,'DAILY ENTRY'!$A$7:$A$1203,$A194,'DAILY ENTRY'!$B$7:$B$1203,$B194)/60,1))</f>
        <v/>
      </c>
      <c r="D194" s="107" t="str">
        <f aca="false">IF($A194="","",SUMIFS('DAILY ENTRY'!$F$7:$F$1203,'DAILY ENTRY'!$A$7:$A$1203,$A194,'DAILY ENTRY'!$B$7:$B$1203,$B194,'DAILY ENTRY'!$D$7:$D$1203,"Lead researched (Sales Navigator)"))</f>
        <v/>
      </c>
      <c r="E194" s="107" t="str">
        <f aca="false">IF($A194="","",SUMIFS('DAILY ENTRY'!$F$7:$F$1203,'DAILY ENTRY'!$A$7:$A$1203,$A194,'DAILY ENTRY'!$B$7:$B$1203,$B194,'DAILY ENTRY'!$D$7:$D$1203,"Connection request sent"))</f>
        <v/>
      </c>
      <c r="F194" s="107" t="str">
        <f aca="false">IF($A194="","",SUMIFS('DAILY ENTRY'!$F$7:$F$1203,'DAILY ENTRY'!$A$7:$A$1203,$A194,'DAILY ENTRY'!$B$7:$B$1203,$B194,'DAILY ENTRY'!$D$7:$D$1203,"First message sent"))</f>
        <v/>
      </c>
      <c r="G194" s="107" t="str">
        <f aca="false">IF($A194="","",SUMIFS('DAILY ENTRY'!$F$7:$F$1203,'DAILY ENTRY'!$A$7:$A$1203,$A194,'DAILY ENTRY'!$B$7:$B$1203,$B194,'DAILY ENTRY'!$D$7:$D$1203,"Follow-up message sent"))</f>
        <v/>
      </c>
      <c r="H194" s="107" t="str">
        <f aca="false">IF($A194="","",SUMIFS('DAILY ENTRY'!$F$7:$F$1203,'DAILY ENTRY'!$A$7:$A$1203,$A194,'DAILY ENTRY'!$B$7:$B$1203,$B194,'DAILY ENTRY'!$D$7:$D$1203,"Post / content published"))</f>
        <v/>
      </c>
      <c r="I194" s="107" t="str">
        <f aca="false">IF($A194="","",SUMIFS('DAILY ENTRY'!$F$7:$F$1203,'DAILY ENTRY'!$A$7:$A$1203,$A194,'DAILY ENTRY'!$B$7:$B$1203,$B194,'DAILY ENTRY'!$D$7:$D$1203,"Community answer or comment"))</f>
        <v/>
      </c>
      <c r="J194" s="107" t="str">
        <f aca="false">IF($A194="","",SUMIFS('DAILY ENTRY'!$F$7:$F$1203,'DAILY ENTRY'!$A$7:$A$1203,$A194,'DAILY ENTRY'!$B$7:$B$1203,$B194,'DAILY ENTRY'!$D$7:$D$1203,"Partnership / PR contact"))</f>
        <v/>
      </c>
      <c r="K194" s="107" t="str">
        <f aca="false">IF($A194="","",SUMIFS('DAILY ENTRY'!$F$7:$F$1203,'DAILY ENTRY'!$A$7:$A$1203,$A194,'DAILY ENTRY'!$B$7:$B$1203,$B194,'DAILY ENTRY'!$D$7:$D$1203,"Engagement (commented on someone else)"))</f>
        <v/>
      </c>
      <c r="L194" s="107" t="str">
        <f aca="false">IF($A194="","",SUMIFS('DAILY ENTRY'!$F$7:$F$1203,'DAILY ENTRY'!$A$7:$A$1203,$A194,'DAILY ENTRY'!$B$7:$B$1203,$B194,'DAILY ENTRY'!$D$7:$D$1203,"Account created / profile completed"))</f>
        <v/>
      </c>
      <c r="M194" s="108" t="str">
        <f aca="false">IF($A194="","",IFERROR(INDEX('DAILY ENTRY'!$E$7:$E$1203,MATCH(1,INDEX(('DAILY ENTRY'!$A$7:$A$1203=$A194)*('DAILY ENTRY'!$B$7:$B$1203=$B194)*('DAILY ENTRY'!$I$7:$I$1203="Meeting booked"),0),0)),IFERROR(INDEX('DAILY ENTRY'!$E$7:$E$1203,MATCH(1,INDEX(('DAILY ENTRY'!$A$7:$A$1203=$A194)*('DAILY ENTRY'!$B$7:$B$1203=$B194)*('DAILY ENTRY'!$I$7:$I$1203="Positive reply"),0),0)),"")))</f>
        <v/>
      </c>
      <c r="N194" s="108" t="str">
        <f aca="false">IF($A194="","",IFERROR(INDEX('DAILY ENTRY'!$J$7:$J$1203,MATCH(1,INDEX(('DAILY ENTRY'!$A$7:$A$1203=$A194)*('DAILY ENTRY'!$B$7:$B$1203=$B194)*('DAILY ENTRY'!$I$7:$I$1203="Blocked"),0),0)),""))</f>
        <v/>
      </c>
      <c r="O194" s="65" t="str">
        <f aca="false">IF($A194="","",(D194&gt;='START HERE'!$B$25)+(E194&gt;='START HERE'!$B$26)+(F194&gt;='START HERE'!$B$27)+(G194&gt;='START HERE'!$B$28)+(H194&gt;='START HERE'!$B$29)+(I194&gt;='START HERE'!$B$30)+(J194&gt;='START HERE'!$B$31)+(K194&gt;='START HERE'!$B$32))</f>
        <v/>
      </c>
      <c r="P194" s="46" t="str">
        <f aca="false">IF($A194="","",IF(O194&gt;=7,"Full day",IF(O194&gt;=5,"Most targets met",IF(O194&gt;=3,"Half day","Below plan - explain in the blocker column"))))</f>
        <v/>
      </c>
    </row>
    <row r="195" customFormat="false" ht="24" hidden="false" customHeight="true" outlineLevel="0" collapsed="false">
      <c r="A195" s="36"/>
      <c r="B195" s="37"/>
      <c r="C195" s="107" t="str">
        <f aca="false">IF($A195="","",ROUND(SUMIFS('DAILY ENTRY'!$G$7:$G$1203,'DAILY ENTRY'!$A$7:$A$1203,$A195,'DAILY ENTRY'!$B$7:$B$1203,$B195)/60,1))</f>
        <v/>
      </c>
      <c r="D195" s="107" t="str">
        <f aca="false">IF($A195="","",SUMIFS('DAILY ENTRY'!$F$7:$F$1203,'DAILY ENTRY'!$A$7:$A$1203,$A195,'DAILY ENTRY'!$B$7:$B$1203,$B195,'DAILY ENTRY'!$D$7:$D$1203,"Lead researched (Sales Navigator)"))</f>
        <v/>
      </c>
      <c r="E195" s="107" t="str">
        <f aca="false">IF($A195="","",SUMIFS('DAILY ENTRY'!$F$7:$F$1203,'DAILY ENTRY'!$A$7:$A$1203,$A195,'DAILY ENTRY'!$B$7:$B$1203,$B195,'DAILY ENTRY'!$D$7:$D$1203,"Connection request sent"))</f>
        <v/>
      </c>
      <c r="F195" s="107" t="str">
        <f aca="false">IF($A195="","",SUMIFS('DAILY ENTRY'!$F$7:$F$1203,'DAILY ENTRY'!$A$7:$A$1203,$A195,'DAILY ENTRY'!$B$7:$B$1203,$B195,'DAILY ENTRY'!$D$7:$D$1203,"First message sent"))</f>
        <v/>
      </c>
      <c r="G195" s="107" t="str">
        <f aca="false">IF($A195="","",SUMIFS('DAILY ENTRY'!$F$7:$F$1203,'DAILY ENTRY'!$A$7:$A$1203,$A195,'DAILY ENTRY'!$B$7:$B$1203,$B195,'DAILY ENTRY'!$D$7:$D$1203,"Follow-up message sent"))</f>
        <v/>
      </c>
      <c r="H195" s="107" t="str">
        <f aca="false">IF($A195="","",SUMIFS('DAILY ENTRY'!$F$7:$F$1203,'DAILY ENTRY'!$A$7:$A$1203,$A195,'DAILY ENTRY'!$B$7:$B$1203,$B195,'DAILY ENTRY'!$D$7:$D$1203,"Post / content published"))</f>
        <v/>
      </c>
      <c r="I195" s="107" t="str">
        <f aca="false">IF($A195="","",SUMIFS('DAILY ENTRY'!$F$7:$F$1203,'DAILY ENTRY'!$A$7:$A$1203,$A195,'DAILY ENTRY'!$B$7:$B$1203,$B195,'DAILY ENTRY'!$D$7:$D$1203,"Community answer or comment"))</f>
        <v/>
      </c>
      <c r="J195" s="107" t="str">
        <f aca="false">IF($A195="","",SUMIFS('DAILY ENTRY'!$F$7:$F$1203,'DAILY ENTRY'!$A$7:$A$1203,$A195,'DAILY ENTRY'!$B$7:$B$1203,$B195,'DAILY ENTRY'!$D$7:$D$1203,"Partnership / PR contact"))</f>
        <v/>
      </c>
      <c r="K195" s="107" t="str">
        <f aca="false">IF($A195="","",SUMIFS('DAILY ENTRY'!$F$7:$F$1203,'DAILY ENTRY'!$A$7:$A$1203,$A195,'DAILY ENTRY'!$B$7:$B$1203,$B195,'DAILY ENTRY'!$D$7:$D$1203,"Engagement (commented on someone else)"))</f>
        <v/>
      </c>
      <c r="L195" s="107" t="str">
        <f aca="false">IF($A195="","",SUMIFS('DAILY ENTRY'!$F$7:$F$1203,'DAILY ENTRY'!$A$7:$A$1203,$A195,'DAILY ENTRY'!$B$7:$B$1203,$B195,'DAILY ENTRY'!$D$7:$D$1203,"Account created / profile completed"))</f>
        <v/>
      </c>
      <c r="M195" s="108" t="str">
        <f aca="false">IF($A195="","",IFERROR(INDEX('DAILY ENTRY'!$E$7:$E$1203,MATCH(1,INDEX(('DAILY ENTRY'!$A$7:$A$1203=$A195)*('DAILY ENTRY'!$B$7:$B$1203=$B195)*('DAILY ENTRY'!$I$7:$I$1203="Meeting booked"),0),0)),IFERROR(INDEX('DAILY ENTRY'!$E$7:$E$1203,MATCH(1,INDEX(('DAILY ENTRY'!$A$7:$A$1203=$A195)*('DAILY ENTRY'!$B$7:$B$1203=$B195)*('DAILY ENTRY'!$I$7:$I$1203="Positive reply"),0),0)),"")))</f>
        <v/>
      </c>
      <c r="N195" s="108" t="str">
        <f aca="false">IF($A195="","",IFERROR(INDEX('DAILY ENTRY'!$J$7:$J$1203,MATCH(1,INDEX(('DAILY ENTRY'!$A$7:$A$1203=$A195)*('DAILY ENTRY'!$B$7:$B$1203=$B195)*('DAILY ENTRY'!$I$7:$I$1203="Blocked"),0),0)),""))</f>
        <v/>
      </c>
      <c r="O195" s="65" t="str">
        <f aca="false">IF($A195="","",(D195&gt;='START HERE'!$B$25)+(E195&gt;='START HERE'!$B$26)+(F195&gt;='START HERE'!$B$27)+(G195&gt;='START HERE'!$B$28)+(H195&gt;='START HERE'!$B$29)+(I195&gt;='START HERE'!$B$30)+(J195&gt;='START HERE'!$B$31)+(K195&gt;='START HERE'!$B$32))</f>
        <v/>
      </c>
      <c r="P195" s="46" t="str">
        <f aca="false">IF($A195="","",IF(O195&gt;=7,"Full day",IF(O195&gt;=5,"Most targets met",IF(O195&gt;=3,"Half day","Below plan - explain in the blocker column"))))</f>
        <v/>
      </c>
    </row>
    <row r="196" customFormat="false" ht="24" hidden="false" customHeight="true" outlineLevel="0" collapsed="false">
      <c r="A196" s="36"/>
      <c r="B196" s="37"/>
      <c r="C196" s="107" t="str">
        <f aca="false">IF($A196="","",ROUND(SUMIFS('DAILY ENTRY'!$G$7:$G$1203,'DAILY ENTRY'!$A$7:$A$1203,$A196,'DAILY ENTRY'!$B$7:$B$1203,$B196)/60,1))</f>
        <v/>
      </c>
      <c r="D196" s="107" t="str">
        <f aca="false">IF($A196="","",SUMIFS('DAILY ENTRY'!$F$7:$F$1203,'DAILY ENTRY'!$A$7:$A$1203,$A196,'DAILY ENTRY'!$B$7:$B$1203,$B196,'DAILY ENTRY'!$D$7:$D$1203,"Lead researched (Sales Navigator)"))</f>
        <v/>
      </c>
      <c r="E196" s="107" t="str">
        <f aca="false">IF($A196="","",SUMIFS('DAILY ENTRY'!$F$7:$F$1203,'DAILY ENTRY'!$A$7:$A$1203,$A196,'DAILY ENTRY'!$B$7:$B$1203,$B196,'DAILY ENTRY'!$D$7:$D$1203,"Connection request sent"))</f>
        <v/>
      </c>
      <c r="F196" s="107" t="str">
        <f aca="false">IF($A196="","",SUMIFS('DAILY ENTRY'!$F$7:$F$1203,'DAILY ENTRY'!$A$7:$A$1203,$A196,'DAILY ENTRY'!$B$7:$B$1203,$B196,'DAILY ENTRY'!$D$7:$D$1203,"First message sent"))</f>
        <v/>
      </c>
      <c r="G196" s="107" t="str">
        <f aca="false">IF($A196="","",SUMIFS('DAILY ENTRY'!$F$7:$F$1203,'DAILY ENTRY'!$A$7:$A$1203,$A196,'DAILY ENTRY'!$B$7:$B$1203,$B196,'DAILY ENTRY'!$D$7:$D$1203,"Follow-up message sent"))</f>
        <v/>
      </c>
      <c r="H196" s="107" t="str">
        <f aca="false">IF($A196="","",SUMIFS('DAILY ENTRY'!$F$7:$F$1203,'DAILY ENTRY'!$A$7:$A$1203,$A196,'DAILY ENTRY'!$B$7:$B$1203,$B196,'DAILY ENTRY'!$D$7:$D$1203,"Post / content published"))</f>
        <v/>
      </c>
      <c r="I196" s="107" t="str">
        <f aca="false">IF($A196="","",SUMIFS('DAILY ENTRY'!$F$7:$F$1203,'DAILY ENTRY'!$A$7:$A$1203,$A196,'DAILY ENTRY'!$B$7:$B$1203,$B196,'DAILY ENTRY'!$D$7:$D$1203,"Community answer or comment"))</f>
        <v/>
      </c>
      <c r="J196" s="107" t="str">
        <f aca="false">IF($A196="","",SUMIFS('DAILY ENTRY'!$F$7:$F$1203,'DAILY ENTRY'!$A$7:$A$1203,$A196,'DAILY ENTRY'!$B$7:$B$1203,$B196,'DAILY ENTRY'!$D$7:$D$1203,"Partnership / PR contact"))</f>
        <v/>
      </c>
      <c r="K196" s="107" t="str">
        <f aca="false">IF($A196="","",SUMIFS('DAILY ENTRY'!$F$7:$F$1203,'DAILY ENTRY'!$A$7:$A$1203,$A196,'DAILY ENTRY'!$B$7:$B$1203,$B196,'DAILY ENTRY'!$D$7:$D$1203,"Engagement (commented on someone else)"))</f>
        <v/>
      </c>
      <c r="L196" s="107" t="str">
        <f aca="false">IF($A196="","",SUMIFS('DAILY ENTRY'!$F$7:$F$1203,'DAILY ENTRY'!$A$7:$A$1203,$A196,'DAILY ENTRY'!$B$7:$B$1203,$B196,'DAILY ENTRY'!$D$7:$D$1203,"Account created / profile completed"))</f>
        <v/>
      </c>
      <c r="M196" s="108" t="str">
        <f aca="false">IF($A196="","",IFERROR(INDEX('DAILY ENTRY'!$E$7:$E$1203,MATCH(1,INDEX(('DAILY ENTRY'!$A$7:$A$1203=$A196)*('DAILY ENTRY'!$B$7:$B$1203=$B196)*('DAILY ENTRY'!$I$7:$I$1203="Meeting booked"),0),0)),IFERROR(INDEX('DAILY ENTRY'!$E$7:$E$1203,MATCH(1,INDEX(('DAILY ENTRY'!$A$7:$A$1203=$A196)*('DAILY ENTRY'!$B$7:$B$1203=$B196)*('DAILY ENTRY'!$I$7:$I$1203="Positive reply"),0),0)),"")))</f>
        <v/>
      </c>
      <c r="N196" s="108" t="str">
        <f aca="false">IF($A196="","",IFERROR(INDEX('DAILY ENTRY'!$J$7:$J$1203,MATCH(1,INDEX(('DAILY ENTRY'!$A$7:$A$1203=$A196)*('DAILY ENTRY'!$B$7:$B$1203=$B196)*('DAILY ENTRY'!$I$7:$I$1203="Blocked"),0),0)),""))</f>
        <v/>
      </c>
      <c r="O196" s="65" t="str">
        <f aca="false">IF($A196="","",(D196&gt;='START HERE'!$B$25)+(E196&gt;='START HERE'!$B$26)+(F196&gt;='START HERE'!$B$27)+(G196&gt;='START HERE'!$B$28)+(H196&gt;='START HERE'!$B$29)+(I196&gt;='START HERE'!$B$30)+(J196&gt;='START HERE'!$B$31)+(K196&gt;='START HERE'!$B$32))</f>
        <v/>
      </c>
      <c r="P196" s="46" t="str">
        <f aca="false">IF($A196="","",IF(O196&gt;=7,"Full day",IF(O196&gt;=5,"Most targets met",IF(O196&gt;=3,"Half day","Below plan - explain in the blocker column"))))</f>
        <v/>
      </c>
    </row>
    <row r="197" customFormat="false" ht="24" hidden="false" customHeight="true" outlineLevel="0" collapsed="false">
      <c r="A197" s="36"/>
      <c r="B197" s="37"/>
      <c r="C197" s="107" t="str">
        <f aca="false">IF($A197="","",ROUND(SUMIFS('DAILY ENTRY'!$G$7:$G$1203,'DAILY ENTRY'!$A$7:$A$1203,$A197,'DAILY ENTRY'!$B$7:$B$1203,$B197)/60,1))</f>
        <v/>
      </c>
      <c r="D197" s="107" t="str">
        <f aca="false">IF($A197="","",SUMIFS('DAILY ENTRY'!$F$7:$F$1203,'DAILY ENTRY'!$A$7:$A$1203,$A197,'DAILY ENTRY'!$B$7:$B$1203,$B197,'DAILY ENTRY'!$D$7:$D$1203,"Lead researched (Sales Navigator)"))</f>
        <v/>
      </c>
      <c r="E197" s="107" t="str">
        <f aca="false">IF($A197="","",SUMIFS('DAILY ENTRY'!$F$7:$F$1203,'DAILY ENTRY'!$A$7:$A$1203,$A197,'DAILY ENTRY'!$B$7:$B$1203,$B197,'DAILY ENTRY'!$D$7:$D$1203,"Connection request sent"))</f>
        <v/>
      </c>
      <c r="F197" s="107" t="str">
        <f aca="false">IF($A197="","",SUMIFS('DAILY ENTRY'!$F$7:$F$1203,'DAILY ENTRY'!$A$7:$A$1203,$A197,'DAILY ENTRY'!$B$7:$B$1203,$B197,'DAILY ENTRY'!$D$7:$D$1203,"First message sent"))</f>
        <v/>
      </c>
      <c r="G197" s="107" t="str">
        <f aca="false">IF($A197="","",SUMIFS('DAILY ENTRY'!$F$7:$F$1203,'DAILY ENTRY'!$A$7:$A$1203,$A197,'DAILY ENTRY'!$B$7:$B$1203,$B197,'DAILY ENTRY'!$D$7:$D$1203,"Follow-up message sent"))</f>
        <v/>
      </c>
      <c r="H197" s="107" t="str">
        <f aca="false">IF($A197="","",SUMIFS('DAILY ENTRY'!$F$7:$F$1203,'DAILY ENTRY'!$A$7:$A$1203,$A197,'DAILY ENTRY'!$B$7:$B$1203,$B197,'DAILY ENTRY'!$D$7:$D$1203,"Post / content published"))</f>
        <v/>
      </c>
      <c r="I197" s="107" t="str">
        <f aca="false">IF($A197="","",SUMIFS('DAILY ENTRY'!$F$7:$F$1203,'DAILY ENTRY'!$A$7:$A$1203,$A197,'DAILY ENTRY'!$B$7:$B$1203,$B197,'DAILY ENTRY'!$D$7:$D$1203,"Community answer or comment"))</f>
        <v/>
      </c>
      <c r="J197" s="107" t="str">
        <f aca="false">IF($A197="","",SUMIFS('DAILY ENTRY'!$F$7:$F$1203,'DAILY ENTRY'!$A$7:$A$1203,$A197,'DAILY ENTRY'!$B$7:$B$1203,$B197,'DAILY ENTRY'!$D$7:$D$1203,"Partnership / PR contact"))</f>
        <v/>
      </c>
      <c r="K197" s="107" t="str">
        <f aca="false">IF($A197="","",SUMIFS('DAILY ENTRY'!$F$7:$F$1203,'DAILY ENTRY'!$A$7:$A$1203,$A197,'DAILY ENTRY'!$B$7:$B$1203,$B197,'DAILY ENTRY'!$D$7:$D$1203,"Engagement (commented on someone else)"))</f>
        <v/>
      </c>
      <c r="L197" s="107" t="str">
        <f aca="false">IF($A197="","",SUMIFS('DAILY ENTRY'!$F$7:$F$1203,'DAILY ENTRY'!$A$7:$A$1203,$A197,'DAILY ENTRY'!$B$7:$B$1203,$B197,'DAILY ENTRY'!$D$7:$D$1203,"Account created / profile completed"))</f>
        <v/>
      </c>
      <c r="M197" s="108" t="str">
        <f aca="false">IF($A197="","",IFERROR(INDEX('DAILY ENTRY'!$E$7:$E$1203,MATCH(1,INDEX(('DAILY ENTRY'!$A$7:$A$1203=$A197)*('DAILY ENTRY'!$B$7:$B$1203=$B197)*('DAILY ENTRY'!$I$7:$I$1203="Meeting booked"),0),0)),IFERROR(INDEX('DAILY ENTRY'!$E$7:$E$1203,MATCH(1,INDEX(('DAILY ENTRY'!$A$7:$A$1203=$A197)*('DAILY ENTRY'!$B$7:$B$1203=$B197)*('DAILY ENTRY'!$I$7:$I$1203="Positive reply"),0),0)),"")))</f>
        <v/>
      </c>
      <c r="N197" s="108" t="str">
        <f aca="false">IF($A197="","",IFERROR(INDEX('DAILY ENTRY'!$J$7:$J$1203,MATCH(1,INDEX(('DAILY ENTRY'!$A$7:$A$1203=$A197)*('DAILY ENTRY'!$B$7:$B$1203=$B197)*('DAILY ENTRY'!$I$7:$I$1203="Blocked"),0),0)),""))</f>
        <v/>
      </c>
      <c r="O197" s="65" t="str">
        <f aca="false">IF($A197="","",(D197&gt;='START HERE'!$B$25)+(E197&gt;='START HERE'!$B$26)+(F197&gt;='START HERE'!$B$27)+(G197&gt;='START HERE'!$B$28)+(H197&gt;='START HERE'!$B$29)+(I197&gt;='START HERE'!$B$30)+(J197&gt;='START HERE'!$B$31)+(K197&gt;='START HERE'!$B$32))</f>
        <v/>
      </c>
      <c r="P197" s="46" t="str">
        <f aca="false">IF($A197="","",IF(O197&gt;=7,"Full day",IF(O197&gt;=5,"Most targets met",IF(O197&gt;=3,"Half day","Below plan - explain in the blocker column"))))</f>
        <v/>
      </c>
    </row>
    <row r="198" customFormat="false" ht="24" hidden="false" customHeight="true" outlineLevel="0" collapsed="false">
      <c r="A198" s="36"/>
      <c r="B198" s="37"/>
      <c r="C198" s="107" t="str">
        <f aca="false">IF($A198="","",ROUND(SUMIFS('DAILY ENTRY'!$G$7:$G$1203,'DAILY ENTRY'!$A$7:$A$1203,$A198,'DAILY ENTRY'!$B$7:$B$1203,$B198)/60,1))</f>
        <v/>
      </c>
      <c r="D198" s="107" t="str">
        <f aca="false">IF($A198="","",SUMIFS('DAILY ENTRY'!$F$7:$F$1203,'DAILY ENTRY'!$A$7:$A$1203,$A198,'DAILY ENTRY'!$B$7:$B$1203,$B198,'DAILY ENTRY'!$D$7:$D$1203,"Lead researched (Sales Navigator)"))</f>
        <v/>
      </c>
      <c r="E198" s="107" t="str">
        <f aca="false">IF($A198="","",SUMIFS('DAILY ENTRY'!$F$7:$F$1203,'DAILY ENTRY'!$A$7:$A$1203,$A198,'DAILY ENTRY'!$B$7:$B$1203,$B198,'DAILY ENTRY'!$D$7:$D$1203,"Connection request sent"))</f>
        <v/>
      </c>
      <c r="F198" s="107" t="str">
        <f aca="false">IF($A198="","",SUMIFS('DAILY ENTRY'!$F$7:$F$1203,'DAILY ENTRY'!$A$7:$A$1203,$A198,'DAILY ENTRY'!$B$7:$B$1203,$B198,'DAILY ENTRY'!$D$7:$D$1203,"First message sent"))</f>
        <v/>
      </c>
      <c r="G198" s="107" t="str">
        <f aca="false">IF($A198="","",SUMIFS('DAILY ENTRY'!$F$7:$F$1203,'DAILY ENTRY'!$A$7:$A$1203,$A198,'DAILY ENTRY'!$B$7:$B$1203,$B198,'DAILY ENTRY'!$D$7:$D$1203,"Follow-up message sent"))</f>
        <v/>
      </c>
      <c r="H198" s="107" t="str">
        <f aca="false">IF($A198="","",SUMIFS('DAILY ENTRY'!$F$7:$F$1203,'DAILY ENTRY'!$A$7:$A$1203,$A198,'DAILY ENTRY'!$B$7:$B$1203,$B198,'DAILY ENTRY'!$D$7:$D$1203,"Post / content published"))</f>
        <v/>
      </c>
      <c r="I198" s="107" t="str">
        <f aca="false">IF($A198="","",SUMIFS('DAILY ENTRY'!$F$7:$F$1203,'DAILY ENTRY'!$A$7:$A$1203,$A198,'DAILY ENTRY'!$B$7:$B$1203,$B198,'DAILY ENTRY'!$D$7:$D$1203,"Community answer or comment"))</f>
        <v/>
      </c>
      <c r="J198" s="107" t="str">
        <f aca="false">IF($A198="","",SUMIFS('DAILY ENTRY'!$F$7:$F$1203,'DAILY ENTRY'!$A$7:$A$1203,$A198,'DAILY ENTRY'!$B$7:$B$1203,$B198,'DAILY ENTRY'!$D$7:$D$1203,"Partnership / PR contact"))</f>
        <v/>
      </c>
      <c r="K198" s="107" t="str">
        <f aca="false">IF($A198="","",SUMIFS('DAILY ENTRY'!$F$7:$F$1203,'DAILY ENTRY'!$A$7:$A$1203,$A198,'DAILY ENTRY'!$B$7:$B$1203,$B198,'DAILY ENTRY'!$D$7:$D$1203,"Engagement (commented on someone else)"))</f>
        <v/>
      </c>
      <c r="L198" s="107" t="str">
        <f aca="false">IF($A198="","",SUMIFS('DAILY ENTRY'!$F$7:$F$1203,'DAILY ENTRY'!$A$7:$A$1203,$A198,'DAILY ENTRY'!$B$7:$B$1203,$B198,'DAILY ENTRY'!$D$7:$D$1203,"Account created / profile completed"))</f>
        <v/>
      </c>
      <c r="M198" s="108" t="str">
        <f aca="false">IF($A198="","",IFERROR(INDEX('DAILY ENTRY'!$E$7:$E$1203,MATCH(1,INDEX(('DAILY ENTRY'!$A$7:$A$1203=$A198)*('DAILY ENTRY'!$B$7:$B$1203=$B198)*('DAILY ENTRY'!$I$7:$I$1203="Meeting booked"),0),0)),IFERROR(INDEX('DAILY ENTRY'!$E$7:$E$1203,MATCH(1,INDEX(('DAILY ENTRY'!$A$7:$A$1203=$A198)*('DAILY ENTRY'!$B$7:$B$1203=$B198)*('DAILY ENTRY'!$I$7:$I$1203="Positive reply"),0),0)),"")))</f>
        <v/>
      </c>
      <c r="N198" s="108" t="str">
        <f aca="false">IF($A198="","",IFERROR(INDEX('DAILY ENTRY'!$J$7:$J$1203,MATCH(1,INDEX(('DAILY ENTRY'!$A$7:$A$1203=$A198)*('DAILY ENTRY'!$B$7:$B$1203=$B198)*('DAILY ENTRY'!$I$7:$I$1203="Blocked"),0),0)),""))</f>
        <v/>
      </c>
      <c r="O198" s="65" t="str">
        <f aca="false">IF($A198="","",(D198&gt;='START HERE'!$B$25)+(E198&gt;='START HERE'!$B$26)+(F198&gt;='START HERE'!$B$27)+(G198&gt;='START HERE'!$B$28)+(H198&gt;='START HERE'!$B$29)+(I198&gt;='START HERE'!$B$30)+(J198&gt;='START HERE'!$B$31)+(K198&gt;='START HERE'!$B$32))</f>
        <v/>
      </c>
      <c r="P198" s="46" t="str">
        <f aca="false">IF($A198="","",IF(O198&gt;=7,"Full day",IF(O198&gt;=5,"Most targets met",IF(O198&gt;=3,"Half day","Below plan - explain in the blocker column"))))</f>
        <v/>
      </c>
    </row>
    <row r="199" customFormat="false" ht="24" hidden="false" customHeight="true" outlineLevel="0" collapsed="false">
      <c r="A199" s="36"/>
      <c r="B199" s="37"/>
      <c r="C199" s="107" t="str">
        <f aca="false">IF($A199="","",ROUND(SUMIFS('DAILY ENTRY'!$G$7:$G$1203,'DAILY ENTRY'!$A$7:$A$1203,$A199,'DAILY ENTRY'!$B$7:$B$1203,$B199)/60,1))</f>
        <v/>
      </c>
      <c r="D199" s="107" t="str">
        <f aca="false">IF($A199="","",SUMIFS('DAILY ENTRY'!$F$7:$F$1203,'DAILY ENTRY'!$A$7:$A$1203,$A199,'DAILY ENTRY'!$B$7:$B$1203,$B199,'DAILY ENTRY'!$D$7:$D$1203,"Lead researched (Sales Navigator)"))</f>
        <v/>
      </c>
      <c r="E199" s="107" t="str">
        <f aca="false">IF($A199="","",SUMIFS('DAILY ENTRY'!$F$7:$F$1203,'DAILY ENTRY'!$A$7:$A$1203,$A199,'DAILY ENTRY'!$B$7:$B$1203,$B199,'DAILY ENTRY'!$D$7:$D$1203,"Connection request sent"))</f>
        <v/>
      </c>
      <c r="F199" s="107" t="str">
        <f aca="false">IF($A199="","",SUMIFS('DAILY ENTRY'!$F$7:$F$1203,'DAILY ENTRY'!$A$7:$A$1203,$A199,'DAILY ENTRY'!$B$7:$B$1203,$B199,'DAILY ENTRY'!$D$7:$D$1203,"First message sent"))</f>
        <v/>
      </c>
      <c r="G199" s="107" t="str">
        <f aca="false">IF($A199="","",SUMIFS('DAILY ENTRY'!$F$7:$F$1203,'DAILY ENTRY'!$A$7:$A$1203,$A199,'DAILY ENTRY'!$B$7:$B$1203,$B199,'DAILY ENTRY'!$D$7:$D$1203,"Follow-up message sent"))</f>
        <v/>
      </c>
      <c r="H199" s="107" t="str">
        <f aca="false">IF($A199="","",SUMIFS('DAILY ENTRY'!$F$7:$F$1203,'DAILY ENTRY'!$A$7:$A$1203,$A199,'DAILY ENTRY'!$B$7:$B$1203,$B199,'DAILY ENTRY'!$D$7:$D$1203,"Post / content published"))</f>
        <v/>
      </c>
      <c r="I199" s="107" t="str">
        <f aca="false">IF($A199="","",SUMIFS('DAILY ENTRY'!$F$7:$F$1203,'DAILY ENTRY'!$A$7:$A$1203,$A199,'DAILY ENTRY'!$B$7:$B$1203,$B199,'DAILY ENTRY'!$D$7:$D$1203,"Community answer or comment"))</f>
        <v/>
      </c>
      <c r="J199" s="107" t="str">
        <f aca="false">IF($A199="","",SUMIFS('DAILY ENTRY'!$F$7:$F$1203,'DAILY ENTRY'!$A$7:$A$1203,$A199,'DAILY ENTRY'!$B$7:$B$1203,$B199,'DAILY ENTRY'!$D$7:$D$1203,"Partnership / PR contact"))</f>
        <v/>
      </c>
      <c r="K199" s="107" t="str">
        <f aca="false">IF($A199="","",SUMIFS('DAILY ENTRY'!$F$7:$F$1203,'DAILY ENTRY'!$A$7:$A$1203,$A199,'DAILY ENTRY'!$B$7:$B$1203,$B199,'DAILY ENTRY'!$D$7:$D$1203,"Engagement (commented on someone else)"))</f>
        <v/>
      </c>
      <c r="L199" s="107" t="str">
        <f aca="false">IF($A199="","",SUMIFS('DAILY ENTRY'!$F$7:$F$1203,'DAILY ENTRY'!$A$7:$A$1203,$A199,'DAILY ENTRY'!$B$7:$B$1203,$B199,'DAILY ENTRY'!$D$7:$D$1203,"Account created / profile completed"))</f>
        <v/>
      </c>
      <c r="M199" s="108" t="str">
        <f aca="false">IF($A199="","",IFERROR(INDEX('DAILY ENTRY'!$E$7:$E$1203,MATCH(1,INDEX(('DAILY ENTRY'!$A$7:$A$1203=$A199)*('DAILY ENTRY'!$B$7:$B$1203=$B199)*('DAILY ENTRY'!$I$7:$I$1203="Meeting booked"),0),0)),IFERROR(INDEX('DAILY ENTRY'!$E$7:$E$1203,MATCH(1,INDEX(('DAILY ENTRY'!$A$7:$A$1203=$A199)*('DAILY ENTRY'!$B$7:$B$1203=$B199)*('DAILY ENTRY'!$I$7:$I$1203="Positive reply"),0),0)),"")))</f>
        <v/>
      </c>
      <c r="N199" s="108" t="str">
        <f aca="false">IF($A199="","",IFERROR(INDEX('DAILY ENTRY'!$J$7:$J$1203,MATCH(1,INDEX(('DAILY ENTRY'!$A$7:$A$1203=$A199)*('DAILY ENTRY'!$B$7:$B$1203=$B199)*('DAILY ENTRY'!$I$7:$I$1203="Blocked"),0),0)),""))</f>
        <v/>
      </c>
      <c r="O199" s="65" t="str">
        <f aca="false">IF($A199="","",(D199&gt;='START HERE'!$B$25)+(E199&gt;='START HERE'!$B$26)+(F199&gt;='START HERE'!$B$27)+(G199&gt;='START HERE'!$B$28)+(H199&gt;='START HERE'!$B$29)+(I199&gt;='START HERE'!$B$30)+(J199&gt;='START HERE'!$B$31)+(K199&gt;='START HERE'!$B$32))</f>
        <v/>
      </c>
      <c r="P199" s="46" t="str">
        <f aca="false">IF($A199="","",IF(O199&gt;=7,"Full day",IF(O199&gt;=5,"Most targets met",IF(O199&gt;=3,"Half day","Below plan - explain in the blocker column"))))</f>
        <v/>
      </c>
    </row>
    <row r="200" customFormat="false" ht="24" hidden="false" customHeight="true" outlineLevel="0" collapsed="false">
      <c r="A200" s="36"/>
      <c r="B200" s="37"/>
      <c r="C200" s="107" t="str">
        <f aca="false">IF($A200="","",ROUND(SUMIFS('DAILY ENTRY'!$G$7:$G$1203,'DAILY ENTRY'!$A$7:$A$1203,$A200,'DAILY ENTRY'!$B$7:$B$1203,$B200)/60,1))</f>
        <v/>
      </c>
      <c r="D200" s="107" t="str">
        <f aca="false">IF($A200="","",SUMIFS('DAILY ENTRY'!$F$7:$F$1203,'DAILY ENTRY'!$A$7:$A$1203,$A200,'DAILY ENTRY'!$B$7:$B$1203,$B200,'DAILY ENTRY'!$D$7:$D$1203,"Lead researched (Sales Navigator)"))</f>
        <v/>
      </c>
      <c r="E200" s="107" t="str">
        <f aca="false">IF($A200="","",SUMIFS('DAILY ENTRY'!$F$7:$F$1203,'DAILY ENTRY'!$A$7:$A$1203,$A200,'DAILY ENTRY'!$B$7:$B$1203,$B200,'DAILY ENTRY'!$D$7:$D$1203,"Connection request sent"))</f>
        <v/>
      </c>
      <c r="F200" s="107" t="str">
        <f aca="false">IF($A200="","",SUMIFS('DAILY ENTRY'!$F$7:$F$1203,'DAILY ENTRY'!$A$7:$A$1203,$A200,'DAILY ENTRY'!$B$7:$B$1203,$B200,'DAILY ENTRY'!$D$7:$D$1203,"First message sent"))</f>
        <v/>
      </c>
      <c r="G200" s="107" t="str">
        <f aca="false">IF($A200="","",SUMIFS('DAILY ENTRY'!$F$7:$F$1203,'DAILY ENTRY'!$A$7:$A$1203,$A200,'DAILY ENTRY'!$B$7:$B$1203,$B200,'DAILY ENTRY'!$D$7:$D$1203,"Follow-up message sent"))</f>
        <v/>
      </c>
      <c r="H200" s="107" t="str">
        <f aca="false">IF($A200="","",SUMIFS('DAILY ENTRY'!$F$7:$F$1203,'DAILY ENTRY'!$A$7:$A$1203,$A200,'DAILY ENTRY'!$B$7:$B$1203,$B200,'DAILY ENTRY'!$D$7:$D$1203,"Post / content published"))</f>
        <v/>
      </c>
      <c r="I200" s="107" t="str">
        <f aca="false">IF($A200="","",SUMIFS('DAILY ENTRY'!$F$7:$F$1203,'DAILY ENTRY'!$A$7:$A$1203,$A200,'DAILY ENTRY'!$B$7:$B$1203,$B200,'DAILY ENTRY'!$D$7:$D$1203,"Community answer or comment"))</f>
        <v/>
      </c>
      <c r="J200" s="107" t="str">
        <f aca="false">IF($A200="","",SUMIFS('DAILY ENTRY'!$F$7:$F$1203,'DAILY ENTRY'!$A$7:$A$1203,$A200,'DAILY ENTRY'!$B$7:$B$1203,$B200,'DAILY ENTRY'!$D$7:$D$1203,"Partnership / PR contact"))</f>
        <v/>
      </c>
      <c r="K200" s="107" t="str">
        <f aca="false">IF($A200="","",SUMIFS('DAILY ENTRY'!$F$7:$F$1203,'DAILY ENTRY'!$A$7:$A$1203,$A200,'DAILY ENTRY'!$B$7:$B$1203,$B200,'DAILY ENTRY'!$D$7:$D$1203,"Engagement (commented on someone else)"))</f>
        <v/>
      </c>
      <c r="L200" s="107" t="str">
        <f aca="false">IF($A200="","",SUMIFS('DAILY ENTRY'!$F$7:$F$1203,'DAILY ENTRY'!$A$7:$A$1203,$A200,'DAILY ENTRY'!$B$7:$B$1203,$B200,'DAILY ENTRY'!$D$7:$D$1203,"Account created / profile completed"))</f>
        <v/>
      </c>
      <c r="M200" s="108" t="str">
        <f aca="false">IF($A200="","",IFERROR(INDEX('DAILY ENTRY'!$E$7:$E$1203,MATCH(1,INDEX(('DAILY ENTRY'!$A$7:$A$1203=$A200)*('DAILY ENTRY'!$B$7:$B$1203=$B200)*('DAILY ENTRY'!$I$7:$I$1203="Meeting booked"),0),0)),IFERROR(INDEX('DAILY ENTRY'!$E$7:$E$1203,MATCH(1,INDEX(('DAILY ENTRY'!$A$7:$A$1203=$A200)*('DAILY ENTRY'!$B$7:$B$1203=$B200)*('DAILY ENTRY'!$I$7:$I$1203="Positive reply"),0),0)),"")))</f>
        <v/>
      </c>
      <c r="N200" s="108" t="str">
        <f aca="false">IF($A200="","",IFERROR(INDEX('DAILY ENTRY'!$J$7:$J$1203,MATCH(1,INDEX(('DAILY ENTRY'!$A$7:$A$1203=$A200)*('DAILY ENTRY'!$B$7:$B$1203=$B200)*('DAILY ENTRY'!$I$7:$I$1203="Blocked"),0),0)),""))</f>
        <v/>
      </c>
      <c r="O200" s="65" t="str">
        <f aca="false">IF($A200="","",(D200&gt;='START HERE'!$B$25)+(E200&gt;='START HERE'!$B$26)+(F200&gt;='START HERE'!$B$27)+(G200&gt;='START HERE'!$B$28)+(H200&gt;='START HERE'!$B$29)+(I200&gt;='START HERE'!$B$30)+(J200&gt;='START HERE'!$B$31)+(K200&gt;='START HERE'!$B$32))</f>
        <v/>
      </c>
      <c r="P200" s="46" t="str">
        <f aca="false">IF($A200="","",IF(O200&gt;=7,"Full day",IF(O200&gt;=5,"Most targets met",IF(O200&gt;=3,"Half day","Below plan - explain in the blocker column"))))</f>
        <v/>
      </c>
    </row>
    <row r="201" customFormat="false" ht="24" hidden="false" customHeight="true" outlineLevel="0" collapsed="false">
      <c r="A201" s="36"/>
      <c r="B201" s="37"/>
      <c r="C201" s="107" t="str">
        <f aca="false">IF($A201="","",ROUND(SUMIFS('DAILY ENTRY'!$G$7:$G$1203,'DAILY ENTRY'!$A$7:$A$1203,$A201,'DAILY ENTRY'!$B$7:$B$1203,$B201)/60,1))</f>
        <v/>
      </c>
      <c r="D201" s="107" t="str">
        <f aca="false">IF($A201="","",SUMIFS('DAILY ENTRY'!$F$7:$F$1203,'DAILY ENTRY'!$A$7:$A$1203,$A201,'DAILY ENTRY'!$B$7:$B$1203,$B201,'DAILY ENTRY'!$D$7:$D$1203,"Lead researched (Sales Navigator)"))</f>
        <v/>
      </c>
      <c r="E201" s="107" t="str">
        <f aca="false">IF($A201="","",SUMIFS('DAILY ENTRY'!$F$7:$F$1203,'DAILY ENTRY'!$A$7:$A$1203,$A201,'DAILY ENTRY'!$B$7:$B$1203,$B201,'DAILY ENTRY'!$D$7:$D$1203,"Connection request sent"))</f>
        <v/>
      </c>
      <c r="F201" s="107" t="str">
        <f aca="false">IF($A201="","",SUMIFS('DAILY ENTRY'!$F$7:$F$1203,'DAILY ENTRY'!$A$7:$A$1203,$A201,'DAILY ENTRY'!$B$7:$B$1203,$B201,'DAILY ENTRY'!$D$7:$D$1203,"First message sent"))</f>
        <v/>
      </c>
      <c r="G201" s="107" t="str">
        <f aca="false">IF($A201="","",SUMIFS('DAILY ENTRY'!$F$7:$F$1203,'DAILY ENTRY'!$A$7:$A$1203,$A201,'DAILY ENTRY'!$B$7:$B$1203,$B201,'DAILY ENTRY'!$D$7:$D$1203,"Follow-up message sent"))</f>
        <v/>
      </c>
      <c r="H201" s="107" t="str">
        <f aca="false">IF($A201="","",SUMIFS('DAILY ENTRY'!$F$7:$F$1203,'DAILY ENTRY'!$A$7:$A$1203,$A201,'DAILY ENTRY'!$B$7:$B$1203,$B201,'DAILY ENTRY'!$D$7:$D$1203,"Post / content published"))</f>
        <v/>
      </c>
      <c r="I201" s="107" t="str">
        <f aca="false">IF($A201="","",SUMIFS('DAILY ENTRY'!$F$7:$F$1203,'DAILY ENTRY'!$A$7:$A$1203,$A201,'DAILY ENTRY'!$B$7:$B$1203,$B201,'DAILY ENTRY'!$D$7:$D$1203,"Community answer or comment"))</f>
        <v/>
      </c>
      <c r="J201" s="107" t="str">
        <f aca="false">IF($A201="","",SUMIFS('DAILY ENTRY'!$F$7:$F$1203,'DAILY ENTRY'!$A$7:$A$1203,$A201,'DAILY ENTRY'!$B$7:$B$1203,$B201,'DAILY ENTRY'!$D$7:$D$1203,"Partnership / PR contact"))</f>
        <v/>
      </c>
      <c r="K201" s="107" t="str">
        <f aca="false">IF($A201="","",SUMIFS('DAILY ENTRY'!$F$7:$F$1203,'DAILY ENTRY'!$A$7:$A$1203,$A201,'DAILY ENTRY'!$B$7:$B$1203,$B201,'DAILY ENTRY'!$D$7:$D$1203,"Engagement (commented on someone else)"))</f>
        <v/>
      </c>
      <c r="L201" s="107" t="str">
        <f aca="false">IF($A201="","",SUMIFS('DAILY ENTRY'!$F$7:$F$1203,'DAILY ENTRY'!$A$7:$A$1203,$A201,'DAILY ENTRY'!$B$7:$B$1203,$B201,'DAILY ENTRY'!$D$7:$D$1203,"Account created / profile completed"))</f>
        <v/>
      </c>
      <c r="M201" s="108" t="str">
        <f aca="false">IF($A201="","",IFERROR(INDEX('DAILY ENTRY'!$E$7:$E$1203,MATCH(1,INDEX(('DAILY ENTRY'!$A$7:$A$1203=$A201)*('DAILY ENTRY'!$B$7:$B$1203=$B201)*('DAILY ENTRY'!$I$7:$I$1203="Meeting booked"),0),0)),IFERROR(INDEX('DAILY ENTRY'!$E$7:$E$1203,MATCH(1,INDEX(('DAILY ENTRY'!$A$7:$A$1203=$A201)*('DAILY ENTRY'!$B$7:$B$1203=$B201)*('DAILY ENTRY'!$I$7:$I$1203="Positive reply"),0),0)),"")))</f>
        <v/>
      </c>
      <c r="N201" s="108" t="str">
        <f aca="false">IF($A201="","",IFERROR(INDEX('DAILY ENTRY'!$J$7:$J$1203,MATCH(1,INDEX(('DAILY ENTRY'!$A$7:$A$1203=$A201)*('DAILY ENTRY'!$B$7:$B$1203=$B201)*('DAILY ENTRY'!$I$7:$I$1203="Blocked"),0),0)),""))</f>
        <v/>
      </c>
      <c r="O201" s="65" t="str">
        <f aca="false">IF($A201="","",(D201&gt;='START HERE'!$B$25)+(E201&gt;='START HERE'!$B$26)+(F201&gt;='START HERE'!$B$27)+(G201&gt;='START HERE'!$B$28)+(H201&gt;='START HERE'!$B$29)+(I201&gt;='START HERE'!$B$30)+(J201&gt;='START HERE'!$B$31)+(K201&gt;='START HERE'!$B$32))</f>
        <v/>
      </c>
      <c r="P201" s="46" t="str">
        <f aca="false">IF($A201="","",IF(O201&gt;=7,"Full day",IF(O201&gt;=5,"Most targets met",IF(O201&gt;=3,"Half day","Below plan - explain in the blocker column"))))</f>
        <v/>
      </c>
    </row>
    <row r="202" customFormat="false" ht="24" hidden="false" customHeight="true" outlineLevel="0" collapsed="false">
      <c r="A202" s="36"/>
      <c r="B202" s="37"/>
      <c r="C202" s="107" t="str">
        <f aca="false">IF($A202="","",ROUND(SUMIFS('DAILY ENTRY'!$G$7:$G$1203,'DAILY ENTRY'!$A$7:$A$1203,$A202,'DAILY ENTRY'!$B$7:$B$1203,$B202)/60,1))</f>
        <v/>
      </c>
      <c r="D202" s="107" t="str">
        <f aca="false">IF($A202="","",SUMIFS('DAILY ENTRY'!$F$7:$F$1203,'DAILY ENTRY'!$A$7:$A$1203,$A202,'DAILY ENTRY'!$B$7:$B$1203,$B202,'DAILY ENTRY'!$D$7:$D$1203,"Lead researched (Sales Navigator)"))</f>
        <v/>
      </c>
      <c r="E202" s="107" t="str">
        <f aca="false">IF($A202="","",SUMIFS('DAILY ENTRY'!$F$7:$F$1203,'DAILY ENTRY'!$A$7:$A$1203,$A202,'DAILY ENTRY'!$B$7:$B$1203,$B202,'DAILY ENTRY'!$D$7:$D$1203,"Connection request sent"))</f>
        <v/>
      </c>
      <c r="F202" s="107" t="str">
        <f aca="false">IF($A202="","",SUMIFS('DAILY ENTRY'!$F$7:$F$1203,'DAILY ENTRY'!$A$7:$A$1203,$A202,'DAILY ENTRY'!$B$7:$B$1203,$B202,'DAILY ENTRY'!$D$7:$D$1203,"First message sent"))</f>
        <v/>
      </c>
      <c r="G202" s="107" t="str">
        <f aca="false">IF($A202="","",SUMIFS('DAILY ENTRY'!$F$7:$F$1203,'DAILY ENTRY'!$A$7:$A$1203,$A202,'DAILY ENTRY'!$B$7:$B$1203,$B202,'DAILY ENTRY'!$D$7:$D$1203,"Follow-up message sent"))</f>
        <v/>
      </c>
      <c r="H202" s="107" t="str">
        <f aca="false">IF($A202="","",SUMIFS('DAILY ENTRY'!$F$7:$F$1203,'DAILY ENTRY'!$A$7:$A$1203,$A202,'DAILY ENTRY'!$B$7:$B$1203,$B202,'DAILY ENTRY'!$D$7:$D$1203,"Post / content published"))</f>
        <v/>
      </c>
      <c r="I202" s="107" t="str">
        <f aca="false">IF($A202="","",SUMIFS('DAILY ENTRY'!$F$7:$F$1203,'DAILY ENTRY'!$A$7:$A$1203,$A202,'DAILY ENTRY'!$B$7:$B$1203,$B202,'DAILY ENTRY'!$D$7:$D$1203,"Community answer or comment"))</f>
        <v/>
      </c>
      <c r="J202" s="107" t="str">
        <f aca="false">IF($A202="","",SUMIFS('DAILY ENTRY'!$F$7:$F$1203,'DAILY ENTRY'!$A$7:$A$1203,$A202,'DAILY ENTRY'!$B$7:$B$1203,$B202,'DAILY ENTRY'!$D$7:$D$1203,"Partnership / PR contact"))</f>
        <v/>
      </c>
      <c r="K202" s="107" t="str">
        <f aca="false">IF($A202="","",SUMIFS('DAILY ENTRY'!$F$7:$F$1203,'DAILY ENTRY'!$A$7:$A$1203,$A202,'DAILY ENTRY'!$B$7:$B$1203,$B202,'DAILY ENTRY'!$D$7:$D$1203,"Engagement (commented on someone else)"))</f>
        <v/>
      </c>
      <c r="L202" s="107" t="str">
        <f aca="false">IF($A202="","",SUMIFS('DAILY ENTRY'!$F$7:$F$1203,'DAILY ENTRY'!$A$7:$A$1203,$A202,'DAILY ENTRY'!$B$7:$B$1203,$B202,'DAILY ENTRY'!$D$7:$D$1203,"Account created / profile completed"))</f>
        <v/>
      </c>
      <c r="M202" s="108" t="str">
        <f aca="false">IF($A202="","",IFERROR(INDEX('DAILY ENTRY'!$E$7:$E$1203,MATCH(1,INDEX(('DAILY ENTRY'!$A$7:$A$1203=$A202)*('DAILY ENTRY'!$B$7:$B$1203=$B202)*('DAILY ENTRY'!$I$7:$I$1203="Meeting booked"),0),0)),IFERROR(INDEX('DAILY ENTRY'!$E$7:$E$1203,MATCH(1,INDEX(('DAILY ENTRY'!$A$7:$A$1203=$A202)*('DAILY ENTRY'!$B$7:$B$1203=$B202)*('DAILY ENTRY'!$I$7:$I$1203="Positive reply"),0),0)),"")))</f>
        <v/>
      </c>
      <c r="N202" s="108" t="str">
        <f aca="false">IF($A202="","",IFERROR(INDEX('DAILY ENTRY'!$J$7:$J$1203,MATCH(1,INDEX(('DAILY ENTRY'!$A$7:$A$1203=$A202)*('DAILY ENTRY'!$B$7:$B$1203=$B202)*('DAILY ENTRY'!$I$7:$I$1203="Blocked"),0),0)),""))</f>
        <v/>
      </c>
      <c r="O202" s="65" t="str">
        <f aca="false">IF($A202="","",(D202&gt;='START HERE'!$B$25)+(E202&gt;='START HERE'!$B$26)+(F202&gt;='START HERE'!$B$27)+(G202&gt;='START HERE'!$B$28)+(H202&gt;='START HERE'!$B$29)+(I202&gt;='START HERE'!$B$30)+(J202&gt;='START HERE'!$B$31)+(K202&gt;='START HERE'!$B$32))</f>
        <v/>
      </c>
      <c r="P202" s="46" t="str">
        <f aca="false">IF($A202="","",IF(O202&gt;=7,"Full day",IF(O202&gt;=5,"Most targets met",IF(O202&gt;=3,"Half day","Below plan - explain in the blocker column"))))</f>
        <v/>
      </c>
    </row>
    <row r="203" customFormat="false" ht="24" hidden="false" customHeight="true" outlineLevel="0" collapsed="false">
      <c r="A203" s="36"/>
      <c r="B203" s="37"/>
      <c r="C203" s="107" t="str">
        <f aca="false">IF($A203="","",ROUND(SUMIFS('DAILY ENTRY'!$G$7:$G$1203,'DAILY ENTRY'!$A$7:$A$1203,$A203,'DAILY ENTRY'!$B$7:$B$1203,$B203)/60,1))</f>
        <v/>
      </c>
      <c r="D203" s="107" t="str">
        <f aca="false">IF($A203="","",SUMIFS('DAILY ENTRY'!$F$7:$F$1203,'DAILY ENTRY'!$A$7:$A$1203,$A203,'DAILY ENTRY'!$B$7:$B$1203,$B203,'DAILY ENTRY'!$D$7:$D$1203,"Lead researched (Sales Navigator)"))</f>
        <v/>
      </c>
      <c r="E203" s="107" t="str">
        <f aca="false">IF($A203="","",SUMIFS('DAILY ENTRY'!$F$7:$F$1203,'DAILY ENTRY'!$A$7:$A$1203,$A203,'DAILY ENTRY'!$B$7:$B$1203,$B203,'DAILY ENTRY'!$D$7:$D$1203,"Connection request sent"))</f>
        <v/>
      </c>
      <c r="F203" s="107" t="str">
        <f aca="false">IF($A203="","",SUMIFS('DAILY ENTRY'!$F$7:$F$1203,'DAILY ENTRY'!$A$7:$A$1203,$A203,'DAILY ENTRY'!$B$7:$B$1203,$B203,'DAILY ENTRY'!$D$7:$D$1203,"First message sent"))</f>
        <v/>
      </c>
      <c r="G203" s="107" t="str">
        <f aca="false">IF($A203="","",SUMIFS('DAILY ENTRY'!$F$7:$F$1203,'DAILY ENTRY'!$A$7:$A$1203,$A203,'DAILY ENTRY'!$B$7:$B$1203,$B203,'DAILY ENTRY'!$D$7:$D$1203,"Follow-up message sent"))</f>
        <v/>
      </c>
      <c r="H203" s="107" t="str">
        <f aca="false">IF($A203="","",SUMIFS('DAILY ENTRY'!$F$7:$F$1203,'DAILY ENTRY'!$A$7:$A$1203,$A203,'DAILY ENTRY'!$B$7:$B$1203,$B203,'DAILY ENTRY'!$D$7:$D$1203,"Post / content published"))</f>
        <v/>
      </c>
      <c r="I203" s="107" t="str">
        <f aca="false">IF($A203="","",SUMIFS('DAILY ENTRY'!$F$7:$F$1203,'DAILY ENTRY'!$A$7:$A$1203,$A203,'DAILY ENTRY'!$B$7:$B$1203,$B203,'DAILY ENTRY'!$D$7:$D$1203,"Community answer or comment"))</f>
        <v/>
      </c>
      <c r="J203" s="107" t="str">
        <f aca="false">IF($A203="","",SUMIFS('DAILY ENTRY'!$F$7:$F$1203,'DAILY ENTRY'!$A$7:$A$1203,$A203,'DAILY ENTRY'!$B$7:$B$1203,$B203,'DAILY ENTRY'!$D$7:$D$1203,"Partnership / PR contact"))</f>
        <v/>
      </c>
      <c r="K203" s="107" t="str">
        <f aca="false">IF($A203="","",SUMIFS('DAILY ENTRY'!$F$7:$F$1203,'DAILY ENTRY'!$A$7:$A$1203,$A203,'DAILY ENTRY'!$B$7:$B$1203,$B203,'DAILY ENTRY'!$D$7:$D$1203,"Engagement (commented on someone else)"))</f>
        <v/>
      </c>
      <c r="L203" s="107" t="str">
        <f aca="false">IF($A203="","",SUMIFS('DAILY ENTRY'!$F$7:$F$1203,'DAILY ENTRY'!$A$7:$A$1203,$A203,'DAILY ENTRY'!$B$7:$B$1203,$B203,'DAILY ENTRY'!$D$7:$D$1203,"Account created / profile completed"))</f>
        <v/>
      </c>
      <c r="M203" s="108" t="str">
        <f aca="false">IF($A203="","",IFERROR(INDEX('DAILY ENTRY'!$E$7:$E$1203,MATCH(1,INDEX(('DAILY ENTRY'!$A$7:$A$1203=$A203)*('DAILY ENTRY'!$B$7:$B$1203=$B203)*('DAILY ENTRY'!$I$7:$I$1203="Meeting booked"),0),0)),IFERROR(INDEX('DAILY ENTRY'!$E$7:$E$1203,MATCH(1,INDEX(('DAILY ENTRY'!$A$7:$A$1203=$A203)*('DAILY ENTRY'!$B$7:$B$1203=$B203)*('DAILY ENTRY'!$I$7:$I$1203="Positive reply"),0),0)),"")))</f>
        <v/>
      </c>
      <c r="N203" s="108" t="str">
        <f aca="false">IF($A203="","",IFERROR(INDEX('DAILY ENTRY'!$J$7:$J$1203,MATCH(1,INDEX(('DAILY ENTRY'!$A$7:$A$1203=$A203)*('DAILY ENTRY'!$B$7:$B$1203=$B203)*('DAILY ENTRY'!$I$7:$I$1203="Blocked"),0),0)),""))</f>
        <v/>
      </c>
      <c r="O203" s="65" t="str">
        <f aca="false">IF($A203="","",(D203&gt;='START HERE'!$B$25)+(E203&gt;='START HERE'!$B$26)+(F203&gt;='START HERE'!$B$27)+(G203&gt;='START HERE'!$B$28)+(H203&gt;='START HERE'!$B$29)+(I203&gt;='START HERE'!$B$30)+(J203&gt;='START HERE'!$B$31)+(K203&gt;='START HERE'!$B$32))</f>
        <v/>
      </c>
      <c r="P203" s="46" t="str">
        <f aca="false">IF($A203="","",IF(O203&gt;=7,"Full day",IF(O203&gt;=5,"Most targets met",IF(O203&gt;=3,"Half day","Below plan - explain in the blocker column"))))</f>
        <v/>
      </c>
    </row>
    <row r="204" customFormat="false" ht="24" hidden="false" customHeight="true" outlineLevel="0" collapsed="false">
      <c r="A204" s="36"/>
      <c r="B204" s="37"/>
      <c r="C204" s="107" t="str">
        <f aca="false">IF($A204="","",ROUND(SUMIFS('DAILY ENTRY'!$G$7:$G$1203,'DAILY ENTRY'!$A$7:$A$1203,$A204,'DAILY ENTRY'!$B$7:$B$1203,$B204)/60,1))</f>
        <v/>
      </c>
      <c r="D204" s="107" t="str">
        <f aca="false">IF($A204="","",SUMIFS('DAILY ENTRY'!$F$7:$F$1203,'DAILY ENTRY'!$A$7:$A$1203,$A204,'DAILY ENTRY'!$B$7:$B$1203,$B204,'DAILY ENTRY'!$D$7:$D$1203,"Lead researched (Sales Navigator)"))</f>
        <v/>
      </c>
      <c r="E204" s="107" t="str">
        <f aca="false">IF($A204="","",SUMIFS('DAILY ENTRY'!$F$7:$F$1203,'DAILY ENTRY'!$A$7:$A$1203,$A204,'DAILY ENTRY'!$B$7:$B$1203,$B204,'DAILY ENTRY'!$D$7:$D$1203,"Connection request sent"))</f>
        <v/>
      </c>
      <c r="F204" s="107" t="str">
        <f aca="false">IF($A204="","",SUMIFS('DAILY ENTRY'!$F$7:$F$1203,'DAILY ENTRY'!$A$7:$A$1203,$A204,'DAILY ENTRY'!$B$7:$B$1203,$B204,'DAILY ENTRY'!$D$7:$D$1203,"First message sent"))</f>
        <v/>
      </c>
      <c r="G204" s="107" t="str">
        <f aca="false">IF($A204="","",SUMIFS('DAILY ENTRY'!$F$7:$F$1203,'DAILY ENTRY'!$A$7:$A$1203,$A204,'DAILY ENTRY'!$B$7:$B$1203,$B204,'DAILY ENTRY'!$D$7:$D$1203,"Follow-up message sent"))</f>
        <v/>
      </c>
      <c r="H204" s="107" t="str">
        <f aca="false">IF($A204="","",SUMIFS('DAILY ENTRY'!$F$7:$F$1203,'DAILY ENTRY'!$A$7:$A$1203,$A204,'DAILY ENTRY'!$B$7:$B$1203,$B204,'DAILY ENTRY'!$D$7:$D$1203,"Post / content published"))</f>
        <v/>
      </c>
      <c r="I204" s="107" t="str">
        <f aca="false">IF($A204="","",SUMIFS('DAILY ENTRY'!$F$7:$F$1203,'DAILY ENTRY'!$A$7:$A$1203,$A204,'DAILY ENTRY'!$B$7:$B$1203,$B204,'DAILY ENTRY'!$D$7:$D$1203,"Community answer or comment"))</f>
        <v/>
      </c>
      <c r="J204" s="107" t="str">
        <f aca="false">IF($A204="","",SUMIFS('DAILY ENTRY'!$F$7:$F$1203,'DAILY ENTRY'!$A$7:$A$1203,$A204,'DAILY ENTRY'!$B$7:$B$1203,$B204,'DAILY ENTRY'!$D$7:$D$1203,"Partnership / PR contact"))</f>
        <v/>
      </c>
      <c r="K204" s="107" t="str">
        <f aca="false">IF($A204="","",SUMIFS('DAILY ENTRY'!$F$7:$F$1203,'DAILY ENTRY'!$A$7:$A$1203,$A204,'DAILY ENTRY'!$B$7:$B$1203,$B204,'DAILY ENTRY'!$D$7:$D$1203,"Engagement (commented on someone else)"))</f>
        <v/>
      </c>
      <c r="L204" s="107" t="str">
        <f aca="false">IF($A204="","",SUMIFS('DAILY ENTRY'!$F$7:$F$1203,'DAILY ENTRY'!$A$7:$A$1203,$A204,'DAILY ENTRY'!$B$7:$B$1203,$B204,'DAILY ENTRY'!$D$7:$D$1203,"Account created / profile completed"))</f>
        <v/>
      </c>
      <c r="M204" s="108" t="str">
        <f aca="false">IF($A204="","",IFERROR(INDEX('DAILY ENTRY'!$E$7:$E$1203,MATCH(1,INDEX(('DAILY ENTRY'!$A$7:$A$1203=$A204)*('DAILY ENTRY'!$B$7:$B$1203=$B204)*('DAILY ENTRY'!$I$7:$I$1203="Meeting booked"),0),0)),IFERROR(INDEX('DAILY ENTRY'!$E$7:$E$1203,MATCH(1,INDEX(('DAILY ENTRY'!$A$7:$A$1203=$A204)*('DAILY ENTRY'!$B$7:$B$1203=$B204)*('DAILY ENTRY'!$I$7:$I$1203="Positive reply"),0),0)),"")))</f>
        <v/>
      </c>
      <c r="N204" s="108" t="str">
        <f aca="false">IF($A204="","",IFERROR(INDEX('DAILY ENTRY'!$J$7:$J$1203,MATCH(1,INDEX(('DAILY ENTRY'!$A$7:$A$1203=$A204)*('DAILY ENTRY'!$B$7:$B$1203=$B204)*('DAILY ENTRY'!$I$7:$I$1203="Blocked"),0),0)),""))</f>
        <v/>
      </c>
      <c r="O204" s="65" t="str">
        <f aca="false">IF($A204="","",(D204&gt;='START HERE'!$B$25)+(E204&gt;='START HERE'!$B$26)+(F204&gt;='START HERE'!$B$27)+(G204&gt;='START HERE'!$B$28)+(H204&gt;='START HERE'!$B$29)+(I204&gt;='START HERE'!$B$30)+(J204&gt;='START HERE'!$B$31)+(K204&gt;='START HERE'!$B$32))</f>
        <v/>
      </c>
      <c r="P204" s="46" t="str">
        <f aca="false">IF($A204="","",IF(O204&gt;=7,"Full day",IF(O204&gt;=5,"Most targets met",IF(O204&gt;=3,"Half day","Below plan - explain in the blocker column"))))</f>
        <v/>
      </c>
    </row>
    <row r="205" customFormat="false" ht="24" hidden="false" customHeight="true" outlineLevel="0" collapsed="false">
      <c r="A205" s="36"/>
      <c r="B205" s="37"/>
      <c r="C205" s="107" t="str">
        <f aca="false">IF($A205="","",ROUND(SUMIFS('DAILY ENTRY'!$G$7:$G$1203,'DAILY ENTRY'!$A$7:$A$1203,$A205,'DAILY ENTRY'!$B$7:$B$1203,$B205)/60,1))</f>
        <v/>
      </c>
      <c r="D205" s="107" t="str">
        <f aca="false">IF($A205="","",SUMIFS('DAILY ENTRY'!$F$7:$F$1203,'DAILY ENTRY'!$A$7:$A$1203,$A205,'DAILY ENTRY'!$B$7:$B$1203,$B205,'DAILY ENTRY'!$D$7:$D$1203,"Lead researched (Sales Navigator)"))</f>
        <v/>
      </c>
      <c r="E205" s="107" t="str">
        <f aca="false">IF($A205="","",SUMIFS('DAILY ENTRY'!$F$7:$F$1203,'DAILY ENTRY'!$A$7:$A$1203,$A205,'DAILY ENTRY'!$B$7:$B$1203,$B205,'DAILY ENTRY'!$D$7:$D$1203,"Connection request sent"))</f>
        <v/>
      </c>
      <c r="F205" s="107" t="str">
        <f aca="false">IF($A205="","",SUMIFS('DAILY ENTRY'!$F$7:$F$1203,'DAILY ENTRY'!$A$7:$A$1203,$A205,'DAILY ENTRY'!$B$7:$B$1203,$B205,'DAILY ENTRY'!$D$7:$D$1203,"First message sent"))</f>
        <v/>
      </c>
      <c r="G205" s="107" t="str">
        <f aca="false">IF($A205="","",SUMIFS('DAILY ENTRY'!$F$7:$F$1203,'DAILY ENTRY'!$A$7:$A$1203,$A205,'DAILY ENTRY'!$B$7:$B$1203,$B205,'DAILY ENTRY'!$D$7:$D$1203,"Follow-up message sent"))</f>
        <v/>
      </c>
      <c r="H205" s="107" t="str">
        <f aca="false">IF($A205="","",SUMIFS('DAILY ENTRY'!$F$7:$F$1203,'DAILY ENTRY'!$A$7:$A$1203,$A205,'DAILY ENTRY'!$B$7:$B$1203,$B205,'DAILY ENTRY'!$D$7:$D$1203,"Post / content published"))</f>
        <v/>
      </c>
      <c r="I205" s="107" t="str">
        <f aca="false">IF($A205="","",SUMIFS('DAILY ENTRY'!$F$7:$F$1203,'DAILY ENTRY'!$A$7:$A$1203,$A205,'DAILY ENTRY'!$B$7:$B$1203,$B205,'DAILY ENTRY'!$D$7:$D$1203,"Community answer or comment"))</f>
        <v/>
      </c>
      <c r="J205" s="107" t="str">
        <f aca="false">IF($A205="","",SUMIFS('DAILY ENTRY'!$F$7:$F$1203,'DAILY ENTRY'!$A$7:$A$1203,$A205,'DAILY ENTRY'!$B$7:$B$1203,$B205,'DAILY ENTRY'!$D$7:$D$1203,"Partnership / PR contact"))</f>
        <v/>
      </c>
      <c r="K205" s="107" t="str">
        <f aca="false">IF($A205="","",SUMIFS('DAILY ENTRY'!$F$7:$F$1203,'DAILY ENTRY'!$A$7:$A$1203,$A205,'DAILY ENTRY'!$B$7:$B$1203,$B205,'DAILY ENTRY'!$D$7:$D$1203,"Engagement (commented on someone else)"))</f>
        <v/>
      </c>
      <c r="L205" s="107" t="str">
        <f aca="false">IF($A205="","",SUMIFS('DAILY ENTRY'!$F$7:$F$1203,'DAILY ENTRY'!$A$7:$A$1203,$A205,'DAILY ENTRY'!$B$7:$B$1203,$B205,'DAILY ENTRY'!$D$7:$D$1203,"Account created / profile completed"))</f>
        <v/>
      </c>
      <c r="M205" s="108" t="str">
        <f aca="false">IF($A205="","",IFERROR(INDEX('DAILY ENTRY'!$E$7:$E$1203,MATCH(1,INDEX(('DAILY ENTRY'!$A$7:$A$1203=$A205)*('DAILY ENTRY'!$B$7:$B$1203=$B205)*('DAILY ENTRY'!$I$7:$I$1203="Meeting booked"),0),0)),IFERROR(INDEX('DAILY ENTRY'!$E$7:$E$1203,MATCH(1,INDEX(('DAILY ENTRY'!$A$7:$A$1203=$A205)*('DAILY ENTRY'!$B$7:$B$1203=$B205)*('DAILY ENTRY'!$I$7:$I$1203="Positive reply"),0),0)),"")))</f>
        <v/>
      </c>
      <c r="N205" s="108" t="str">
        <f aca="false">IF($A205="","",IFERROR(INDEX('DAILY ENTRY'!$J$7:$J$1203,MATCH(1,INDEX(('DAILY ENTRY'!$A$7:$A$1203=$A205)*('DAILY ENTRY'!$B$7:$B$1203=$B205)*('DAILY ENTRY'!$I$7:$I$1203="Blocked"),0),0)),""))</f>
        <v/>
      </c>
      <c r="O205" s="65" t="str">
        <f aca="false">IF($A205="","",(D205&gt;='START HERE'!$B$25)+(E205&gt;='START HERE'!$B$26)+(F205&gt;='START HERE'!$B$27)+(G205&gt;='START HERE'!$B$28)+(H205&gt;='START HERE'!$B$29)+(I205&gt;='START HERE'!$B$30)+(J205&gt;='START HERE'!$B$31)+(K205&gt;='START HERE'!$B$32))</f>
        <v/>
      </c>
      <c r="P205" s="46" t="str">
        <f aca="false">IF($A205="","",IF(O205&gt;=7,"Full day",IF(O205&gt;=5,"Most targets met",IF(O205&gt;=3,"Half day","Below plan - explain in the blocker column"))))</f>
        <v/>
      </c>
    </row>
    <row r="206" customFormat="false" ht="24" hidden="false" customHeight="true" outlineLevel="0" collapsed="false">
      <c r="A206" s="36"/>
      <c r="B206" s="37"/>
      <c r="C206" s="107" t="str">
        <f aca="false">IF($A206="","",ROUND(SUMIFS('DAILY ENTRY'!$G$7:$G$1203,'DAILY ENTRY'!$A$7:$A$1203,$A206,'DAILY ENTRY'!$B$7:$B$1203,$B206)/60,1))</f>
        <v/>
      </c>
      <c r="D206" s="107" t="str">
        <f aca="false">IF($A206="","",SUMIFS('DAILY ENTRY'!$F$7:$F$1203,'DAILY ENTRY'!$A$7:$A$1203,$A206,'DAILY ENTRY'!$B$7:$B$1203,$B206,'DAILY ENTRY'!$D$7:$D$1203,"Lead researched (Sales Navigator)"))</f>
        <v/>
      </c>
      <c r="E206" s="107" t="str">
        <f aca="false">IF($A206="","",SUMIFS('DAILY ENTRY'!$F$7:$F$1203,'DAILY ENTRY'!$A$7:$A$1203,$A206,'DAILY ENTRY'!$B$7:$B$1203,$B206,'DAILY ENTRY'!$D$7:$D$1203,"Connection request sent"))</f>
        <v/>
      </c>
      <c r="F206" s="107" t="str">
        <f aca="false">IF($A206="","",SUMIFS('DAILY ENTRY'!$F$7:$F$1203,'DAILY ENTRY'!$A$7:$A$1203,$A206,'DAILY ENTRY'!$B$7:$B$1203,$B206,'DAILY ENTRY'!$D$7:$D$1203,"First message sent"))</f>
        <v/>
      </c>
      <c r="G206" s="107" t="str">
        <f aca="false">IF($A206="","",SUMIFS('DAILY ENTRY'!$F$7:$F$1203,'DAILY ENTRY'!$A$7:$A$1203,$A206,'DAILY ENTRY'!$B$7:$B$1203,$B206,'DAILY ENTRY'!$D$7:$D$1203,"Follow-up message sent"))</f>
        <v/>
      </c>
      <c r="H206" s="107" t="str">
        <f aca="false">IF($A206="","",SUMIFS('DAILY ENTRY'!$F$7:$F$1203,'DAILY ENTRY'!$A$7:$A$1203,$A206,'DAILY ENTRY'!$B$7:$B$1203,$B206,'DAILY ENTRY'!$D$7:$D$1203,"Post / content published"))</f>
        <v/>
      </c>
      <c r="I206" s="107" t="str">
        <f aca="false">IF($A206="","",SUMIFS('DAILY ENTRY'!$F$7:$F$1203,'DAILY ENTRY'!$A$7:$A$1203,$A206,'DAILY ENTRY'!$B$7:$B$1203,$B206,'DAILY ENTRY'!$D$7:$D$1203,"Community answer or comment"))</f>
        <v/>
      </c>
      <c r="J206" s="107" t="str">
        <f aca="false">IF($A206="","",SUMIFS('DAILY ENTRY'!$F$7:$F$1203,'DAILY ENTRY'!$A$7:$A$1203,$A206,'DAILY ENTRY'!$B$7:$B$1203,$B206,'DAILY ENTRY'!$D$7:$D$1203,"Partnership / PR contact"))</f>
        <v/>
      </c>
      <c r="K206" s="107" t="str">
        <f aca="false">IF($A206="","",SUMIFS('DAILY ENTRY'!$F$7:$F$1203,'DAILY ENTRY'!$A$7:$A$1203,$A206,'DAILY ENTRY'!$B$7:$B$1203,$B206,'DAILY ENTRY'!$D$7:$D$1203,"Engagement (commented on someone else)"))</f>
        <v/>
      </c>
      <c r="L206" s="107" t="str">
        <f aca="false">IF($A206="","",SUMIFS('DAILY ENTRY'!$F$7:$F$1203,'DAILY ENTRY'!$A$7:$A$1203,$A206,'DAILY ENTRY'!$B$7:$B$1203,$B206,'DAILY ENTRY'!$D$7:$D$1203,"Account created / profile completed"))</f>
        <v/>
      </c>
      <c r="M206" s="108" t="str">
        <f aca="false">IF($A206="","",IFERROR(INDEX('DAILY ENTRY'!$E$7:$E$1203,MATCH(1,INDEX(('DAILY ENTRY'!$A$7:$A$1203=$A206)*('DAILY ENTRY'!$B$7:$B$1203=$B206)*('DAILY ENTRY'!$I$7:$I$1203="Meeting booked"),0),0)),IFERROR(INDEX('DAILY ENTRY'!$E$7:$E$1203,MATCH(1,INDEX(('DAILY ENTRY'!$A$7:$A$1203=$A206)*('DAILY ENTRY'!$B$7:$B$1203=$B206)*('DAILY ENTRY'!$I$7:$I$1203="Positive reply"),0),0)),"")))</f>
        <v/>
      </c>
      <c r="N206" s="108" t="str">
        <f aca="false">IF($A206="","",IFERROR(INDEX('DAILY ENTRY'!$J$7:$J$1203,MATCH(1,INDEX(('DAILY ENTRY'!$A$7:$A$1203=$A206)*('DAILY ENTRY'!$B$7:$B$1203=$B206)*('DAILY ENTRY'!$I$7:$I$1203="Blocked"),0),0)),""))</f>
        <v/>
      </c>
      <c r="O206" s="65" t="str">
        <f aca="false">IF($A206="","",(D206&gt;='START HERE'!$B$25)+(E206&gt;='START HERE'!$B$26)+(F206&gt;='START HERE'!$B$27)+(G206&gt;='START HERE'!$B$28)+(H206&gt;='START HERE'!$B$29)+(I206&gt;='START HERE'!$B$30)+(J206&gt;='START HERE'!$B$31)+(K206&gt;='START HERE'!$B$32))</f>
        <v/>
      </c>
      <c r="P206" s="46" t="str">
        <f aca="false">IF($A206="","",IF(O206&gt;=7,"Full day",IF(O206&gt;=5,"Most targets met",IF(O206&gt;=3,"Half day","Below plan - explain in the blocker column"))))</f>
        <v/>
      </c>
    </row>
    <row r="207" customFormat="false" ht="24" hidden="false" customHeight="true" outlineLevel="0" collapsed="false">
      <c r="A207" s="36"/>
      <c r="B207" s="37"/>
      <c r="C207" s="107" t="str">
        <f aca="false">IF($A207="","",ROUND(SUMIFS('DAILY ENTRY'!$G$7:$G$1203,'DAILY ENTRY'!$A$7:$A$1203,$A207,'DAILY ENTRY'!$B$7:$B$1203,$B207)/60,1))</f>
        <v/>
      </c>
      <c r="D207" s="107" t="str">
        <f aca="false">IF($A207="","",SUMIFS('DAILY ENTRY'!$F$7:$F$1203,'DAILY ENTRY'!$A$7:$A$1203,$A207,'DAILY ENTRY'!$B$7:$B$1203,$B207,'DAILY ENTRY'!$D$7:$D$1203,"Lead researched (Sales Navigator)"))</f>
        <v/>
      </c>
      <c r="E207" s="107" t="str">
        <f aca="false">IF($A207="","",SUMIFS('DAILY ENTRY'!$F$7:$F$1203,'DAILY ENTRY'!$A$7:$A$1203,$A207,'DAILY ENTRY'!$B$7:$B$1203,$B207,'DAILY ENTRY'!$D$7:$D$1203,"Connection request sent"))</f>
        <v/>
      </c>
      <c r="F207" s="107" t="str">
        <f aca="false">IF($A207="","",SUMIFS('DAILY ENTRY'!$F$7:$F$1203,'DAILY ENTRY'!$A$7:$A$1203,$A207,'DAILY ENTRY'!$B$7:$B$1203,$B207,'DAILY ENTRY'!$D$7:$D$1203,"First message sent"))</f>
        <v/>
      </c>
      <c r="G207" s="107" t="str">
        <f aca="false">IF($A207="","",SUMIFS('DAILY ENTRY'!$F$7:$F$1203,'DAILY ENTRY'!$A$7:$A$1203,$A207,'DAILY ENTRY'!$B$7:$B$1203,$B207,'DAILY ENTRY'!$D$7:$D$1203,"Follow-up message sent"))</f>
        <v/>
      </c>
      <c r="H207" s="107" t="str">
        <f aca="false">IF($A207="","",SUMIFS('DAILY ENTRY'!$F$7:$F$1203,'DAILY ENTRY'!$A$7:$A$1203,$A207,'DAILY ENTRY'!$B$7:$B$1203,$B207,'DAILY ENTRY'!$D$7:$D$1203,"Post / content published"))</f>
        <v/>
      </c>
      <c r="I207" s="107" t="str">
        <f aca="false">IF($A207="","",SUMIFS('DAILY ENTRY'!$F$7:$F$1203,'DAILY ENTRY'!$A$7:$A$1203,$A207,'DAILY ENTRY'!$B$7:$B$1203,$B207,'DAILY ENTRY'!$D$7:$D$1203,"Community answer or comment"))</f>
        <v/>
      </c>
      <c r="J207" s="107" t="str">
        <f aca="false">IF($A207="","",SUMIFS('DAILY ENTRY'!$F$7:$F$1203,'DAILY ENTRY'!$A$7:$A$1203,$A207,'DAILY ENTRY'!$B$7:$B$1203,$B207,'DAILY ENTRY'!$D$7:$D$1203,"Partnership / PR contact"))</f>
        <v/>
      </c>
      <c r="K207" s="107" t="str">
        <f aca="false">IF($A207="","",SUMIFS('DAILY ENTRY'!$F$7:$F$1203,'DAILY ENTRY'!$A$7:$A$1203,$A207,'DAILY ENTRY'!$B$7:$B$1203,$B207,'DAILY ENTRY'!$D$7:$D$1203,"Engagement (commented on someone else)"))</f>
        <v/>
      </c>
      <c r="L207" s="107" t="str">
        <f aca="false">IF($A207="","",SUMIFS('DAILY ENTRY'!$F$7:$F$1203,'DAILY ENTRY'!$A$7:$A$1203,$A207,'DAILY ENTRY'!$B$7:$B$1203,$B207,'DAILY ENTRY'!$D$7:$D$1203,"Account created / profile completed"))</f>
        <v/>
      </c>
      <c r="M207" s="108" t="str">
        <f aca="false">IF($A207="","",IFERROR(INDEX('DAILY ENTRY'!$E$7:$E$1203,MATCH(1,INDEX(('DAILY ENTRY'!$A$7:$A$1203=$A207)*('DAILY ENTRY'!$B$7:$B$1203=$B207)*('DAILY ENTRY'!$I$7:$I$1203="Meeting booked"),0),0)),IFERROR(INDEX('DAILY ENTRY'!$E$7:$E$1203,MATCH(1,INDEX(('DAILY ENTRY'!$A$7:$A$1203=$A207)*('DAILY ENTRY'!$B$7:$B$1203=$B207)*('DAILY ENTRY'!$I$7:$I$1203="Positive reply"),0),0)),"")))</f>
        <v/>
      </c>
      <c r="N207" s="108" t="str">
        <f aca="false">IF($A207="","",IFERROR(INDEX('DAILY ENTRY'!$J$7:$J$1203,MATCH(1,INDEX(('DAILY ENTRY'!$A$7:$A$1203=$A207)*('DAILY ENTRY'!$B$7:$B$1203=$B207)*('DAILY ENTRY'!$I$7:$I$1203="Blocked"),0),0)),""))</f>
        <v/>
      </c>
      <c r="O207" s="65" t="str">
        <f aca="false">IF($A207="","",(D207&gt;='START HERE'!$B$25)+(E207&gt;='START HERE'!$B$26)+(F207&gt;='START HERE'!$B$27)+(G207&gt;='START HERE'!$B$28)+(H207&gt;='START HERE'!$B$29)+(I207&gt;='START HERE'!$B$30)+(J207&gt;='START HERE'!$B$31)+(K207&gt;='START HERE'!$B$32))</f>
        <v/>
      </c>
      <c r="P207" s="46" t="str">
        <f aca="false">IF($A207="","",IF(O207&gt;=7,"Full day",IF(O207&gt;=5,"Most targets met",IF(O207&gt;=3,"Half day","Below plan - explain in the blocker column"))))</f>
        <v/>
      </c>
    </row>
    <row r="208" customFormat="false" ht="24" hidden="false" customHeight="true" outlineLevel="0" collapsed="false">
      <c r="A208" s="36"/>
      <c r="B208" s="37"/>
      <c r="C208" s="107" t="str">
        <f aca="false">IF($A208="","",ROUND(SUMIFS('DAILY ENTRY'!$G$7:$G$1203,'DAILY ENTRY'!$A$7:$A$1203,$A208,'DAILY ENTRY'!$B$7:$B$1203,$B208)/60,1))</f>
        <v/>
      </c>
      <c r="D208" s="107" t="str">
        <f aca="false">IF($A208="","",SUMIFS('DAILY ENTRY'!$F$7:$F$1203,'DAILY ENTRY'!$A$7:$A$1203,$A208,'DAILY ENTRY'!$B$7:$B$1203,$B208,'DAILY ENTRY'!$D$7:$D$1203,"Lead researched (Sales Navigator)"))</f>
        <v/>
      </c>
      <c r="E208" s="107" t="str">
        <f aca="false">IF($A208="","",SUMIFS('DAILY ENTRY'!$F$7:$F$1203,'DAILY ENTRY'!$A$7:$A$1203,$A208,'DAILY ENTRY'!$B$7:$B$1203,$B208,'DAILY ENTRY'!$D$7:$D$1203,"Connection request sent"))</f>
        <v/>
      </c>
      <c r="F208" s="107" t="str">
        <f aca="false">IF($A208="","",SUMIFS('DAILY ENTRY'!$F$7:$F$1203,'DAILY ENTRY'!$A$7:$A$1203,$A208,'DAILY ENTRY'!$B$7:$B$1203,$B208,'DAILY ENTRY'!$D$7:$D$1203,"First message sent"))</f>
        <v/>
      </c>
      <c r="G208" s="107" t="str">
        <f aca="false">IF($A208="","",SUMIFS('DAILY ENTRY'!$F$7:$F$1203,'DAILY ENTRY'!$A$7:$A$1203,$A208,'DAILY ENTRY'!$B$7:$B$1203,$B208,'DAILY ENTRY'!$D$7:$D$1203,"Follow-up message sent"))</f>
        <v/>
      </c>
      <c r="H208" s="107" t="str">
        <f aca="false">IF($A208="","",SUMIFS('DAILY ENTRY'!$F$7:$F$1203,'DAILY ENTRY'!$A$7:$A$1203,$A208,'DAILY ENTRY'!$B$7:$B$1203,$B208,'DAILY ENTRY'!$D$7:$D$1203,"Post / content published"))</f>
        <v/>
      </c>
      <c r="I208" s="107" t="str">
        <f aca="false">IF($A208="","",SUMIFS('DAILY ENTRY'!$F$7:$F$1203,'DAILY ENTRY'!$A$7:$A$1203,$A208,'DAILY ENTRY'!$B$7:$B$1203,$B208,'DAILY ENTRY'!$D$7:$D$1203,"Community answer or comment"))</f>
        <v/>
      </c>
      <c r="J208" s="107" t="str">
        <f aca="false">IF($A208="","",SUMIFS('DAILY ENTRY'!$F$7:$F$1203,'DAILY ENTRY'!$A$7:$A$1203,$A208,'DAILY ENTRY'!$B$7:$B$1203,$B208,'DAILY ENTRY'!$D$7:$D$1203,"Partnership / PR contact"))</f>
        <v/>
      </c>
      <c r="K208" s="107" t="str">
        <f aca="false">IF($A208="","",SUMIFS('DAILY ENTRY'!$F$7:$F$1203,'DAILY ENTRY'!$A$7:$A$1203,$A208,'DAILY ENTRY'!$B$7:$B$1203,$B208,'DAILY ENTRY'!$D$7:$D$1203,"Engagement (commented on someone else)"))</f>
        <v/>
      </c>
      <c r="L208" s="107" t="str">
        <f aca="false">IF($A208="","",SUMIFS('DAILY ENTRY'!$F$7:$F$1203,'DAILY ENTRY'!$A$7:$A$1203,$A208,'DAILY ENTRY'!$B$7:$B$1203,$B208,'DAILY ENTRY'!$D$7:$D$1203,"Account created / profile completed"))</f>
        <v/>
      </c>
      <c r="M208" s="108" t="str">
        <f aca="false">IF($A208="","",IFERROR(INDEX('DAILY ENTRY'!$E$7:$E$1203,MATCH(1,INDEX(('DAILY ENTRY'!$A$7:$A$1203=$A208)*('DAILY ENTRY'!$B$7:$B$1203=$B208)*('DAILY ENTRY'!$I$7:$I$1203="Meeting booked"),0),0)),IFERROR(INDEX('DAILY ENTRY'!$E$7:$E$1203,MATCH(1,INDEX(('DAILY ENTRY'!$A$7:$A$1203=$A208)*('DAILY ENTRY'!$B$7:$B$1203=$B208)*('DAILY ENTRY'!$I$7:$I$1203="Positive reply"),0),0)),"")))</f>
        <v/>
      </c>
      <c r="N208" s="108" t="str">
        <f aca="false">IF($A208="","",IFERROR(INDEX('DAILY ENTRY'!$J$7:$J$1203,MATCH(1,INDEX(('DAILY ENTRY'!$A$7:$A$1203=$A208)*('DAILY ENTRY'!$B$7:$B$1203=$B208)*('DAILY ENTRY'!$I$7:$I$1203="Blocked"),0),0)),""))</f>
        <v/>
      </c>
      <c r="O208" s="65" t="str">
        <f aca="false">IF($A208="","",(D208&gt;='START HERE'!$B$25)+(E208&gt;='START HERE'!$B$26)+(F208&gt;='START HERE'!$B$27)+(G208&gt;='START HERE'!$B$28)+(H208&gt;='START HERE'!$B$29)+(I208&gt;='START HERE'!$B$30)+(J208&gt;='START HERE'!$B$31)+(K208&gt;='START HERE'!$B$32))</f>
        <v/>
      </c>
      <c r="P208" s="46" t="str">
        <f aca="false">IF($A208="","",IF(O208&gt;=7,"Full day",IF(O208&gt;=5,"Most targets met",IF(O208&gt;=3,"Half day","Below plan - explain in the blocker column"))))</f>
        <v/>
      </c>
    </row>
    <row r="209" customFormat="false" ht="24" hidden="false" customHeight="true" outlineLevel="0" collapsed="false">
      <c r="A209" s="36"/>
      <c r="B209" s="37"/>
      <c r="C209" s="107" t="str">
        <f aca="false">IF($A209="","",ROUND(SUMIFS('DAILY ENTRY'!$G$7:$G$1203,'DAILY ENTRY'!$A$7:$A$1203,$A209,'DAILY ENTRY'!$B$7:$B$1203,$B209)/60,1))</f>
        <v/>
      </c>
      <c r="D209" s="107" t="str">
        <f aca="false">IF($A209="","",SUMIFS('DAILY ENTRY'!$F$7:$F$1203,'DAILY ENTRY'!$A$7:$A$1203,$A209,'DAILY ENTRY'!$B$7:$B$1203,$B209,'DAILY ENTRY'!$D$7:$D$1203,"Lead researched (Sales Navigator)"))</f>
        <v/>
      </c>
      <c r="E209" s="107" t="str">
        <f aca="false">IF($A209="","",SUMIFS('DAILY ENTRY'!$F$7:$F$1203,'DAILY ENTRY'!$A$7:$A$1203,$A209,'DAILY ENTRY'!$B$7:$B$1203,$B209,'DAILY ENTRY'!$D$7:$D$1203,"Connection request sent"))</f>
        <v/>
      </c>
      <c r="F209" s="107" t="str">
        <f aca="false">IF($A209="","",SUMIFS('DAILY ENTRY'!$F$7:$F$1203,'DAILY ENTRY'!$A$7:$A$1203,$A209,'DAILY ENTRY'!$B$7:$B$1203,$B209,'DAILY ENTRY'!$D$7:$D$1203,"First message sent"))</f>
        <v/>
      </c>
      <c r="G209" s="107" t="str">
        <f aca="false">IF($A209="","",SUMIFS('DAILY ENTRY'!$F$7:$F$1203,'DAILY ENTRY'!$A$7:$A$1203,$A209,'DAILY ENTRY'!$B$7:$B$1203,$B209,'DAILY ENTRY'!$D$7:$D$1203,"Follow-up message sent"))</f>
        <v/>
      </c>
      <c r="H209" s="107" t="str">
        <f aca="false">IF($A209="","",SUMIFS('DAILY ENTRY'!$F$7:$F$1203,'DAILY ENTRY'!$A$7:$A$1203,$A209,'DAILY ENTRY'!$B$7:$B$1203,$B209,'DAILY ENTRY'!$D$7:$D$1203,"Post / content published"))</f>
        <v/>
      </c>
      <c r="I209" s="107" t="str">
        <f aca="false">IF($A209="","",SUMIFS('DAILY ENTRY'!$F$7:$F$1203,'DAILY ENTRY'!$A$7:$A$1203,$A209,'DAILY ENTRY'!$B$7:$B$1203,$B209,'DAILY ENTRY'!$D$7:$D$1203,"Community answer or comment"))</f>
        <v/>
      </c>
      <c r="J209" s="107" t="str">
        <f aca="false">IF($A209="","",SUMIFS('DAILY ENTRY'!$F$7:$F$1203,'DAILY ENTRY'!$A$7:$A$1203,$A209,'DAILY ENTRY'!$B$7:$B$1203,$B209,'DAILY ENTRY'!$D$7:$D$1203,"Partnership / PR contact"))</f>
        <v/>
      </c>
      <c r="K209" s="107" t="str">
        <f aca="false">IF($A209="","",SUMIFS('DAILY ENTRY'!$F$7:$F$1203,'DAILY ENTRY'!$A$7:$A$1203,$A209,'DAILY ENTRY'!$B$7:$B$1203,$B209,'DAILY ENTRY'!$D$7:$D$1203,"Engagement (commented on someone else)"))</f>
        <v/>
      </c>
      <c r="L209" s="107" t="str">
        <f aca="false">IF($A209="","",SUMIFS('DAILY ENTRY'!$F$7:$F$1203,'DAILY ENTRY'!$A$7:$A$1203,$A209,'DAILY ENTRY'!$B$7:$B$1203,$B209,'DAILY ENTRY'!$D$7:$D$1203,"Account created / profile completed"))</f>
        <v/>
      </c>
      <c r="M209" s="108" t="str">
        <f aca="false">IF($A209="","",IFERROR(INDEX('DAILY ENTRY'!$E$7:$E$1203,MATCH(1,INDEX(('DAILY ENTRY'!$A$7:$A$1203=$A209)*('DAILY ENTRY'!$B$7:$B$1203=$B209)*('DAILY ENTRY'!$I$7:$I$1203="Meeting booked"),0),0)),IFERROR(INDEX('DAILY ENTRY'!$E$7:$E$1203,MATCH(1,INDEX(('DAILY ENTRY'!$A$7:$A$1203=$A209)*('DAILY ENTRY'!$B$7:$B$1203=$B209)*('DAILY ENTRY'!$I$7:$I$1203="Positive reply"),0),0)),"")))</f>
        <v/>
      </c>
      <c r="N209" s="108" t="str">
        <f aca="false">IF($A209="","",IFERROR(INDEX('DAILY ENTRY'!$J$7:$J$1203,MATCH(1,INDEX(('DAILY ENTRY'!$A$7:$A$1203=$A209)*('DAILY ENTRY'!$B$7:$B$1203=$B209)*('DAILY ENTRY'!$I$7:$I$1203="Blocked"),0),0)),""))</f>
        <v/>
      </c>
      <c r="O209" s="65" t="str">
        <f aca="false">IF($A209="","",(D209&gt;='START HERE'!$B$25)+(E209&gt;='START HERE'!$B$26)+(F209&gt;='START HERE'!$B$27)+(G209&gt;='START HERE'!$B$28)+(H209&gt;='START HERE'!$B$29)+(I209&gt;='START HERE'!$B$30)+(J209&gt;='START HERE'!$B$31)+(K209&gt;='START HERE'!$B$32))</f>
        <v/>
      </c>
      <c r="P209" s="46" t="str">
        <f aca="false">IF($A209="","",IF(O209&gt;=7,"Full day",IF(O209&gt;=5,"Most targets met",IF(O209&gt;=3,"Half day","Below plan - explain in the blocker column"))))</f>
        <v/>
      </c>
    </row>
    <row r="210" customFormat="false" ht="24" hidden="false" customHeight="true" outlineLevel="0" collapsed="false">
      <c r="A210" s="36"/>
      <c r="B210" s="37"/>
      <c r="C210" s="107" t="str">
        <f aca="false">IF($A210="","",ROUND(SUMIFS('DAILY ENTRY'!$G$7:$G$1203,'DAILY ENTRY'!$A$7:$A$1203,$A210,'DAILY ENTRY'!$B$7:$B$1203,$B210)/60,1))</f>
        <v/>
      </c>
      <c r="D210" s="107" t="str">
        <f aca="false">IF($A210="","",SUMIFS('DAILY ENTRY'!$F$7:$F$1203,'DAILY ENTRY'!$A$7:$A$1203,$A210,'DAILY ENTRY'!$B$7:$B$1203,$B210,'DAILY ENTRY'!$D$7:$D$1203,"Lead researched (Sales Navigator)"))</f>
        <v/>
      </c>
      <c r="E210" s="107" t="str">
        <f aca="false">IF($A210="","",SUMIFS('DAILY ENTRY'!$F$7:$F$1203,'DAILY ENTRY'!$A$7:$A$1203,$A210,'DAILY ENTRY'!$B$7:$B$1203,$B210,'DAILY ENTRY'!$D$7:$D$1203,"Connection request sent"))</f>
        <v/>
      </c>
      <c r="F210" s="107" t="str">
        <f aca="false">IF($A210="","",SUMIFS('DAILY ENTRY'!$F$7:$F$1203,'DAILY ENTRY'!$A$7:$A$1203,$A210,'DAILY ENTRY'!$B$7:$B$1203,$B210,'DAILY ENTRY'!$D$7:$D$1203,"First message sent"))</f>
        <v/>
      </c>
      <c r="G210" s="107" t="str">
        <f aca="false">IF($A210="","",SUMIFS('DAILY ENTRY'!$F$7:$F$1203,'DAILY ENTRY'!$A$7:$A$1203,$A210,'DAILY ENTRY'!$B$7:$B$1203,$B210,'DAILY ENTRY'!$D$7:$D$1203,"Follow-up message sent"))</f>
        <v/>
      </c>
      <c r="H210" s="107" t="str">
        <f aca="false">IF($A210="","",SUMIFS('DAILY ENTRY'!$F$7:$F$1203,'DAILY ENTRY'!$A$7:$A$1203,$A210,'DAILY ENTRY'!$B$7:$B$1203,$B210,'DAILY ENTRY'!$D$7:$D$1203,"Post / content published"))</f>
        <v/>
      </c>
      <c r="I210" s="107" t="str">
        <f aca="false">IF($A210="","",SUMIFS('DAILY ENTRY'!$F$7:$F$1203,'DAILY ENTRY'!$A$7:$A$1203,$A210,'DAILY ENTRY'!$B$7:$B$1203,$B210,'DAILY ENTRY'!$D$7:$D$1203,"Community answer or comment"))</f>
        <v/>
      </c>
      <c r="J210" s="107" t="str">
        <f aca="false">IF($A210="","",SUMIFS('DAILY ENTRY'!$F$7:$F$1203,'DAILY ENTRY'!$A$7:$A$1203,$A210,'DAILY ENTRY'!$B$7:$B$1203,$B210,'DAILY ENTRY'!$D$7:$D$1203,"Partnership / PR contact"))</f>
        <v/>
      </c>
      <c r="K210" s="107" t="str">
        <f aca="false">IF($A210="","",SUMIFS('DAILY ENTRY'!$F$7:$F$1203,'DAILY ENTRY'!$A$7:$A$1203,$A210,'DAILY ENTRY'!$B$7:$B$1203,$B210,'DAILY ENTRY'!$D$7:$D$1203,"Engagement (commented on someone else)"))</f>
        <v/>
      </c>
      <c r="L210" s="107" t="str">
        <f aca="false">IF($A210="","",SUMIFS('DAILY ENTRY'!$F$7:$F$1203,'DAILY ENTRY'!$A$7:$A$1203,$A210,'DAILY ENTRY'!$B$7:$B$1203,$B210,'DAILY ENTRY'!$D$7:$D$1203,"Account created / profile completed"))</f>
        <v/>
      </c>
      <c r="M210" s="108" t="str">
        <f aca="false">IF($A210="","",IFERROR(INDEX('DAILY ENTRY'!$E$7:$E$1203,MATCH(1,INDEX(('DAILY ENTRY'!$A$7:$A$1203=$A210)*('DAILY ENTRY'!$B$7:$B$1203=$B210)*('DAILY ENTRY'!$I$7:$I$1203="Meeting booked"),0),0)),IFERROR(INDEX('DAILY ENTRY'!$E$7:$E$1203,MATCH(1,INDEX(('DAILY ENTRY'!$A$7:$A$1203=$A210)*('DAILY ENTRY'!$B$7:$B$1203=$B210)*('DAILY ENTRY'!$I$7:$I$1203="Positive reply"),0),0)),"")))</f>
        <v/>
      </c>
      <c r="N210" s="108" t="str">
        <f aca="false">IF($A210="","",IFERROR(INDEX('DAILY ENTRY'!$J$7:$J$1203,MATCH(1,INDEX(('DAILY ENTRY'!$A$7:$A$1203=$A210)*('DAILY ENTRY'!$B$7:$B$1203=$B210)*('DAILY ENTRY'!$I$7:$I$1203="Blocked"),0),0)),""))</f>
        <v/>
      </c>
      <c r="O210" s="65" t="str">
        <f aca="false">IF($A210="","",(D210&gt;='START HERE'!$B$25)+(E210&gt;='START HERE'!$B$26)+(F210&gt;='START HERE'!$B$27)+(G210&gt;='START HERE'!$B$28)+(H210&gt;='START HERE'!$B$29)+(I210&gt;='START HERE'!$B$30)+(J210&gt;='START HERE'!$B$31)+(K210&gt;='START HERE'!$B$32))</f>
        <v/>
      </c>
      <c r="P210" s="46" t="str">
        <f aca="false">IF($A210="","",IF(O210&gt;=7,"Full day",IF(O210&gt;=5,"Most targets met",IF(O210&gt;=3,"Half day","Below plan - explain in the blocker column"))))</f>
        <v/>
      </c>
    </row>
    <row r="211" customFormat="false" ht="24" hidden="false" customHeight="true" outlineLevel="0" collapsed="false">
      <c r="A211" s="36"/>
      <c r="B211" s="37"/>
      <c r="C211" s="107" t="str">
        <f aca="false">IF($A211="","",ROUND(SUMIFS('DAILY ENTRY'!$G$7:$G$1203,'DAILY ENTRY'!$A$7:$A$1203,$A211,'DAILY ENTRY'!$B$7:$B$1203,$B211)/60,1))</f>
        <v/>
      </c>
      <c r="D211" s="107" t="str">
        <f aca="false">IF($A211="","",SUMIFS('DAILY ENTRY'!$F$7:$F$1203,'DAILY ENTRY'!$A$7:$A$1203,$A211,'DAILY ENTRY'!$B$7:$B$1203,$B211,'DAILY ENTRY'!$D$7:$D$1203,"Lead researched (Sales Navigator)"))</f>
        <v/>
      </c>
      <c r="E211" s="107" t="str">
        <f aca="false">IF($A211="","",SUMIFS('DAILY ENTRY'!$F$7:$F$1203,'DAILY ENTRY'!$A$7:$A$1203,$A211,'DAILY ENTRY'!$B$7:$B$1203,$B211,'DAILY ENTRY'!$D$7:$D$1203,"Connection request sent"))</f>
        <v/>
      </c>
      <c r="F211" s="107" t="str">
        <f aca="false">IF($A211="","",SUMIFS('DAILY ENTRY'!$F$7:$F$1203,'DAILY ENTRY'!$A$7:$A$1203,$A211,'DAILY ENTRY'!$B$7:$B$1203,$B211,'DAILY ENTRY'!$D$7:$D$1203,"First message sent"))</f>
        <v/>
      </c>
      <c r="G211" s="107" t="str">
        <f aca="false">IF($A211="","",SUMIFS('DAILY ENTRY'!$F$7:$F$1203,'DAILY ENTRY'!$A$7:$A$1203,$A211,'DAILY ENTRY'!$B$7:$B$1203,$B211,'DAILY ENTRY'!$D$7:$D$1203,"Follow-up message sent"))</f>
        <v/>
      </c>
      <c r="H211" s="107" t="str">
        <f aca="false">IF($A211="","",SUMIFS('DAILY ENTRY'!$F$7:$F$1203,'DAILY ENTRY'!$A$7:$A$1203,$A211,'DAILY ENTRY'!$B$7:$B$1203,$B211,'DAILY ENTRY'!$D$7:$D$1203,"Post / content published"))</f>
        <v/>
      </c>
      <c r="I211" s="107" t="str">
        <f aca="false">IF($A211="","",SUMIFS('DAILY ENTRY'!$F$7:$F$1203,'DAILY ENTRY'!$A$7:$A$1203,$A211,'DAILY ENTRY'!$B$7:$B$1203,$B211,'DAILY ENTRY'!$D$7:$D$1203,"Community answer or comment"))</f>
        <v/>
      </c>
      <c r="J211" s="107" t="str">
        <f aca="false">IF($A211="","",SUMIFS('DAILY ENTRY'!$F$7:$F$1203,'DAILY ENTRY'!$A$7:$A$1203,$A211,'DAILY ENTRY'!$B$7:$B$1203,$B211,'DAILY ENTRY'!$D$7:$D$1203,"Partnership / PR contact"))</f>
        <v/>
      </c>
      <c r="K211" s="107" t="str">
        <f aca="false">IF($A211="","",SUMIFS('DAILY ENTRY'!$F$7:$F$1203,'DAILY ENTRY'!$A$7:$A$1203,$A211,'DAILY ENTRY'!$B$7:$B$1203,$B211,'DAILY ENTRY'!$D$7:$D$1203,"Engagement (commented on someone else)"))</f>
        <v/>
      </c>
      <c r="L211" s="107" t="str">
        <f aca="false">IF($A211="","",SUMIFS('DAILY ENTRY'!$F$7:$F$1203,'DAILY ENTRY'!$A$7:$A$1203,$A211,'DAILY ENTRY'!$B$7:$B$1203,$B211,'DAILY ENTRY'!$D$7:$D$1203,"Account created / profile completed"))</f>
        <v/>
      </c>
      <c r="M211" s="108" t="str">
        <f aca="false">IF($A211="","",IFERROR(INDEX('DAILY ENTRY'!$E$7:$E$1203,MATCH(1,INDEX(('DAILY ENTRY'!$A$7:$A$1203=$A211)*('DAILY ENTRY'!$B$7:$B$1203=$B211)*('DAILY ENTRY'!$I$7:$I$1203="Meeting booked"),0),0)),IFERROR(INDEX('DAILY ENTRY'!$E$7:$E$1203,MATCH(1,INDEX(('DAILY ENTRY'!$A$7:$A$1203=$A211)*('DAILY ENTRY'!$B$7:$B$1203=$B211)*('DAILY ENTRY'!$I$7:$I$1203="Positive reply"),0),0)),"")))</f>
        <v/>
      </c>
      <c r="N211" s="108" t="str">
        <f aca="false">IF($A211="","",IFERROR(INDEX('DAILY ENTRY'!$J$7:$J$1203,MATCH(1,INDEX(('DAILY ENTRY'!$A$7:$A$1203=$A211)*('DAILY ENTRY'!$B$7:$B$1203=$B211)*('DAILY ENTRY'!$I$7:$I$1203="Blocked"),0),0)),""))</f>
        <v/>
      </c>
      <c r="O211" s="65" t="str">
        <f aca="false">IF($A211="","",(D211&gt;='START HERE'!$B$25)+(E211&gt;='START HERE'!$B$26)+(F211&gt;='START HERE'!$B$27)+(G211&gt;='START HERE'!$B$28)+(H211&gt;='START HERE'!$B$29)+(I211&gt;='START HERE'!$B$30)+(J211&gt;='START HERE'!$B$31)+(K211&gt;='START HERE'!$B$32))</f>
        <v/>
      </c>
      <c r="P211" s="46" t="str">
        <f aca="false">IF($A211="","",IF(O211&gt;=7,"Full day",IF(O211&gt;=5,"Most targets met",IF(O211&gt;=3,"Half day","Below plan - explain in the blocker column"))))</f>
        <v/>
      </c>
    </row>
    <row r="212" customFormat="false" ht="24" hidden="false" customHeight="true" outlineLevel="0" collapsed="false">
      <c r="A212" s="36"/>
      <c r="B212" s="37"/>
      <c r="C212" s="107" t="str">
        <f aca="false">IF($A212="","",ROUND(SUMIFS('DAILY ENTRY'!$G$7:$G$1203,'DAILY ENTRY'!$A$7:$A$1203,$A212,'DAILY ENTRY'!$B$7:$B$1203,$B212)/60,1))</f>
        <v/>
      </c>
      <c r="D212" s="107" t="str">
        <f aca="false">IF($A212="","",SUMIFS('DAILY ENTRY'!$F$7:$F$1203,'DAILY ENTRY'!$A$7:$A$1203,$A212,'DAILY ENTRY'!$B$7:$B$1203,$B212,'DAILY ENTRY'!$D$7:$D$1203,"Lead researched (Sales Navigator)"))</f>
        <v/>
      </c>
      <c r="E212" s="107" t="str">
        <f aca="false">IF($A212="","",SUMIFS('DAILY ENTRY'!$F$7:$F$1203,'DAILY ENTRY'!$A$7:$A$1203,$A212,'DAILY ENTRY'!$B$7:$B$1203,$B212,'DAILY ENTRY'!$D$7:$D$1203,"Connection request sent"))</f>
        <v/>
      </c>
      <c r="F212" s="107" t="str">
        <f aca="false">IF($A212="","",SUMIFS('DAILY ENTRY'!$F$7:$F$1203,'DAILY ENTRY'!$A$7:$A$1203,$A212,'DAILY ENTRY'!$B$7:$B$1203,$B212,'DAILY ENTRY'!$D$7:$D$1203,"First message sent"))</f>
        <v/>
      </c>
      <c r="G212" s="107" t="str">
        <f aca="false">IF($A212="","",SUMIFS('DAILY ENTRY'!$F$7:$F$1203,'DAILY ENTRY'!$A$7:$A$1203,$A212,'DAILY ENTRY'!$B$7:$B$1203,$B212,'DAILY ENTRY'!$D$7:$D$1203,"Follow-up message sent"))</f>
        <v/>
      </c>
      <c r="H212" s="107" t="str">
        <f aca="false">IF($A212="","",SUMIFS('DAILY ENTRY'!$F$7:$F$1203,'DAILY ENTRY'!$A$7:$A$1203,$A212,'DAILY ENTRY'!$B$7:$B$1203,$B212,'DAILY ENTRY'!$D$7:$D$1203,"Post / content published"))</f>
        <v/>
      </c>
      <c r="I212" s="107" t="str">
        <f aca="false">IF($A212="","",SUMIFS('DAILY ENTRY'!$F$7:$F$1203,'DAILY ENTRY'!$A$7:$A$1203,$A212,'DAILY ENTRY'!$B$7:$B$1203,$B212,'DAILY ENTRY'!$D$7:$D$1203,"Community answer or comment"))</f>
        <v/>
      </c>
      <c r="J212" s="107" t="str">
        <f aca="false">IF($A212="","",SUMIFS('DAILY ENTRY'!$F$7:$F$1203,'DAILY ENTRY'!$A$7:$A$1203,$A212,'DAILY ENTRY'!$B$7:$B$1203,$B212,'DAILY ENTRY'!$D$7:$D$1203,"Partnership / PR contact"))</f>
        <v/>
      </c>
      <c r="K212" s="107" t="str">
        <f aca="false">IF($A212="","",SUMIFS('DAILY ENTRY'!$F$7:$F$1203,'DAILY ENTRY'!$A$7:$A$1203,$A212,'DAILY ENTRY'!$B$7:$B$1203,$B212,'DAILY ENTRY'!$D$7:$D$1203,"Engagement (commented on someone else)"))</f>
        <v/>
      </c>
      <c r="L212" s="107" t="str">
        <f aca="false">IF($A212="","",SUMIFS('DAILY ENTRY'!$F$7:$F$1203,'DAILY ENTRY'!$A$7:$A$1203,$A212,'DAILY ENTRY'!$B$7:$B$1203,$B212,'DAILY ENTRY'!$D$7:$D$1203,"Account created / profile completed"))</f>
        <v/>
      </c>
      <c r="M212" s="108" t="str">
        <f aca="false">IF($A212="","",IFERROR(INDEX('DAILY ENTRY'!$E$7:$E$1203,MATCH(1,INDEX(('DAILY ENTRY'!$A$7:$A$1203=$A212)*('DAILY ENTRY'!$B$7:$B$1203=$B212)*('DAILY ENTRY'!$I$7:$I$1203="Meeting booked"),0),0)),IFERROR(INDEX('DAILY ENTRY'!$E$7:$E$1203,MATCH(1,INDEX(('DAILY ENTRY'!$A$7:$A$1203=$A212)*('DAILY ENTRY'!$B$7:$B$1203=$B212)*('DAILY ENTRY'!$I$7:$I$1203="Positive reply"),0),0)),"")))</f>
        <v/>
      </c>
      <c r="N212" s="108" t="str">
        <f aca="false">IF($A212="","",IFERROR(INDEX('DAILY ENTRY'!$J$7:$J$1203,MATCH(1,INDEX(('DAILY ENTRY'!$A$7:$A$1203=$A212)*('DAILY ENTRY'!$B$7:$B$1203=$B212)*('DAILY ENTRY'!$I$7:$I$1203="Blocked"),0),0)),""))</f>
        <v/>
      </c>
      <c r="O212" s="65" t="str">
        <f aca="false">IF($A212="","",(D212&gt;='START HERE'!$B$25)+(E212&gt;='START HERE'!$B$26)+(F212&gt;='START HERE'!$B$27)+(G212&gt;='START HERE'!$B$28)+(H212&gt;='START HERE'!$B$29)+(I212&gt;='START HERE'!$B$30)+(J212&gt;='START HERE'!$B$31)+(K212&gt;='START HERE'!$B$32))</f>
        <v/>
      </c>
      <c r="P212" s="46" t="str">
        <f aca="false">IF($A212="","",IF(O212&gt;=7,"Full day",IF(O212&gt;=5,"Most targets met",IF(O212&gt;=3,"Half day","Below plan - explain in the blocker column"))))</f>
        <v/>
      </c>
    </row>
    <row r="213" customFormat="false" ht="24" hidden="false" customHeight="true" outlineLevel="0" collapsed="false">
      <c r="A213" s="36"/>
      <c r="B213" s="37"/>
      <c r="C213" s="107" t="str">
        <f aca="false">IF($A213="","",ROUND(SUMIFS('DAILY ENTRY'!$G$7:$G$1203,'DAILY ENTRY'!$A$7:$A$1203,$A213,'DAILY ENTRY'!$B$7:$B$1203,$B213)/60,1))</f>
        <v/>
      </c>
      <c r="D213" s="107" t="str">
        <f aca="false">IF($A213="","",SUMIFS('DAILY ENTRY'!$F$7:$F$1203,'DAILY ENTRY'!$A$7:$A$1203,$A213,'DAILY ENTRY'!$B$7:$B$1203,$B213,'DAILY ENTRY'!$D$7:$D$1203,"Lead researched (Sales Navigator)"))</f>
        <v/>
      </c>
      <c r="E213" s="107" t="str">
        <f aca="false">IF($A213="","",SUMIFS('DAILY ENTRY'!$F$7:$F$1203,'DAILY ENTRY'!$A$7:$A$1203,$A213,'DAILY ENTRY'!$B$7:$B$1203,$B213,'DAILY ENTRY'!$D$7:$D$1203,"Connection request sent"))</f>
        <v/>
      </c>
      <c r="F213" s="107" t="str">
        <f aca="false">IF($A213="","",SUMIFS('DAILY ENTRY'!$F$7:$F$1203,'DAILY ENTRY'!$A$7:$A$1203,$A213,'DAILY ENTRY'!$B$7:$B$1203,$B213,'DAILY ENTRY'!$D$7:$D$1203,"First message sent"))</f>
        <v/>
      </c>
      <c r="G213" s="107" t="str">
        <f aca="false">IF($A213="","",SUMIFS('DAILY ENTRY'!$F$7:$F$1203,'DAILY ENTRY'!$A$7:$A$1203,$A213,'DAILY ENTRY'!$B$7:$B$1203,$B213,'DAILY ENTRY'!$D$7:$D$1203,"Follow-up message sent"))</f>
        <v/>
      </c>
      <c r="H213" s="107" t="str">
        <f aca="false">IF($A213="","",SUMIFS('DAILY ENTRY'!$F$7:$F$1203,'DAILY ENTRY'!$A$7:$A$1203,$A213,'DAILY ENTRY'!$B$7:$B$1203,$B213,'DAILY ENTRY'!$D$7:$D$1203,"Post / content published"))</f>
        <v/>
      </c>
      <c r="I213" s="107" t="str">
        <f aca="false">IF($A213="","",SUMIFS('DAILY ENTRY'!$F$7:$F$1203,'DAILY ENTRY'!$A$7:$A$1203,$A213,'DAILY ENTRY'!$B$7:$B$1203,$B213,'DAILY ENTRY'!$D$7:$D$1203,"Community answer or comment"))</f>
        <v/>
      </c>
      <c r="J213" s="107" t="str">
        <f aca="false">IF($A213="","",SUMIFS('DAILY ENTRY'!$F$7:$F$1203,'DAILY ENTRY'!$A$7:$A$1203,$A213,'DAILY ENTRY'!$B$7:$B$1203,$B213,'DAILY ENTRY'!$D$7:$D$1203,"Partnership / PR contact"))</f>
        <v/>
      </c>
      <c r="K213" s="107" t="str">
        <f aca="false">IF($A213="","",SUMIFS('DAILY ENTRY'!$F$7:$F$1203,'DAILY ENTRY'!$A$7:$A$1203,$A213,'DAILY ENTRY'!$B$7:$B$1203,$B213,'DAILY ENTRY'!$D$7:$D$1203,"Engagement (commented on someone else)"))</f>
        <v/>
      </c>
      <c r="L213" s="107" t="str">
        <f aca="false">IF($A213="","",SUMIFS('DAILY ENTRY'!$F$7:$F$1203,'DAILY ENTRY'!$A$7:$A$1203,$A213,'DAILY ENTRY'!$B$7:$B$1203,$B213,'DAILY ENTRY'!$D$7:$D$1203,"Account created / profile completed"))</f>
        <v/>
      </c>
      <c r="M213" s="108" t="str">
        <f aca="false">IF($A213="","",IFERROR(INDEX('DAILY ENTRY'!$E$7:$E$1203,MATCH(1,INDEX(('DAILY ENTRY'!$A$7:$A$1203=$A213)*('DAILY ENTRY'!$B$7:$B$1203=$B213)*('DAILY ENTRY'!$I$7:$I$1203="Meeting booked"),0),0)),IFERROR(INDEX('DAILY ENTRY'!$E$7:$E$1203,MATCH(1,INDEX(('DAILY ENTRY'!$A$7:$A$1203=$A213)*('DAILY ENTRY'!$B$7:$B$1203=$B213)*('DAILY ENTRY'!$I$7:$I$1203="Positive reply"),0),0)),"")))</f>
        <v/>
      </c>
      <c r="N213" s="108" t="str">
        <f aca="false">IF($A213="","",IFERROR(INDEX('DAILY ENTRY'!$J$7:$J$1203,MATCH(1,INDEX(('DAILY ENTRY'!$A$7:$A$1203=$A213)*('DAILY ENTRY'!$B$7:$B$1203=$B213)*('DAILY ENTRY'!$I$7:$I$1203="Blocked"),0),0)),""))</f>
        <v/>
      </c>
      <c r="O213" s="65" t="str">
        <f aca="false">IF($A213="","",(D213&gt;='START HERE'!$B$25)+(E213&gt;='START HERE'!$B$26)+(F213&gt;='START HERE'!$B$27)+(G213&gt;='START HERE'!$B$28)+(H213&gt;='START HERE'!$B$29)+(I213&gt;='START HERE'!$B$30)+(J213&gt;='START HERE'!$B$31)+(K213&gt;='START HERE'!$B$32))</f>
        <v/>
      </c>
      <c r="P213" s="46" t="str">
        <f aca="false">IF($A213="","",IF(O213&gt;=7,"Full day",IF(O213&gt;=5,"Most targets met",IF(O213&gt;=3,"Half day","Below plan - explain in the blocker column"))))</f>
        <v/>
      </c>
    </row>
    <row r="214" customFormat="false" ht="24" hidden="false" customHeight="true" outlineLevel="0" collapsed="false">
      <c r="A214" s="36"/>
      <c r="B214" s="37"/>
      <c r="C214" s="107" t="str">
        <f aca="false">IF($A214="","",ROUND(SUMIFS('DAILY ENTRY'!$G$7:$G$1203,'DAILY ENTRY'!$A$7:$A$1203,$A214,'DAILY ENTRY'!$B$7:$B$1203,$B214)/60,1))</f>
        <v/>
      </c>
      <c r="D214" s="107" t="str">
        <f aca="false">IF($A214="","",SUMIFS('DAILY ENTRY'!$F$7:$F$1203,'DAILY ENTRY'!$A$7:$A$1203,$A214,'DAILY ENTRY'!$B$7:$B$1203,$B214,'DAILY ENTRY'!$D$7:$D$1203,"Lead researched (Sales Navigator)"))</f>
        <v/>
      </c>
      <c r="E214" s="107" t="str">
        <f aca="false">IF($A214="","",SUMIFS('DAILY ENTRY'!$F$7:$F$1203,'DAILY ENTRY'!$A$7:$A$1203,$A214,'DAILY ENTRY'!$B$7:$B$1203,$B214,'DAILY ENTRY'!$D$7:$D$1203,"Connection request sent"))</f>
        <v/>
      </c>
      <c r="F214" s="107" t="str">
        <f aca="false">IF($A214="","",SUMIFS('DAILY ENTRY'!$F$7:$F$1203,'DAILY ENTRY'!$A$7:$A$1203,$A214,'DAILY ENTRY'!$B$7:$B$1203,$B214,'DAILY ENTRY'!$D$7:$D$1203,"First message sent"))</f>
        <v/>
      </c>
      <c r="G214" s="107" t="str">
        <f aca="false">IF($A214="","",SUMIFS('DAILY ENTRY'!$F$7:$F$1203,'DAILY ENTRY'!$A$7:$A$1203,$A214,'DAILY ENTRY'!$B$7:$B$1203,$B214,'DAILY ENTRY'!$D$7:$D$1203,"Follow-up message sent"))</f>
        <v/>
      </c>
      <c r="H214" s="107" t="str">
        <f aca="false">IF($A214="","",SUMIFS('DAILY ENTRY'!$F$7:$F$1203,'DAILY ENTRY'!$A$7:$A$1203,$A214,'DAILY ENTRY'!$B$7:$B$1203,$B214,'DAILY ENTRY'!$D$7:$D$1203,"Post / content published"))</f>
        <v/>
      </c>
      <c r="I214" s="107" t="str">
        <f aca="false">IF($A214="","",SUMIFS('DAILY ENTRY'!$F$7:$F$1203,'DAILY ENTRY'!$A$7:$A$1203,$A214,'DAILY ENTRY'!$B$7:$B$1203,$B214,'DAILY ENTRY'!$D$7:$D$1203,"Community answer or comment"))</f>
        <v/>
      </c>
      <c r="J214" s="107" t="str">
        <f aca="false">IF($A214="","",SUMIFS('DAILY ENTRY'!$F$7:$F$1203,'DAILY ENTRY'!$A$7:$A$1203,$A214,'DAILY ENTRY'!$B$7:$B$1203,$B214,'DAILY ENTRY'!$D$7:$D$1203,"Partnership / PR contact"))</f>
        <v/>
      </c>
      <c r="K214" s="107" t="str">
        <f aca="false">IF($A214="","",SUMIFS('DAILY ENTRY'!$F$7:$F$1203,'DAILY ENTRY'!$A$7:$A$1203,$A214,'DAILY ENTRY'!$B$7:$B$1203,$B214,'DAILY ENTRY'!$D$7:$D$1203,"Engagement (commented on someone else)"))</f>
        <v/>
      </c>
      <c r="L214" s="107" t="str">
        <f aca="false">IF($A214="","",SUMIFS('DAILY ENTRY'!$F$7:$F$1203,'DAILY ENTRY'!$A$7:$A$1203,$A214,'DAILY ENTRY'!$B$7:$B$1203,$B214,'DAILY ENTRY'!$D$7:$D$1203,"Account created / profile completed"))</f>
        <v/>
      </c>
      <c r="M214" s="108" t="str">
        <f aca="false">IF($A214="","",IFERROR(INDEX('DAILY ENTRY'!$E$7:$E$1203,MATCH(1,INDEX(('DAILY ENTRY'!$A$7:$A$1203=$A214)*('DAILY ENTRY'!$B$7:$B$1203=$B214)*('DAILY ENTRY'!$I$7:$I$1203="Meeting booked"),0),0)),IFERROR(INDEX('DAILY ENTRY'!$E$7:$E$1203,MATCH(1,INDEX(('DAILY ENTRY'!$A$7:$A$1203=$A214)*('DAILY ENTRY'!$B$7:$B$1203=$B214)*('DAILY ENTRY'!$I$7:$I$1203="Positive reply"),0),0)),"")))</f>
        <v/>
      </c>
      <c r="N214" s="108" t="str">
        <f aca="false">IF($A214="","",IFERROR(INDEX('DAILY ENTRY'!$J$7:$J$1203,MATCH(1,INDEX(('DAILY ENTRY'!$A$7:$A$1203=$A214)*('DAILY ENTRY'!$B$7:$B$1203=$B214)*('DAILY ENTRY'!$I$7:$I$1203="Blocked"),0),0)),""))</f>
        <v/>
      </c>
      <c r="O214" s="65" t="str">
        <f aca="false">IF($A214="","",(D214&gt;='START HERE'!$B$25)+(E214&gt;='START HERE'!$B$26)+(F214&gt;='START HERE'!$B$27)+(G214&gt;='START HERE'!$B$28)+(H214&gt;='START HERE'!$B$29)+(I214&gt;='START HERE'!$B$30)+(J214&gt;='START HERE'!$B$31)+(K214&gt;='START HERE'!$B$32))</f>
        <v/>
      </c>
      <c r="P214" s="46" t="str">
        <f aca="false">IF($A214="","",IF(O214&gt;=7,"Full day",IF(O214&gt;=5,"Most targets met",IF(O214&gt;=3,"Half day","Below plan - explain in the blocker column"))))</f>
        <v/>
      </c>
    </row>
    <row r="215" customFormat="false" ht="24" hidden="false" customHeight="true" outlineLevel="0" collapsed="false">
      <c r="A215" s="36"/>
      <c r="B215" s="37"/>
      <c r="C215" s="107" t="str">
        <f aca="false">IF($A215="","",ROUND(SUMIFS('DAILY ENTRY'!$G$7:$G$1203,'DAILY ENTRY'!$A$7:$A$1203,$A215,'DAILY ENTRY'!$B$7:$B$1203,$B215)/60,1))</f>
        <v/>
      </c>
      <c r="D215" s="107" t="str">
        <f aca="false">IF($A215="","",SUMIFS('DAILY ENTRY'!$F$7:$F$1203,'DAILY ENTRY'!$A$7:$A$1203,$A215,'DAILY ENTRY'!$B$7:$B$1203,$B215,'DAILY ENTRY'!$D$7:$D$1203,"Lead researched (Sales Navigator)"))</f>
        <v/>
      </c>
      <c r="E215" s="107" t="str">
        <f aca="false">IF($A215="","",SUMIFS('DAILY ENTRY'!$F$7:$F$1203,'DAILY ENTRY'!$A$7:$A$1203,$A215,'DAILY ENTRY'!$B$7:$B$1203,$B215,'DAILY ENTRY'!$D$7:$D$1203,"Connection request sent"))</f>
        <v/>
      </c>
      <c r="F215" s="107" t="str">
        <f aca="false">IF($A215="","",SUMIFS('DAILY ENTRY'!$F$7:$F$1203,'DAILY ENTRY'!$A$7:$A$1203,$A215,'DAILY ENTRY'!$B$7:$B$1203,$B215,'DAILY ENTRY'!$D$7:$D$1203,"First message sent"))</f>
        <v/>
      </c>
      <c r="G215" s="107" t="str">
        <f aca="false">IF($A215="","",SUMIFS('DAILY ENTRY'!$F$7:$F$1203,'DAILY ENTRY'!$A$7:$A$1203,$A215,'DAILY ENTRY'!$B$7:$B$1203,$B215,'DAILY ENTRY'!$D$7:$D$1203,"Follow-up message sent"))</f>
        <v/>
      </c>
      <c r="H215" s="107" t="str">
        <f aca="false">IF($A215="","",SUMIFS('DAILY ENTRY'!$F$7:$F$1203,'DAILY ENTRY'!$A$7:$A$1203,$A215,'DAILY ENTRY'!$B$7:$B$1203,$B215,'DAILY ENTRY'!$D$7:$D$1203,"Post / content published"))</f>
        <v/>
      </c>
      <c r="I215" s="107" t="str">
        <f aca="false">IF($A215="","",SUMIFS('DAILY ENTRY'!$F$7:$F$1203,'DAILY ENTRY'!$A$7:$A$1203,$A215,'DAILY ENTRY'!$B$7:$B$1203,$B215,'DAILY ENTRY'!$D$7:$D$1203,"Community answer or comment"))</f>
        <v/>
      </c>
      <c r="J215" s="107" t="str">
        <f aca="false">IF($A215="","",SUMIFS('DAILY ENTRY'!$F$7:$F$1203,'DAILY ENTRY'!$A$7:$A$1203,$A215,'DAILY ENTRY'!$B$7:$B$1203,$B215,'DAILY ENTRY'!$D$7:$D$1203,"Partnership / PR contact"))</f>
        <v/>
      </c>
      <c r="K215" s="107" t="str">
        <f aca="false">IF($A215="","",SUMIFS('DAILY ENTRY'!$F$7:$F$1203,'DAILY ENTRY'!$A$7:$A$1203,$A215,'DAILY ENTRY'!$B$7:$B$1203,$B215,'DAILY ENTRY'!$D$7:$D$1203,"Engagement (commented on someone else)"))</f>
        <v/>
      </c>
      <c r="L215" s="107" t="str">
        <f aca="false">IF($A215="","",SUMIFS('DAILY ENTRY'!$F$7:$F$1203,'DAILY ENTRY'!$A$7:$A$1203,$A215,'DAILY ENTRY'!$B$7:$B$1203,$B215,'DAILY ENTRY'!$D$7:$D$1203,"Account created / profile completed"))</f>
        <v/>
      </c>
      <c r="M215" s="108" t="str">
        <f aca="false">IF($A215="","",IFERROR(INDEX('DAILY ENTRY'!$E$7:$E$1203,MATCH(1,INDEX(('DAILY ENTRY'!$A$7:$A$1203=$A215)*('DAILY ENTRY'!$B$7:$B$1203=$B215)*('DAILY ENTRY'!$I$7:$I$1203="Meeting booked"),0),0)),IFERROR(INDEX('DAILY ENTRY'!$E$7:$E$1203,MATCH(1,INDEX(('DAILY ENTRY'!$A$7:$A$1203=$A215)*('DAILY ENTRY'!$B$7:$B$1203=$B215)*('DAILY ENTRY'!$I$7:$I$1203="Positive reply"),0),0)),"")))</f>
        <v/>
      </c>
      <c r="N215" s="108" t="str">
        <f aca="false">IF($A215="","",IFERROR(INDEX('DAILY ENTRY'!$J$7:$J$1203,MATCH(1,INDEX(('DAILY ENTRY'!$A$7:$A$1203=$A215)*('DAILY ENTRY'!$B$7:$B$1203=$B215)*('DAILY ENTRY'!$I$7:$I$1203="Blocked"),0),0)),""))</f>
        <v/>
      </c>
      <c r="O215" s="65" t="str">
        <f aca="false">IF($A215="","",(D215&gt;='START HERE'!$B$25)+(E215&gt;='START HERE'!$B$26)+(F215&gt;='START HERE'!$B$27)+(G215&gt;='START HERE'!$B$28)+(H215&gt;='START HERE'!$B$29)+(I215&gt;='START HERE'!$B$30)+(J215&gt;='START HERE'!$B$31)+(K215&gt;='START HERE'!$B$32))</f>
        <v/>
      </c>
      <c r="P215" s="46" t="str">
        <f aca="false">IF($A215="","",IF(O215&gt;=7,"Full day",IF(O215&gt;=5,"Most targets met",IF(O215&gt;=3,"Half day","Below plan - explain in the blocker column"))))</f>
        <v/>
      </c>
    </row>
    <row r="216" customFormat="false" ht="24" hidden="false" customHeight="true" outlineLevel="0" collapsed="false">
      <c r="A216" s="36"/>
      <c r="B216" s="37"/>
      <c r="C216" s="107" t="str">
        <f aca="false">IF($A216="","",ROUND(SUMIFS('DAILY ENTRY'!$G$7:$G$1203,'DAILY ENTRY'!$A$7:$A$1203,$A216,'DAILY ENTRY'!$B$7:$B$1203,$B216)/60,1))</f>
        <v/>
      </c>
      <c r="D216" s="107" t="str">
        <f aca="false">IF($A216="","",SUMIFS('DAILY ENTRY'!$F$7:$F$1203,'DAILY ENTRY'!$A$7:$A$1203,$A216,'DAILY ENTRY'!$B$7:$B$1203,$B216,'DAILY ENTRY'!$D$7:$D$1203,"Lead researched (Sales Navigator)"))</f>
        <v/>
      </c>
      <c r="E216" s="107" t="str">
        <f aca="false">IF($A216="","",SUMIFS('DAILY ENTRY'!$F$7:$F$1203,'DAILY ENTRY'!$A$7:$A$1203,$A216,'DAILY ENTRY'!$B$7:$B$1203,$B216,'DAILY ENTRY'!$D$7:$D$1203,"Connection request sent"))</f>
        <v/>
      </c>
      <c r="F216" s="107" t="str">
        <f aca="false">IF($A216="","",SUMIFS('DAILY ENTRY'!$F$7:$F$1203,'DAILY ENTRY'!$A$7:$A$1203,$A216,'DAILY ENTRY'!$B$7:$B$1203,$B216,'DAILY ENTRY'!$D$7:$D$1203,"First message sent"))</f>
        <v/>
      </c>
      <c r="G216" s="107" t="str">
        <f aca="false">IF($A216="","",SUMIFS('DAILY ENTRY'!$F$7:$F$1203,'DAILY ENTRY'!$A$7:$A$1203,$A216,'DAILY ENTRY'!$B$7:$B$1203,$B216,'DAILY ENTRY'!$D$7:$D$1203,"Follow-up message sent"))</f>
        <v/>
      </c>
      <c r="H216" s="107" t="str">
        <f aca="false">IF($A216="","",SUMIFS('DAILY ENTRY'!$F$7:$F$1203,'DAILY ENTRY'!$A$7:$A$1203,$A216,'DAILY ENTRY'!$B$7:$B$1203,$B216,'DAILY ENTRY'!$D$7:$D$1203,"Post / content published"))</f>
        <v/>
      </c>
      <c r="I216" s="107" t="str">
        <f aca="false">IF($A216="","",SUMIFS('DAILY ENTRY'!$F$7:$F$1203,'DAILY ENTRY'!$A$7:$A$1203,$A216,'DAILY ENTRY'!$B$7:$B$1203,$B216,'DAILY ENTRY'!$D$7:$D$1203,"Community answer or comment"))</f>
        <v/>
      </c>
      <c r="J216" s="107" t="str">
        <f aca="false">IF($A216="","",SUMIFS('DAILY ENTRY'!$F$7:$F$1203,'DAILY ENTRY'!$A$7:$A$1203,$A216,'DAILY ENTRY'!$B$7:$B$1203,$B216,'DAILY ENTRY'!$D$7:$D$1203,"Partnership / PR contact"))</f>
        <v/>
      </c>
      <c r="K216" s="107" t="str">
        <f aca="false">IF($A216="","",SUMIFS('DAILY ENTRY'!$F$7:$F$1203,'DAILY ENTRY'!$A$7:$A$1203,$A216,'DAILY ENTRY'!$B$7:$B$1203,$B216,'DAILY ENTRY'!$D$7:$D$1203,"Engagement (commented on someone else)"))</f>
        <v/>
      </c>
      <c r="L216" s="107" t="str">
        <f aca="false">IF($A216="","",SUMIFS('DAILY ENTRY'!$F$7:$F$1203,'DAILY ENTRY'!$A$7:$A$1203,$A216,'DAILY ENTRY'!$B$7:$B$1203,$B216,'DAILY ENTRY'!$D$7:$D$1203,"Account created / profile completed"))</f>
        <v/>
      </c>
      <c r="M216" s="108" t="str">
        <f aca="false">IF($A216="","",IFERROR(INDEX('DAILY ENTRY'!$E$7:$E$1203,MATCH(1,INDEX(('DAILY ENTRY'!$A$7:$A$1203=$A216)*('DAILY ENTRY'!$B$7:$B$1203=$B216)*('DAILY ENTRY'!$I$7:$I$1203="Meeting booked"),0),0)),IFERROR(INDEX('DAILY ENTRY'!$E$7:$E$1203,MATCH(1,INDEX(('DAILY ENTRY'!$A$7:$A$1203=$A216)*('DAILY ENTRY'!$B$7:$B$1203=$B216)*('DAILY ENTRY'!$I$7:$I$1203="Positive reply"),0),0)),"")))</f>
        <v/>
      </c>
      <c r="N216" s="108" t="str">
        <f aca="false">IF($A216="","",IFERROR(INDEX('DAILY ENTRY'!$J$7:$J$1203,MATCH(1,INDEX(('DAILY ENTRY'!$A$7:$A$1203=$A216)*('DAILY ENTRY'!$B$7:$B$1203=$B216)*('DAILY ENTRY'!$I$7:$I$1203="Blocked"),0),0)),""))</f>
        <v/>
      </c>
      <c r="O216" s="65" t="str">
        <f aca="false">IF($A216="","",(D216&gt;='START HERE'!$B$25)+(E216&gt;='START HERE'!$B$26)+(F216&gt;='START HERE'!$B$27)+(G216&gt;='START HERE'!$B$28)+(H216&gt;='START HERE'!$B$29)+(I216&gt;='START HERE'!$B$30)+(J216&gt;='START HERE'!$B$31)+(K216&gt;='START HERE'!$B$32))</f>
        <v/>
      </c>
      <c r="P216" s="46" t="str">
        <f aca="false">IF($A216="","",IF(O216&gt;=7,"Full day",IF(O216&gt;=5,"Most targets met",IF(O216&gt;=3,"Half day","Below plan - explain in the blocker column"))))</f>
        <v/>
      </c>
    </row>
    <row r="217" customFormat="false" ht="24" hidden="false" customHeight="true" outlineLevel="0" collapsed="false">
      <c r="A217" s="36"/>
      <c r="B217" s="37"/>
      <c r="C217" s="107" t="str">
        <f aca="false">IF($A217="","",ROUND(SUMIFS('DAILY ENTRY'!$G$7:$G$1203,'DAILY ENTRY'!$A$7:$A$1203,$A217,'DAILY ENTRY'!$B$7:$B$1203,$B217)/60,1))</f>
        <v/>
      </c>
      <c r="D217" s="107" t="str">
        <f aca="false">IF($A217="","",SUMIFS('DAILY ENTRY'!$F$7:$F$1203,'DAILY ENTRY'!$A$7:$A$1203,$A217,'DAILY ENTRY'!$B$7:$B$1203,$B217,'DAILY ENTRY'!$D$7:$D$1203,"Lead researched (Sales Navigator)"))</f>
        <v/>
      </c>
      <c r="E217" s="107" t="str">
        <f aca="false">IF($A217="","",SUMIFS('DAILY ENTRY'!$F$7:$F$1203,'DAILY ENTRY'!$A$7:$A$1203,$A217,'DAILY ENTRY'!$B$7:$B$1203,$B217,'DAILY ENTRY'!$D$7:$D$1203,"Connection request sent"))</f>
        <v/>
      </c>
      <c r="F217" s="107" t="str">
        <f aca="false">IF($A217="","",SUMIFS('DAILY ENTRY'!$F$7:$F$1203,'DAILY ENTRY'!$A$7:$A$1203,$A217,'DAILY ENTRY'!$B$7:$B$1203,$B217,'DAILY ENTRY'!$D$7:$D$1203,"First message sent"))</f>
        <v/>
      </c>
      <c r="G217" s="107" t="str">
        <f aca="false">IF($A217="","",SUMIFS('DAILY ENTRY'!$F$7:$F$1203,'DAILY ENTRY'!$A$7:$A$1203,$A217,'DAILY ENTRY'!$B$7:$B$1203,$B217,'DAILY ENTRY'!$D$7:$D$1203,"Follow-up message sent"))</f>
        <v/>
      </c>
      <c r="H217" s="107" t="str">
        <f aca="false">IF($A217="","",SUMIFS('DAILY ENTRY'!$F$7:$F$1203,'DAILY ENTRY'!$A$7:$A$1203,$A217,'DAILY ENTRY'!$B$7:$B$1203,$B217,'DAILY ENTRY'!$D$7:$D$1203,"Post / content published"))</f>
        <v/>
      </c>
      <c r="I217" s="107" t="str">
        <f aca="false">IF($A217="","",SUMIFS('DAILY ENTRY'!$F$7:$F$1203,'DAILY ENTRY'!$A$7:$A$1203,$A217,'DAILY ENTRY'!$B$7:$B$1203,$B217,'DAILY ENTRY'!$D$7:$D$1203,"Community answer or comment"))</f>
        <v/>
      </c>
      <c r="J217" s="107" t="str">
        <f aca="false">IF($A217="","",SUMIFS('DAILY ENTRY'!$F$7:$F$1203,'DAILY ENTRY'!$A$7:$A$1203,$A217,'DAILY ENTRY'!$B$7:$B$1203,$B217,'DAILY ENTRY'!$D$7:$D$1203,"Partnership / PR contact"))</f>
        <v/>
      </c>
      <c r="K217" s="107" t="str">
        <f aca="false">IF($A217="","",SUMIFS('DAILY ENTRY'!$F$7:$F$1203,'DAILY ENTRY'!$A$7:$A$1203,$A217,'DAILY ENTRY'!$B$7:$B$1203,$B217,'DAILY ENTRY'!$D$7:$D$1203,"Engagement (commented on someone else)"))</f>
        <v/>
      </c>
      <c r="L217" s="107" t="str">
        <f aca="false">IF($A217="","",SUMIFS('DAILY ENTRY'!$F$7:$F$1203,'DAILY ENTRY'!$A$7:$A$1203,$A217,'DAILY ENTRY'!$B$7:$B$1203,$B217,'DAILY ENTRY'!$D$7:$D$1203,"Account created / profile completed"))</f>
        <v/>
      </c>
      <c r="M217" s="108" t="str">
        <f aca="false">IF($A217="","",IFERROR(INDEX('DAILY ENTRY'!$E$7:$E$1203,MATCH(1,INDEX(('DAILY ENTRY'!$A$7:$A$1203=$A217)*('DAILY ENTRY'!$B$7:$B$1203=$B217)*('DAILY ENTRY'!$I$7:$I$1203="Meeting booked"),0),0)),IFERROR(INDEX('DAILY ENTRY'!$E$7:$E$1203,MATCH(1,INDEX(('DAILY ENTRY'!$A$7:$A$1203=$A217)*('DAILY ENTRY'!$B$7:$B$1203=$B217)*('DAILY ENTRY'!$I$7:$I$1203="Positive reply"),0),0)),"")))</f>
        <v/>
      </c>
      <c r="N217" s="108" t="str">
        <f aca="false">IF($A217="","",IFERROR(INDEX('DAILY ENTRY'!$J$7:$J$1203,MATCH(1,INDEX(('DAILY ENTRY'!$A$7:$A$1203=$A217)*('DAILY ENTRY'!$B$7:$B$1203=$B217)*('DAILY ENTRY'!$I$7:$I$1203="Blocked"),0),0)),""))</f>
        <v/>
      </c>
      <c r="O217" s="65" t="str">
        <f aca="false">IF($A217="","",(D217&gt;='START HERE'!$B$25)+(E217&gt;='START HERE'!$B$26)+(F217&gt;='START HERE'!$B$27)+(G217&gt;='START HERE'!$B$28)+(H217&gt;='START HERE'!$B$29)+(I217&gt;='START HERE'!$B$30)+(J217&gt;='START HERE'!$B$31)+(K217&gt;='START HERE'!$B$32))</f>
        <v/>
      </c>
      <c r="P217" s="46" t="str">
        <f aca="false">IF($A217="","",IF(O217&gt;=7,"Full day",IF(O217&gt;=5,"Most targets met",IF(O217&gt;=3,"Half day","Below plan - explain in the blocker column"))))</f>
        <v/>
      </c>
    </row>
    <row r="218" customFormat="false" ht="24" hidden="false" customHeight="true" outlineLevel="0" collapsed="false">
      <c r="A218" s="36"/>
      <c r="B218" s="37"/>
      <c r="C218" s="107" t="str">
        <f aca="false">IF($A218="","",ROUND(SUMIFS('DAILY ENTRY'!$G$7:$G$1203,'DAILY ENTRY'!$A$7:$A$1203,$A218,'DAILY ENTRY'!$B$7:$B$1203,$B218)/60,1))</f>
        <v/>
      </c>
      <c r="D218" s="107" t="str">
        <f aca="false">IF($A218="","",SUMIFS('DAILY ENTRY'!$F$7:$F$1203,'DAILY ENTRY'!$A$7:$A$1203,$A218,'DAILY ENTRY'!$B$7:$B$1203,$B218,'DAILY ENTRY'!$D$7:$D$1203,"Lead researched (Sales Navigator)"))</f>
        <v/>
      </c>
      <c r="E218" s="107" t="str">
        <f aca="false">IF($A218="","",SUMIFS('DAILY ENTRY'!$F$7:$F$1203,'DAILY ENTRY'!$A$7:$A$1203,$A218,'DAILY ENTRY'!$B$7:$B$1203,$B218,'DAILY ENTRY'!$D$7:$D$1203,"Connection request sent"))</f>
        <v/>
      </c>
      <c r="F218" s="107" t="str">
        <f aca="false">IF($A218="","",SUMIFS('DAILY ENTRY'!$F$7:$F$1203,'DAILY ENTRY'!$A$7:$A$1203,$A218,'DAILY ENTRY'!$B$7:$B$1203,$B218,'DAILY ENTRY'!$D$7:$D$1203,"First message sent"))</f>
        <v/>
      </c>
      <c r="G218" s="107" t="str">
        <f aca="false">IF($A218="","",SUMIFS('DAILY ENTRY'!$F$7:$F$1203,'DAILY ENTRY'!$A$7:$A$1203,$A218,'DAILY ENTRY'!$B$7:$B$1203,$B218,'DAILY ENTRY'!$D$7:$D$1203,"Follow-up message sent"))</f>
        <v/>
      </c>
      <c r="H218" s="107" t="str">
        <f aca="false">IF($A218="","",SUMIFS('DAILY ENTRY'!$F$7:$F$1203,'DAILY ENTRY'!$A$7:$A$1203,$A218,'DAILY ENTRY'!$B$7:$B$1203,$B218,'DAILY ENTRY'!$D$7:$D$1203,"Post / content published"))</f>
        <v/>
      </c>
      <c r="I218" s="107" t="str">
        <f aca="false">IF($A218="","",SUMIFS('DAILY ENTRY'!$F$7:$F$1203,'DAILY ENTRY'!$A$7:$A$1203,$A218,'DAILY ENTRY'!$B$7:$B$1203,$B218,'DAILY ENTRY'!$D$7:$D$1203,"Community answer or comment"))</f>
        <v/>
      </c>
      <c r="J218" s="107" t="str">
        <f aca="false">IF($A218="","",SUMIFS('DAILY ENTRY'!$F$7:$F$1203,'DAILY ENTRY'!$A$7:$A$1203,$A218,'DAILY ENTRY'!$B$7:$B$1203,$B218,'DAILY ENTRY'!$D$7:$D$1203,"Partnership / PR contact"))</f>
        <v/>
      </c>
      <c r="K218" s="107" t="str">
        <f aca="false">IF($A218="","",SUMIFS('DAILY ENTRY'!$F$7:$F$1203,'DAILY ENTRY'!$A$7:$A$1203,$A218,'DAILY ENTRY'!$B$7:$B$1203,$B218,'DAILY ENTRY'!$D$7:$D$1203,"Engagement (commented on someone else)"))</f>
        <v/>
      </c>
      <c r="L218" s="107" t="str">
        <f aca="false">IF($A218="","",SUMIFS('DAILY ENTRY'!$F$7:$F$1203,'DAILY ENTRY'!$A$7:$A$1203,$A218,'DAILY ENTRY'!$B$7:$B$1203,$B218,'DAILY ENTRY'!$D$7:$D$1203,"Account created / profile completed"))</f>
        <v/>
      </c>
      <c r="M218" s="108" t="str">
        <f aca="false">IF($A218="","",IFERROR(INDEX('DAILY ENTRY'!$E$7:$E$1203,MATCH(1,INDEX(('DAILY ENTRY'!$A$7:$A$1203=$A218)*('DAILY ENTRY'!$B$7:$B$1203=$B218)*('DAILY ENTRY'!$I$7:$I$1203="Meeting booked"),0),0)),IFERROR(INDEX('DAILY ENTRY'!$E$7:$E$1203,MATCH(1,INDEX(('DAILY ENTRY'!$A$7:$A$1203=$A218)*('DAILY ENTRY'!$B$7:$B$1203=$B218)*('DAILY ENTRY'!$I$7:$I$1203="Positive reply"),0),0)),"")))</f>
        <v/>
      </c>
      <c r="N218" s="108" t="str">
        <f aca="false">IF($A218="","",IFERROR(INDEX('DAILY ENTRY'!$J$7:$J$1203,MATCH(1,INDEX(('DAILY ENTRY'!$A$7:$A$1203=$A218)*('DAILY ENTRY'!$B$7:$B$1203=$B218)*('DAILY ENTRY'!$I$7:$I$1203="Blocked"),0),0)),""))</f>
        <v/>
      </c>
      <c r="O218" s="65" t="str">
        <f aca="false">IF($A218="","",(D218&gt;='START HERE'!$B$25)+(E218&gt;='START HERE'!$B$26)+(F218&gt;='START HERE'!$B$27)+(G218&gt;='START HERE'!$B$28)+(H218&gt;='START HERE'!$B$29)+(I218&gt;='START HERE'!$B$30)+(J218&gt;='START HERE'!$B$31)+(K218&gt;='START HERE'!$B$32))</f>
        <v/>
      </c>
      <c r="P218" s="46" t="str">
        <f aca="false">IF($A218="","",IF(O218&gt;=7,"Full day",IF(O218&gt;=5,"Most targets met",IF(O218&gt;=3,"Half day","Below plan - explain in the blocker column"))))</f>
        <v/>
      </c>
    </row>
    <row r="219" customFormat="false" ht="24" hidden="false" customHeight="true" outlineLevel="0" collapsed="false">
      <c r="A219" s="36"/>
      <c r="B219" s="37"/>
      <c r="C219" s="107" t="str">
        <f aca="false">IF($A219="","",ROUND(SUMIFS('DAILY ENTRY'!$G$7:$G$1203,'DAILY ENTRY'!$A$7:$A$1203,$A219,'DAILY ENTRY'!$B$7:$B$1203,$B219)/60,1))</f>
        <v/>
      </c>
      <c r="D219" s="107" t="str">
        <f aca="false">IF($A219="","",SUMIFS('DAILY ENTRY'!$F$7:$F$1203,'DAILY ENTRY'!$A$7:$A$1203,$A219,'DAILY ENTRY'!$B$7:$B$1203,$B219,'DAILY ENTRY'!$D$7:$D$1203,"Lead researched (Sales Navigator)"))</f>
        <v/>
      </c>
      <c r="E219" s="107" t="str">
        <f aca="false">IF($A219="","",SUMIFS('DAILY ENTRY'!$F$7:$F$1203,'DAILY ENTRY'!$A$7:$A$1203,$A219,'DAILY ENTRY'!$B$7:$B$1203,$B219,'DAILY ENTRY'!$D$7:$D$1203,"Connection request sent"))</f>
        <v/>
      </c>
      <c r="F219" s="107" t="str">
        <f aca="false">IF($A219="","",SUMIFS('DAILY ENTRY'!$F$7:$F$1203,'DAILY ENTRY'!$A$7:$A$1203,$A219,'DAILY ENTRY'!$B$7:$B$1203,$B219,'DAILY ENTRY'!$D$7:$D$1203,"First message sent"))</f>
        <v/>
      </c>
      <c r="G219" s="107" t="str">
        <f aca="false">IF($A219="","",SUMIFS('DAILY ENTRY'!$F$7:$F$1203,'DAILY ENTRY'!$A$7:$A$1203,$A219,'DAILY ENTRY'!$B$7:$B$1203,$B219,'DAILY ENTRY'!$D$7:$D$1203,"Follow-up message sent"))</f>
        <v/>
      </c>
      <c r="H219" s="107" t="str">
        <f aca="false">IF($A219="","",SUMIFS('DAILY ENTRY'!$F$7:$F$1203,'DAILY ENTRY'!$A$7:$A$1203,$A219,'DAILY ENTRY'!$B$7:$B$1203,$B219,'DAILY ENTRY'!$D$7:$D$1203,"Post / content published"))</f>
        <v/>
      </c>
      <c r="I219" s="107" t="str">
        <f aca="false">IF($A219="","",SUMIFS('DAILY ENTRY'!$F$7:$F$1203,'DAILY ENTRY'!$A$7:$A$1203,$A219,'DAILY ENTRY'!$B$7:$B$1203,$B219,'DAILY ENTRY'!$D$7:$D$1203,"Community answer or comment"))</f>
        <v/>
      </c>
      <c r="J219" s="107" t="str">
        <f aca="false">IF($A219="","",SUMIFS('DAILY ENTRY'!$F$7:$F$1203,'DAILY ENTRY'!$A$7:$A$1203,$A219,'DAILY ENTRY'!$B$7:$B$1203,$B219,'DAILY ENTRY'!$D$7:$D$1203,"Partnership / PR contact"))</f>
        <v/>
      </c>
      <c r="K219" s="107" t="str">
        <f aca="false">IF($A219="","",SUMIFS('DAILY ENTRY'!$F$7:$F$1203,'DAILY ENTRY'!$A$7:$A$1203,$A219,'DAILY ENTRY'!$B$7:$B$1203,$B219,'DAILY ENTRY'!$D$7:$D$1203,"Engagement (commented on someone else)"))</f>
        <v/>
      </c>
      <c r="L219" s="107" t="str">
        <f aca="false">IF($A219="","",SUMIFS('DAILY ENTRY'!$F$7:$F$1203,'DAILY ENTRY'!$A$7:$A$1203,$A219,'DAILY ENTRY'!$B$7:$B$1203,$B219,'DAILY ENTRY'!$D$7:$D$1203,"Account created / profile completed"))</f>
        <v/>
      </c>
      <c r="M219" s="108" t="str">
        <f aca="false">IF($A219="","",IFERROR(INDEX('DAILY ENTRY'!$E$7:$E$1203,MATCH(1,INDEX(('DAILY ENTRY'!$A$7:$A$1203=$A219)*('DAILY ENTRY'!$B$7:$B$1203=$B219)*('DAILY ENTRY'!$I$7:$I$1203="Meeting booked"),0),0)),IFERROR(INDEX('DAILY ENTRY'!$E$7:$E$1203,MATCH(1,INDEX(('DAILY ENTRY'!$A$7:$A$1203=$A219)*('DAILY ENTRY'!$B$7:$B$1203=$B219)*('DAILY ENTRY'!$I$7:$I$1203="Positive reply"),0),0)),"")))</f>
        <v/>
      </c>
      <c r="N219" s="108" t="str">
        <f aca="false">IF($A219="","",IFERROR(INDEX('DAILY ENTRY'!$J$7:$J$1203,MATCH(1,INDEX(('DAILY ENTRY'!$A$7:$A$1203=$A219)*('DAILY ENTRY'!$B$7:$B$1203=$B219)*('DAILY ENTRY'!$I$7:$I$1203="Blocked"),0),0)),""))</f>
        <v/>
      </c>
      <c r="O219" s="65" t="str">
        <f aca="false">IF($A219="","",(D219&gt;='START HERE'!$B$25)+(E219&gt;='START HERE'!$B$26)+(F219&gt;='START HERE'!$B$27)+(G219&gt;='START HERE'!$B$28)+(H219&gt;='START HERE'!$B$29)+(I219&gt;='START HERE'!$B$30)+(J219&gt;='START HERE'!$B$31)+(K219&gt;='START HERE'!$B$32))</f>
        <v/>
      </c>
      <c r="P219" s="46" t="str">
        <f aca="false">IF($A219="","",IF(O219&gt;=7,"Full day",IF(O219&gt;=5,"Most targets met",IF(O219&gt;=3,"Half day","Below plan - explain in the blocker column"))))</f>
        <v/>
      </c>
    </row>
    <row r="220" customFormat="false" ht="24" hidden="false" customHeight="true" outlineLevel="0" collapsed="false">
      <c r="A220" s="36"/>
      <c r="B220" s="37"/>
      <c r="C220" s="107" t="str">
        <f aca="false">IF($A220="","",ROUND(SUMIFS('DAILY ENTRY'!$G$7:$G$1203,'DAILY ENTRY'!$A$7:$A$1203,$A220,'DAILY ENTRY'!$B$7:$B$1203,$B220)/60,1))</f>
        <v/>
      </c>
      <c r="D220" s="107" t="str">
        <f aca="false">IF($A220="","",SUMIFS('DAILY ENTRY'!$F$7:$F$1203,'DAILY ENTRY'!$A$7:$A$1203,$A220,'DAILY ENTRY'!$B$7:$B$1203,$B220,'DAILY ENTRY'!$D$7:$D$1203,"Lead researched (Sales Navigator)"))</f>
        <v/>
      </c>
      <c r="E220" s="107" t="str">
        <f aca="false">IF($A220="","",SUMIFS('DAILY ENTRY'!$F$7:$F$1203,'DAILY ENTRY'!$A$7:$A$1203,$A220,'DAILY ENTRY'!$B$7:$B$1203,$B220,'DAILY ENTRY'!$D$7:$D$1203,"Connection request sent"))</f>
        <v/>
      </c>
      <c r="F220" s="107" t="str">
        <f aca="false">IF($A220="","",SUMIFS('DAILY ENTRY'!$F$7:$F$1203,'DAILY ENTRY'!$A$7:$A$1203,$A220,'DAILY ENTRY'!$B$7:$B$1203,$B220,'DAILY ENTRY'!$D$7:$D$1203,"First message sent"))</f>
        <v/>
      </c>
      <c r="G220" s="107" t="str">
        <f aca="false">IF($A220="","",SUMIFS('DAILY ENTRY'!$F$7:$F$1203,'DAILY ENTRY'!$A$7:$A$1203,$A220,'DAILY ENTRY'!$B$7:$B$1203,$B220,'DAILY ENTRY'!$D$7:$D$1203,"Follow-up message sent"))</f>
        <v/>
      </c>
      <c r="H220" s="107" t="str">
        <f aca="false">IF($A220="","",SUMIFS('DAILY ENTRY'!$F$7:$F$1203,'DAILY ENTRY'!$A$7:$A$1203,$A220,'DAILY ENTRY'!$B$7:$B$1203,$B220,'DAILY ENTRY'!$D$7:$D$1203,"Post / content published"))</f>
        <v/>
      </c>
      <c r="I220" s="107" t="str">
        <f aca="false">IF($A220="","",SUMIFS('DAILY ENTRY'!$F$7:$F$1203,'DAILY ENTRY'!$A$7:$A$1203,$A220,'DAILY ENTRY'!$B$7:$B$1203,$B220,'DAILY ENTRY'!$D$7:$D$1203,"Community answer or comment"))</f>
        <v/>
      </c>
      <c r="J220" s="107" t="str">
        <f aca="false">IF($A220="","",SUMIFS('DAILY ENTRY'!$F$7:$F$1203,'DAILY ENTRY'!$A$7:$A$1203,$A220,'DAILY ENTRY'!$B$7:$B$1203,$B220,'DAILY ENTRY'!$D$7:$D$1203,"Partnership / PR contact"))</f>
        <v/>
      </c>
      <c r="K220" s="107" t="str">
        <f aca="false">IF($A220="","",SUMIFS('DAILY ENTRY'!$F$7:$F$1203,'DAILY ENTRY'!$A$7:$A$1203,$A220,'DAILY ENTRY'!$B$7:$B$1203,$B220,'DAILY ENTRY'!$D$7:$D$1203,"Engagement (commented on someone else)"))</f>
        <v/>
      </c>
      <c r="L220" s="107" t="str">
        <f aca="false">IF($A220="","",SUMIFS('DAILY ENTRY'!$F$7:$F$1203,'DAILY ENTRY'!$A$7:$A$1203,$A220,'DAILY ENTRY'!$B$7:$B$1203,$B220,'DAILY ENTRY'!$D$7:$D$1203,"Account created / profile completed"))</f>
        <v/>
      </c>
      <c r="M220" s="108" t="str">
        <f aca="false">IF($A220="","",IFERROR(INDEX('DAILY ENTRY'!$E$7:$E$1203,MATCH(1,INDEX(('DAILY ENTRY'!$A$7:$A$1203=$A220)*('DAILY ENTRY'!$B$7:$B$1203=$B220)*('DAILY ENTRY'!$I$7:$I$1203="Meeting booked"),0),0)),IFERROR(INDEX('DAILY ENTRY'!$E$7:$E$1203,MATCH(1,INDEX(('DAILY ENTRY'!$A$7:$A$1203=$A220)*('DAILY ENTRY'!$B$7:$B$1203=$B220)*('DAILY ENTRY'!$I$7:$I$1203="Positive reply"),0),0)),"")))</f>
        <v/>
      </c>
      <c r="N220" s="108" t="str">
        <f aca="false">IF($A220="","",IFERROR(INDEX('DAILY ENTRY'!$J$7:$J$1203,MATCH(1,INDEX(('DAILY ENTRY'!$A$7:$A$1203=$A220)*('DAILY ENTRY'!$B$7:$B$1203=$B220)*('DAILY ENTRY'!$I$7:$I$1203="Blocked"),0),0)),""))</f>
        <v/>
      </c>
      <c r="O220" s="65" t="str">
        <f aca="false">IF($A220="","",(D220&gt;='START HERE'!$B$25)+(E220&gt;='START HERE'!$B$26)+(F220&gt;='START HERE'!$B$27)+(G220&gt;='START HERE'!$B$28)+(H220&gt;='START HERE'!$B$29)+(I220&gt;='START HERE'!$B$30)+(J220&gt;='START HERE'!$B$31)+(K220&gt;='START HERE'!$B$32))</f>
        <v/>
      </c>
      <c r="P220" s="46" t="str">
        <f aca="false">IF($A220="","",IF(O220&gt;=7,"Full day",IF(O220&gt;=5,"Most targets met",IF(O220&gt;=3,"Half day","Below plan - explain in the blocker column"))))</f>
        <v/>
      </c>
    </row>
    <row r="221" customFormat="false" ht="24" hidden="false" customHeight="true" outlineLevel="0" collapsed="false">
      <c r="A221" s="36"/>
      <c r="B221" s="37"/>
      <c r="C221" s="107" t="str">
        <f aca="false">IF($A221="","",ROUND(SUMIFS('DAILY ENTRY'!$G$7:$G$1203,'DAILY ENTRY'!$A$7:$A$1203,$A221,'DAILY ENTRY'!$B$7:$B$1203,$B221)/60,1))</f>
        <v/>
      </c>
      <c r="D221" s="107" t="str">
        <f aca="false">IF($A221="","",SUMIFS('DAILY ENTRY'!$F$7:$F$1203,'DAILY ENTRY'!$A$7:$A$1203,$A221,'DAILY ENTRY'!$B$7:$B$1203,$B221,'DAILY ENTRY'!$D$7:$D$1203,"Lead researched (Sales Navigator)"))</f>
        <v/>
      </c>
      <c r="E221" s="107" t="str">
        <f aca="false">IF($A221="","",SUMIFS('DAILY ENTRY'!$F$7:$F$1203,'DAILY ENTRY'!$A$7:$A$1203,$A221,'DAILY ENTRY'!$B$7:$B$1203,$B221,'DAILY ENTRY'!$D$7:$D$1203,"Connection request sent"))</f>
        <v/>
      </c>
      <c r="F221" s="107" t="str">
        <f aca="false">IF($A221="","",SUMIFS('DAILY ENTRY'!$F$7:$F$1203,'DAILY ENTRY'!$A$7:$A$1203,$A221,'DAILY ENTRY'!$B$7:$B$1203,$B221,'DAILY ENTRY'!$D$7:$D$1203,"First message sent"))</f>
        <v/>
      </c>
      <c r="G221" s="107" t="str">
        <f aca="false">IF($A221="","",SUMIFS('DAILY ENTRY'!$F$7:$F$1203,'DAILY ENTRY'!$A$7:$A$1203,$A221,'DAILY ENTRY'!$B$7:$B$1203,$B221,'DAILY ENTRY'!$D$7:$D$1203,"Follow-up message sent"))</f>
        <v/>
      </c>
      <c r="H221" s="107" t="str">
        <f aca="false">IF($A221="","",SUMIFS('DAILY ENTRY'!$F$7:$F$1203,'DAILY ENTRY'!$A$7:$A$1203,$A221,'DAILY ENTRY'!$B$7:$B$1203,$B221,'DAILY ENTRY'!$D$7:$D$1203,"Post / content published"))</f>
        <v/>
      </c>
      <c r="I221" s="107" t="str">
        <f aca="false">IF($A221="","",SUMIFS('DAILY ENTRY'!$F$7:$F$1203,'DAILY ENTRY'!$A$7:$A$1203,$A221,'DAILY ENTRY'!$B$7:$B$1203,$B221,'DAILY ENTRY'!$D$7:$D$1203,"Community answer or comment"))</f>
        <v/>
      </c>
      <c r="J221" s="107" t="str">
        <f aca="false">IF($A221="","",SUMIFS('DAILY ENTRY'!$F$7:$F$1203,'DAILY ENTRY'!$A$7:$A$1203,$A221,'DAILY ENTRY'!$B$7:$B$1203,$B221,'DAILY ENTRY'!$D$7:$D$1203,"Partnership / PR contact"))</f>
        <v/>
      </c>
      <c r="K221" s="107" t="str">
        <f aca="false">IF($A221="","",SUMIFS('DAILY ENTRY'!$F$7:$F$1203,'DAILY ENTRY'!$A$7:$A$1203,$A221,'DAILY ENTRY'!$B$7:$B$1203,$B221,'DAILY ENTRY'!$D$7:$D$1203,"Engagement (commented on someone else)"))</f>
        <v/>
      </c>
      <c r="L221" s="107" t="str">
        <f aca="false">IF($A221="","",SUMIFS('DAILY ENTRY'!$F$7:$F$1203,'DAILY ENTRY'!$A$7:$A$1203,$A221,'DAILY ENTRY'!$B$7:$B$1203,$B221,'DAILY ENTRY'!$D$7:$D$1203,"Account created / profile completed"))</f>
        <v/>
      </c>
      <c r="M221" s="108" t="str">
        <f aca="false">IF($A221="","",IFERROR(INDEX('DAILY ENTRY'!$E$7:$E$1203,MATCH(1,INDEX(('DAILY ENTRY'!$A$7:$A$1203=$A221)*('DAILY ENTRY'!$B$7:$B$1203=$B221)*('DAILY ENTRY'!$I$7:$I$1203="Meeting booked"),0),0)),IFERROR(INDEX('DAILY ENTRY'!$E$7:$E$1203,MATCH(1,INDEX(('DAILY ENTRY'!$A$7:$A$1203=$A221)*('DAILY ENTRY'!$B$7:$B$1203=$B221)*('DAILY ENTRY'!$I$7:$I$1203="Positive reply"),0),0)),"")))</f>
        <v/>
      </c>
      <c r="N221" s="108" t="str">
        <f aca="false">IF($A221="","",IFERROR(INDEX('DAILY ENTRY'!$J$7:$J$1203,MATCH(1,INDEX(('DAILY ENTRY'!$A$7:$A$1203=$A221)*('DAILY ENTRY'!$B$7:$B$1203=$B221)*('DAILY ENTRY'!$I$7:$I$1203="Blocked"),0),0)),""))</f>
        <v/>
      </c>
      <c r="O221" s="65" t="str">
        <f aca="false">IF($A221="","",(D221&gt;='START HERE'!$B$25)+(E221&gt;='START HERE'!$B$26)+(F221&gt;='START HERE'!$B$27)+(G221&gt;='START HERE'!$B$28)+(H221&gt;='START HERE'!$B$29)+(I221&gt;='START HERE'!$B$30)+(J221&gt;='START HERE'!$B$31)+(K221&gt;='START HERE'!$B$32))</f>
        <v/>
      </c>
      <c r="P221" s="46" t="str">
        <f aca="false">IF($A221="","",IF(O221&gt;=7,"Full day",IF(O221&gt;=5,"Most targets met",IF(O221&gt;=3,"Half day","Below plan - explain in the blocker column"))))</f>
        <v/>
      </c>
    </row>
    <row r="222" customFormat="false" ht="24" hidden="false" customHeight="true" outlineLevel="0" collapsed="false">
      <c r="A222" s="36"/>
      <c r="B222" s="37"/>
      <c r="C222" s="107" t="str">
        <f aca="false">IF($A222="","",ROUND(SUMIFS('DAILY ENTRY'!$G$7:$G$1203,'DAILY ENTRY'!$A$7:$A$1203,$A222,'DAILY ENTRY'!$B$7:$B$1203,$B222)/60,1))</f>
        <v/>
      </c>
      <c r="D222" s="107" t="str">
        <f aca="false">IF($A222="","",SUMIFS('DAILY ENTRY'!$F$7:$F$1203,'DAILY ENTRY'!$A$7:$A$1203,$A222,'DAILY ENTRY'!$B$7:$B$1203,$B222,'DAILY ENTRY'!$D$7:$D$1203,"Lead researched (Sales Navigator)"))</f>
        <v/>
      </c>
      <c r="E222" s="107" t="str">
        <f aca="false">IF($A222="","",SUMIFS('DAILY ENTRY'!$F$7:$F$1203,'DAILY ENTRY'!$A$7:$A$1203,$A222,'DAILY ENTRY'!$B$7:$B$1203,$B222,'DAILY ENTRY'!$D$7:$D$1203,"Connection request sent"))</f>
        <v/>
      </c>
      <c r="F222" s="107" t="str">
        <f aca="false">IF($A222="","",SUMIFS('DAILY ENTRY'!$F$7:$F$1203,'DAILY ENTRY'!$A$7:$A$1203,$A222,'DAILY ENTRY'!$B$7:$B$1203,$B222,'DAILY ENTRY'!$D$7:$D$1203,"First message sent"))</f>
        <v/>
      </c>
      <c r="G222" s="107" t="str">
        <f aca="false">IF($A222="","",SUMIFS('DAILY ENTRY'!$F$7:$F$1203,'DAILY ENTRY'!$A$7:$A$1203,$A222,'DAILY ENTRY'!$B$7:$B$1203,$B222,'DAILY ENTRY'!$D$7:$D$1203,"Follow-up message sent"))</f>
        <v/>
      </c>
      <c r="H222" s="107" t="str">
        <f aca="false">IF($A222="","",SUMIFS('DAILY ENTRY'!$F$7:$F$1203,'DAILY ENTRY'!$A$7:$A$1203,$A222,'DAILY ENTRY'!$B$7:$B$1203,$B222,'DAILY ENTRY'!$D$7:$D$1203,"Post / content published"))</f>
        <v/>
      </c>
      <c r="I222" s="107" t="str">
        <f aca="false">IF($A222="","",SUMIFS('DAILY ENTRY'!$F$7:$F$1203,'DAILY ENTRY'!$A$7:$A$1203,$A222,'DAILY ENTRY'!$B$7:$B$1203,$B222,'DAILY ENTRY'!$D$7:$D$1203,"Community answer or comment"))</f>
        <v/>
      </c>
      <c r="J222" s="107" t="str">
        <f aca="false">IF($A222="","",SUMIFS('DAILY ENTRY'!$F$7:$F$1203,'DAILY ENTRY'!$A$7:$A$1203,$A222,'DAILY ENTRY'!$B$7:$B$1203,$B222,'DAILY ENTRY'!$D$7:$D$1203,"Partnership / PR contact"))</f>
        <v/>
      </c>
      <c r="K222" s="107" t="str">
        <f aca="false">IF($A222="","",SUMIFS('DAILY ENTRY'!$F$7:$F$1203,'DAILY ENTRY'!$A$7:$A$1203,$A222,'DAILY ENTRY'!$B$7:$B$1203,$B222,'DAILY ENTRY'!$D$7:$D$1203,"Engagement (commented on someone else)"))</f>
        <v/>
      </c>
      <c r="L222" s="107" t="str">
        <f aca="false">IF($A222="","",SUMIFS('DAILY ENTRY'!$F$7:$F$1203,'DAILY ENTRY'!$A$7:$A$1203,$A222,'DAILY ENTRY'!$B$7:$B$1203,$B222,'DAILY ENTRY'!$D$7:$D$1203,"Account created / profile completed"))</f>
        <v/>
      </c>
      <c r="M222" s="108" t="str">
        <f aca="false">IF($A222="","",IFERROR(INDEX('DAILY ENTRY'!$E$7:$E$1203,MATCH(1,INDEX(('DAILY ENTRY'!$A$7:$A$1203=$A222)*('DAILY ENTRY'!$B$7:$B$1203=$B222)*('DAILY ENTRY'!$I$7:$I$1203="Meeting booked"),0),0)),IFERROR(INDEX('DAILY ENTRY'!$E$7:$E$1203,MATCH(1,INDEX(('DAILY ENTRY'!$A$7:$A$1203=$A222)*('DAILY ENTRY'!$B$7:$B$1203=$B222)*('DAILY ENTRY'!$I$7:$I$1203="Positive reply"),0),0)),"")))</f>
        <v/>
      </c>
      <c r="N222" s="108" t="str">
        <f aca="false">IF($A222="","",IFERROR(INDEX('DAILY ENTRY'!$J$7:$J$1203,MATCH(1,INDEX(('DAILY ENTRY'!$A$7:$A$1203=$A222)*('DAILY ENTRY'!$B$7:$B$1203=$B222)*('DAILY ENTRY'!$I$7:$I$1203="Blocked"),0),0)),""))</f>
        <v/>
      </c>
      <c r="O222" s="65" t="str">
        <f aca="false">IF($A222="","",(D222&gt;='START HERE'!$B$25)+(E222&gt;='START HERE'!$B$26)+(F222&gt;='START HERE'!$B$27)+(G222&gt;='START HERE'!$B$28)+(H222&gt;='START HERE'!$B$29)+(I222&gt;='START HERE'!$B$30)+(J222&gt;='START HERE'!$B$31)+(K222&gt;='START HERE'!$B$32))</f>
        <v/>
      </c>
      <c r="P222" s="46" t="str">
        <f aca="false">IF($A222="","",IF(O222&gt;=7,"Full day",IF(O222&gt;=5,"Most targets met",IF(O222&gt;=3,"Half day","Below plan - explain in the blocker column"))))</f>
        <v/>
      </c>
    </row>
    <row r="223" customFormat="false" ht="24" hidden="false" customHeight="true" outlineLevel="0" collapsed="false">
      <c r="A223" s="36"/>
      <c r="B223" s="37"/>
      <c r="C223" s="107" t="str">
        <f aca="false">IF($A223="","",ROUND(SUMIFS('DAILY ENTRY'!$G$7:$G$1203,'DAILY ENTRY'!$A$7:$A$1203,$A223,'DAILY ENTRY'!$B$7:$B$1203,$B223)/60,1))</f>
        <v/>
      </c>
      <c r="D223" s="107" t="str">
        <f aca="false">IF($A223="","",SUMIFS('DAILY ENTRY'!$F$7:$F$1203,'DAILY ENTRY'!$A$7:$A$1203,$A223,'DAILY ENTRY'!$B$7:$B$1203,$B223,'DAILY ENTRY'!$D$7:$D$1203,"Lead researched (Sales Navigator)"))</f>
        <v/>
      </c>
      <c r="E223" s="107" t="str">
        <f aca="false">IF($A223="","",SUMIFS('DAILY ENTRY'!$F$7:$F$1203,'DAILY ENTRY'!$A$7:$A$1203,$A223,'DAILY ENTRY'!$B$7:$B$1203,$B223,'DAILY ENTRY'!$D$7:$D$1203,"Connection request sent"))</f>
        <v/>
      </c>
      <c r="F223" s="107" t="str">
        <f aca="false">IF($A223="","",SUMIFS('DAILY ENTRY'!$F$7:$F$1203,'DAILY ENTRY'!$A$7:$A$1203,$A223,'DAILY ENTRY'!$B$7:$B$1203,$B223,'DAILY ENTRY'!$D$7:$D$1203,"First message sent"))</f>
        <v/>
      </c>
      <c r="G223" s="107" t="str">
        <f aca="false">IF($A223="","",SUMIFS('DAILY ENTRY'!$F$7:$F$1203,'DAILY ENTRY'!$A$7:$A$1203,$A223,'DAILY ENTRY'!$B$7:$B$1203,$B223,'DAILY ENTRY'!$D$7:$D$1203,"Follow-up message sent"))</f>
        <v/>
      </c>
      <c r="H223" s="107" t="str">
        <f aca="false">IF($A223="","",SUMIFS('DAILY ENTRY'!$F$7:$F$1203,'DAILY ENTRY'!$A$7:$A$1203,$A223,'DAILY ENTRY'!$B$7:$B$1203,$B223,'DAILY ENTRY'!$D$7:$D$1203,"Post / content published"))</f>
        <v/>
      </c>
      <c r="I223" s="107" t="str">
        <f aca="false">IF($A223="","",SUMIFS('DAILY ENTRY'!$F$7:$F$1203,'DAILY ENTRY'!$A$7:$A$1203,$A223,'DAILY ENTRY'!$B$7:$B$1203,$B223,'DAILY ENTRY'!$D$7:$D$1203,"Community answer or comment"))</f>
        <v/>
      </c>
      <c r="J223" s="107" t="str">
        <f aca="false">IF($A223="","",SUMIFS('DAILY ENTRY'!$F$7:$F$1203,'DAILY ENTRY'!$A$7:$A$1203,$A223,'DAILY ENTRY'!$B$7:$B$1203,$B223,'DAILY ENTRY'!$D$7:$D$1203,"Partnership / PR contact"))</f>
        <v/>
      </c>
      <c r="K223" s="107" t="str">
        <f aca="false">IF($A223="","",SUMIFS('DAILY ENTRY'!$F$7:$F$1203,'DAILY ENTRY'!$A$7:$A$1203,$A223,'DAILY ENTRY'!$B$7:$B$1203,$B223,'DAILY ENTRY'!$D$7:$D$1203,"Engagement (commented on someone else)"))</f>
        <v/>
      </c>
      <c r="L223" s="107" t="str">
        <f aca="false">IF($A223="","",SUMIFS('DAILY ENTRY'!$F$7:$F$1203,'DAILY ENTRY'!$A$7:$A$1203,$A223,'DAILY ENTRY'!$B$7:$B$1203,$B223,'DAILY ENTRY'!$D$7:$D$1203,"Account created / profile completed"))</f>
        <v/>
      </c>
      <c r="M223" s="108" t="str">
        <f aca="false">IF($A223="","",IFERROR(INDEX('DAILY ENTRY'!$E$7:$E$1203,MATCH(1,INDEX(('DAILY ENTRY'!$A$7:$A$1203=$A223)*('DAILY ENTRY'!$B$7:$B$1203=$B223)*('DAILY ENTRY'!$I$7:$I$1203="Meeting booked"),0),0)),IFERROR(INDEX('DAILY ENTRY'!$E$7:$E$1203,MATCH(1,INDEX(('DAILY ENTRY'!$A$7:$A$1203=$A223)*('DAILY ENTRY'!$B$7:$B$1203=$B223)*('DAILY ENTRY'!$I$7:$I$1203="Positive reply"),0),0)),"")))</f>
        <v/>
      </c>
      <c r="N223" s="108" t="str">
        <f aca="false">IF($A223="","",IFERROR(INDEX('DAILY ENTRY'!$J$7:$J$1203,MATCH(1,INDEX(('DAILY ENTRY'!$A$7:$A$1203=$A223)*('DAILY ENTRY'!$B$7:$B$1203=$B223)*('DAILY ENTRY'!$I$7:$I$1203="Blocked"),0),0)),""))</f>
        <v/>
      </c>
      <c r="O223" s="65" t="str">
        <f aca="false">IF($A223="","",(D223&gt;='START HERE'!$B$25)+(E223&gt;='START HERE'!$B$26)+(F223&gt;='START HERE'!$B$27)+(G223&gt;='START HERE'!$B$28)+(H223&gt;='START HERE'!$B$29)+(I223&gt;='START HERE'!$B$30)+(J223&gt;='START HERE'!$B$31)+(K223&gt;='START HERE'!$B$32))</f>
        <v/>
      </c>
      <c r="P223" s="46" t="str">
        <f aca="false">IF($A223="","",IF(O223&gt;=7,"Full day",IF(O223&gt;=5,"Most targets met",IF(O223&gt;=3,"Half day","Below plan - explain in the blocker column"))))</f>
        <v/>
      </c>
    </row>
    <row r="224" customFormat="false" ht="24" hidden="false" customHeight="true" outlineLevel="0" collapsed="false">
      <c r="A224" s="36"/>
      <c r="B224" s="37"/>
      <c r="C224" s="107" t="str">
        <f aca="false">IF($A224="","",ROUND(SUMIFS('DAILY ENTRY'!$G$7:$G$1203,'DAILY ENTRY'!$A$7:$A$1203,$A224,'DAILY ENTRY'!$B$7:$B$1203,$B224)/60,1))</f>
        <v/>
      </c>
      <c r="D224" s="107" t="str">
        <f aca="false">IF($A224="","",SUMIFS('DAILY ENTRY'!$F$7:$F$1203,'DAILY ENTRY'!$A$7:$A$1203,$A224,'DAILY ENTRY'!$B$7:$B$1203,$B224,'DAILY ENTRY'!$D$7:$D$1203,"Lead researched (Sales Navigator)"))</f>
        <v/>
      </c>
      <c r="E224" s="107" t="str">
        <f aca="false">IF($A224="","",SUMIFS('DAILY ENTRY'!$F$7:$F$1203,'DAILY ENTRY'!$A$7:$A$1203,$A224,'DAILY ENTRY'!$B$7:$B$1203,$B224,'DAILY ENTRY'!$D$7:$D$1203,"Connection request sent"))</f>
        <v/>
      </c>
      <c r="F224" s="107" t="str">
        <f aca="false">IF($A224="","",SUMIFS('DAILY ENTRY'!$F$7:$F$1203,'DAILY ENTRY'!$A$7:$A$1203,$A224,'DAILY ENTRY'!$B$7:$B$1203,$B224,'DAILY ENTRY'!$D$7:$D$1203,"First message sent"))</f>
        <v/>
      </c>
      <c r="G224" s="107" t="str">
        <f aca="false">IF($A224="","",SUMIFS('DAILY ENTRY'!$F$7:$F$1203,'DAILY ENTRY'!$A$7:$A$1203,$A224,'DAILY ENTRY'!$B$7:$B$1203,$B224,'DAILY ENTRY'!$D$7:$D$1203,"Follow-up message sent"))</f>
        <v/>
      </c>
      <c r="H224" s="107" t="str">
        <f aca="false">IF($A224="","",SUMIFS('DAILY ENTRY'!$F$7:$F$1203,'DAILY ENTRY'!$A$7:$A$1203,$A224,'DAILY ENTRY'!$B$7:$B$1203,$B224,'DAILY ENTRY'!$D$7:$D$1203,"Post / content published"))</f>
        <v/>
      </c>
      <c r="I224" s="107" t="str">
        <f aca="false">IF($A224="","",SUMIFS('DAILY ENTRY'!$F$7:$F$1203,'DAILY ENTRY'!$A$7:$A$1203,$A224,'DAILY ENTRY'!$B$7:$B$1203,$B224,'DAILY ENTRY'!$D$7:$D$1203,"Community answer or comment"))</f>
        <v/>
      </c>
      <c r="J224" s="107" t="str">
        <f aca="false">IF($A224="","",SUMIFS('DAILY ENTRY'!$F$7:$F$1203,'DAILY ENTRY'!$A$7:$A$1203,$A224,'DAILY ENTRY'!$B$7:$B$1203,$B224,'DAILY ENTRY'!$D$7:$D$1203,"Partnership / PR contact"))</f>
        <v/>
      </c>
      <c r="K224" s="107" t="str">
        <f aca="false">IF($A224="","",SUMIFS('DAILY ENTRY'!$F$7:$F$1203,'DAILY ENTRY'!$A$7:$A$1203,$A224,'DAILY ENTRY'!$B$7:$B$1203,$B224,'DAILY ENTRY'!$D$7:$D$1203,"Engagement (commented on someone else)"))</f>
        <v/>
      </c>
      <c r="L224" s="107" t="str">
        <f aca="false">IF($A224="","",SUMIFS('DAILY ENTRY'!$F$7:$F$1203,'DAILY ENTRY'!$A$7:$A$1203,$A224,'DAILY ENTRY'!$B$7:$B$1203,$B224,'DAILY ENTRY'!$D$7:$D$1203,"Account created / profile completed"))</f>
        <v/>
      </c>
      <c r="M224" s="108" t="str">
        <f aca="false">IF($A224="","",IFERROR(INDEX('DAILY ENTRY'!$E$7:$E$1203,MATCH(1,INDEX(('DAILY ENTRY'!$A$7:$A$1203=$A224)*('DAILY ENTRY'!$B$7:$B$1203=$B224)*('DAILY ENTRY'!$I$7:$I$1203="Meeting booked"),0),0)),IFERROR(INDEX('DAILY ENTRY'!$E$7:$E$1203,MATCH(1,INDEX(('DAILY ENTRY'!$A$7:$A$1203=$A224)*('DAILY ENTRY'!$B$7:$B$1203=$B224)*('DAILY ENTRY'!$I$7:$I$1203="Positive reply"),0),0)),"")))</f>
        <v/>
      </c>
      <c r="N224" s="108" t="str">
        <f aca="false">IF($A224="","",IFERROR(INDEX('DAILY ENTRY'!$J$7:$J$1203,MATCH(1,INDEX(('DAILY ENTRY'!$A$7:$A$1203=$A224)*('DAILY ENTRY'!$B$7:$B$1203=$B224)*('DAILY ENTRY'!$I$7:$I$1203="Blocked"),0),0)),""))</f>
        <v/>
      </c>
      <c r="O224" s="65" t="str">
        <f aca="false">IF($A224="","",(D224&gt;='START HERE'!$B$25)+(E224&gt;='START HERE'!$B$26)+(F224&gt;='START HERE'!$B$27)+(G224&gt;='START HERE'!$B$28)+(H224&gt;='START HERE'!$B$29)+(I224&gt;='START HERE'!$B$30)+(J224&gt;='START HERE'!$B$31)+(K224&gt;='START HERE'!$B$32))</f>
        <v/>
      </c>
      <c r="P224" s="46" t="str">
        <f aca="false">IF($A224="","",IF(O224&gt;=7,"Full day",IF(O224&gt;=5,"Most targets met",IF(O224&gt;=3,"Half day","Below plan - explain in the blocker column"))))</f>
        <v/>
      </c>
    </row>
    <row r="225" customFormat="false" ht="24" hidden="false" customHeight="true" outlineLevel="0" collapsed="false">
      <c r="A225" s="36"/>
      <c r="B225" s="37"/>
      <c r="C225" s="107" t="str">
        <f aca="false">IF($A225="","",ROUND(SUMIFS('DAILY ENTRY'!$G$7:$G$1203,'DAILY ENTRY'!$A$7:$A$1203,$A225,'DAILY ENTRY'!$B$7:$B$1203,$B225)/60,1))</f>
        <v/>
      </c>
      <c r="D225" s="107" t="str">
        <f aca="false">IF($A225="","",SUMIFS('DAILY ENTRY'!$F$7:$F$1203,'DAILY ENTRY'!$A$7:$A$1203,$A225,'DAILY ENTRY'!$B$7:$B$1203,$B225,'DAILY ENTRY'!$D$7:$D$1203,"Lead researched (Sales Navigator)"))</f>
        <v/>
      </c>
      <c r="E225" s="107" t="str">
        <f aca="false">IF($A225="","",SUMIFS('DAILY ENTRY'!$F$7:$F$1203,'DAILY ENTRY'!$A$7:$A$1203,$A225,'DAILY ENTRY'!$B$7:$B$1203,$B225,'DAILY ENTRY'!$D$7:$D$1203,"Connection request sent"))</f>
        <v/>
      </c>
      <c r="F225" s="107" t="str">
        <f aca="false">IF($A225="","",SUMIFS('DAILY ENTRY'!$F$7:$F$1203,'DAILY ENTRY'!$A$7:$A$1203,$A225,'DAILY ENTRY'!$B$7:$B$1203,$B225,'DAILY ENTRY'!$D$7:$D$1203,"First message sent"))</f>
        <v/>
      </c>
      <c r="G225" s="107" t="str">
        <f aca="false">IF($A225="","",SUMIFS('DAILY ENTRY'!$F$7:$F$1203,'DAILY ENTRY'!$A$7:$A$1203,$A225,'DAILY ENTRY'!$B$7:$B$1203,$B225,'DAILY ENTRY'!$D$7:$D$1203,"Follow-up message sent"))</f>
        <v/>
      </c>
      <c r="H225" s="107" t="str">
        <f aca="false">IF($A225="","",SUMIFS('DAILY ENTRY'!$F$7:$F$1203,'DAILY ENTRY'!$A$7:$A$1203,$A225,'DAILY ENTRY'!$B$7:$B$1203,$B225,'DAILY ENTRY'!$D$7:$D$1203,"Post / content published"))</f>
        <v/>
      </c>
      <c r="I225" s="107" t="str">
        <f aca="false">IF($A225="","",SUMIFS('DAILY ENTRY'!$F$7:$F$1203,'DAILY ENTRY'!$A$7:$A$1203,$A225,'DAILY ENTRY'!$B$7:$B$1203,$B225,'DAILY ENTRY'!$D$7:$D$1203,"Community answer or comment"))</f>
        <v/>
      </c>
      <c r="J225" s="107" t="str">
        <f aca="false">IF($A225="","",SUMIFS('DAILY ENTRY'!$F$7:$F$1203,'DAILY ENTRY'!$A$7:$A$1203,$A225,'DAILY ENTRY'!$B$7:$B$1203,$B225,'DAILY ENTRY'!$D$7:$D$1203,"Partnership / PR contact"))</f>
        <v/>
      </c>
      <c r="K225" s="107" t="str">
        <f aca="false">IF($A225="","",SUMIFS('DAILY ENTRY'!$F$7:$F$1203,'DAILY ENTRY'!$A$7:$A$1203,$A225,'DAILY ENTRY'!$B$7:$B$1203,$B225,'DAILY ENTRY'!$D$7:$D$1203,"Engagement (commented on someone else)"))</f>
        <v/>
      </c>
      <c r="L225" s="107" t="str">
        <f aca="false">IF($A225="","",SUMIFS('DAILY ENTRY'!$F$7:$F$1203,'DAILY ENTRY'!$A$7:$A$1203,$A225,'DAILY ENTRY'!$B$7:$B$1203,$B225,'DAILY ENTRY'!$D$7:$D$1203,"Account created / profile completed"))</f>
        <v/>
      </c>
      <c r="M225" s="108" t="str">
        <f aca="false">IF($A225="","",IFERROR(INDEX('DAILY ENTRY'!$E$7:$E$1203,MATCH(1,INDEX(('DAILY ENTRY'!$A$7:$A$1203=$A225)*('DAILY ENTRY'!$B$7:$B$1203=$B225)*('DAILY ENTRY'!$I$7:$I$1203="Meeting booked"),0),0)),IFERROR(INDEX('DAILY ENTRY'!$E$7:$E$1203,MATCH(1,INDEX(('DAILY ENTRY'!$A$7:$A$1203=$A225)*('DAILY ENTRY'!$B$7:$B$1203=$B225)*('DAILY ENTRY'!$I$7:$I$1203="Positive reply"),0),0)),"")))</f>
        <v/>
      </c>
      <c r="N225" s="108" t="str">
        <f aca="false">IF($A225="","",IFERROR(INDEX('DAILY ENTRY'!$J$7:$J$1203,MATCH(1,INDEX(('DAILY ENTRY'!$A$7:$A$1203=$A225)*('DAILY ENTRY'!$B$7:$B$1203=$B225)*('DAILY ENTRY'!$I$7:$I$1203="Blocked"),0),0)),""))</f>
        <v/>
      </c>
      <c r="O225" s="65" t="str">
        <f aca="false">IF($A225="","",(D225&gt;='START HERE'!$B$25)+(E225&gt;='START HERE'!$B$26)+(F225&gt;='START HERE'!$B$27)+(G225&gt;='START HERE'!$B$28)+(H225&gt;='START HERE'!$B$29)+(I225&gt;='START HERE'!$B$30)+(J225&gt;='START HERE'!$B$31)+(K225&gt;='START HERE'!$B$32))</f>
        <v/>
      </c>
      <c r="P225" s="46" t="str">
        <f aca="false">IF($A225="","",IF(O225&gt;=7,"Full day",IF(O225&gt;=5,"Most targets met",IF(O225&gt;=3,"Half day","Below plan - explain in the blocker column"))))</f>
        <v/>
      </c>
    </row>
    <row r="226" customFormat="false" ht="24" hidden="false" customHeight="true" outlineLevel="0" collapsed="false">
      <c r="A226" s="36"/>
      <c r="B226" s="37"/>
      <c r="C226" s="107" t="str">
        <f aca="false">IF($A226="","",ROUND(SUMIFS('DAILY ENTRY'!$G$7:$G$1203,'DAILY ENTRY'!$A$7:$A$1203,$A226,'DAILY ENTRY'!$B$7:$B$1203,$B226)/60,1))</f>
        <v/>
      </c>
      <c r="D226" s="107" t="str">
        <f aca="false">IF($A226="","",SUMIFS('DAILY ENTRY'!$F$7:$F$1203,'DAILY ENTRY'!$A$7:$A$1203,$A226,'DAILY ENTRY'!$B$7:$B$1203,$B226,'DAILY ENTRY'!$D$7:$D$1203,"Lead researched (Sales Navigator)"))</f>
        <v/>
      </c>
      <c r="E226" s="107" t="str">
        <f aca="false">IF($A226="","",SUMIFS('DAILY ENTRY'!$F$7:$F$1203,'DAILY ENTRY'!$A$7:$A$1203,$A226,'DAILY ENTRY'!$B$7:$B$1203,$B226,'DAILY ENTRY'!$D$7:$D$1203,"Connection request sent"))</f>
        <v/>
      </c>
      <c r="F226" s="107" t="str">
        <f aca="false">IF($A226="","",SUMIFS('DAILY ENTRY'!$F$7:$F$1203,'DAILY ENTRY'!$A$7:$A$1203,$A226,'DAILY ENTRY'!$B$7:$B$1203,$B226,'DAILY ENTRY'!$D$7:$D$1203,"First message sent"))</f>
        <v/>
      </c>
      <c r="G226" s="107" t="str">
        <f aca="false">IF($A226="","",SUMIFS('DAILY ENTRY'!$F$7:$F$1203,'DAILY ENTRY'!$A$7:$A$1203,$A226,'DAILY ENTRY'!$B$7:$B$1203,$B226,'DAILY ENTRY'!$D$7:$D$1203,"Follow-up message sent"))</f>
        <v/>
      </c>
      <c r="H226" s="107" t="str">
        <f aca="false">IF($A226="","",SUMIFS('DAILY ENTRY'!$F$7:$F$1203,'DAILY ENTRY'!$A$7:$A$1203,$A226,'DAILY ENTRY'!$B$7:$B$1203,$B226,'DAILY ENTRY'!$D$7:$D$1203,"Post / content published"))</f>
        <v/>
      </c>
      <c r="I226" s="107" t="str">
        <f aca="false">IF($A226="","",SUMIFS('DAILY ENTRY'!$F$7:$F$1203,'DAILY ENTRY'!$A$7:$A$1203,$A226,'DAILY ENTRY'!$B$7:$B$1203,$B226,'DAILY ENTRY'!$D$7:$D$1203,"Community answer or comment"))</f>
        <v/>
      </c>
      <c r="J226" s="107" t="str">
        <f aca="false">IF($A226="","",SUMIFS('DAILY ENTRY'!$F$7:$F$1203,'DAILY ENTRY'!$A$7:$A$1203,$A226,'DAILY ENTRY'!$B$7:$B$1203,$B226,'DAILY ENTRY'!$D$7:$D$1203,"Partnership / PR contact"))</f>
        <v/>
      </c>
      <c r="K226" s="107" t="str">
        <f aca="false">IF($A226="","",SUMIFS('DAILY ENTRY'!$F$7:$F$1203,'DAILY ENTRY'!$A$7:$A$1203,$A226,'DAILY ENTRY'!$B$7:$B$1203,$B226,'DAILY ENTRY'!$D$7:$D$1203,"Engagement (commented on someone else)"))</f>
        <v/>
      </c>
      <c r="L226" s="107" t="str">
        <f aca="false">IF($A226="","",SUMIFS('DAILY ENTRY'!$F$7:$F$1203,'DAILY ENTRY'!$A$7:$A$1203,$A226,'DAILY ENTRY'!$B$7:$B$1203,$B226,'DAILY ENTRY'!$D$7:$D$1203,"Account created / profile completed"))</f>
        <v/>
      </c>
      <c r="M226" s="108" t="str">
        <f aca="false">IF($A226="","",IFERROR(INDEX('DAILY ENTRY'!$E$7:$E$1203,MATCH(1,INDEX(('DAILY ENTRY'!$A$7:$A$1203=$A226)*('DAILY ENTRY'!$B$7:$B$1203=$B226)*('DAILY ENTRY'!$I$7:$I$1203="Meeting booked"),0),0)),IFERROR(INDEX('DAILY ENTRY'!$E$7:$E$1203,MATCH(1,INDEX(('DAILY ENTRY'!$A$7:$A$1203=$A226)*('DAILY ENTRY'!$B$7:$B$1203=$B226)*('DAILY ENTRY'!$I$7:$I$1203="Positive reply"),0),0)),"")))</f>
        <v/>
      </c>
      <c r="N226" s="108" t="str">
        <f aca="false">IF($A226="","",IFERROR(INDEX('DAILY ENTRY'!$J$7:$J$1203,MATCH(1,INDEX(('DAILY ENTRY'!$A$7:$A$1203=$A226)*('DAILY ENTRY'!$B$7:$B$1203=$B226)*('DAILY ENTRY'!$I$7:$I$1203="Blocked"),0),0)),""))</f>
        <v/>
      </c>
      <c r="O226" s="65" t="str">
        <f aca="false">IF($A226="","",(D226&gt;='START HERE'!$B$25)+(E226&gt;='START HERE'!$B$26)+(F226&gt;='START HERE'!$B$27)+(G226&gt;='START HERE'!$B$28)+(H226&gt;='START HERE'!$B$29)+(I226&gt;='START HERE'!$B$30)+(J226&gt;='START HERE'!$B$31)+(K226&gt;='START HERE'!$B$32))</f>
        <v/>
      </c>
      <c r="P226" s="46" t="str">
        <f aca="false">IF($A226="","",IF(O226&gt;=7,"Full day",IF(O226&gt;=5,"Most targets met",IF(O226&gt;=3,"Half day","Below plan - explain in the blocker column"))))</f>
        <v/>
      </c>
    </row>
    <row r="227" customFormat="false" ht="24" hidden="false" customHeight="true" outlineLevel="0" collapsed="false">
      <c r="A227" s="36"/>
      <c r="B227" s="37"/>
      <c r="C227" s="107" t="str">
        <f aca="false">IF($A227="","",ROUND(SUMIFS('DAILY ENTRY'!$G$7:$G$1203,'DAILY ENTRY'!$A$7:$A$1203,$A227,'DAILY ENTRY'!$B$7:$B$1203,$B227)/60,1))</f>
        <v/>
      </c>
      <c r="D227" s="107" t="str">
        <f aca="false">IF($A227="","",SUMIFS('DAILY ENTRY'!$F$7:$F$1203,'DAILY ENTRY'!$A$7:$A$1203,$A227,'DAILY ENTRY'!$B$7:$B$1203,$B227,'DAILY ENTRY'!$D$7:$D$1203,"Lead researched (Sales Navigator)"))</f>
        <v/>
      </c>
      <c r="E227" s="107" t="str">
        <f aca="false">IF($A227="","",SUMIFS('DAILY ENTRY'!$F$7:$F$1203,'DAILY ENTRY'!$A$7:$A$1203,$A227,'DAILY ENTRY'!$B$7:$B$1203,$B227,'DAILY ENTRY'!$D$7:$D$1203,"Connection request sent"))</f>
        <v/>
      </c>
      <c r="F227" s="107" t="str">
        <f aca="false">IF($A227="","",SUMIFS('DAILY ENTRY'!$F$7:$F$1203,'DAILY ENTRY'!$A$7:$A$1203,$A227,'DAILY ENTRY'!$B$7:$B$1203,$B227,'DAILY ENTRY'!$D$7:$D$1203,"First message sent"))</f>
        <v/>
      </c>
      <c r="G227" s="107" t="str">
        <f aca="false">IF($A227="","",SUMIFS('DAILY ENTRY'!$F$7:$F$1203,'DAILY ENTRY'!$A$7:$A$1203,$A227,'DAILY ENTRY'!$B$7:$B$1203,$B227,'DAILY ENTRY'!$D$7:$D$1203,"Follow-up message sent"))</f>
        <v/>
      </c>
      <c r="H227" s="107" t="str">
        <f aca="false">IF($A227="","",SUMIFS('DAILY ENTRY'!$F$7:$F$1203,'DAILY ENTRY'!$A$7:$A$1203,$A227,'DAILY ENTRY'!$B$7:$B$1203,$B227,'DAILY ENTRY'!$D$7:$D$1203,"Post / content published"))</f>
        <v/>
      </c>
      <c r="I227" s="107" t="str">
        <f aca="false">IF($A227="","",SUMIFS('DAILY ENTRY'!$F$7:$F$1203,'DAILY ENTRY'!$A$7:$A$1203,$A227,'DAILY ENTRY'!$B$7:$B$1203,$B227,'DAILY ENTRY'!$D$7:$D$1203,"Community answer or comment"))</f>
        <v/>
      </c>
      <c r="J227" s="107" t="str">
        <f aca="false">IF($A227="","",SUMIFS('DAILY ENTRY'!$F$7:$F$1203,'DAILY ENTRY'!$A$7:$A$1203,$A227,'DAILY ENTRY'!$B$7:$B$1203,$B227,'DAILY ENTRY'!$D$7:$D$1203,"Partnership / PR contact"))</f>
        <v/>
      </c>
      <c r="K227" s="107" t="str">
        <f aca="false">IF($A227="","",SUMIFS('DAILY ENTRY'!$F$7:$F$1203,'DAILY ENTRY'!$A$7:$A$1203,$A227,'DAILY ENTRY'!$B$7:$B$1203,$B227,'DAILY ENTRY'!$D$7:$D$1203,"Engagement (commented on someone else)"))</f>
        <v/>
      </c>
      <c r="L227" s="107" t="str">
        <f aca="false">IF($A227="","",SUMIFS('DAILY ENTRY'!$F$7:$F$1203,'DAILY ENTRY'!$A$7:$A$1203,$A227,'DAILY ENTRY'!$B$7:$B$1203,$B227,'DAILY ENTRY'!$D$7:$D$1203,"Account created / profile completed"))</f>
        <v/>
      </c>
      <c r="M227" s="108" t="str">
        <f aca="false">IF($A227="","",IFERROR(INDEX('DAILY ENTRY'!$E$7:$E$1203,MATCH(1,INDEX(('DAILY ENTRY'!$A$7:$A$1203=$A227)*('DAILY ENTRY'!$B$7:$B$1203=$B227)*('DAILY ENTRY'!$I$7:$I$1203="Meeting booked"),0),0)),IFERROR(INDEX('DAILY ENTRY'!$E$7:$E$1203,MATCH(1,INDEX(('DAILY ENTRY'!$A$7:$A$1203=$A227)*('DAILY ENTRY'!$B$7:$B$1203=$B227)*('DAILY ENTRY'!$I$7:$I$1203="Positive reply"),0),0)),"")))</f>
        <v/>
      </c>
      <c r="N227" s="108" t="str">
        <f aca="false">IF($A227="","",IFERROR(INDEX('DAILY ENTRY'!$J$7:$J$1203,MATCH(1,INDEX(('DAILY ENTRY'!$A$7:$A$1203=$A227)*('DAILY ENTRY'!$B$7:$B$1203=$B227)*('DAILY ENTRY'!$I$7:$I$1203="Blocked"),0),0)),""))</f>
        <v/>
      </c>
      <c r="O227" s="65" t="str">
        <f aca="false">IF($A227="","",(D227&gt;='START HERE'!$B$25)+(E227&gt;='START HERE'!$B$26)+(F227&gt;='START HERE'!$B$27)+(G227&gt;='START HERE'!$B$28)+(H227&gt;='START HERE'!$B$29)+(I227&gt;='START HERE'!$B$30)+(J227&gt;='START HERE'!$B$31)+(K227&gt;='START HERE'!$B$32))</f>
        <v/>
      </c>
      <c r="P227" s="46" t="str">
        <f aca="false">IF($A227="","",IF(O227&gt;=7,"Full day",IF(O227&gt;=5,"Most targets met",IF(O227&gt;=3,"Half day","Below plan - explain in the blocker column"))))</f>
        <v/>
      </c>
    </row>
    <row r="228" customFormat="false" ht="24" hidden="false" customHeight="true" outlineLevel="0" collapsed="false">
      <c r="A228" s="36"/>
      <c r="B228" s="37"/>
      <c r="C228" s="107" t="str">
        <f aca="false">IF($A228="","",ROUND(SUMIFS('DAILY ENTRY'!$G$7:$G$1203,'DAILY ENTRY'!$A$7:$A$1203,$A228,'DAILY ENTRY'!$B$7:$B$1203,$B228)/60,1))</f>
        <v/>
      </c>
      <c r="D228" s="107" t="str">
        <f aca="false">IF($A228="","",SUMIFS('DAILY ENTRY'!$F$7:$F$1203,'DAILY ENTRY'!$A$7:$A$1203,$A228,'DAILY ENTRY'!$B$7:$B$1203,$B228,'DAILY ENTRY'!$D$7:$D$1203,"Lead researched (Sales Navigator)"))</f>
        <v/>
      </c>
      <c r="E228" s="107" t="str">
        <f aca="false">IF($A228="","",SUMIFS('DAILY ENTRY'!$F$7:$F$1203,'DAILY ENTRY'!$A$7:$A$1203,$A228,'DAILY ENTRY'!$B$7:$B$1203,$B228,'DAILY ENTRY'!$D$7:$D$1203,"Connection request sent"))</f>
        <v/>
      </c>
      <c r="F228" s="107" t="str">
        <f aca="false">IF($A228="","",SUMIFS('DAILY ENTRY'!$F$7:$F$1203,'DAILY ENTRY'!$A$7:$A$1203,$A228,'DAILY ENTRY'!$B$7:$B$1203,$B228,'DAILY ENTRY'!$D$7:$D$1203,"First message sent"))</f>
        <v/>
      </c>
      <c r="G228" s="107" t="str">
        <f aca="false">IF($A228="","",SUMIFS('DAILY ENTRY'!$F$7:$F$1203,'DAILY ENTRY'!$A$7:$A$1203,$A228,'DAILY ENTRY'!$B$7:$B$1203,$B228,'DAILY ENTRY'!$D$7:$D$1203,"Follow-up message sent"))</f>
        <v/>
      </c>
      <c r="H228" s="107" t="str">
        <f aca="false">IF($A228="","",SUMIFS('DAILY ENTRY'!$F$7:$F$1203,'DAILY ENTRY'!$A$7:$A$1203,$A228,'DAILY ENTRY'!$B$7:$B$1203,$B228,'DAILY ENTRY'!$D$7:$D$1203,"Post / content published"))</f>
        <v/>
      </c>
      <c r="I228" s="107" t="str">
        <f aca="false">IF($A228="","",SUMIFS('DAILY ENTRY'!$F$7:$F$1203,'DAILY ENTRY'!$A$7:$A$1203,$A228,'DAILY ENTRY'!$B$7:$B$1203,$B228,'DAILY ENTRY'!$D$7:$D$1203,"Community answer or comment"))</f>
        <v/>
      </c>
      <c r="J228" s="107" t="str">
        <f aca="false">IF($A228="","",SUMIFS('DAILY ENTRY'!$F$7:$F$1203,'DAILY ENTRY'!$A$7:$A$1203,$A228,'DAILY ENTRY'!$B$7:$B$1203,$B228,'DAILY ENTRY'!$D$7:$D$1203,"Partnership / PR contact"))</f>
        <v/>
      </c>
      <c r="K228" s="107" t="str">
        <f aca="false">IF($A228="","",SUMIFS('DAILY ENTRY'!$F$7:$F$1203,'DAILY ENTRY'!$A$7:$A$1203,$A228,'DAILY ENTRY'!$B$7:$B$1203,$B228,'DAILY ENTRY'!$D$7:$D$1203,"Engagement (commented on someone else)"))</f>
        <v/>
      </c>
      <c r="L228" s="107" t="str">
        <f aca="false">IF($A228="","",SUMIFS('DAILY ENTRY'!$F$7:$F$1203,'DAILY ENTRY'!$A$7:$A$1203,$A228,'DAILY ENTRY'!$B$7:$B$1203,$B228,'DAILY ENTRY'!$D$7:$D$1203,"Account created / profile completed"))</f>
        <v/>
      </c>
      <c r="M228" s="108" t="str">
        <f aca="false">IF($A228="","",IFERROR(INDEX('DAILY ENTRY'!$E$7:$E$1203,MATCH(1,INDEX(('DAILY ENTRY'!$A$7:$A$1203=$A228)*('DAILY ENTRY'!$B$7:$B$1203=$B228)*('DAILY ENTRY'!$I$7:$I$1203="Meeting booked"),0),0)),IFERROR(INDEX('DAILY ENTRY'!$E$7:$E$1203,MATCH(1,INDEX(('DAILY ENTRY'!$A$7:$A$1203=$A228)*('DAILY ENTRY'!$B$7:$B$1203=$B228)*('DAILY ENTRY'!$I$7:$I$1203="Positive reply"),0),0)),"")))</f>
        <v/>
      </c>
      <c r="N228" s="108" t="str">
        <f aca="false">IF($A228="","",IFERROR(INDEX('DAILY ENTRY'!$J$7:$J$1203,MATCH(1,INDEX(('DAILY ENTRY'!$A$7:$A$1203=$A228)*('DAILY ENTRY'!$B$7:$B$1203=$B228)*('DAILY ENTRY'!$I$7:$I$1203="Blocked"),0),0)),""))</f>
        <v/>
      </c>
      <c r="O228" s="65" t="str">
        <f aca="false">IF($A228="","",(D228&gt;='START HERE'!$B$25)+(E228&gt;='START HERE'!$B$26)+(F228&gt;='START HERE'!$B$27)+(G228&gt;='START HERE'!$B$28)+(H228&gt;='START HERE'!$B$29)+(I228&gt;='START HERE'!$B$30)+(J228&gt;='START HERE'!$B$31)+(K228&gt;='START HERE'!$B$32))</f>
        <v/>
      </c>
      <c r="P228" s="46" t="str">
        <f aca="false">IF($A228="","",IF(O228&gt;=7,"Full day",IF(O228&gt;=5,"Most targets met",IF(O228&gt;=3,"Half day","Below plan - explain in the blocker column"))))</f>
        <v/>
      </c>
    </row>
    <row r="229" customFormat="false" ht="24" hidden="false" customHeight="true" outlineLevel="0" collapsed="false">
      <c r="A229" s="36"/>
      <c r="B229" s="37"/>
      <c r="C229" s="107" t="str">
        <f aca="false">IF($A229="","",ROUND(SUMIFS('DAILY ENTRY'!$G$7:$G$1203,'DAILY ENTRY'!$A$7:$A$1203,$A229,'DAILY ENTRY'!$B$7:$B$1203,$B229)/60,1))</f>
        <v/>
      </c>
      <c r="D229" s="107" t="str">
        <f aca="false">IF($A229="","",SUMIFS('DAILY ENTRY'!$F$7:$F$1203,'DAILY ENTRY'!$A$7:$A$1203,$A229,'DAILY ENTRY'!$B$7:$B$1203,$B229,'DAILY ENTRY'!$D$7:$D$1203,"Lead researched (Sales Navigator)"))</f>
        <v/>
      </c>
      <c r="E229" s="107" t="str">
        <f aca="false">IF($A229="","",SUMIFS('DAILY ENTRY'!$F$7:$F$1203,'DAILY ENTRY'!$A$7:$A$1203,$A229,'DAILY ENTRY'!$B$7:$B$1203,$B229,'DAILY ENTRY'!$D$7:$D$1203,"Connection request sent"))</f>
        <v/>
      </c>
      <c r="F229" s="107" t="str">
        <f aca="false">IF($A229="","",SUMIFS('DAILY ENTRY'!$F$7:$F$1203,'DAILY ENTRY'!$A$7:$A$1203,$A229,'DAILY ENTRY'!$B$7:$B$1203,$B229,'DAILY ENTRY'!$D$7:$D$1203,"First message sent"))</f>
        <v/>
      </c>
      <c r="G229" s="107" t="str">
        <f aca="false">IF($A229="","",SUMIFS('DAILY ENTRY'!$F$7:$F$1203,'DAILY ENTRY'!$A$7:$A$1203,$A229,'DAILY ENTRY'!$B$7:$B$1203,$B229,'DAILY ENTRY'!$D$7:$D$1203,"Follow-up message sent"))</f>
        <v/>
      </c>
      <c r="H229" s="107" t="str">
        <f aca="false">IF($A229="","",SUMIFS('DAILY ENTRY'!$F$7:$F$1203,'DAILY ENTRY'!$A$7:$A$1203,$A229,'DAILY ENTRY'!$B$7:$B$1203,$B229,'DAILY ENTRY'!$D$7:$D$1203,"Post / content published"))</f>
        <v/>
      </c>
      <c r="I229" s="107" t="str">
        <f aca="false">IF($A229="","",SUMIFS('DAILY ENTRY'!$F$7:$F$1203,'DAILY ENTRY'!$A$7:$A$1203,$A229,'DAILY ENTRY'!$B$7:$B$1203,$B229,'DAILY ENTRY'!$D$7:$D$1203,"Community answer or comment"))</f>
        <v/>
      </c>
      <c r="J229" s="107" t="str">
        <f aca="false">IF($A229="","",SUMIFS('DAILY ENTRY'!$F$7:$F$1203,'DAILY ENTRY'!$A$7:$A$1203,$A229,'DAILY ENTRY'!$B$7:$B$1203,$B229,'DAILY ENTRY'!$D$7:$D$1203,"Partnership / PR contact"))</f>
        <v/>
      </c>
      <c r="K229" s="107" t="str">
        <f aca="false">IF($A229="","",SUMIFS('DAILY ENTRY'!$F$7:$F$1203,'DAILY ENTRY'!$A$7:$A$1203,$A229,'DAILY ENTRY'!$B$7:$B$1203,$B229,'DAILY ENTRY'!$D$7:$D$1203,"Engagement (commented on someone else)"))</f>
        <v/>
      </c>
      <c r="L229" s="107" t="str">
        <f aca="false">IF($A229="","",SUMIFS('DAILY ENTRY'!$F$7:$F$1203,'DAILY ENTRY'!$A$7:$A$1203,$A229,'DAILY ENTRY'!$B$7:$B$1203,$B229,'DAILY ENTRY'!$D$7:$D$1203,"Account created / profile completed"))</f>
        <v/>
      </c>
      <c r="M229" s="108" t="str">
        <f aca="false">IF($A229="","",IFERROR(INDEX('DAILY ENTRY'!$E$7:$E$1203,MATCH(1,INDEX(('DAILY ENTRY'!$A$7:$A$1203=$A229)*('DAILY ENTRY'!$B$7:$B$1203=$B229)*('DAILY ENTRY'!$I$7:$I$1203="Meeting booked"),0),0)),IFERROR(INDEX('DAILY ENTRY'!$E$7:$E$1203,MATCH(1,INDEX(('DAILY ENTRY'!$A$7:$A$1203=$A229)*('DAILY ENTRY'!$B$7:$B$1203=$B229)*('DAILY ENTRY'!$I$7:$I$1203="Positive reply"),0),0)),"")))</f>
        <v/>
      </c>
      <c r="N229" s="108" t="str">
        <f aca="false">IF($A229="","",IFERROR(INDEX('DAILY ENTRY'!$J$7:$J$1203,MATCH(1,INDEX(('DAILY ENTRY'!$A$7:$A$1203=$A229)*('DAILY ENTRY'!$B$7:$B$1203=$B229)*('DAILY ENTRY'!$I$7:$I$1203="Blocked"),0),0)),""))</f>
        <v/>
      </c>
      <c r="O229" s="65" t="str">
        <f aca="false">IF($A229="","",(D229&gt;='START HERE'!$B$25)+(E229&gt;='START HERE'!$B$26)+(F229&gt;='START HERE'!$B$27)+(G229&gt;='START HERE'!$B$28)+(H229&gt;='START HERE'!$B$29)+(I229&gt;='START HERE'!$B$30)+(J229&gt;='START HERE'!$B$31)+(K229&gt;='START HERE'!$B$32))</f>
        <v/>
      </c>
      <c r="P229" s="46" t="str">
        <f aca="false">IF($A229="","",IF(O229&gt;=7,"Full day",IF(O229&gt;=5,"Most targets met",IF(O229&gt;=3,"Half day","Below plan - explain in the blocker column"))))</f>
        <v/>
      </c>
    </row>
    <row r="230" customFormat="false" ht="24" hidden="false" customHeight="true" outlineLevel="0" collapsed="false">
      <c r="A230" s="36"/>
      <c r="B230" s="37"/>
      <c r="C230" s="107" t="str">
        <f aca="false">IF($A230="","",ROUND(SUMIFS('DAILY ENTRY'!$G$7:$G$1203,'DAILY ENTRY'!$A$7:$A$1203,$A230,'DAILY ENTRY'!$B$7:$B$1203,$B230)/60,1))</f>
        <v/>
      </c>
      <c r="D230" s="107" t="str">
        <f aca="false">IF($A230="","",SUMIFS('DAILY ENTRY'!$F$7:$F$1203,'DAILY ENTRY'!$A$7:$A$1203,$A230,'DAILY ENTRY'!$B$7:$B$1203,$B230,'DAILY ENTRY'!$D$7:$D$1203,"Lead researched (Sales Navigator)"))</f>
        <v/>
      </c>
      <c r="E230" s="107" t="str">
        <f aca="false">IF($A230="","",SUMIFS('DAILY ENTRY'!$F$7:$F$1203,'DAILY ENTRY'!$A$7:$A$1203,$A230,'DAILY ENTRY'!$B$7:$B$1203,$B230,'DAILY ENTRY'!$D$7:$D$1203,"Connection request sent"))</f>
        <v/>
      </c>
      <c r="F230" s="107" t="str">
        <f aca="false">IF($A230="","",SUMIFS('DAILY ENTRY'!$F$7:$F$1203,'DAILY ENTRY'!$A$7:$A$1203,$A230,'DAILY ENTRY'!$B$7:$B$1203,$B230,'DAILY ENTRY'!$D$7:$D$1203,"First message sent"))</f>
        <v/>
      </c>
      <c r="G230" s="107" t="str">
        <f aca="false">IF($A230="","",SUMIFS('DAILY ENTRY'!$F$7:$F$1203,'DAILY ENTRY'!$A$7:$A$1203,$A230,'DAILY ENTRY'!$B$7:$B$1203,$B230,'DAILY ENTRY'!$D$7:$D$1203,"Follow-up message sent"))</f>
        <v/>
      </c>
      <c r="H230" s="107" t="str">
        <f aca="false">IF($A230="","",SUMIFS('DAILY ENTRY'!$F$7:$F$1203,'DAILY ENTRY'!$A$7:$A$1203,$A230,'DAILY ENTRY'!$B$7:$B$1203,$B230,'DAILY ENTRY'!$D$7:$D$1203,"Post / content published"))</f>
        <v/>
      </c>
      <c r="I230" s="107" t="str">
        <f aca="false">IF($A230="","",SUMIFS('DAILY ENTRY'!$F$7:$F$1203,'DAILY ENTRY'!$A$7:$A$1203,$A230,'DAILY ENTRY'!$B$7:$B$1203,$B230,'DAILY ENTRY'!$D$7:$D$1203,"Community answer or comment"))</f>
        <v/>
      </c>
      <c r="J230" s="107" t="str">
        <f aca="false">IF($A230="","",SUMIFS('DAILY ENTRY'!$F$7:$F$1203,'DAILY ENTRY'!$A$7:$A$1203,$A230,'DAILY ENTRY'!$B$7:$B$1203,$B230,'DAILY ENTRY'!$D$7:$D$1203,"Partnership / PR contact"))</f>
        <v/>
      </c>
      <c r="K230" s="107" t="str">
        <f aca="false">IF($A230="","",SUMIFS('DAILY ENTRY'!$F$7:$F$1203,'DAILY ENTRY'!$A$7:$A$1203,$A230,'DAILY ENTRY'!$B$7:$B$1203,$B230,'DAILY ENTRY'!$D$7:$D$1203,"Engagement (commented on someone else)"))</f>
        <v/>
      </c>
      <c r="L230" s="107" t="str">
        <f aca="false">IF($A230="","",SUMIFS('DAILY ENTRY'!$F$7:$F$1203,'DAILY ENTRY'!$A$7:$A$1203,$A230,'DAILY ENTRY'!$B$7:$B$1203,$B230,'DAILY ENTRY'!$D$7:$D$1203,"Account created / profile completed"))</f>
        <v/>
      </c>
      <c r="M230" s="108" t="str">
        <f aca="false">IF($A230="","",IFERROR(INDEX('DAILY ENTRY'!$E$7:$E$1203,MATCH(1,INDEX(('DAILY ENTRY'!$A$7:$A$1203=$A230)*('DAILY ENTRY'!$B$7:$B$1203=$B230)*('DAILY ENTRY'!$I$7:$I$1203="Meeting booked"),0),0)),IFERROR(INDEX('DAILY ENTRY'!$E$7:$E$1203,MATCH(1,INDEX(('DAILY ENTRY'!$A$7:$A$1203=$A230)*('DAILY ENTRY'!$B$7:$B$1203=$B230)*('DAILY ENTRY'!$I$7:$I$1203="Positive reply"),0),0)),"")))</f>
        <v/>
      </c>
      <c r="N230" s="108" t="str">
        <f aca="false">IF($A230="","",IFERROR(INDEX('DAILY ENTRY'!$J$7:$J$1203,MATCH(1,INDEX(('DAILY ENTRY'!$A$7:$A$1203=$A230)*('DAILY ENTRY'!$B$7:$B$1203=$B230)*('DAILY ENTRY'!$I$7:$I$1203="Blocked"),0),0)),""))</f>
        <v/>
      </c>
      <c r="O230" s="65" t="str">
        <f aca="false">IF($A230="","",(D230&gt;='START HERE'!$B$25)+(E230&gt;='START HERE'!$B$26)+(F230&gt;='START HERE'!$B$27)+(G230&gt;='START HERE'!$B$28)+(H230&gt;='START HERE'!$B$29)+(I230&gt;='START HERE'!$B$30)+(J230&gt;='START HERE'!$B$31)+(K230&gt;='START HERE'!$B$32))</f>
        <v/>
      </c>
      <c r="P230" s="46" t="str">
        <f aca="false">IF($A230="","",IF(O230&gt;=7,"Full day",IF(O230&gt;=5,"Most targets met",IF(O230&gt;=3,"Half day","Below plan - explain in the blocker column"))))</f>
        <v/>
      </c>
    </row>
    <row r="231" customFormat="false" ht="24" hidden="false" customHeight="true" outlineLevel="0" collapsed="false">
      <c r="A231" s="36"/>
      <c r="B231" s="37"/>
      <c r="C231" s="107" t="str">
        <f aca="false">IF($A231="","",ROUND(SUMIFS('DAILY ENTRY'!$G$7:$G$1203,'DAILY ENTRY'!$A$7:$A$1203,$A231,'DAILY ENTRY'!$B$7:$B$1203,$B231)/60,1))</f>
        <v/>
      </c>
      <c r="D231" s="107" t="str">
        <f aca="false">IF($A231="","",SUMIFS('DAILY ENTRY'!$F$7:$F$1203,'DAILY ENTRY'!$A$7:$A$1203,$A231,'DAILY ENTRY'!$B$7:$B$1203,$B231,'DAILY ENTRY'!$D$7:$D$1203,"Lead researched (Sales Navigator)"))</f>
        <v/>
      </c>
      <c r="E231" s="107" t="str">
        <f aca="false">IF($A231="","",SUMIFS('DAILY ENTRY'!$F$7:$F$1203,'DAILY ENTRY'!$A$7:$A$1203,$A231,'DAILY ENTRY'!$B$7:$B$1203,$B231,'DAILY ENTRY'!$D$7:$D$1203,"Connection request sent"))</f>
        <v/>
      </c>
      <c r="F231" s="107" t="str">
        <f aca="false">IF($A231="","",SUMIFS('DAILY ENTRY'!$F$7:$F$1203,'DAILY ENTRY'!$A$7:$A$1203,$A231,'DAILY ENTRY'!$B$7:$B$1203,$B231,'DAILY ENTRY'!$D$7:$D$1203,"First message sent"))</f>
        <v/>
      </c>
      <c r="G231" s="107" t="str">
        <f aca="false">IF($A231="","",SUMIFS('DAILY ENTRY'!$F$7:$F$1203,'DAILY ENTRY'!$A$7:$A$1203,$A231,'DAILY ENTRY'!$B$7:$B$1203,$B231,'DAILY ENTRY'!$D$7:$D$1203,"Follow-up message sent"))</f>
        <v/>
      </c>
      <c r="H231" s="107" t="str">
        <f aca="false">IF($A231="","",SUMIFS('DAILY ENTRY'!$F$7:$F$1203,'DAILY ENTRY'!$A$7:$A$1203,$A231,'DAILY ENTRY'!$B$7:$B$1203,$B231,'DAILY ENTRY'!$D$7:$D$1203,"Post / content published"))</f>
        <v/>
      </c>
      <c r="I231" s="107" t="str">
        <f aca="false">IF($A231="","",SUMIFS('DAILY ENTRY'!$F$7:$F$1203,'DAILY ENTRY'!$A$7:$A$1203,$A231,'DAILY ENTRY'!$B$7:$B$1203,$B231,'DAILY ENTRY'!$D$7:$D$1203,"Community answer or comment"))</f>
        <v/>
      </c>
      <c r="J231" s="107" t="str">
        <f aca="false">IF($A231="","",SUMIFS('DAILY ENTRY'!$F$7:$F$1203,'DAILY ENTRY'!$A$7:$A$1203,$A231,'DAILY ENTRY'!$B$7:$B$1203,$B231,'DAILY ENTRY'!$D$7:$D$1203,"Partnership / PR contact"))</f>
        <v/>
      </c>
      <c r="K231" s="107" t="str">
        <f aca="false">IF($A231="","",SUMIFS('DAILY ENTRY'!$F$7:$F$1203,'DAILY ENTRY'!$A$7:$A$1203,$A231,'DAILY ENTRY'!$B$7:$B$1203,$B231,'DAILY ENTRY'!$D$7:$D$1203,"Engagement (commented on someone else)"))</f>
        <v/>
      </c>
      <c r="L231" s="107" t="str">
        <f aca="false">IF($A231="","",SUMIFS('DAILY ENTRY'!$F$7:$F$1203,'DAILY ENTRY'!$A$7:$A$1203,$A231,'DAILY ENTRY'!$B$7:$B$1203,$B231,'DAILY ENTRY'!$D$7:$D$1203,"Account created / profile completed"))</f>
        <v/>
      </c>
      <c r="M231" s="108" t="str">
        <f aca="false">IF($A231="","",IFERROR(INDEX('DAILY ENTRY'!$E$7:$E$1203,MATCH(1,INDEX(('DAILY ENTRY'!$A$7:$A$1203=$A231)*('DAILY ENTRY'!$B$7:$B$1203=$B231)*('DAILY ENTRY'!$I$7:$I$1203="Meeting booked"),0),0)),IFERROR(INDEX('DAILY ENTRY'!$E$7:$E$1203,MATCH(1,INDEX(('DAILY ENTRY'!$A$7:$A$1203=$A231)*('DAILY ENTRY'!$B$7:$B$1203=$B231)*('DAILY ENTRY'!$I$7:$I$1203="Positive reply"),0),0)),"")))</f>
        <v/>
      </c>
      <c r="N231" s="108" t="str">
        <f aca="false">IF($A231="","",IFERROR(INDEX('DAILY ENTRY'!$J$7:$J$1203,MATCH(1,INDEX(('DAILY ENTRY'!$A$7:$A$1203=$A231)*('DAILY ENTRY'!$B$7:$B$1203=$B231)*('DAILY ENTRY'!$I$7:$I$1203="Blocked"),0),0)),""))</f>
        <v/>
      </c>
      <c r="O231" s="65" t="str">
        <f aca="false">IF($A231="","",(D231&gt;='START HERE'!$B$25)+(E231&gt;='START HERE'!$B$26)+(F231&gt;='START HERE'!$B$27)+(G231&gt;='START HERE'!$B$28)+(H231&gt;='START HERE'!$B$29)+(I231&gt;='START HERE'!$B$30)+(J231&gt;='START HERE'!$B$31)+(K231&gt;='START HERE'!$B$32))</f>
        <v/>
      </c>
      <c r="P231" s="46" t="str">
        <f aca="false">IF($A231="","",IF(O231&gt;=7,"Full day",IF(O231&gt;=5,"Most targets met",IF(O231&gt;=3,"Half day","Below plan - explain in the blocker column"))))</f>
        <v/>
      </c>
    </row>
    <row r="232" customFormat="false" ht="24" hidden="false" customHeight="true" outlineLevel="0" collapsed="false">
      <c r="A232" s="36"/>
      <c r="B232" s="37"/>
      <c r="C232" s="107" t="str">
        <f aca="false">IF($A232="","",ROUND(SUMIFS('DAILY ENTRY'!$G$7:$G$1203,'DAILY ENTRY'!$A$7:$A$1203,$A232,'DAILY ENTRY'!$B$7:$B$1203,$B232)/60,1))</f>
        <v/>
      </c>
      <c r="D232" s="107" t="str">
        <f aca="false">IF($A232="","",SUMIFS('DAILY ENTRY'!$F$7:$F$1203,'DAILY ENTRY'!$A$7:$A$1203,$A232,'DAILY ENTRY'!$B$7:$B$1203,$B232,'DAILY ENTRY'!$D$7:$D$1203,"Lead researched (Sales Navigator)"))</f>
        <v/>
      </c>
      <c r="E232" s="107" t="str">
        <f aca="false">IF($A232="","",SUMIFS('DAILY ENTRY'!$F$7:$F$1203,'DAILY ENTRY'!$A$7:$A$1203,$A232,'DAILY ENTRY'!$B$7:$B$1203,$B232,'DAILY ENTRY'!$D$7:$D$1203,"Connection request sent"))</f>
        <v/>
      </c>
      <c r="F232" s="107" t="str">
        <f aca="false">IF($A232="","",SUMIFS('DAILY ENTRY'!$F$7:$F$1203,'DAILY ENTRY'!$A$7:$A$1203,$A232,'DAILY ENTRY'!$B$7:$B$1203,$B232,'DAILY ENTRY'!$D$7:$D$1203,"First message sent"))</f>
        <v/>
      </c>
      <c r="G232" s="107" t="str">
        <f aca="false">IF($A232="","",SUMIFS('DAILY ENTRY'!$F$7:$F$1203,'DAILY ENTRY'!$A$7:$A$1203,$A232,'DAILY ENTRY'!$B$7:$B$1203,$B232,'DAILY ENTRY'!$D$7:$D$1203,"Follow-up message sent"))</f>
        <v/>
      </c>
      <c r="H232" s="107" t="str">
        <f aca="false">IF($A232="","",SUMIFS('DAILY ENTRY'!$F$7:$F$1203,'DAILY ENTRY'!$A$7:$A$1203,$A232,'DAILY ENTRY'!$B$7:$B$1203,$B232,'DAILY ENTRY'!$D$7:$D$1203,"Post / content published"))</f>
        <v/>
      </c>
      <c r="I232" s="107" t="str">
        <f aca="false">IF($A232="","",SUMIFS('DAILY ENTRY'!$F$7:$F$1203,'DAILY ENTRY'!$A$7:$A$1203,$A232,'DAILY ENTRY'!$B$7:$B$1203,$B232,'DAILY ENTRY'!$D$7:$D$1203,"Community answer or comment"))</f>
        <v/>
      </c>
      <c r="J232" s="107" t="str">
        <f aca="false">IF($A232="","",SUMIFS('DAILY ENTRY'!$F$7:$F$1203,'DAILY ENTRY'!$A$7:$A$1203,$A232,'DAILY ENTRY'!$B$7:$B$1203,$B232,'DAILY ENTRY'!$D$7:$D$1203,"Partnership / PR contact"))</f>
        <v/>
      </c>
      <c r="K232" s="107" t="str">
        <f aca="false">IF($A232="","",SUMIFS('DAILY ENTRY'!$F$7:$F$1203,'DAILY ENTRY'!$A$7:$A$1203,$A232,'DAILY ENTRY'!$B$7:$B$1203,$B232,'DAILY ENTRY'!$D$7:$D$1203,"Engagement (commented on someone else)"))</f>
        <v/>
      </c>
      <c r="L232" s="107" t="str">
        <f aca="false">IF($A232="","",SUMIFS('DAILY ENTRY'!$F$7:$F$1203,'DAILY ENTRY'!$A$7:$A$1203,$A232,'DAILY ENTRY'!$B$7:$B$1203,$B232,'DAILY ENTRY'!$D$7:$D$1203,"Account created / profile completed"))</f>
        <v/>
      </c>
      <c r="M232" s="108" t="str">
        <f aca="false">IF($A232="","",IFERROR(INDEX('DAILY ENTRY'!$E$7:$E$1203,MATCH(1,INDEX(('DAILY ENTRY'!$A$7:$A$1203=$A232)*('DAILY ENTRY'!$B$7:$B$1203=$B232)*('DAILY ENTRY'!$I$7:$I$1203="Meeting booked"),0),0)),IFERROR(INDEX('DAILY ENTRY'!$E$7:$E$1203,MATCH(1,INDEX(('DAILY ENTRY'!$A$7:$A$1203=$A232)*('DAILY ENTRY'!$B$7:$B$1203=$B232)*('DAILY ENTRY'!$I$7:$I$1203="Positive reply"),0),0)),"")))</f>
        <v/>
      </c>
      <c r="N232" s="108" t="str">
        <f aca="false">IF($A232="","",IFERROR(INDEX('DAILY ENTRY'!$J$7:$J$1203,MATCH(1,INDEX(('DAILY ENTRY'!$A$7:$A$1203=$A232)*('DAILY ENTRY'!$B$7:$B$1203=$B232)*('DAILY ENTRY'!$I$7:$I$1203="Blocked"),0),0)),""))</f>
        <v/>
      </c>
      <c r="O232" s="65" t="str">
        <f aca="false">IF($A232="","",(D232&gt;='START HERE'!$B$25)+(E232&gt;='START HERE'!$B$26)+(F232&gt;='START HERE'!$B$27)+(G232&gt;='START HERE'!$B$28)+(H232&gt;='START HERE'!$B$29)+(I232&gt;='START HERE'!$B$30)+(J232&gt;='START HERE'!$B$31)+(K232&gt;='START HERE'!$B$32))</f>
        <v/>
      </c>
      <c r="P232" s="46" t="str">
        <f aca="false">IF($A232="","",IF(O232&gt;=7,"Full day",IF(O232&gt;=5,"Most targets met",IF(O232&gt;=3,"Half day","Below plan - explain in the blocker column"))))</f>
        <v/>
      </c>
    </row>
    <row r="233" customFormat="false" ht="24" hidden="false" customHeight="true" outlineLevel="0" collapsed="false">
      <c r="A233" s="36"/>
      <c r="B233" s="37"/>
      <c r="C233" s="107" t="str">
        <f aca="false">IF($A233="","",ROUND(SUMIFS('DAILY ENTRY'!$G$7:$G$1203,'DAILY ENTRY'!$A$7:$A$1203,$A233,'DAILY ENTRY'!$B$7:$B$1203,$B233)/60,1))</f>
        <v/>
      </c>
      <c r="D233" s="107" t="str">
        <f aca="false">IF($A233="","",SUMIFS('DAILY ENTRY'!$F$7:$F$1203,'DAILY ENTRY'!$A$7:$A$1203,$A233,'DAILY ENTRY'!$B$7:$B$1203,$B233,'DAILY ENTRY'!$D$7:$D$1203,"Lead researched (Sales Navigator)"))</f>
        <v/>
      </c>
      <c r="E233" s="107" t="str">
        <f aca="false">IF($A233="","",SUMIFS('DAILY ENTRY'!$F$7:$F$1203,'DAILY ENTRY'!$A$7:$A$1203,$A233,'DAILY ENTRY'!$B$7:$B$1203,$B233,'DAILY ENTRY'!$D$7:$D$1203,"Connection request sent"))</f>
        <v/>
      </c>
      <c r="F233" s="107" t="str">
        <f aca="false">IF($A233="","",SUMIFS('DAILY ENTRY'!$F$7:$F$1203,'DAILY ENTRY'!$A$7:$A$1203,$A233,'DAILY ENTRY'!$B$7:$B$1203,$B233,'DAILY ENTRY'!$D$7:$D$1203,"First message sent"))</f>
        <v/>
      </c>
      <c r="G233" s="107" t="str">
        <f aca="false">IF($A233="","",SUMIFS('DAILY ENTRY'!$F$7:$F$1203,'DAILY ENTRY'!$A$7:$A$1203,$A233,'DAILY ENTRY'!$B$7:$B$1203,$B233,'DAILY ENTRY'!$D$7:$D$1203,"Follow-up message sent"))</f>
        <v/>
      </c>
      <c r="H233" s="107" t="str">
        <f aca="false">IF($A233="","",SUMIFS('DAILY ENTRY'!$F$7:$F$1203,'DAILY ENTRY'!$A$7:$A$1203,$A233,'DAILY ENTRY'!$B$7:$B$1203,$B233,'DAILY ENTRY'!$D$7:$D$1203,"Post / content published"))</f>
        <v/>
      </c>
      <c r="I233" s="107" t="str">
        <f aca="false">IF($A233="","",SUMIFS('DAILY ENTRY'!$F$7:$F$1203,'DAILY ENTRY'!$A$7:$A$1203,$A233,'DAILY ENTRY'!$B$7:$B$1203,$B233,'DAILY ENTRY'!$D$7:$D$1203,"Community answer or comment"))</f>
        <v/>
      </c>
      <c r="J233" s="107" t="str">
        <f aca="false">IF($A233="","",SUMIFS('DAILY ENTRY'!$F$7:$F$1203,'DAILY ENTRY'!$A$7:$A$1203,$A233,'DAILY ENTRY'!$B$7:$B$1203,$B233,'DAILY ENTRY'!$D$7:$D$1203,"Partnership / PR contact"))</f>
        <v/>
      </c>
      <c r="K233" s="107" t="str">
        <f aca="false">IF($A233="","",SUMIFS('DAILY ENTRY'!$F$7:$F$1203,'DAILY ENTRY'!$A$7:$A$1203,$A233,'DAILY ENTRY'!$B$7:$B$1203,$B233,'DAILY ENTRY'!$D$7:$D$1203,"Engagement (commented on someone else)"))</f>
        <v/>
      </c>
      <c r="L233" s="107" t="str">
        <f aca="false">IF($A233="","",SUMIFS('DAILY ENTRY'!$F$7:$F$1203,'DAILY ENTRY'!$A$7:$A$1203,$A233,'DAILY ENTRY'!$B$7:$B$1203,$B233,'DAILY ENTRY'!$D$7:$D$1203,"Account created / profile completed"))</f>
        <v/>
      </c>
      <c r="M233" s="108" t="str">
        <f aca="false">IF($A233="","",IFERROR(INDEX('DAILY ENTRY'!$E$7:$E$1203,MATCH(1,INDEX(('DAILY ENTRY'!$A$7:$A$1203=$A233)*('DAILY ENTRY'!$B$7:$B$1203=$B233)*('DAILY ENTRY'!$I$7:$I$1203="Meeting booked"),0),0)),IFERROR(INDEX('DAILY ENTRY'!$E$7:$E$1203,MATCH(1,INDEX(('DAILY ENTRY'!$A$7:$A$1203=$A233)*('DAILY ENTRY'!$B$7:$B$1203=$B233)*('DAILY ENTRY'!$I$7:$I$1203="Positive reply"),0),0)),"")))</f>
        <v/>
      </c>
      <c r="N233" s="108" t="str">
        <f aca="false">IF($A233="","",IFERROR(INDEX('DAILY ENTRY'!$J$7:$J$1203,MATCH(1,INDEX(('DAILY ENTRY'!$A$7:$A$1203=$A233)*('DAILY ENTRY'!$B$7:$B$1203=$B233)*('DAILY ENTRY'!$I$7:$I$1203="Blocked"),0),0)),""))</f>
        <v/>
      </c>
      <c r="O233" s="65" t="str">
        <f aca="false">IF($A233="","",(D233&gt;='START HERE'!$B$25)+(E233&gt;='START HERE'!$B$26)+(F233&gt;='START HERE'!$B$27)+(G233&gt;='START HERE'!$B$28)+(H233&gt;='START HERE'!$B$29)+(I233&gt;='START HERE'!$B$30)+(J233&gt;='START HERE'!$B$31)+(K233&gt;='START HERE'!$B$32))</f>
        <v/>
      </c>
      <c r="P233" s="46" t="str">
        <f aca="false">IF($A233="","",IF(O233&gt;=7,"Full day",IF(O233&gt;=5,"Most targets met",IF(O233&gt;=3,"Half day","Below plan - explain in the blocker column"))))</f>
        <v/>
      </c>
    </row>
    <row r="234" customFormat="false" ht="24" hidden="false" customHeight="true" outlineLevel="0" collapsed="false">
      <c r="A234" s="36"/>
      <c r="B234" s="37"/>
      <c r="C234" s="107" t="str">
        <f aca="false">IF($A234="","",ROUND(SUMIFS('DAILY ENTRY'!$G$7:$G$1203,'DAILY ENTRY'!$A$7:$A$1203,$A234,'DAILY ENTRY'!$B$7:$B$1203,$B234)/60,1))</f>
        <v/>
      </c>
      <c r="D234" s="107" t="str">
        <f aca="false">IF($A234="","",SUMIFS('DAILY ENTRY'!$F$7:$F$1203,'DAILY ENTRY'!$A$7:$A$1203,$A234,'DAILY ENTRY'!$B$7:$B$1203,$B234,'DAILY ENTRY'!$D$7:$D$1203,"Lead researched (Sales Navigator)"))</f>
        <v/>
      </c>
      <c r="E234" s="107" t="str">
        <f aca="false">IF($A234="","",SUMIFS('DAILY ENTRY'!$F$7:$F$1203,'DAILY ENTRY'!$A$7:$A$1203,$A234,'DAILY ENTRY'!$B$7:$B$1203,$B234,'DAILY ENTRY'!$D$7:$D$1203,"Connection request sent"))</f>
        <v/>
      </c>
      <c r="F234" s="107" t="str">
        <f aca="false">IF($A234="","",SUMIFS('DAILY ENTRY'!$F$7:$F$1203,'DAILY ENTRY'!$A$7:$A$1203,$A234,'DAILY ENTRY'!$B$7:$B$1203,$B234,'DAILY ENTRY'!$D$7:$D$1203,"First message sent"))</f>
        <v/>
      </c>
      <c r="G234" s="107" t="str">
        <f aca="false">IF($A234="","",SUMIFS('DAILY ENTRY'!$F$7:$F$1203,'DAILY ENTRY'!$A$7:$A$1203,$A234,'DAILY ENTRY'!$B$7:$B$1203,$B234,'DAILY ENTRY'!$D$7:$D$1203,"Follow-up message sent"))</f>
        <v/>
      </c>
      <c r="H234" s="107" t="str">
        <f aca="false">IF($A234="","",SUMIFS('DAILY ENTRY'!$F$7:$F$1203,'DAILY ENTRY'!$A$7:$A$1203,$A234,'DAILY ENTRY'!$B$7:$B$1203,$B234,'DAILY ENTRY'!$D$7:$D$1203,"Post / content published"))</f>
        <v/>
      </c>
      <c r="I234" s="107" t="str">
        <f aca="false">IF($A234="","",SUMIFS('DAILY ENTRY'!$F$7:$F$1203,'DAILY ENTRY'!$A$7:$A$1203,$A234,'DAILY ENTRY'!$B$7:$B$1203,$B234,'DAILY ENTRY'!$D$7:$D$1203,"Community answer or comment"))</f>
        <v/>
      </c>
      <c r="J234" s="107" t="str">
        <f aca="false">IF($A234="","",SUMIFS('DAILY ENTRY'!$F$7:$F$1203,'DAILY ENTRY'!$A$7:$A$1203,$A234,'DAILY ENTRY'!$B$7:$B$1203,$B234,'DAILY ENTRY'!$D$7:$D$1203,"Partnership / PR contact"))</f>
        <v/>
      </c>
      <c r="K234" s="107" t="str">
        <f aca="false">IF($A234="","",SUMIFS('DAILY ENTRY'!$F$7:$F$1203,'DAILY ENTRY'!$A$7:$A$1203,$A234,'DAILY ENTRY'!$B$7:$B$1203,$B234,'DAILY ENTRY'!$D$7:$D$1203,"Engagement (commented on someone else)"))</f>
        <v/>
      </c>
      <c r="L234" s="107" t="str">
        <f aca="false">IF($A234="","",SUMIFS('DAILY ENTRY'!$F$7:$F$1203,'DAILY ENTRY'!$A$7:$A$1203,$A234,'DAILY ENTRY'!$B$7:$B$1203,$B234,'DAILY ENTRY'!$D$7:$D$1203,"Account created / profile completed"))</f>
        <v/>
      </c>
      <c r="M234" s="108" t="str">
        <f aca="false">IF($A234="","",IFERROR(INDEX('DAILY ENTRY'!$E$7:$E$1203,MATCH(1,INDEX(('DAILY ENTRY'!$A$7:$A$1203=$A234)*('DAILY ENTRY'!$B$7:$B$1203=$B234)*('DAILY ENTRY'!$I$7:$I$1203="Meeting booked"),0),0)),IFERROR(INDEX('DAILY ENTRY'!$E$7:$E$1203,MATCH(1,INDEX(('DAILY ENTRY'!$A$7:$A$1203=$A234)*('DAILY ENTRY'!$B$7:$B$1203=$B234)*('DAILY ENTRY'!$I$7:$I$1203="Positive reply"),0),0)),"")))</f>
        <v/>
      </c>
      <c r="N234" s="108" t="str">
        <f aca="false">IF($A234="","",IFERROR(INDEX('DAILY ENTRY'!$J$7:$J$1203,MATCH(1,INDEX(('DAILY ENTRY'!$A$7:$A$1203=$A234)*('DAILY ENTRY'!$B$7:$B$1203=$B234)*('DAILY ENTRY'!$I$7:$I$1203="Blocked"),0),0)),""))</f>
        <v/>
      </c>
      <c r="O234" s="65" t="str">
        <f aca="false">IF($A234="","",(D234&gt;='START HERE'!$B$25)+(E234&gt;='START HERE'!$B$26)+(F234&gt;='START HERE'!$B$27)+(G234&gt;='START HERE'!$B$28)+(H234&gt;='START HERE'!$B$29)+(I234&gt;='START HERE'!$B$30)+(J234&gt;='START HERE'!$B$31)+(K234&gt;='START HERE'!$B$32))</f>
        <v/>
      </c>
      <c r="P234" s="46" t="str">
        <f aca="false">IF($A234="","",IF(O234&gt;=7,"Full day",IF(O234&gt;=5,"Most targets met",IF(O234&gt;=3,"Half day","Below plan - explain in the blocker column"))))</f>
        <v/>
      </c>
    </row>
    <row r="235" customFormat="false" ht="24" hidden="false" customHeight="true" outlineLevel="0" collapsed="false">
      <c r="A235" s="36"/>
      <c r="B235" s="37"/>
      <c r="C235" s="107" t="str">
        <f aca="false">IF($A235="","",ROUND(SUMIFS('DAILY ENTRY'!$G$7:$G$1203,'DAILY ENTRY'!$A$7:$A$1203,$A235,'DAILY ENTRY'!$B$7:$B$1203,$B235)/60,1))</f>
        <v/>
      </c>
      <c r="D235" s="107" t="str">
        <f aca="false">IF($A235="","",SUMIFS('DAILY ENTRY'!$F$7:$F$1203,'DAILY ENTRY'!$A$7:$A$1203,$A235,'DAILY ENTRY'!$B$7:$B$1203,$B235,'DAILY ENTRY'!$D$7:$D$1203,"Lead researched (Sales Navigator)"))</f>
        <v/>
      </c>
      <c r="E235" s="107" t="str">
        <f aca="false">IF($A235="","",SUMIFS('DAILY ENTRY'!$F$7:$F$1203,'DAILY ENTRY'!$A$7:$A$1203,$A235,'DAILY ENTRY'!$B$7:$B$1203,$B235,'DAILY ENTRY'!$D$7:$D$1203,"Connection request sent"))</f>
        <v/>
      </c>
      <c r="F235" s="107" t="str">
        <f aca="false">IF($A235="","",SUMIFS('DAILY ENTRY'!$F$7:$F$1203,'DAILY ENTRY'!$A$7:$A$1203,$A235,'DAILY ENTRY'!$B$7:$B$1203,$B235,'DAILY ENTRY'!$D$7:$D$1203,"First message sent"))</f>
        <v/>
      </c>
      <c r="G235" s="107" t="str">
        <f aca="false">IF($A235="","",SUMIFS('DAILY ENTRY'!$F$7:$F$1203,'DAILY ENTRY'!$A$7:$A$1203,$A235,'DAILY ENTRY'!$B$7:$B$1203,$B235,'DAILY ENTRY'!$D$7:$D$1203,"Follow-up message sent"))</f>
        <v/>
      </c>
      <c r="H235" s="107" t="str">
        <f aca="false">IF($A235="","",SUMIFS('DAILY ENTRY'!$F$7:$F$1203,'DAILY ENTRY'!$A$7:$A$1203,$A235,'DAILY ENTRY'!$B$7:$B$1203,$B235,'DAILY ENTRY'!$D$7:$D$1203,"Post / content published"))</f>
        <v/>
      </c>
      <c r="I235" s="107" t="str">
        <f aca="false">IF($A235="","",SUMIFS('DAILY ENTRY'!$F$7:$F$1203,'DAILY ENTRY'!$A$7:$A$1203,$A235,'DAILY ENTRY'!$B$7:$B$1203,$B235,'DAILY ENTRY'!$D$7:$D$1203,"Community answer or comment"))</f>
        <v/>
      </c>
      <c r="J235" s="107" t="str">
        <f aca="false">IF($A235="","",SUMIFS('DAILY ENTRY'!$F$7:$F$1203,'DAILY ENTRY'!$A$7:$A$1203,$A235,'DAILY ENTRY'!$B$7:$B$1203,$B235,'DAILY ENTRY'!$D$7:$D$1203,"Partnership / PR contact"))</f>
        <v/>
      </c>
      <c r="K235" s="107" t="str">
        <f aca="false">IF($A235="","",SUMIFS('DAILY ENTRY'!$F$7:$F$1203,'DAILY ENTRY'!$A$7:$A$1203,$A235,'DAILY ENTRY'!$B$7:$B$1203,$B235,'DAILY ENTRY'!$D$7:$D$1203,"Engagement (commented on someone else)"))</f>
        <v/>
      </c>
      <c r="L235" s="107" t="str">
        <f aca="false">IF($A235="","",SUMIFS('DAILY ENTRY'!$F$7:$F$1203,'DAILY ENTRY'!$A$7:$A$1203,$A235,'DAILY ENTRY'!$B$7:$B$1203,$B235,'DAILY ENTRY'!$D$7:$D$1203,"Account created / profile completed"))</f>
        <v/>
      </c>
      <c r="M235" s="108" t="str">
        <f aca="false">IF($A235="","",IFERROR(INDEX('DAILY ENTRY'!$E$7:$E$1203,MATCH(1,INDEX(('DAILY ENTRY'!$A$7:$A$1203=$A235)*('DAILY ENTRY'!$B$7:$B$1203=$B235)*('DAILY ENTRY'!$I$7:$I$1203="Meeting booked"),0),0)),IFERROR(INDEX('DAILY ENTRY'!$E$7:$E$1203,MATCH(1,INDEX(('DAILY ENTRY'!$A$7:$A$1203=$A235)*('DAILY ENTRY'!$B$7:$B$1203=$B235)*('DAILY ENTRY'!$I$7:$I$1203="Positive reply"),0),0)),"")))</f>
        <v/>
      </c>
      <c r="N235" s="108" t="str">
        <f aca="false">IF($A235="","",IFERROR(INDEX('DAILY ENTRY'!$J$7:$J$1203,MATCH(1,INDEX(('DAILY ENTRY'!$A$7:$A$1203=$A235)*('DAILY ENTRY'!$B$7:$B$1203=$B235)*('DAILY ENTRY'!$I$7:$I$1203="Blocked"),0),0)),""))</f>
        <v/>
      </c>
      <c r="O235" s="65" t="str">
        <f aca="false">IF($A235="","",(D235&gt;='START HERE'!$B$25)+(E235&gt;='START HERE'!$B$26)+(F235&gt;='START HERE'!$B$27)+(G235&gt;='START HERE'!$B$28)+(H235&gt;='START HERE'!$B$29)+(I235&gt;='START HERE'!$B$30)+(J235&gt;='START HERE'!$B$31)+(K235&gt;='START HERE'!$B$32))</f>
        <v/>
      </c>
      <c r="P235" s="46" t="str">
        <f aca="false">IF($A235="","",IF(O235&gt;=7,"Full day",IF(O235&gt;=5,"Most targets met",IF(O235&gt;=3,"Half day","Below plan - explain in the blocker column"))))</f>
        <v/>
      </c>
    </row>
    <row r="236" customFormat="false" ht="24" hidden="false" customHeight="true" outlineLevel="0" collapsed="false">
      <c r="A236" s="36"/>
      <c r="B236" s="37"/>
      <c r="C236" s="107" t="str">
        <f aca="false">IF($A236="","",ROUND(SUMIFS('DAILY ENTRY'!$G$7:$G$1203,'DAILY ENTRY'!$A$7:$A$1203,$A236,'DAILY ENTRY'!$B$7:$B$1203,$B236)/60,1))</f>
        <v/>
      </c>
      <c r="D236" s="107" t="str">
        <f aca="false">IF($A236="","",SUMIFS('DAILY ENTRY'!$F$7:$F$1203,'DAILY ENTRY'!$A$7:$A$1203,$A236,'DAILY ENTRY'!$B$7:$B$1203,$B236,'DAILY ENTRY'!$D$7:$D$1203,"Lead researched (Sales Navigator)"))</f>
        <v/>
      </c>
      <c r="E236" s="107" t="str">
        <f aca="false">IF($A236="","",SUMIFS('DAILY ENTRY'!$F$7:$F$1203,'DAILY ENTRY'!$A$7:$A$1203,$A236,'DAILY ENTRY'!$B$7:$B$1203,$B236,'DAILY ENTRY'!$D$7:$D$1203,"Connection request sent"))</f>
        <v/>
      </c>
      <c r="F236" s="107" t="str">
        <f aca="false">IF($A236="","",SUMIFS('DAILY ENTRY'!$F$7:$F$1203,'DAILY ENTRY'!$A$7:$A$1203,$A236,'DAILY ENTRY'!$B$7:$B$1203,$B236,'DAILY ENTRY'!$D$7:$D$1203,"First message sent"))</f>
        <v/>
      </c>
      <c r="G236" s="107" t="str">
        <f aca="false">IF($A236="","",SUMIFS('DAILY ENTRY'!$F$7:$F$1203,'DAILY ENTRY'!$A$7:$A$1203,$A236,'DAILY ENTRY'!$B$7:$B$1203,$B236,'DAILY ENTRY'!$D$7:$D$1203,"Follow-up message sent"))</f>
        <v/>
      </c>
      <c r="H236" s="107" t="str">
        <f aca="false">IF($A236="","",SUMIFS('DAILY ENTRY'!$F$7:$F$1203,'DAILY ENTRY'!$A$7:$A$1203,$A236,'DAILY ENTRY'!$B$7:$B$1203,$B236,'DAILY ENTRY'!$D$7:$D$1203,"Post / content published"))</f>
        <v/>
      </c>
      <c r="I236" s="107" t="str">
        <f aca="false">IF($A236="","",SUMIFS('DAILY ENTRY'!$F$7:$F$1203,'DAILY ENTRY'!$A$7:$A$1203,$A236,'DAILY ENTRY'!$B$7:$B$1203,$B236,'DAILY ENTRY'!$D$7:$D$1203,"Community answer or comment"))</f>
        <v/>
      </c>
      <c r="J236" s="107" t="str">
        <f aca="false">IF($A236="","",SUMIFS('DAILY ENTRY'!$F$7:$F$1203,'DAILY ENTRY'!$A$7:$A$1203,$A236,'DAILY ENTRY'!$B$7:$B$1203,$B236,'DAILY ENTRY'!$D$7:$D$1203,"Partnership / PR contact"))</f>
        <v/>
      </c>
      <c r="K236" s="107" t="str">
        <f aca="false">IF($A236="","",SUMIFS('DAILY ENTRY'!$F$7:$F$1203,'DAILY ENTRY'!$A$7:$A$1203,$A236,'DAILY ENTRY'!$B$7:$B$1203,$B236,'DAILY ENTRY'!$D$7:$D$1203,"Engagement (commented on someone else)"))</f>
        <v/>
      </c>
      <c r="L236" s="107" t="str">
        <f aca="false">IF($A236="","",SUMIFS('DAILY ENTRY'!$F$7:$F$1203,'DAILY ENTRY'!$A$7:$A$1203,$A236,'DAILY ENTRY'!$B$7:$B$1203,$B236,'DAILY ENTRY'!$D$7:$D$1203,"Account created / profile completed"))</f>
        <v/>
      </c>
      <c r="M236" s="108" t="str">
        <f aca="false">IF($A236="","",IFERROR(INDEX('DAILY ENTRY'!$E$7:$E$1203,MATCH(1,INDEX(('DAILY ENTRY'!$A$7:$A$1203=$A236)*('DAILY ENTRY'!$B$7:$B$1203=$B236)*('DAILY ENTRY'!$I$7:$I$1203="Meeting booked"),0),0)),IFERROR(INDEX('DAILY ENTRY'!$E$7:$E$1203,MATCH(1,INDEX(('DAILY ENTRY'!$A$7:$A$1203=$A236)*('DAILY ENTRY'!$B$7:$B$1203=$B236)*('DAILY ENTRY'!$I$7:$I$1203="Positive reply"),0),0)),"")))</f>
        <v/>
      </c>
      <c r="N236" s="108" t="str">
        <f aca="false">IF($A236="","",IFERROR(INDEX('DAILY ENTRY'!$J$7:$J$1203,MATCH(1,INDEX(('DAILY ENTRY'!$A$7:$A$1203=$A236)*('DAILY ENTRY'!$B$7:$B$1203=$B236)*('DAILY ENTRY'!$I$7:$I$1203="Blocked"),0),0)),""))</f>
        <v/>
      </c>
      <c r="O236" s="65" t="str">
        <f aca="false">IF($A236="","",(D236&gt;='START HERE'!$B$25)+(E236&gt;='START HERE'!$B$26)+(F236&gt;='START HERE'!$B$27)+(G236&gt;='START HERE'!$B$28)+(H236&gt;='START HERE'!$B$29)+(I236&gt;='START HERE'!$B$30)+(J236&gt;='START HERE'!$B$31)+(K236&gt;='START HERE'!$B$32))</f>
        <v/>
      </c>
      <c r="P236" s="46" t="str">
        <f aca="false">IF($A236="","",IF(O236&gt;=7,"Full day",IF(O236&gt;=5,"Most targets met",IF(O236&gt;=3,"Half day","Below plan - explain in the blocker column"))))</f>
        <v/>
      </c>
    </row>
    <row r="237" customFormat="false" ht="24" hidden="false" customHeight="true" outlineLevel="0" collapsed="false">
      <c r="A237" s="36"/>
      <c r="B237" s="37"/>
      <c r="C237" s="107" t="str">
        <f aca="false">IF($A237="","",ROUND(SUMIFS('DAILY ENTRY'!$G$7:$G$1203,'DAILY ENTRY'!$A$7:$A$1203,$A237,'DAILY ENTRY'!$B$7:$B$1203,$B237)/60,1))</f>
        <v/>
      </c>
      <c r="D237" s="107" t="str">
        <f aca="false">IF($A237="","",SUMIFS('DAILY ENTRY'!$F$7:$F$1203,'DAILY ENTRY'!$A$7:$A$1203,$A237,'DAILY ENTRY'!$B$7:$B$1203,$B237,'DAILY ENTRY'!$D$7:$D$1203,"Lead researched (Sales Navigator)"))</f>
        <v/>
      </c>
      <c r="E237" s="107" t="str">
        <f aca="false">IF($A237="","",SUMIFS('DAILY ENTRY'!$F$7:$F$1203,'DAILY ENTRY'!$A$7:$A$1203,$A237,'DAILY ENTRY'!$B$7:$B$1203,$B237,'DAILY ENTRY'!$D$7:$D$1203,"Connection request sent"))</f>
        <v/>
      </c>
      <c r="F237" s="107" t="str">
        <f aca="false">IF($A237="","",SUMIFS('DAILY ENTRY'!$F$7:$F$1203,'DAILY ENTRY'!$A$7:$A$1203,$A237,'DAILY ENTRY'!$B$7:$B$1203,$B237,'DAILY ENTRY'!$D$7:$D$1203,"First message sent"))</f>
        <v/>
      </c>
      <c r="G237" s="107" t="str">
        <f aca="false">IF($A237="","",SUMIFS('DAILY ENTRY'!$F$7:$F$1203,'DAILY ENTRY'!$A$7:$A$1203,$A237,'DAILY ENTRY'!$B$7:$B$1203,$B237,'DAILY ENTRY'!$D$7:$D$1203,"Follow-up message sent"))</f>
        <v/>
      </c>
      <c r="H237" s="107" t="str">
        <f aca="false">IF($A237="","",SUMIFS('DAILY ENTRY'!$F$7:$F$1203,'DAILY ENTRY'!$A$7:$A$1203,$A237,'DAILY ENTRY'!$B$7:$B$1203,$B237,'DAILY ENTRY'!$D$7:$D$1203,"Post / content published"))</f>
        <v/>
      </c>
      <c r="I237" s="107" t="str">
        <f aca="false">IF($A237="","",SUMIFS('DAILY ENTRY'!$F$7:$F$1203,'DAILY ENTRY'!$A$7:$A$1203,$A237,'DAILY ENTRY'!$B$7:$B$1203,$B237,'DAILY ENTRY'!$D$7:$D$1203,"Community answer or comment"))</f>
        <v/>
      </c>
      <c r="J237" s="107" t="str">
        <f aca="false">IF($A237="","",SUMIFS('DAILY ENTRY'!$F$7:$F$1203,'DAILY ENTRY'!$A$7:$A$1203,$A237,'DAILY ENTRY'!$B$7:$B$1203,$B237,'DAILY ENTRY'!$D$7:$D$1203,"Partnership / PR contact"))</f>
        <v/>
      </c>
      <c r="K237" s="107" t="str">
        <f aca="false">IF($A237="","",SUMIFS('DAILY ENTRY'!$F$7:$F$1203,'DAILY ENTRY'!$A$7:$A$1203,$A237,'DAILY ENTRY'!$B$7:$B$1203,$B237,'DAILY ENTRY'!$D$7:$D$1203,"Engagement (commented on someone else)"))</f>
        <v/>
      </c>
      <c r="L237" s="107" t="str">
        <f aca="false">IF($A237="","",SUMIFS('DAILY ENTRY'!$F$7:$F$1203,'DAILY ENTRY'!$A$7:$A$1203,$A237,'DAILY ENTRY'!$B$7:$B$1203,$B237,'DAILY ENTRY'!$D$7:$D$1203,"Account created / profile completed"))</f>
        <v/>
      </c>
      <c r="M237" s="108" t="str">
        <f aca="false">IF($A237="","",IFERROR(INDEX('DAILY ENTRY'!$E$7:$E$1203,MATCH(1,INDEX(('DAILY ENTRY'!$A$7:$A$1203=$A237)*('DAILY ENTRY'!$B$7:$B$1203=$B237)*('DAILY ENTRY'!$I$7:$I$1203="Meeting booked"),0),0)),IFERROR(INDEX('DAILY ENTRY'!$E$7:$E$1203,MATCH(1,INDEX(('DAILY ENTRY'!$A$7:$A$1203=$A237)*('DAILY ENTRY'!$B$7:$B$1203=$B237)*('DAILY ENTRY'!$I$7:$I$1203="Positive reply"),0),0)),"")))</f>
        <v/>
      </c>
      <c r="N237" s="108" t="str">
        <f aca="false">IF($A237="","",IFERROR(INDEX('DAILY ENTRY'!$J$7:$J$1203,MATCH(1,INDEX(('DAILY ENTRY'!$A$7:$A$1203=$A237)*('DAILY ENTRY'!$B$7:$B$1203=$B237)*('DAILY ENTRY'!$I$7:$I$1203="Blocked"),0),0)),""))</f>
        <v/>
      </c>
      <c r="O237" s="65" t="str">
        <f aca="false">IF($A237="","",(D237&gt;='START HERE'!$B$25)+(E237&gt;='START HERE'!$B$26)+(F237&gt;='START HERE'!$B$27)+(G237&gt;='START HERE'!$B$28)+(H237&gt;='START HERE'!$B$29)+(I237&gt;='START HERE'!$B$30)+(J237&gt;='START HERE'!$B$31)+(K237&gt;='START HERE'!$B$32))</f>
        <v/>
      </c>
      <c r="P237" s="46" t="str">
        <f aca="false">IF($A237="","",IF(O237&gt;=7,"Full day",IF(O237&gt;=5,"Most targets met",IF(O237&gt;=3,"Half day","Below plan - explain in the blocker column"))))</f>
        <v/>
      </c>
    </row>
    <row r="238" customFormat="false" ht="24" hidden="false" customHeight="true" outlineLevel="0" collapsed="false">
      <c r="A238" s="36"/>
      <c r="B238" s="37"/>
      <c r="C238" s="107" t="str">
        <f aca="false">IF($A238="","",ROUND(SUMIFS('DAILY ENTRY'!$G$7:$G$1203,'DAILY ENTRY'!$A$7:$A$1203,$A238,'DAILY ENTRY'!$B$7:$B$1203,$B238)/60,1))</f>
        <v/>
      </c>
      <c r="D238" s="107" t="str">
        <f aca="false">IF($A238="","",SUMIFS('DAILY ENTRY'!$F$7:$F$1203,'DAILY ENTRY'!$A$7:$A$1203,$A238,'DAILY ENTRY'!$B$7:$B$1203,$B238,'DAILY ENTRY'!$D$7:$D$1203,"Lead researched (Sales Navigator)"))</f>
        <v/>
      </c>
      <c r="E238" s="107" t="str">
        <f aca="false">IF($A238="","",SUMIFS('DAILY ENTRY'!$F$7:$F$1203,'DAILY ENTRY'!$A$7:$A$1203,$A238,'DAILY ENTRY'!$B$7:$B$1203,$B238,'DAILY ENTRY'!$D$7:$D$1203,"Connection request sent"))</f>
        <v/>
      </c>
      <c r="F238" s="107" t="str">
        <f aca="false">IF($A238="","",SUMIFS('DAILY ENTRY'!$F$7:$F$1203,'DAILY ENTRY'!$A$7:$A$1203,$A238,'DAILY ENTRY'!$B$7:$B$1203,$B238,'DAILY ENTRY'!$D$7:$D$1203,"First message sent"))</f>
        <v/>
      </c>
      <c r="G238" s="107" t="str">
        <f aca="false">IF($A238="","",SUMIFS('DAILY ENTRY'!$F$7:$F$1203,'DAILY ENTRY'!$A$7:$A$1203,$A238,'DAILY ENTRY'!$B$7:$B$1203,$B238,'DAILY ENTRY'!$D$7:$D$1203,"Follow-up message sent"))</f>
        <v/>
      </c>
      <c r="H238" s="107" t="str">
        <f aca="false">IF($A238="","",SUMIFS('DAILY ENTRY'!$F$7:$F$1203,'DAILY ENTRY'!$A$7:$A$1203,$A238,'DAILY ENTRY'!$B$7:$B$1203,$B238,'DAILY ENTRY'!$D$7:$D$1203,"Post / content published"))</f>
        <v/>
      </c>
      <c r="I238" s="107" t="str">
        <f aca="false">IF($A238="","",SUMIFS('DAILY ENTRY'!$F$7:$F$1203,'DAILY ENTRY'!$A$7:$A$1203,$A238,'DAILY ENTRY'!$B$7:$B$1203,$B238,'DAILY ENTRY'!$D$7:$D$1203,"Community answer or comment"))</f>
        <v/>
      </c>
      <c r="J238" s="107" t="str">
        <f aca="false">IF($A238="","",SUMIFS('DAILY ENTRY'!$F$7:$F$1203,'DAILY ENTRY'!$A$7:$A$1203,$A238,'DAILY ENTRY'!$B$7:$B$1203,$B238,'DAILY ENTRY'!$D$7:$D$1203,"Partnership / PR contact"))</f>
        <v/>
      </c>
      <c r="K238" s="107" t="str">
        <f aca="false">IF($A238="","",SUMIFS('DAILY ENTRY'!$F$7:$F$1203,'DAILY ENTRY'!$A$7:$A$1203,$A238,'DAILY ENTRY'!$B$7:$B$1203,$B238,'DAILY ENTRY'!$D$7:$D$1203,"Engagement (commented on someone else)"))</f>
        <v/>
      </c>
      <c r="L238" s="107" t="str">
        <f aca="false">IF($A238="","",SUMIFS('DAILY ENTRY'!$F$7:$F$1203,'DAILY ENTRY'!$A$7:$A$1203,$A238,'DAILY ENTRY'!$B$7:$B$1203,$B238,'DAILY ENTRY'!$D$7:$D$1203,"Account created / profile completed"))</f>
        <v/>
      </c>
      <c r="M238" s="108" t="str">
        <f aca="false">IF($A238="","",IFERROR(INDEX('DAILY ENTRY'!$E$7:$E$1203,MATCH(1,INDEX(('DAILY ENTRY'!$A$7:$A$1203=$A238)*('DAILY ENTRY'!$B$7:$B$1203=$B238)*('DAILY ENTRY'!$I$7:$I$1203="Meeting booked"),0),0)),IFERROR(INDEX('DAILY ENTRY'!$E$7:$E$1203,MATCH(1,INDEX(('DAILY ENTRY'!$A$7:$A$1203=$A238)*('DAILY ENTRY'!$B$7:$B$1203=$B238)*('DAILY ENTRY'!$I$7:$I$1203="Positive reply"),0),0)),"")))</f>
        <v/>
      </c>
      <c r="N238" s="108" t="str">
        <f aca="false">IF($A238="","",IFERROR(INDEX('DAILY ENTRY'!$J$7:$J$1203,MATCH(1,INDEX(('DAILY ENTRY'!$A$7:$A$1203=$A238)*('DAILY ENTRY'!$B$7:$B$1203=$B238)*('DAILY ENTRY'!$I$7:$I$1203="Blocked"),0),0)),""))</f>
        <v/>
      </c>
      <c r="O238" s="65" t="str">
        <f aca="false">IF($A238="","",(D238&gt;='START HERE'!$B$25)+(E238&gt;='START HERE'!$B$26)+(F238&gt;='START HERE'!$B$27)+(G238&gt;='START HERE'!$B$28)+(H238&gt;='START HERE'!$B$29)+(I238&gt;='START HERE'!$B$30)+(J238&gt;='START HERE'!$B$31)+(K238&gt;='START HERE'!$B$32))</f>
        <v/>
      </c>
      <c r="P238" s="46" t="str">
        <f aca="false">IF($A238="","",IF(O238&gt;=7,"Full day",IF(O238&gt;=5,"Most targets met",IF(O238&gt;=3,"Half day","Below plan - explain in the blocker column"))))</f>
        <v/>
      </c>
    </row>
    <row r="239" customFormat="false" ht="24" hidden="false" customHeight="true" outlineLevel="0" collapsed="false">
      <c r="A239" s="36"/>
      <c r="B239" s="37"/>
      <c r="C239" s="107" t="str">
        <f aca="false">IF($A239="","",ROUND(SUMIFS('DAILY ENTRY'!$G$7:$G$1203,'DAILY ENTRY'!$A$7:$A$1203,$A239,'DAILY ENTRY'!$B$7:$B$1203,$B239)/60,1))</f>
        <v/>
      </c>
      <c r="D239" s="107" t="str">
        <f aca="false">IF($A239="","",SUMIFS('DAILY ENTRY'!$F$7:$F$1203,'DAILY ENTRY'!$A$7:$A$1203,$A239,'DAILY ENTRY'!$B$7:$B$1203,$B239,'DAILY ENTRY'!$D$7:$D$1203,"Lead researched (Sales Navigator)"))</f>
        <v/>
      </c>
      <c r="E239" s="107" t="str">
        <f aca="false">IF($A239="","",SUMIFS('DAILY ENTRY'!$F$7:$F$1203,'DAILY ENTRY'!$A$7:$A$1203,$A239,'DAILY ENTRY'!$B$7:$B$1203,$B239,'DAILY ENTRY'!$D$7:$D$1203,"Connection request sent"))</f>
        <v/>
      </c>
      <c r="F239" s="107" t="str">
        <f aca="false">IF($A239="","",SUMIFS('DAILY ENTRY'!$F$7:$F$1203,'DAILY ENTRY'!$A$7:$A$1203,$A239,'DAILY ENTRY'!$B$7:$B$1203,$B239,'DAILY ENTRY'!$D$7:$D$1203,"First message sent"))</f>
        <v/>
      </c>
      <c r="G239" s="107" t="str">
        <f aca="false">IF($A239="","",SUMIFS('DAILY ENTRY'!$F$7:$F$1203,'DAILY ENTRY'!$A$7:$A$1203,$A239,'DAILY ENTRY'!$B$7:$B$1203,$B239,'DAILY ENTRY'!$D$7:$D$1203,"Follow-up message sent"))</f>
        <v/>
      </c>
      <c r="H239" s="107" t="str">
        <f aca="false">IF($A239="","",SUMIFS('DAILY ENTRY'!$F$7:$F$1203,'DAILY ENTRY'!$A$7:$A$1203,$A239,'DAILY ENTRY'!$B$7:$B$1203,$B239,'DAILY ENTRY'!$D$7:$D$1203,"Post / content published"))</f>
        <v/>
      </c>
      <c r="I239" s="107" t="str">
        <f aca="false">IF($A239="","",SUMIFS('DAILY ENTRY'!$F$7:$F$1203,'DAILY ENTRY'!$A$7:$A$1203,$A239,'DAILY ENTRY'!$B$7:$B$1203,$B239,'DAILY ENTRY'!$D$7:$D$1203,"Community answer or comment"))</f>
        <v/>
      </c>
      <c r="J239" s="107" t="str">
        <f aca="false">IF($A239="","",SUMIFS('DAILY ENTRY'!$F$7:$F$1203,'DAILY ENTRY'!$A$7:$A$1203,$A239,'DAILY ENTRY'!$B$7:$B$1203,$B239,'DAILY ENTRY'!$D$7:$D$1203,"Partnership / PR contact"))</f>
        <v/>
      </c>
      <c r="K239" s="107" t="str">
        <f aca="false">IF($A239="","",SUMIFS('DAILY ENTRY'!$F$7:$F$1203,'DAILY ENTRY'!$A$7:$A$1203,$A239,'DAILY ENTRY'!$B$7:$B$1203,$B239,'DAILY ENTRY'!$D$7:$D$1203,"Engagement (commented on someone else)"))</f>
        <v/>
      </c>
      <c r="L239" s="107" t="str">
        <f aca="false">IF($A239="","",SUMIFS('DAILY ENTRY'!$F$7:$F$1203,'DAILY ENTRY'!$A$7:$A$1203,$A239,'DAILY ENTRY'!$B$7:$B$1203,$B239,'DAILY ENTRY'!$D$7:$D$1203,"Account created / profile completed"))</f>
        <v/>
      </c>
      <c r="M239" s="108" t="str">
        <f aca="false">IF($A239="","",IFERROR(INDEX('DAILY ENTRY'!$E$7:$E$1203,MATCH(1,INDEX(('DAILY ENTRY'!$A$7:$A$1203=$A239)*('DAILY ENTRY'!$B$7:$B$1203=$B239)*('DAILY ENTRY'!$I$7:$I$1203="Meeting booked"),0),0)),IFERROR(INDEX('DAILY ENTRY'!$E$7:$E$1203,MATCH(1,INDEX(('DAILY ENTRY'!$A$7:$A$1203=$A239)*('DAILY ENTRY'!$B$7:$B$1203=$B239)*('DAILY ENTRY'!$I$7:$I$1203="Positive reply"),0),0)),"")))</f>
        <v/>
      </c>
      <c r="N239" s="108" t="str">
        <f aca="false">IF($A239="","",IFERROR(INDEX('DAILY ENTRY'!$J$7:$J$1203,MATCH(1,INDEX(('DAILY ENTRY'!$A$7:$A$1203=$A239)*('DAILY ENTRY'!$B$7:$B$1203=$B239)*('DAILY ENTRY'!$I$7:$I$1203="Blocked"),0),0)),""))</f>
        <v/>
      </c>
      <c r="O239" s="65" t="str">
        <f aca="false">IF($A239="","",(D239&gt;='START HERE'!$B$25)+(E239&gt;='START HERE'!$B$26)+(F239&gt;='START HERE'!$B$27)+(G239&gt;='START HERE'!$B$28)+(H239&gt;='START HERE'!$B$29)+(I239&gt;='START HERE'!$B$30)+(J239&gt;='START HERE'!$B$31)+(K239&gt;='START HERE'!$B$32))</f>
        <v/>
      </c>
      <c r="P239" s="46" t="str">
        <f aca="false">IF($A239="","",IF(O239&gt;=7,"Full day",IF(O239&gt;=5,"Most targets met",IF(O239&gt;=3,"Half day","Below plan - explain in the blocker column"))))</f>
        <v/>
      </c>
    </row>
    <row r="240" customFormat="false" ht="24" hidden="false" customHeight="true" outlineLevel="0" collapsed="false">
      <c r="A240" s="36"/>
      <c r="B240" s="37"/>
      <c r="C240" s="107" t="str">
        <f aca="false">IF($A240="","",ROUND(SUMIFS('DAILY ENTRY'!$G$7:$G$1203,'DAILY ENTRY'!$A$7:$A$1203,$A240,'DAILY ENTRY'!$B$7:$B$1203,$B240)/60,1))</f>
        <v/>
      </c>
      <c r="D240" s="107" t="str">
        <f aca="false">IF($A240="","",SUMIFS('DAILY ENTRY'!$F$7:$F$1203,'DAILY ENTRY'!$A$7:$A$1203,$A240,'DAILY ENTRY'!$B$7:$B$1203,$B240,'DAILY ENTRY'!$D$7:$D$1203,"Lead researched (Sales Navigator)"))</f>
        <v/>
      </c>
      <c r="E240" s="107" t="str">
        <f aca="false">IF($A240="","",SUMIFS('DAILY ENTRY'!$F$7:$F$1203,'DAILY ENTRY'!$A$7:$A$1203,$A240,'DAILY ENTRY'!$B$7:$B$1203,$B240,'DAILY ENTRY'!$D$7:$D$1203,"Connection request sent"))</f>
        <v/>
      </c>
      <c r="F240" s="107" t="str">
        <f aca="false">IF($A240="","",SUMIFS('DAILY ENTRY'!$F$7:$F$1203,'DAILY ENTRY'!$A$7:$A$1203,$A240,'DAILY ENTRY'!$B$7:$B$1203,$B240,'DAILY ENTRY'!$D$7:$D$1203,"First message sent"))</f>
        <v/>
      </c>
      <c r="G240" s="107" t="str">
        <f aca="false">IF($A240="","",SUMIFS('DAILY ENTRY'!$F$7:$F$1203,'DAILY ENTRY'!$A$7:$A$1203,$A240,'DAILY ENTRY'!$B$7:$B$1203,$B240,'DAILY ENTRY'!$D$7:$D$1203,"Follow-up message sent"))</f>
        <v/>
      </c>
      <c r="H240" s="107" t="str">
        <f aca="false">IF($A240="","",SUMIFS('DAILY ENTRY'!$F$7:$F$1203,'DAILY ENTRY'!$A$7:$A$1203,$A240,'DAILY ENTRY'!$B$7:$B$1203,$B240,'DAILY ENTRY'!$D$7:$D$1203,"Post / content published"))</f>
        <v/>
      </c>
      <c r="I240" s="107" t="str">
        <f aca="false">IF($A240="","",SUMIFS('DAILY ENTRY'!$F$7:$F$1203,'DAILY ENTRY'!$A$7:$A$1203,$A240,'DAILY ENTRY'!$B$7:$B$1203,$B240,'DAILY ENTRY'!$D$7:$D$1203,"Community answer or comment"))</f>
        <v/>
      </c>
      <c r="J240" s="107" t="str">
        <f aca="false">IF($A240="","",SUMIFS('DAILY ENTRY'!$F$7:$F$1203,'DAILY ENTRY'!$A$7:$A$1203,$A240,'DAILY ENTRY'!$B$7:$B$1203,$B240,'DAILY ENTRY'!$D$7:$D$1203,"Partnership / PR contact"))</f>
        <v/>
      </c>
      <c r="K240" s="107" t="str">
        <f aca="false">IF($A240="","",SUMIFS('DAILY ENTRY'!$F$7:$F$1203,'DAILY ENTRY'!$A$7:$A$1203,$A240,'DAILY ENTRY'!$B$7:$B$1203,$B240,'DAILY ENTRY'!$D$7:$D$1203,"Engagement (commented on someone else)"))</f>
        <v/>
      </c>
      <c r="L240" s="107" t="str">
        <f aca="false">IF($A240="","",SUMIFS('DAILY ENTRY'!$F$7:$F$1203,'DAILY ENTRY'!$A$7:$A$1203,$A240,'DAILY ENTRY'!$B$7:$B$1203,$B240,'DAILY ENTRY'!$D$7:$D$1203,"Account created / profile completed"))</f>
        <v/>
      </c>
      <c r="M240" s="108" t="str">
        <f aca="false">IF($A240="","",IFERROR(INDEX('DAILY ENTRY'!$E$7:$E$1203,MATCH(1,INDEX(('DAILY ENTRY'!$A$7:$A$1203=$A240)*('DAILY ENTRY'!$B$7:$B$1203=$B240)*('DAILY ENTRY'!$I$7:$I$1203="Meeting booked"),0),0)),IFERROR(INDEX('DAILY ENTRY'!$E$7:$E$1203,MATCH(1,INDEX(('DAILY ENTRY'!$A$7:$A$1203=$A240)*('DAILY ENTRY'!$B$7:$B$1203=$B240)*('DAILY ENTRY'!$I$7:$I$1203="Positive reply"),0),0)),"")))</f>
        <v/>
      </c>
      <c r="N240" s="108" t="str">
        <f aca="false">IF($A240="","",IFERROR(INDEX('DAILY ENTRY'!$J$7:$J$1203,MATCH(1,INDEX(('DAILY ENTRY'!$A$7:$A$1203=$A240)*('DAILY ENTRY'!$B$7:$B$1203=$B240)*('DAILY ENTRY'!$I$7:$I$1203="Blocked"),0),0)),""))</f>
        <v/>
      </c>
      <c r="O240" s="65" t="str">
        <f aca="false">IF($A240="","",(D240&gt;='START HERE'!$B$25)+(E240&gt;='START HERE'!$B$26)+(F240&gt;='START HERE'!$B$27)+(G240&gt;='START HERE'!$B$28)+(H240&gt;='START HERE'!$B$29)+(I240&gt;='START HERE'!$B$30)+(J240&gt;='START HERE'!$B$31)+(K240&gt;='START HERE'!$B$32))</f>
        <v/>
      </c>
      <c r="P240" s="46" t="str">
        <f aca="false">IF($A240="","",IF(O240&gt;=7,"Full day",IF(O240&gt;=5,"Most targets met",IF(O240&gt;=3,"Half day","Below plan - explain in the blocker column"))))</f>
        <v/>
      </c>
    </row>
    <row r="241" customFormat="false" ht="24" hidden="false" customHeight="true" outlineLevel="0" collapsed="false">
      <c r="A241" s="36"/>
      <c r="B241" s="37"/>
      <c r="C241" s="107" t="str">
        <f aca="false">IF($A241="","",ROUND(SUMIFS('DAILY ENTRY'!$G$7:$G$1203,'DAILY ENTRY'!$A$7:$A$1203,$A241,'DAILY ENTRY'!$B$7:$B$1203,$B241)/60,1))</f>
        <v/>
      </c>
      <c r="D241" s="107" t="str">
        <f aca="false">IF($A241="","",SUMIFS('DAILY ENTRY'!$F$7:$F$1203,'DAILY ENTRY'!$A$7:$A$1203,$A241,'DAILY ENTRY'!$B$7:$B$1203,$B241,'DAILY ENTRY'!$D$7:$D$1203,"Lead researched (Sales Navigator)"))</f>
        <v/>
      </c>
      <c r="E241" s="107" t="str">
        <f aca="false">IF($A241="","",SUMIFS('DAILY ENTRY'!$F$7:$F$1203,'DAILY ENTRY'!$A$7:$A$1203,$A241,'DAILY ENTRY'!$B$7:$B$1203,$B241,'DAILY ENTRY'!$D$7:$D$1203,"Connection request sent"))</f>
        <v/>
      </c>
      <c r="F241" s="107" t="str">
        <f aca="false">IF($A241="","",SUMIFS('DAILY ENTRY'!$F$7:$F$1203,'DAILY ENTRY'!$A$7:$A$1203,$A241,'DAILY ENTRY'!$B$7:$B$1203,$B241,'DAILY ENTRY'!$D$7:$D$1203,"First message sent"))</f>
        <v/>
      </c>
      <c r="G241" s="107" t="str">
        <f aca="false">IF($A241="","",SUMIFS('DAILY ENTRY'!$F$7:$F$1203,'DAILY ENTRY'!$A$7:$A$1203,$A241,'DAILY ENTRY'!$B$7:$B$1203,$B241,'DAILY ENTRY'!$D$7:$D$1203,"Follow-up message sent"))</f>
        <v/>
      </c>
      <c r="H241" s="107" t="str">
        <f aca="false">IF($A241="","",SUMIFS('DAILY ENTRY'!$F$7:$F$1203,'DAILY ENTRY'!$A$7:$A$1203,$A241,'DAILY ENTRY'!$B$7:$B$1203,$B241,'DAILY ENTRY'!$D$7:$D$1203,"Post / content published"))</f>
        <v/>
      </c>
      <c r="I241" s="107" t="str">
        <f aca="false">IF($A241="","",SUMIFS('DAILY ENTRY'!$F$7:$F$1203,'DAILY ENTRY'!$A$7:$A$1203,$A241,'DAILY ENTRY'!$B$7:$B$1203,$B241,'DAILY ENTRY'!$D$7:$D$1203,"Community answer or comment"))</f>
        <v/>
      </c>
      <c r="J241" s="107" t="str">
        <f aca="false">IF($A241="","",SUMIFS('DAILY ENTRY'!$F$7:$F$1203,'DAILY ENTRY'!$A$7:$A$1203,$A241,'DAILY ENTRY'!$B$7:$B$1203,$B241,'DAILY ENTRY'!$D$7:$D$1203,"Partnership / PR contact"))</f>
        <v/>
      </c>
      <c r="K241" s="107" t="str">
        <f aca="false">IF($A241="","",SUMIFS('DAILY ENTRY'!$F$7:$F$1203,'DAILY ENTRY'!$A$7:$A$1203,$A241,'DAILY ENTRY'!$B$7:$B$1203,$B241,'DAILY ENTRY'!$D$7:$D$1203,"Engagement (commented on someone else)"))</f>
        <v/>
      </c>
      <c r="L241" s="107" t="str">
        <f aca="false">IF($A241="","",SUMIFS('DAILY ENTRY'!$F$7:$F$1203,'DAILY ENTRY'!$A$7:$A$1203,$A241,'DAILY ENTRY'!$B$7:$B$1203,$B241,'DAILY ENTRY'!$D$7:$D$1203,"Account created / profile completed"))</f>
        <v/>
      </c>
      <c r="M241" s="108" t="str">
        <f aca="false">IF($A241="","",IFERROR(INDEX('DAILY ENTRY'!$E$7:$E$1203,MATCH(1,INDEX(('DAILY ENTRY'!$A$7:$A$1203=$A241)*('DAILY ENTRY'!$B$7:$B$1203=$B241)*('DAILY ENTRY'!$I$7:$I$1203="Meeting booked"),0),0)),IFERROR(INDEX('DAILY ENTRY'!$E$7:$E$1203,MATCH(1,INDEX(('DAILY ENTRY'!$A$7:$A$1203=$A241)*('DAILY ENTRY'!$B$7:$B$1203=$B241)*('DAILY ENTRY'!$I$7:$I$1203="Positive reply"),0),0)),"")))</f>
        <v/>
      </c>
      <c r="N241" s="108" t="str">
        <f aca="false">IF($A241="","",IFERROR(INDEX('DAILY ENTRY'!$J$7:$J$1203,MATCH(1,INDEX(('DAILY ENTRY'!$A$7:$A$1203=$A241)*('DAILY ENTRY'!$B$7:$B$1203=$B241)*('DAILY ENTRY'!$I$7:$I$1203="Blocked"),0),0)),""))</f>
        <v/>
      </c>
      <c r="O241" s="65" t="str">
        <f aca="false">IF($A241="","",(D241&gt;='START HERE'!$B$25)+(E241&gt;='START HERE'!$B$26)+(F241&gt;='START HERE'!$B$27)+(G241&gt;='START HERE'!$B$28)+(H241&gt;='START HERE'!$B$29)+(I241&gt;='START HERE'!$B$30)+(J241&gt;='START HERE'!$B$31)+(K241&gt;='START HERE'!$B$32))</f>
        <v/>
      </c>
      <c r="P241" s="46" t="str">
        <f aca="false">IF($A241="","",IF(O241&gt;=7,"Full day",IF(O241&gt;=5,"Most targets met",IF(O241&gt;=3,"Half day","Below plan - explain in the blocker column"))))</f>
        <v/>
      </c>
    </row>
    <row r="242" customFormat="false" ht="24" hidden="false" customHeight="true" outlineLevel="0" collapsed="false">
      <c r="A242" s="36"/>
      <c r="B242" s="37"/>
      <c r="C242" s="107" t="str">
        <f aca="false">IF($A242="","",ROUND(SUMIFS('DAILY ENTRY'!$G$7:$G$1203,'DAILY ENTRY'!$A$7:$A$1203,$A242,'DAILY ENTRY'!$B$7:$B$1203,$B242)/60,1))</f>
        <v/>
      </c>
      <c r="D242" s="107" t="str">
        <f aca="false">IF($A242="","",SUMIFS('DAILY ENTRY'!$F$7:$F$1203,'DAILY ENTRY'!$A$7:$A$1203,$A242,'DAILY ENTRY'!$B$7:$B$1203,$B242,'DAILY ENTRY'!$D$7:$D$1203,"Lead researched (Sales Navigator)"))</f>
        <v/>
      </c>
      <c r="E242" s="107" t="str">
        <f aca="false">IF($A242="","",SUMIFS('DAILY ENTRY'!$F$7:$F$1203,'DAILY ENTRY'!$A$7:$A$1203,$A242,'DAILY ENTRY'!$B$7:$B$1203,$B242,'DAILY ENTRY'!$D$7:$D$1203,"Connection request sent"))</f>
        <v/>
      </c>
      <c r="F242" s="107" t="str">
        <f aca="false">IF($A242="","",SUMIFS('DAILY ENTRY'!$F$7:$F$1203,'DAILY ENTRY'!$A$7:$A$1203,$A242,'DAILY ENTRY'!$B$7:$B$1203,$B242,'DAILY ENTRY'!$D$7:$D$1203,"First message sent"))</f>
        <v/>
      </c>
      <c r="G242" s="107" t="str">
        <f aca="false">IF($A242="","",SUMIFS('DAILY ENTRY'!$F$7:$F$1203,'DAILY ENTRY'!$A$7:$A$1203,$A242,'DAILY ENTRY'!$B$7:$B$1203,$B242,'DAILY ENTRY'!$D$7:$D$1203,"Follow-up message sent"))</f>
        <v/>
      </c>
      <c r="H242" s="107" t="str">
        <f aca="false">IF($A242="","",SUMIFS('DAILY ENTRY'!$F$7:$F$1203,'DAILY ENTRY'!$A$7:$A$1203,$A242,'DAILY ENTRY'!$B$7:$B$1203,$B242,'DAILY ENTRY'!$D$7:$D$1203,"Post / content published"))</f>
        <v/>
      </c>
      <c r="I242" s="107" t="str">
        <f aca="false">IF($A242="","",SUMIFS('DAILY ENTRY'!$F$7:$F$1203,'DAILY ENTRY'!$A$7:$A$1203,$A242,'DAILY ENTRY'!$B$7:$B$1203,$B242,'DAILY ENTRY'!$D$7:$D$1203,"Community answer or comment"))</f>
        <v/>
      </c>
      <c r="J242" s="107" t="str">
        <f aca="false">IF($A242="","",SUMIFS('DAILY ENTRY'!$F$7:$F$1203,'DAILY ENTRY'!$A$7:$A$1203,$A242,'DAILY ENTRY'!$B$7:$B$1203,$B242,'DAILY ENTRY'!$D$7:$D$1203,"Partnership / PR contact"))</f>
        <v/>
      </c>
      <c r="K242" s="107" t="str">
        <f aca="false">IF($A242="","",SUMIFS('DAILY ENTRY'!$F$7:$F$1203,'DAILY ENTRY'!$A$7:$A$1203,$A242,'DAILY ENTRY'!$B$7:$B$1203,$B242,'DAILY ENTRY'!$D$7:$D$1203,"Engagement (commented on someone else)"))</f>
        <v/>
      </c>
      <c r="L242" s="107" t="str">
        <f aca="false">IF($A242="","",SUMIFS('DAILY ENTRY'!$F$7:$F$1203,'DAILY ENTRY'!$A$7:$A$1203,$A242,'DAILY ENTRY'!$B$7:$B$1203,$B242,'DAILY ENTRY'!$D$7:$D$1203,"Account created / profile completed"))</f>
        <v/>
      </c>
      <c r="M242" s="108" t="str">
        <f aca="false">IF($A242="","",IFERROR(INDEX('DAILY ENTRY'!$E$7:$E$1203,MATCH(1,INDEX(('DAILY ENTRY'!$A$7:$A$1203=$A242)*('DAILY ENTRY'!$B$7:$B$1203=$B242)*('DAILY ENTRY'!$I$7:$I$1203="Meeting booked"),0),0)),IFERROR(INDEX('DAILY ENTRY'!$E$7:$E$1203,MATCH(1,INDEX(('DAILY ENTRY'!$A$7:$A$1203=$A242)*('DAILY ENTRY'!$B$7:$B$1203=$B242)*('DAILY ENTRY'!$I$7:$I$1203="Positive reply"),0),0)),"")))</f>
        <v/>
      </c>
      <c r="N242" s="108" t="str">
        <f aca="false">IF($A242="","",IFERROR(INDEX('DAILY ENTRY'!$J$7:$J$1203,MATCH(1,INDEX(('DAILY ENTRY'!$A$7:$A$1203=$A242)*('DAILY ENTRY'!$B$7:$B$1203=$B242)*('DAILY ENTRY'!$I$7:$I$1203="Blocked"),0),0)),""))</f>
        <v/>
      </c>
      <c r="O242" s="65" t="str">
        <f aca="false">IF($A242="","",(D242&gt;='START HERE'!$B$25)+(E242&gt;='START HERE'!$B$26)+(F242&gt;='START HERE'!$B$27)+(G242&gt;='START HERE'!$B$28)+(H242&gt;='START HERE'!$B$29)+(I242&gt;='START HERE'!$B$30)+(J242&gt;='START HERE'!$B$31)+(K242&gt;='START HERE'!$B$32))</f>
        <v/>
      </c>
      <c r="P242" s="46" t="str">
        <f aca="false">IF($A242="","",IF(O242&gt;=7,"Full day",IF(O242&gt;=5,"Most targets met",IF(O242&gt;=3,"Half day","Below plan - explain in the blocker column"))))</f>
        <v/>
      </c>
    </row>
    <row r="243" customFormat="false" ht="24" hidden="false" customHeight="true" outlineLevel="0" collapsed="false">
      <c r="A243" s="36"/>
      <c r="B243" s="37"/>
      <c r="C243" s="107" t="str">
        <f aca="false">IF($A243="","",ROUND(SUMIFS('DAILY ENTRY'!$G$7:$G$1203,'DAILY ENTRY'!$A$7:$A$1203,$A243,'DAILY ENTRY'!$B$7:$B$1203,$B243)/60,1))</f>
        <v/>
      </c>
      <c r="D243" s="107" t="str">
        <f aca="false">IF($A243="","",SUMIFS('DAILY ENTRY'!$F$7:$F$1203,'DAILY ENTRY'!$A$7:$A$1203,$A243,'DAILY ENTRY'!$B$7:$B$1203,$B243,'DAILY ENTRY'!$D$7:$D$1203,"Lead researched (Sales Navigator)"))</f>
        <v/>
      </c>
      <c r="E243" s="107" t="str">
        <f aca="false">IF($A243="","",SUMIFS('DAILY ENTRY'!$F$7:$F$1203,'DAILY ENTRY'!$A$7:$A$1203,$A243,'DAILY ENTRY'!$B$7:$B$1203,$B243,'DAILY ENTRY'!$D$7:$D$1203,"Connection request sent"))</f>
        <v/>
      </c>
      <c r="F243" s="107" t="str">
        <f aca="false">IF($A243="","",SUMIFS('DAILY ENTRY'!$F$7:$F$1203,'DAILY ENTRY'!$A$7:$A$1203,$A243,'DAILY ENTRY'!$B$7:$B$1203,$B243,'DAILY ENTRY'!$D$7:$D$1203,"First message sent"))</f>
        <v/>
      </c>
      <c r="G243" s="107" t="str">
        <f aca="false">IF($A243="","",SUMIFS('DAILY ENTRY'!$F$7:$F$1203,'DAILY ENTRY'!$A$7:$A$1203,$A243,'DAILY ENTRY'!$B$7:$B$1203,$B243,'DAILY ENTRY'!$D$7:$D$1203,"Follow-up message sent"))</f>
        <v/>
      </c>
      <c r="H243" s="107" t="str">
        <f aca="false">IF($A243="","",SUMIFS('DAILY ENTRY'!$F$7:$F$1203,'DAILY ENTRY'!$A$7:$A$1203,$A243,'DAILY ENTRY'!$B$7:$B$1203,$B243,'DAILY ENTRY'!$D$7:$D$1203,"Post / content published"))</f>
        <v/>
      </c>
      <c r="I243" s="107" t="str">
        <f aca="false">IF($A243="","",SUMIFS('DAILY ENTRY'!$F$7:$F$1203,'DAILY ENTRY'!$A$7:$A$1203,$A243,'DAILY ENTRY'!$B$7:$B$1203,$B243,'DAILY ENTRY'!$D$7:$D$1203,"Community answer or comment"))</f>
        <v/>
      </c>
      <c r="J243" s="107" t="str">
        <f aca="false">IF($A243="","",SUMIFS('DAILY ENTRY'!$F$7:$F$1203,'DAILY ENTRY'!$A$7:$A$1203,$A243,'DAILY ENTRY'!$B$7:$B$1203,$B243,'DAILY ENTRY'!$D$7:$D$1203,"Partnership / PR contact"))</f>
        <v/>
      </c>
      <c r="K243" s="107" t="str">
        <f aca="false">IF($A243="","",SUMIFS('DAILY ENTRY'!$F$7:$F$1203,'DAILY ENTRY'!$A$7:$A$1203,$A243,'DAILY ENTRY'!$B$7:$B$1203,$B243,'DAILY ENTRY'!$D$7:$D$1203,"Engagement (commented on someone else)"))</f>
        <v/>
      </c>
      <c r="L243" s="107" t="str">
        <f aca="false">IF($A243="","",SUMIFS('DAILY ENTRY'!$F$7:$F$1203,'DAILY ENTRY'!$A$7:$A$1203,$A243,'DAILY ENTRY'!$B$7:$B$1203,$B243,'DAILY ENTRY'!$D$7:$D$1203,"Account created / profile completed"))</f>
        <v/>
      </c>
      <c r="M243" s="108" t="str">
        <f aca="false">IF($A243="","",IFERROR(INDEX('DAILY ENTRY'!$E$7:$E$1203,MATCH(1,INDEX(('DAILY ENTRY'!$A$7:$A$1203=$A243)*('DAILY ENTRY'!$B$7:$B$1203=$B243)*('DAILY ENTRY'!$I$7:$I$1203="Meeting booked"),0),0)),IFERROR(INDEX('DAILY ENTRY'!$E$7:$E$1203,MATCH(1,INDEX(('DAILY ENTRY'!$A$7:$A$1203=$A243)*('DAILY ENTRY'!$B$7:$B$1203=$B243)*('DAILY ENTRY'!$I$7:$I$1203="Positive reply"),0),0)),"")))</f>
        <v/>
      </c>
      <c r="N243" s="108" t="str">
        <f aca="false">IF($A243="","",IFERROR(INDEX('DAILY ENTRY'!$J$7:$J$1203,MATCH(1,INDEX(('DAILY ENTRY'!$A$7:$A$1203=$A243)*('DAILY ENTRY'!$B$7:$B$1203=$B243)*('DAILY ENTRY'!$I$7:$I$1203="Blocked"),0),0)),""))</f>
        <v/>
      </c>
      <c r="O243" s="65" t="str">
        <f aca="false">IF($A243="","",(D243&gt;='START HERE'!$B$25)+(E243&gt;='START HERE'!$B$26)+(F243&gt;='START HERE'!$B$27)+(G243&gt;='START HERE'!$B$28)+(H243&gt;='START HERE'!$B$29)+(I243&gt;='START HERE'!$B$30)+(J243&gt;='START HERE'!$B$31)+(K243&gt;='START HERE'!$B$32))</f>
        <v/>
      </c>
      <c r="P243" s="46" t="str">
        <f aca="false">IF($A243="","",IF(O243&gt;=7,"Full day",IF(O243&gt;=5,"Most targets met",IF(O243&gt;=3,"Half day","Below plan - explain in the blocker column"))))</f>
        <v/>
      </c>
    </row>
    <row r="244" customFormat="false" ht="24" hidden="false" customHeight="true" outlineLevel="0" collapsed="false">
      <c r="A244" s="36"/>
      <c r="B244" s="37"/>
      <c r="C244" s="107" t="str">
        <f aca="false">IF($A244="","",ROUND(SUMIFS('DAILY ENTRY'!$G$7:$G$1203,'DAILY ENTRY'!$A$7:$A$1203,$A244,'DAILY ENTRY'!$B$7:$B$1203,$B244)/60,1))</f>
        <v/>
      </c>
      <c r="D244" s="107" t="str">
        <f aca="false">IF($A244="","",SUMIFS('DAILY ENTRY'!$F$7:$F$1203,'DAILY ENTRY'!$A$7:$A$1203,$A244,'DAILY ENTRY'!$B$7:$B$1203,$B244,'DAILY ENTRY'!$D$7:$D$1203,"Lead researched (Sales Navigator)"))</f>
        <v/>
      </c>
      <c r="E244" s="107" t="str">
        <f aca="false">IF($A244="","",SUMIFS('DAILY ENTRY'!$F$7:$F$1203,'DAILY ENTRY'!$A$7:$A$1203,$A244,'DAILY ENTRY'!$B$7:$B$1203,$B244,'DAILY ENTRY'!$D$7:$D$1203,"Connection request sent"))</f>
        <v/>
      </c>
      <c r="F244" s="107" t="str">
        <f aca="false">IF($A244="","",SUMIFS('DAILY ENTRY'!$F$7:$F$1203,'DAILY ENTRY'!$A$7:$A$1203,$A244,'DAILY ENTRY'!$B$7:$B$1203,$B244,'DAILY ENTRY'!$D$7:$D$1203,"First message sent"))</f>
        <v/>
      </c>
      <c r="G244" s="107" t="str">
        <f aca="false">IF($A244="","",SUMIFS('DAILY ENTRY'!$F$7:$F$1203,'DAILY ENTRY'!$A$7:$A$1203,$A244,'DAILY ENTRY'!$B$7:$B$1203,$B244,'DAILY ENTRY'!$D$7:$D$1203,"Follow-up message sent"))</f>
        <v/>
      </c>
      <c r="H244" s="107" t="str">
        <f aca="false">IF($A244="","",SUMIFS('DAILY ENTRY'!$F$7:$F$1203,'DAILY ENTRY'!$A$7:$A$1203,$A244,'DAILY ENTRY'!$B$7:$B$1203,$B244,'DAILY ENTRY'!$D$7:$D$1203,"Post / content published"))</f>
        <v/>
      </c>
      <c r="I244" s="107" t="str">
        <f aca="false">IF($A244="","",SUMIFS('DAILY ENTRY'!$F$7:$F$1203,'DAILY ENTRY'!$A$7:$A$1203,$A244,'DAILY ENTRY'!$B$7:$B$1203,$B244,'DAILY ENTRY'!$D$7:$D$1203,"Community answer or comment"))</f>
        <v/>
      </c>
      <c r="J244" s="107" t="str">
        <f aca="false">IF($A244="","",SUMIFS('DAILY ENTRY'!$F$7:$F$1203,'DAILY ENTRY'!$A$7:$A$1203,$A244,'DAILY ENTRY'!$B$7:$B$1203,$B244,'DAILY ENTRY'!$D$7:$D$1203,"Partnership / PR contact"))</f>
        <v/>
      </c>
      <c r="K244" s="107" t="str">
        <f aca="false">IF($A244="","",SUMIFS('DAILY ENTRY'!$F$7:$F$1203,'DAILY ENTRY'!$A$7:$A$1203,$A244,'DAILY ENTRY'!$B$7:$B$1203,$B244,'DAILY ENTRY'!$D$7:$D$1203,"Engagement (commented on someone else)"))</f>
        <v/>
      </c>
      <c r="L244" s="107" t="str">
        <f aca="false">IF($A244="","",SUMIFS('DAILY ENTRY'!$F$7:$F$1203,'DAILY ENTRY'!$A$7:$A$1203,$A244,'DAILY ENTRY'!$B$7:$B$1203,$B244,'DAILY ENTRY'!$D$7:$D$1203,"Account created / profile completed"))</f>
        <v/>
      </c>
      <c r="M244" s="108" t="str">
        <f aca="false">IF($A244="","",IFERROR(INDEX('DAILY ENTRY'!$E$7:$E$1203,MATCH(1,INDEX(('DAILY ENTRY'!$A$7:$A$1203=$A244)*('DAILY ENTRY'!$B$7:$B$1203=$B244)*('DAILY ENTRY'!$I$7:$I$1203="Meeting booked"),0),0)),IFERROR(INDEX('DAILY ENTRY'!$E$7:$E$1203,MATCH(1,INDEX(('DAILY ENTRY'!$A$7:$A$1203=$A244)*('DAILY ENTRY'!$B$7:$B$1203=$B244)*('DAILY ENTRY'!$I$7:$I$1203="Positive reply"),0),0)),"")))</f>
        <v/>
      </c>
      <c r="N244" s="108" t="str">
        <f aca="false">IF($A244="","",IFERROR(INDEX('DAILY ENTRY'!$J$7:$J$1203,MATCH(1,INDEX(('DAILY ENTRY'!$A$7:$A$1203=$A244)*('DAILY ENTRY'!$B$7:$B$1203=$B244)*('DAILY ENTRY'!$I$7:$I$1203="Blocked"),0),0)),""))</f>
        <v/>
      </c>
      <c r="O244" s="65" t="str">
        <f aca="false">IF($A244="","",(D244&gt;='START HERE'!$B$25)+(E244&gt;='START HERE'!$B$26)+(F244&gt;='START HERE'!$B$27)+(G244&gt;='START HERE'!$B$28)+(H244&gt;='START HERE'!$B$29)+(I244&gt;='START HERE'!$B$30)+(J244&gt;='START HERE'!$B$31)+(K244&gt;='START HERE'!$B$32))</f>
        <v/>
      </c>
      <c r="P244" s="46" t="str">
        <f aca="false">IF($A244="","",IF(O244&gt;=7,"Full day",IF(O244&gt;=5,"Most targets met",IF(O244&gt;=3,"Half day","Below plan - explain in the blocker column"))))</f>
        <v/>
      </c>
    </row>
    <row r="245" customFormat="false" ht="24" hidden="false" customHeight="true" outlineLevel="0" collapsed="false">
      <c r="A245" s="36"/>
      <c r="B245" s="37"/>
      <c r="C245" s="107" t="str">
        <f aca="false">IF($A245="","",ROUND(SUMIFS('DAILY ENTRY'!$G$7:$G$1203,'DAILY ENTRY'!$A$7:$A$1203,$A245,'DAILY ENTRY'!$B$7:$B$1203,$B245)/60,1))</f>
        <v/>
      </c>
      <c r="D245" s="107" t="str">
        <f aca="false">IF($A245="","",SUMIFS('DAILY ENTRY'!$F$7:$F$1203,'DAILY ENTRY'!$A$7:$A$1203,$A245,'DAILY ENTRY'!$B$7:$B$1203,$B245,'DAILY ENTRY'!$D$7:$D$1203,"Lead researched (Sales Navigator)"))</f>
        <v/>
      </c>
      <c r="E245" s="107" t="str">
        <f aca="false">IF($A245="","",SUMIFS('DAILY ENTRY'!$F$7:$F$1203,'DAILY ENTRY'!$A$7:$A$1203,$A245,'DAILY ENTRY'!$B$7:$B$1203,$B245,'DAILY ENTRY'!$D$7:$D$1203,"Connection request sent"))</f>
        <v/>
      </c>
      <c r="F245" s="107" t="str">
        <f aca="false">IF($A245="","",SUMIFS('DAILY ENTRY'!$F$7:$F$1203,'DAILY ENTRY'!$A$7:$A$1203,$A245,'DAILY ENTRY'!$B$7:$B$1203,$B245,'DAILY ENTRY'!$D$7:$D$1203,"First message sent"))</f>
        <v/>
      </c>
      <c r="G245" s="107" t="str">
        <f aca="false">IF($A245="","",SUMIFS('DAILY ENTRY'!$F$7:$F$1203,'DAILY ENTRY'!$A$7:$A$1203,$A245,'DAILY ENTRY'!$B$7:$B$1203,$B245,'DAILY ENTRY'!$D$7:$D$1203,"Follow-up message sent"))</f>
        <v/>
      </c>
      <c r="H245" s="107" t="str">
        <f aca="false">IF($A245="","",SUMIFS('DAILY ENTRY'!$F$7:$F$1203,'DAILY ENTRY'!$A$7:$A$1203,$A245,'DAILY ENTRY'!$B$7:$B$1203,$B245,'DAILY ENTRY'!$D$7:$D$1203,"Post / content published"))</f>
        <v/>
      </c>
      <c r="I245" s="107" t="str">
        <f aca="false">IF($A245="","",SUMIFS('DAILY ENTRY'!$F$7:$F$1203,'DAILY ENTRY'!$A$7:$A$1203,$A245,'DAILY ENTRY'!$B$7:$B$1203,$B245,'DAILY ENTRY'!$D$7:$D$1203,"Community answer or comment"))</f>
        <v/>
      </c>
      <c r="J245" s="107" t="str">
        <f aca="false">IF($A245="","",SUMIFS('DAILY ENTRY'!$F$7:$F$1203,'DAILY ENTRY'!$A$7:$A$1203,$A245,'DAILY ENTRY'!$B$7:$B$1203,$B245,'DAILY ENTRY'!$D$7:$D$1203,"Partnership / PR contact"))</f>
        <v/>
      </c>
      <c r="K245" s="107" t="str">
        <f aca="false">IF($A245="","",SUMIFS('DAILY ENTRY'!$F$7:$F$1203,'DAILY ENTRY'!$A$7:$A$1203,$A245,'DAILY ENTRY'!$B$7:$B$1203,$B245,'DAILY ENTRY'!$D$7:$D$1203,"Engagement (commented on someone else)"))</f>
        <v/>
      </c>
      <c r="L245" s="107" t="str">
        <f aca="false">IF($A245="","",SUMIFS('DAILY ENTRY'!$F$7:$F$1203,'DAILY ENTRY'!$A$7:$A$1203,$A245,'DAILY ENTRY'!$B$7:$B$1203,$B245,'DAILY ENTRY'!$D$7:$D$1203,"Account created / profile completed"))</f>
        <v/>
      </c>
      <c r="M245" s="108" t="str">
        <f aca="false">IF($A245="","",IFERROR(INDEX('DAILY ENTRY'!$E$7:$E$1203,MATCH(1,INDEX(('DAILY ENTRY'!$A$7:$A$1203=$A245)*('DAILY ENTRY'!$B$7:$B$1203=$B245)*('DAILY ENTRY'!$I$7:$I$1203="Meeting booked"),0),0)),IFERROR(INDEX('DAILY ENTRY'!$E$7:$E$1203,MATCH(1,INDEX(('DAILY ENTRY'!$A$7:$A$1203=$A245)*('DAILY ENTRY'!$B$7:$B$1203=$B245)*('DAILY ENTRY'!$I$7:$I$1203="Positive reply"),0),0)),"")))</f>
        <v/>
      </c>
      <c r="N245" s="108" t="str">
        <f aca="false">IF($A245="","",IFERROR(INDEX('DAILY ENTRY'!$J$7:$J$1203,MATCH(1,INDEX(('DAILY ENTRY'!$A$7:$A$1203=$A245)*('DAILY ENTRY'!$B$7:$B$1203=$B245)*('DAILY ENTRY'!$I$7:$I$1203="Blocked"),0),0)),""))</f>
        <v/>
      </c>
      <c r="O245" s="65" t="str">
        <f aca="false">IF($A245="","",(D245&gt;='START HERE'!$B$25)+(E245&gt;='START HERE'!$B$26)+(F245&gt;='START HERE'!$B$27)+(G245&gt;='START HERE'!$B$28)+(H245&gt;='START HERE'!$B$29)+(I245&gt;='START HERE'!$B$30)+(J245&gt;='START HERE'!$B$31)+(K245&gt;='START HERE'!$B$32))</f>
        <v/>
      </c>
      <c r="P245" s="46" t="str">
        <f aca="false">IF($A245="","",IF(O245&gt;=7,"Full day",IF(O245&gt;=5,"Most targets met",IF(O245&gt;=3,"Half day","Below plan - explain in the blocker column"))))</f>
        <v/>
      </c>
    </row>
    <row r="246" customFormat="false" ht="24" hidden="false" customHeight="true" outlineLevel="0" collapsed="false">
      <c r="A246" s="36"/>
      <c r="B246" s="37"/>
      <c r="C246" s="107" t="str">
        <f aca="false">IF($A246="","",ROUND(SUMIFS('DAILY ENTRY'!$G$7:$G$1203,'DAILY ENTRY'!$A$7:$A$1203,$A246,'DAILY ENTRY'!$B$7:$B$1203,$B246)/60,1))</f>
        <v/>
      </c>
      <c r="D246" s="107" t="str">
        <f aca="false">IF($A246="","",SUMIFS('DAILY ENTRY'!$F$7:$F$1203,'DAILY ENTRY'!$A$7:$A$1203,$A246,'DAILY ENTRY'!$B$7:$B$1203,$B246,'DAILY ENTRY'!$D$7:$D$1203,"Lead researched (Sales Navigator)"))</f>
        <v/>
      </c>
      <c r="E246" s="107" t="str">
        <f aca="false">IF($A246="","",SUMIFS('DAILY ENTRY'!$F$7:$F$1203,'DAILY ENTRY'!$A$7:$A$1203,$A246,'DAILY ENTRY'!$B$7:$B$1203,$B246,'DAILY ENTRY'!$D$7:$D$1203,"Connection request sent"))</f>
        <v/>
      </c>
      <c r="F246" s="107" t="str">
        <f aca="false">IF($A246="","",SUMIFS('DAILY ENTRY'!$F$7:$F$1203,'DAILY ENTRY'!$A$7:$A$1203,$A246,'DAILY ENTRY'!$B$7:$B$1203,$B246,'DAILY ENTRY'!$D$7:$D$1203,"First message sent"))</f>
        <v/>
      </c>
      <c r="G246" s="107" t="str">
        <f aca="false">IF($A246="","",SUMIFS('DAILY ENTRY'!$F$7:$F$1203,'DAILY ENTRY'!$A$7:$A$1203,$A246,'DAILY ENTRY'!$B$7:$B$1203,$B246,'DAILY ENTRY'!$D$7:$D$1203,"Follow-up message sent"))</f>
        <v/>
      </c>
      <c r="H246" s="107" t="str">
        <f aca="false">IF($A246="","",SUMIFS('DAILY ENTRY'!$F$7:$F$1203,'DAILY ENTRY'!$A$7:$A$1203,$A246,'DAILY ENTRY'!$B$7:$B$1203,$B246,'DAILY ENTRY'!$D$7:$D$1203,"Post / content published"))</f>
        <v/>
      </c>
      <c r="I246" s="107" t="str">
        <f aca="false">IF($A246="","",SUMIFS('DAILY ENTRY'!$F$7:$F$1203,'DAILY ENTRY'!$A$7:$A$1203,$A246,'DAILY ENTRY'!$B$7:$B$1203,$B246,'DAILY ENTRY'!$D$7:$D$1203,"Community answer or comment"))</f>
        <v/>
      </c>
      <c r="J246" s="107" t="str">
        <f aca="false">IF($A246="","",SUMIFS('DAILY ENTRY'!$F$7:$F$1203,'DAILY ENTRY'!$A$7:$A$1203,$A246,'DAILY ENTRY'!$B$7:$B$1203,$B246,'DAILY ENTRY'!$D$7:$D$1203,"Partnership / PR contact"))</f>
        <v/>
      </c>
      <c r="K246" s="107" t="str">
        <f aca="false">IF($A246="","",SUMIFS('DAILY ENTRY'!$F$7:$F$1203,'DAILY ENTRY'!$A$7:$A$1203,$A246,'DAILY ENTRY'!$B$7:$B$1203,$B246,'DAILY ENTRY'!$D$7:$D$1203,"Engagement (commented on someone else)"))</f>
        <v/>
      </c>
      <c r="L246" s="107" t="str">
        <f aca="false">IF($A246="","",SUMIFS('DAILY ENTRY'!$F$7:$F$1203,'DAILY ENTRY'!$A$7:$A$1203,$A246,'DAILY ENTRY'!$B$7:$B$1203,$B246,'DAILY ENTRY'!$D$7:$D$1203,"Account created / profile completed"))</f>
        <v/>
      </c>
      <c r="M246" s="108" t="str">
        <f aca="false">IF($A246="","",IFERROR(INDEX('DAILY ENTRY'!$E$7:$E$1203,MATCH(1,INDEX(('DAILY ENTRY'!$A$7:$A$1203=$A246)*('DAILY ENTRY'!$B$7:$B$1203=$B246)*('DAILY ENTRY'!$I$7:$I$1203="Meeting booked"),0),0)),IFERROR(INDEX('DAILY ENTRY'!$E$7:$E$1203,MATCH(1,INDEX(('DAILY ENTRY'!$A$7:$A$1203=$A246)*('DAILY ENTRY'!$B$7:$B$1203=$B246)*('DAILY ENTRY'!$I$7:$I$1203="Positive reply"),0),0)),"")))</f>
        <v/>
      </c>
      <c r="N246" s="108" t="str">
        <f aca="false">IF($A246="","",IFERROR(INDEX('DAILY ENTRY'!$J$7:$J$1203,MATCH(1,INDEX(('DAILY ENTRY'!$A$7:$A$1203=$A246)*('DAILY ENTRY'!$B$7:$B$1203=$B246)*('DAILY ENTRY'!$I$7:$I$1203="Blocked"),0),0)),""))</f>
        <v/>
      </c>
      <c r="O246" s="65" t="str">
        <f aca="false">IF($A246="","",(D246&gt;='START HERE'!$B$25)+(E246&gt;='START HERE'!$B$26)+(F246&gt;='START HERE'!$B$27)+(G246&gt;='START HERE'!$B$28)+(H246&gt;='START HERE'!$B$29)+(I246&gt;='START HERE'!$B$30)+(J246&gt;='START HERE'!$B$31)+(K246&gt;='START HERE'!$B$32))</f>
        <v/>
      </c>
      <c r="P246" s="46" t="str">
        <f aca="false">IF($A246="","",IF(O246&gt;=7,"Full day",IF(O246&gt;=5,"Most targets met",IF(O246&gt;=3,"Half day","Below plan - explain in the blocker column"))))</f>
        <v/>
      </c>
    </row>
    <row r="247" customFormat="false" ht="24" hidden="false" customHeight="true" outlineLevel="0" collapsed="false">
      <c r="A247" s="36"/>
      <c r="B247" s="37"/>
      <c r="C247" s="107" t="str">
        <f aca="false">IF($A247="","",ROUND(SUMIFS('DAILY ENTRY'!$G$7:$G$1203,'DAILY ENTRY'!$A$7:$A$1203,$A247,'DAILY ENTRY'!$B$7:$B$1203,$B247)/60,1))</f>
        <v/>
      </c>
      <c r="D247" s="107" t="str">
        <f aca="false">IF($A247="","",SUMIFS('DAILY ENTRY'!$F$7:$F$1203,'DAILY ENTRY'!$A$7:$A$1203,$A247,'DAILY ENTRY'!$B$7:$B$1203,$B247,'DAILY ENTRY'!$D$7:$D$1203,"Lead researched (Sales Navigator)"))</f>
        <v/>
      </c>
      <c r="E247" s="107" t="str">
        <f aca="false">IF($A247="","",SUMIFS('DAILY ENTRY'!$F$7:$F$1203,'DAILY ENTRY'!$A$7:$A$1203,$A247,'DAILY ENTRY'!$B$7:$B$1203,$B247,'DAILY ENTRY'!$D$7:$D$1203,"Connection request sent"))</f>
        <v/>
      </c>
      <c r="F247" s="107" t="str">
        <f aca="false">IF($A247="","",SUMIFS('DAILY ENTRY'!$F$7:$F$1203,'DAILY ENTRY'!$A$7:$A$1203,$A247,'DAILY ENTRY'!$B$7:$B$1203,$B247,'DAILY ENTRY'!$D$7:$D$1203,"First message sent"))</f>
        <v/>
      </c>
      <c r="G247" s="107" t="str">
        <f aca="false">IF($A247="","",SUMIFS('DAILY ENTRY'!$F$7:$F$1203,'DAILY ENTRY'!$A$7:$A$1203,$A247,'DAILY ENTRY'!$B$7:$B$1203,$B247,'DAILY ENTRY'!$D$7:$D$1203,"Follow-up message sent"))</f>
        <v/>
      </c>
      <c r="H247" s="107" t="str">
        <f aca="false">IF($A247="","",SUMIFS('DAILY ENTRY'!$F$7:$F$1203,'DAILY ENTRY'!$A$7:$A$1203,$A247,'DAILY ENTRY'!$B$7:$B$1203,$B247,'DAILY ENTRY'!$D$7:$D$1203,"Post / content published"))</f>
        <v/>
      </c>
      <c r="I247" s="107" t="str">
        <f aca="false">IF($A247="","",SUMIFS('DAILY ENTRY'!$F$7:$F$1203,'DAILY ENTRY'!$A$7:$A$1203,$A247,'DAILY ENTRY'!$B$7:$B$1203,$B247,'DAILY ENTRY'!$D$7:$D$1203,"Community answer or comment"))</f>
        <v/>
      </c>
      <c r="J247" s="107" t="str">
        <f aca="false">IF($A247="","",SUMIFS('DAILY ENTRY'!$F$7:$F$1203,'DAILY ENTRY'!$A$7:$A$1203,$A247,'DAILY ENTRY'!$B$7:$B$1203,$B247,'DAILY ENTRY'!$D$7:$D$1203,"Partnership / PR contact"))</f>
        <v/>
      </c>
      <c r="K247" s="107" t="str">
        <f aca="false">IF($A247="","",SUMIFS('DAILY ENTRY'!$F$7:$F$1203,'DAILY ENTRY'!$A$7:$A$1203,$A247,'DAILY ENTRY'!$B$7:$B$1203,$B247,'DAILY ENTRY'!$D$7:$D$1203,"Engagement (commented on someone else)"))</f>
        <v/>
      </c>
      <c r="L247" s="107" t="str">
        <f aca="false">IF($A247="","",SUMIFS('DAILY ENTRY'!$F$7:$F$1203,'DAILY ENTRY'!$A$7:$A$1203,$A247,'DAILY ENTRY'!$B$7:$B$1203,$B247,'DAILY ENTRY'!$D$7:$D$1203,"Account created / profile completed"))</f>
        <v/>
      </c>
      <c r="M247" s="108" t="str">
        <f aca="false">IF($A247="","",IFERROR(INDEX('DAILY ENTRY'!$E$7:$E$1203,MATCH(1,INDEX(('DAILY ENTRY'!$A$7:$A$1203=$A247)*('DAILY ENTRY'!$B$7:$B$1203=$B247)*('DAILY ENTRY'!$I$7:$I$1203="Meeting booked"),0),0)),IFERROR(INDEX('DAILY ENTRY'!$E$7:$E$1203,MATCH(1,INDEX(('DAILY ENTRY'!$A$7:$A$1203=$A247)*('DAILY ENTRY'!$B$7:$B$1203=$B247)*('DAILY ENTRY'!$I$7:$I$1203="Positive reply"),0),0)),"")))</f>
        <v/>
      </c>
      <c r="N247" s="108" t="str">
        <f aca="false">IF($A247="","",IFERROR(INDEX('DAILY ENTRY'!$J$7:$J$1203,MATCH(1,INDEX(('DAILY ENTRY'!$A$7:$A$1203=$A247)*('DAILY ENTRY'!$B$7:$B$1203=$B247)*('DAILY ENTRY'!$I$7:$I$1203="Blocked"),0),0)),""))</f>
        <v/>
      </c>
      <c r="O247" s="65" t="str">
        <f aca="false">IF($A247="","",(D247&gt;='START HERE'!$B$25)+(E247&gt;='START HERE'!$B$26)+(F247&gt;='START HERE'!$B$27)+(G247&gt;='START HERE'!$B$28)+(H247&gt;='START HERE'!$B$29)+(I247&gt;='START HERE'!$B$30)+(J247&gt;='START HERE'!$B$31)+(K247&gt;='START HERE'!$B$32))</f>
        <v/>
      </c>
      <c r="P247" s="46" t="str">
        <f aca="false">IF($A247="","",IF(O247&gt;=7,"Full day",IF(O247&gt;=5,"Most targets met",IF(O247&gt;=3,"Half day","Below plan - explain in the blocker column"))))</f>
        <v/>
      </c>
    </row>
    <row r="248" customFormat="false" ht="24" hidden="false" customHeight="true" outlineLevel="0" collapsed="false">
      <c r="A248" s="36"/>
      <c r="B248" s="37"/>
      <c r="C248" s="107" t="str">
        <f aca="false">IF($A248="","",ROUND(SUMIFS('DAILY ENTRY'!$G$7:$G$1203,'DAILY ENTRY'!$A$7:$A$1203,$A248,'DAILY ENTRY'!$B$7:$B$1203,$B248)/60,1))</f>
        <v/>
      </c>
      <c r="D248" s="107" t="str">
        <f aca="false">IF($A248="","",SUMIFS('DAILY ENTRY'!$F$7:$F$1203,'DAILY ENTRY'!$A$7:$A$1203,$A248,'DAILY ENTRY'!$B$7:$B$1203,$B248,'DAILY ENTRY'!$D$7:$D$1203,"Lead researched (Sales Navigator)"))</f>
        <v/>
      </c>
      <c r="E248" s="107" t="str">
        <f aca="false">IF($A248="","",SUMIFS('DAILY ENTRY'!$F$7:$F$1203,'DAILY ENTRY'!$A$7:$A$1203,$A248,'DAILY ENTRY'!$B$7:$B$1203,$B248,'DAILY ENTRY'!$D$7:$D$1203,"Connection request sent"))</f>
        <v/>
      </c>
      <c r="F248" s="107" t="str">
        <f aca="false">IF($A248="","",SUMIFS('DAILY ENTRY'!$F$7:$F$1203,'DAILY ENTRY'!$A$7:$A$1203,$A248,'DAILY ENTRY'!$B$7:$B$1203,$B248,'DAILY ENTRY'!$D$7:$D$1203,"First message sent"))</f>
        <v/>
      </c>
      <c r="G248" s="107" t="str">
        <f aca="false">IF($A248="","",SUMIFS('DAILY ENTRY'!$F$7:$F$1203,'DAILY ENTRY'!$A$7:$A$1203,$A248,'DAILY ENTRY'!$B$7:$B$1203,$B248,'DAILY ENTRY'!$D$7:$D$1203,"Follow-up message sent"))</f>
        <v/>
      </c>
      <c r="H248" s="107" t="str">
        <f aca="false">IF($A248="","",SUMIFS('DAILY ENTRY'!$F$7:$F$1203,'DAILY ENTRY'!$A$7:$A$1203,$A248,'DAILY ENTRY'!$B$7:$B$1203,$B248,'DAILY ENTRY'!$D$7:$D$1203,"Post / content published"))</f>
        <v/>
      </c>
      <c r="I248" s="107" t="str">
        <f aca="false">IF($A248="","",SUMIFS('DAILY ENTRY'!$F$7:$F$1203,'DAILY ENTRY'!$A$7:$A$1203,$A248,'DAILY ENTRY'!$B$7:$B$1203,$B248,'DAILY ENTRY'!$D$7:$D$1203,"Community answer or comment"))</f>
        <v/>
      </c>
      <c r="J248" s="107" t="str">
        <f aca="false">IF($A248="","",SUMIFS('DAILY ENTRY'!$F$7:$F$1203,'DAILY ENTRY'!$A$7:$A$1203,$A248,'DAILY ENTRY'!$B$7:$B$1203,$B248,'DAILY ENTRY'!$D$7:$D$1203,"Partnership / PR contact"))</f>
        <v/>
      </c>
      <c r="K248" s="107" t="str">
        <f aca="false">IF($A248="","",SUMIFS('DAILY ENTRY'!$F$7:$F$1203,'DAILY ENTRY'!$A$7:$A$1203,$A248,'DAILY ENTRY'!$B$7:$B$1203,$B248,'DAILY ENTRY'!$D$7:$D$1203,"Engagement (commented on someone else)"))</f>
        <v/>
      </c>
      <c r="L248" s="107" t="str">
        <f aca="false">IF($A248="","",SUMIFS('DAILY ENTRY'!$F$7:$F$1203,'DAILY ENTRY'!$A$7:$A$1203,$A248,'DAILY ENTRY'!$B$7:$B$1203,$B248,'DAILY ENTRY'!$D$7:$D$1203,"Account created / profile completed"))</f>
        <v/>
      </c>
      <c r="M248" s="108" t="str">
        <f aca="false">IF($A248="","",IFERROR(INDEX('DAILY ENTRY'!$E$7:$E$1203,MATCH(1,INDEX(('DAILY ENTRY'!$A$7:$A$1203=$A248)*('DAILY ENTRY'!$B$7:$B$1203=$B248)*('DAILY ENTRY'!$I$7:$I$1203="Meeting booked"),0),0)),IFERROR(INDEX('DAILY ENTRY'!$E$7:$E$1203,MATCH(1,INDEX(('DAILY ENTRY'!$A$7:$A$1203=$A248)*('DAILY ENTRY'!$B$7:$B$1203=$B248)*('DAILY ENTRY'!$I$7:$I$1203="Positive reply"),0),0)),"")))</f>
        <v/>
      </c>
      <c r="N248" s="108" t="str">
        <f aca="false">IF($A248="","",IFERROR(INDEX('DAILY ENTRY'!$J$7:$J$1203,MATCH(1,INDEX(('DAILY ENTRY'!$A$7:$A$1203=$A248)*('DAILY ENTRY'!$B$7:$B$1203=$B248)*('DAILY ENTRY'!$I$7:$I$1203="Blocked"),0),0)),""))</f>
        <v/>
      </c>
      <c r="O248" s="65" t="str">
        <f aca="false">IF($A248="","",(D248&gt;='START HERE'!$B$25)+(E248&gt;='START HERE'!$B$26)+(F248&gt;='START HERE'!$B$27)+(G248&gt;='START HERE'!$B$28)+(H248&gt;='START HERE'!$B$29)+(I248&gt;='START HERE'!$B$30)+(J248&gt;='START HERE'!$B$31)+(K248&gt;='START HERE'!$B$32))</f>
        <v/>
      </c>
      <c r="P248" s="46" t="str">
        <f aca="false">IF($A248="","",IF(O248&gt;=7,"Full day",IF(O248&gt;=5,"Most targets met",IF(O248&gt;=3,"Half day","Below plan - explain in the blocker column"))))</f>
        <v/>
      </c>
    </row>
    <row r="249" customFormat="false" ht="24" hidden="false" customHeight="true" outlineLevel="0" collapsed="false">
      <c r="A249" s="36"/>
      <c r="B249" s="37"/>
      <c r="C249" s="107" t="str">
        <f aca="false">IF($A249="","",ROUND(SUMIFS('DAILY ENTRY'!$G$7:$G$1203,'DAILY ENTRY'!$A$7:$A$1203,$A249,'DAILY ENTRY'!$B$7:$B$1203,$B249)/60,1))</f>
        <v/>
      </c>
      <c r="D249" s="107" t="str">
        <f aca="false">IF($A249="","",SUMIFS('DAILY ENTRY'!$F$7:$F$1203,'DAILY ENTRY'!$A$7:$A$1203,$A249,'DAILY ENTRY'!$B$7:$B$1203,$B249,'DAILY ENTRY'!$D$7:$D$1203,"Lead researched (Sales Navigator)"))</f>
        <v/>
      </c>
      <c r="E249" s="107" t="str">
        <f aca="false">IF($A249="","",SUMIFS('DAILY ENTRY'!$F$7:$F$1203,'DAILY ENTRY'!$A$7:$A$1203,$A249,'DAILY ENTRY'!$B$7:$B$1203,$B249,'DAILY ENTRY'!$D$7:$D$1203,"Connection request sent"))</f>
        <v/>
      </c>
      <c r="F249" s="107" t="str">
        <f aca="false">IF($A249="","",SUMIFS('DAILY ENTRY'!$F$7:$F$1203,'DAILY ENTRY'!$A$7:$A$1203,$A249,'DAILY ENTRY'!$B$7:$B$1203,$B249,'DAILY ENTRY'!$D$7:$D$1203,"First message sent"))</f>
        <v/>
      </c>
      <c r="G249" s="107" t="str">
        <f aca="false">IF($A249="","",SUMIFS('DAILY ENTRY'!$F$7:$F$1203,'DAILY ENTRY'!$A$7:$A$1203,$A249,'DAILY ENTRY'!$B$7:$B$1203,$B249,'DAILY ENTRY'!$D$7:$D$1203,"Follow-up message sent"))</f>
        <v/>
      </c>
      <c r="H249" s="107" t="str">
        <f aca="false">IF($A249="","",SUMIFS('DAILY ENTRY'!$F$7:$F$1203,'DAILY ENTRY'!$A$7:$A$1203,$A249,'DAILY ENTRY'!$B$7:$B$1203,$B249,'DAILY ENTRY'!$D$7:$D$1203,"Post / content published"))</f>
        <v/>
      </c>
      <c r="I249" s="107" t="str">
        <f aca="false">IF($A249="","",SUMIFS('DAILY ENTRY'!$F$7:$F$1203,'DAILY ENTRY'!$A$7:$A$1203,$A249,'DAILY ENTRY'!$B$7:$B$1203,$B249,'DAILY ENTRY'!$D$7:$D$1203,"Community answer or comment"))</f>
        <v/>
      </c>
      <c r="J249" s="107" t="str">
        <f aca="false">IF($A249="","",SUMIFS('DAILY ENTRY'!$F$7:$F$1203,'DAILY ENTRY'!$A$7:$A$1203,$A249,'DAILY ENTRY'!$B$7:$B$1203,$B249,'DAILY ENTRY'!$D$7:$D$1203,"Partnership / PR contact"))</f>
        <v/>
      </c>
      <c r="K249" s="107" t="str">
        <f aca="false">IF($A249="","",SUMIFS('DAILY ENTRY'!$F$7:$F$1203,'DAILY ENTRY'!$A$7:$A$1203,$A249,'DAILY ENTRY'!$B$7:$B$1203,$B249,'DAILY ENTRY'!$D$7:$D$1203,"Engagement (commented on someone else)"))</f>
        <v/>
      </c>
      <c r="L249" s="107" t="str">
        <f aca="false">IF($A249="","",SUMIFS('DAILY ENTRY'!$F$7:$F$1203,'DAILY ENTRY'!$A$7:$A$1203,$A249,'DAILY ENTRY'!$B$7:$B$1203,$B249,'DAILY ENTRY'!$D$7:$D$1203,"Account created / profile completed"))</f>
        <v/>
      </c>
      <c r="M249" s="108" t="str">
        <f aca="false">IF($A249="","",IFERROR(INDEX('DAILY ENTRY'!$E$7:$E$1203,MATCH(1,INDEX(('DAILY ENTRY'!$A$7:$A$1203=$A249)*('DAILY ENTRY'!$B$7:$B$1203=$B249)*('DAILY ENTRY'!$I$7:$I$1203="Meeting booked"),0),0)),IFERROR(INDEX('DAILY ENTRY'!$E$7:$E$1203,MATCH(1,INDEX(('DAILY ENTRY'!$A$7:$A$1203=$A249)*('DAILY ENTRY'!$B$7:$B$1203=$B249)*('DAILY ENTRY'!$I$7:$I$1203="Positive reply"),0),0)),"")))</f>
        <v/>
      </c>
      <c r="N249" s="108" t="str">
        <f aca="false">IF($A249="","",IFERROR(INDEX('DAILY ENTRY'!$J$7:$J$1203,MATCH(1,INDEX(('DAILY ENTRY'!$A$7:$A$1203=$A249)*('DAILY ENTRY'!$B$7:$B$1203=$B249)*('DAILY ENTRY'!$I$7:$I$1203="Blocked"),0),0)),""))</f>
        <v/>
      </c>
      <c r="O249" s="65" t="str">
        <f aca="false">IF($A249="","",(D249&gt;='START HERE'!$B$25)+(E249&gt;='START HERE'!$B$26)+(F249&gt;='START HERE'!$B$27)+(G249&gt;='START HERE'!$B$28)+(H249&gt;='START HERE'!$B$29)+(I249&gt;='START HERE'!$B$30)+(J249&gt;='START HERE'!$B$31)+(K249&gt;='START HERE'!$B$32))</f>
        <v/>
      </c>
      <c r="P249" s="46" t="str">
        <f aca="false">IF($A249="","",IF(O249&gt;=7,"Full day",IF(O249&gt;=5,"Most targets met",IF(O249&gt;=3,"Half day","Below plan - explain in the blocker column"))))</f>
        <v/>
      </c>
    </row>
    <row r="250" customFormat="false" ht="24" hidden="false" customHeight="true" outlineLevel="0" collapsed="false">
      <c r="A250" s="36"/>
      <c r="B250" s="37"/>
      <c r="C250" s="107" t="str">
        <f aca="false">IF($A250="","",ROUND(SUMIFS('DAILY ENTRY'!$G$7:$G$1203,'DAILY ENTRY'!$A$7:$A$1203,$A250,'DAILY ENTRY'!$B$7:$B$1203,$B250)/60,1))</f>
        <v/>
      </c>
      <c r="D250" s="107" t="str">
        <f aca="false">IF($A250="","",SUMIFS('DAILY ENTRY'!$F$7:$F$1203,'DAILY ENTRY'!$A$7:$A$1203,$A250,'DAILY ENTRY'!$B$7:$B$1203,$B250,'DAILY ENTRY'!$D$7:$D$1203,"Lead researched (Sales Navigator)"))</f>
        <v/>
      </c>
      <c r="E250" s="107" t="str">
        <f aca="false">IF($A250="","",SUMIFS('DAILY ENTRY'!$F$7:$F$1203,'DAILY ENTRY'!$A$7:$A$1203,$A250,'DAILY ENTRY'!$B$7:$B$1203,$B250,'DAILY ENTRY'!$D$7:$D$1203,"Connection request sent"))</f>
        <v/>
      </c>
      <c r="F250" s="107" t="str">
        <f aca="false">IF($A250="","",SUMIFS('DAILY ENTRY'!$F$7:$F$1203,'DAILY ENTRY'!$A$7:$A$1203,$A250,'DAILY ENTRY'!$B$7:$B$1203,$B250,'DAILY ENTRY'!$D$7:$D$1203,"First message sent"))</f>
        <v/>
      </c>
      <c r="G250" s="107" t="str">
        <f aca="false">IF($A250="","",SUMIFS('DAILY ENTRY'!$F$7:$F$1203,'DAILY ENTRY'!$A$7:$A$1203,$A250,'DAILY ENTRY'!$B$7:$B$1203,$B250,'DAILY ENTRY'!$D$7:$D$1203,"Follow-up message sent"))</f>
        <v/>
      </c>
      <c r="H250" s="107" t="str">
        <f aca="false">IF($A250="","",SUMIFS('DAILY ENTRY'!$F$7:$F$1203,'DAILY ENTRY'!$A$7:$A$1203,$A250,'DAILY ENTRY'!$B$7:$B$1203,$B250,'DAILY ENTRY'!$D$7:$D$1203,"Post / content published"))</f>
        <v/>
      </c>
      <c r="I250" s="107" t="str">
        <f aca="false">IF($A250="","",SUMIFS('DAILY ENTRY'!$F$7:$F$1203,'DAILY ENTRY'!$A$7:$A$1203,$A250,'DAILY ENTRY'!$B$7:$B$1203,$B250,'DAILY ENTRY'!$D$7:$D$1203,"Community answer or comment"))</f>
        <v/>
      </c>
      <c r="J250" s="107" t="str">
        <f aca="false">IF($A250="","",SUMIFS('DAILY ENTRY'!$F$7:$F$1203,'DAILY ENTRY'!$A$7:$A$1203,$A250,'DAILY ENTRY'!$B$7:$B$1203,$B250,'DAILY ENTRY'!$D$7:$D$1203,"Partnership / PR contact"))</f>
        <v/>
      </c>
      <c r="K250" s="107" t="str">
        <f aca="false">IF($A250="","",SUMIFS('DAILY ENTRY'!$F$7:$F$1203,'DAILY ENTRY'!$A$7:$A$1203,$A250,'DAILY ENTRY'!$B$7:$B$1203,$B250,'DAILY ENTRY'!$D$7:$D$1203,"Engagement (commented on someone else)"))</f>
        <v/>
      </c>
      <c r="L250" s="107" t="str">
        <f aca="false">IF($A250="","",SUMIFS('DAILY ENTRY'!$F$7:$F$1203,'DAILY ENTRY'!$A$7:$A$1203,$A250,'DAILY ENTRY'!$B$7:$B$1203,$B250,'DAILY ENTRY'!$D$7:$D$1203,"Account created / profile completed"))</f>
        <v/>
      </c>
      <c r="M250" s="108" t="str">
        <f aca="false">IF($A250="","",IFERROR(INDEX('DAILY ENTRY'!$E$7:$E$1203,MATCH(1,INDEX(('DAILY ENTRY'!$A$7:$A$1203=$A250)*('DAILY ENTRY'!$B$7:$B$1203=$B250)*('DAILY ENTRY'!$I$7:$I$1203="Meeting booked"),0),0)),IFERROR(INDEX('DAILY ENTRY'!$E$7:$E$1203,MATCH(1,INDEX(('DAILY ENTRY'!$A$7:$A$1203=$A250)*('DAILY ENTRY'!$B$7:$B$1203=$B250)*('DAILY ENTRY'!$I$7:$I$1203="Positive reply"),0),0)),"")))</f>
        <v/>
      </c>
      <c r="N250" s="108" t="str">
        <f aca="false">IF($A250="","",IFERROR(INDEX('DAILY ENTRY'!$J$7:$J$1203,MATCH(1,INDEX(('DAILY ENTRY'!$A$7:$A$1203=$A250)*('DAILY ENTRY'!$B$7:$B$1203=$B250)*('DAILY ENTRY'!$I$7:$I$1203="Blocked"),0),0)),""))</f>
        <v/>
      </c>
      <c r="O250" s="65" t="str">
        <f aca="false">IF($A250="","",(D250&gt;='START HERE'!$B$25)+(E250&gt;='START HERE'!$B$26)+(F250&gt;='START HERE'!$B$27)+(G250&gt;='START HERE'!$B$28)+(H250&gt;='START HERE'!$B$29)+(I250&gt;='START HERE'!$B$30)+(J250&gt;='START HERE'!$B$31)+(K250&gt;='START HERE'!$B$32))</f>
        <v/>
      </c>
      <c r="P250" s="46" t="str">
        <f aca="false">IF($A250="","",IF(O250&gt;=7,"Full day",IF(O250&gt;=5,"Most targets met",IF(O250&gt;=3,"Half day","Below plan - explain in the blocker column"))))</f>
        <v/>
      </c>
    </row>
    <row r="251" customFormat="false" ht="24" hidden="false" customHeight="true" outlineLevel="0" collapsed="false">
      <c r="A251" s="36"/>
      <c r="B251" s="37"/>
      <c r="C251" s="107" t="str">
        <f aca="false">IF($A251="","",ROUND(SUMIFS('DAILY ENTRY'!$G$7:$G$1203,'DAILY ENTRY'!$A$7:$A$1203,$A251,'DAILY ENTRY'!$B$7:$B$1203,$B251)/60,1))</f>
        <v/>
      </c>
      <c r="D251" s="107" t="str">
        <f aca="false">IF($A251="","",SUMIFS('DAILY ENTRY'!$F$7:$F$1203,'DAILY ENTRY'!$A$7:$A$1203,$A251,'DAILY ENTRY'!$B$7:$B$1203,$B251,'DAILY ENTRY'!$D$7:$D$1203,"Lead researched (Sales Navigator)"))</f>
        <v/>
      </c>
      <c r="E251" s="107" t="str">
        <f aca="false">IF($A251="","",SUMIFS('DAILY ENTRY'!$F$7:$F$1203,'DAILY ENTRY'!$A$7:$A$1203,$A251,'DAILY ENTRY'!$B$7:$B$1203,$B251,'DAILY ENTRY'!$D$7:$D$1203,"Connection request sent"))</f>
        <v/>
      </c>
      <c r="F251" s="107" t="str">
        <f aca="false">IF($A251="","",SUMIFS('DAILY ENTRY'!$F$7:$F$1203,'DAILY ENTRY'!$A$7:$A$1203,$A251,'DAILY ENTRY'!$B$7:$B$1203,$B251,'DAILY ENTRY'!$D$7:$D$1203,"First message sent"))</f>
        <v/>
      </c>
      <c r="G251" s="107" t="str">
        <f aca="false">IF($A251="","",SUMIFS('DAILY ENTRY'!$F$7:$F$1203,'DAILY ENTRY'!$A$7:$A$1203,$A251,'DAILY ENTRY'!$B$7:$B$1203,$B251,'DAILY ENTRY'!$D$7:$D$1203,"Follow-up message sent"))</f>
        <v/>
      </c>
      <c r="H251" s="107" t="str">
        <f aca="false">IF($A251="","",SUMIFS('DAILY ENTRY'!$F$7:$F$1203,'DAILY ENTRY'!$A$7:$A$1203,$A251,'DAILY ENTRY'!$B$7:$B$1203,$B251,'DAILY ENTRY'!$D$7:$D$1203,"Post / content published"))</f>
        <v/>
      </c>
      <c r="I251" s="107" t="str">
        <f aca="false">IF($A251="","",SUMIFS('DAILY ENTRY'!$F$7:$F$1203,'DAILY ENTRY'!$A$7:$A$1203,$A251,'DAILY ENTRY'!$B$7:$B$1203,$B251,'DAILY ENTRY'!$D$7:$D$1203,"Community answer or comment"))</f>
        <v/>
      </c>
      <c r="J251" s="107" t="str">
        <f aca="false">IF($A251="","",SUMIFS('DAILY ENTRY'!$F$7:$F$1203,'DAILY ENTRY'!$A$7:$A$1203,$A251,'DAILY ENTRY'!$B$7:$B$1203,$B251,'DAILY ENTRY'!$D$7:$D$1203,"Partnership / PR contact"))</f>
        <v/>
      </c>
      <c r="K251" s="107" t="str">
        <f aca="false">IF($A251="","",SUMIFS('DAILY ENTRY'!$F$7:$F$1203,'DAILY ENTRY'!$A$7:$A$1203,$A251,'DAILY ENTRY'!$B$7:$B$1203,$B251,'DAILY ENTRY'!$D$7:$D$1203,"Engagement (commented on someone else)"))</f>
        <v/>
      </c>
      <c r="L251" s="107" t="str">
        <f aca="false">IF($A251="","",SUMIFS('DAILY ENTRY'!$F$7:$F$1203,'DAILY ENTRY'!$A$7:$A$1203,$A251,'DAILY ENTRY'!$B$7:$B$1203,$B251,'DAILY ENTRY'!$D$7:$D$1203,"Account created / profile completed"))</f>
        <v/>
      </c>
      <c r="M251" s="108" t="str">
        <f aca="false">IF($A251="","",IFERROR(INDEX('DAILY ENTRY'!$E$7:$E$1203,MATCH(1,INDEX(('DAILY ENTRY'!$A$7:$A$1203=$A251)*('DAILY ENTRY'!$B$7:$B$1203=$B251)*('DAILY ENTRY'!$I$7:$I$1203="Meeting booked"),0),0)),IFERROR(INDEX('DAILY ENTRY'!$E$7:$E$1203,MATCH(1,INDEX(('DAILY ENTRY'!$A$7:$A$1203=$A251)*('DAILY ENTRY'!$B$7:$B$1203=$B251)*('DAILY ENTRY'!$I$7:$I$1203="Positive reply"),0),0)),"")))</f>
        <v/>
      </c>
      <c r="N251" s="108" t="str">
        <f aca="false">IF($A251="","",IFERROR(INDEX('DAILY ENTRY'!$J$7:$J$1203,MATCH(1,INDEX(('DAILY ENTRY'!$A$7:$A$1203=$A251)*('DAILY ENTRY'!$B$7:$B$1203=$B251)*('DAILY ENTRY'!$I$7:$I$1203="Blocked"),0),0)),""))</f>
        <v/>
      </c>
      <c r="O251" s="65" t="str">
        <f aca="false">IF($A251="","",(D251&gt;='START HERE'!$B$25)+(E251&gt;='START HERE'!$B$26)+(F251&gt;='START HERE'!$B$27)+(G251&gt;='START HERE'!$B$28)+(H251&gt;='START HERE'!$B$29)+(I251&gt;='START HERE'!$B$30)+(J251&gt;='START HERE'!$B$31)+(K251&gt;='START HERE'!$B$32))</f>
        <v/>
      </c>
      <c r="P251" s="46" t="str">
        <f aca="false">IF($A251="","",IF(O251&gt;=7,"Full day",IF(O251&gt;=5,"Most targets met",IF(O251&gt;=3,"Half day","Below plan - explain in the blocker column"))))</f>
        <v/>
      </c>
    </row>
    <row r="252" customFormat="false" ht="24" hidden="false" customHeight="true" outlineLevel="0" collapsed="false">
      <c r="A252" s="36"/>
      <c r="B252" s="37"/>
      <c r="C252" s="107" t="str">
        <f aca="false">IF($A252="","",ROUND(SUMIFS('DAILY ENTRY'!$G$7:$G$1203,'DAILY ENTRY'!$A$7:$A$1203,$A252,'DAILY ENTRY'!$B$7:$B$1203,$B252)/60,1))</f>
        <v/>
      </c>
      <c r="D252" s="107" t="str">
        <f aca="false">IF($A252="","",SUMIFS('DAILY ENTRY'!$F$7:$F$1203,'DAILY ENTRY'!$A$7:$A$1203,$A252,'DAILY ENTRY'!$B$7:$B$1203,$B252,'DAILY ENTRY'!$D$7:$D$1203,"Lead researched (Sales Navigator)"))</f>
        <v/>
      </c>
      <c r="E252" s="107" t="str">
        <f aca="false">IF($A252="","",SUMIFS('DAILY ENTRY'!$F$7:$F$1203,'DAILY ENTRY'!$A$7:$A$1203,$A252,'DAILY ENTRY'!$B$7:$B$1203,$B252,'DAILY ENTRY'!$D$7:$D$1203,"Connection request sent"))</f>
        <v/>
      </c>
      <c r="F252" s="107" t="str">
        <f aca="false">IF($A252="","",SUMIFS('DAILY ENTRY'!$F$7:$F$1203,'DAILY ENTRY'!$A$7:$A$1203,$A252,'DAILY ENTRY'!$B$7:$B$1203,$B252,'DAILY ENTRY'!$D$7:$D$1203,"First message sent"))</f>
        <v/>
      </c>
      <c r="G252" s="107" t="str">
        <f aca="false">IF($A252="","",SUMIFS('DAILY ENTRY'!$F$7:$F$1203,'DAILY ENTRY'!$A$7:$A$1203,$A252,'DAILY ENTRY'!$B$7:$B$1203,$B252,'DAILY ENTRY'!$D$7:$D$1203,"Follow-up message sent"))</f>
        <v/>
      </c>
      <c r="H252" s="107" t="str">
        <f aca="false">IF($A252="","",SUMIFS('DAILY ENTRY'!$F$7:$F$1203,'DAILY ENTRY'!$A$7:$A$1203,$A252,'DAILY ENTRY'!$B$7:$B$1203,$B252,'DAILY ENTRY'!$D$7:$D$1203,"Post / content published"))</f>
        <v/>
      </c>
      <c r="I252" s="107" t="str">
        <f aca="false">IF($A252="","",SUMIFS('DAILY ENTRY'!$F$7:$F$1203,'DAILY ENTRY'!$A$7:$A$1203,$A252,'DAILY ENTRY'!$B$7:$B$1203,$B252,'DAILY ENTRY'!$D$7:$D$1203,"Community answer or comment"))</f>
        <v/>
      </c>
      <c r="J252" s="107" t="str">
        <f aca="false">IF($A252="","",SUMIFS('DAILY ENTRY'!$F$7:$F$1203,'DAILY ENTRY'!$A$7:$A$1203,$A252,'DAILY ENTRY'!$B$7:$B$1203,$B252,'DAILY ENTRY'!$D$7:$D$1203,"Partnership / PR contact"))</f>
        <v/>
      </c>
      <c r="K252" s="107" t="str">
        <f aca="false">IF($A252="","",SUMIFS('DAILY ENTRY'!$F$7:$F$1203,'DAILY ENTRY'!$A$7:$A$1203,$A252,'DAILY ENTRY'!$B$7:$B$1203,$B252,'DAILY ENTRY'!$D$7:$D$1203,"Engagement (commented on someone else)"))</f>
        <v/>
      </c>
      <c r="L252" s="107" t="str">
        <f aca="false">IF($A252="","",SUMIFS('DAILY ENTRY'!$F$7:$F$1203,'DAILY ENTRY'!$A$7:$A$1203,$A252,'DAILY ENTRY'!$B$7:$B$1203,$B252,'DAILY ENTRY'!$D$7:$D$1203,"Account created / profile completed"))</f>
        <v/>
      </c>
      <c r="M252" s="108" t="str">
        <f aca="false">IF($A252="","",IFERROR(INDEX('DAILY ENTRY'!$E$7:$E$1203,MATCH(1,INDEX(('DAILY ENTRY'!$A$7:$A$1203=$A252)*('DAILY ENTRY'!$B$7:$B$1203=$B252)*('DAILY ENTRY'!$I$7:$I$1203="Meeting booked"),0),0)),IFERROR(INDEX('DAILY ENTRY'!$E$7:$E$1203,MATCH(1,INDEX(('DAILY ENTRY'!$A$7:$A$1203=$A252)*('DAILY ENTRY'!$B$7:$B$1203=$B252)*('DAILY ENTRY'!$I$7:$I$1203="Positive reply"),0),0)),"")))</f>
        <v/>
      </c>
      <c r="N252" s="108" t="str">
        <f aca="false">IF($A252="","",IFERROR(INDEX('DAILY ENTRY'!$J$7:$J$1203,MATCH(1,INDEX(('DAILY ENTRY'!$A$7:$A$1203=$A252)*('DAILY ENTRY'!$B$7:$B$1203=$B252)*('DAILY ENTRY'!$I$7:$I$1203="Blocked"),0),0)),""))</f>
        <v/>
      </c>
      <c r="O252" s="65" t="str">
        <f aca="false">IF($A252="","",(D252&gt;='START HERE'!$B$25)+(E252&gt;='START HERE'!$B$26)+(F252&gt;='START HERE'!$B$27)+(G252&gt;='START HERE'!$B$28)+(H252&gt;='START HERE'!$B$29)+(I252&gt;='START HERE'!$B$30)+(J252&gt;='START HERE'!$B$31)+(K252&gt;='START HERE'!$B$32))</f>
        <v/>
      </c>
      <c r="P252" s="46" t="str">
        <f aca="false">IF($A252="","",IF(O252&gt;=7,"Full day",IF(O252&gt;=5,"Most targets met",IF(O252&gt;=3,"Half day","Below plan - explain in the blocker column"))))</f>
        <v/>
      </c>
    </row>
    <row r="253" customFormat="false" ht="24" hidden="false" customHeight="true" outlineLevel="0" collapsed="false">
      <c r="A253" s="36"/>
      <c r="B253" s="37"/>
      <c r="C253" s="107" t="str">
        <f aca="false">IF($A253="","",ROUND(SUMIFS('DAILY ENTRY'!$G$7:$G$1203,'DAILY ENTRY'!$A$7:$A$1203,$A253,'DAILY ENTRY'!$B$7:$B$1203,$B253)/60,1))</f>
        <v/>
      </c>
      <c r="D253" s="107" t="str">
        <f aca="false">IF($A253="","",SUMIFS('DAILY ENTRY'!$F$7:$F$1203,'DAILY ENTRY'!$A$7:$A$1203,$A253,'DAILY ENTRY'!$B$7:$B$1203,$B253,'DAILY ENTRY'!$D$7:$D$1203,"Lead researched (Sales Navigator)"))</f>
        <v/>
      </c>
      <c r="E253" s="107" t="str">
        <f aca="false">IF($A253="","",SUMIFS('DAILY ENTRY'!$F$7:$F$1203,'DAILY ENTRY'!$A$7:$A$1203,$A253,'DAILY ENTRY'!$B$7:$B$1203,$B253,'DAILY ENTRY'!$D$7:$D$1203,"Connection request sent"))</f>
        <v/>
      </c>
      <c r="F253" s="107" t="str">
        <f aca="false">IF($A253="","",SUMIFS('DAILY ENTRY'!$F$7:$F$1203,'DAILY ENTRY'!$A$7:$A$1203,$A253,'DAILY ENTRY'!$B$7:$B$1203,$B253,'DAILY ENTRY'!$D$7:$D$1203,"First message sent"))</f>
        <v/>
      </c>
      <c r="G253" s="107" t="str">
        <f aca="false">IF($A253="","",SUMIFS('DAILY ENTRY'!$F$7:$F$1203,'DAILY ENTRY'!$A$7:$A$1203,$A253,'DAILY ENTRY'!$B$7:$B$1203,$B253,'DAILY ENTRY'!$D$7:$D$1203,"Follow-up message sent"))</f>
        <v/>
      </c>
      <c r="H253" s="107" t="str">
        <f aca="false">IF($A253="","",SUMIFS('DAILY ENTRY'!$F$7:$F$1203,'DAILY ENTRY'!$A$7:$A$1203,$A253,'DAILY ENTRY'!$B$7:$B$1203,$B253,'DAILY ENTRY'!$D$7:$D$1203,"Post / content published"))</f>
        <v/>
      </c>
      <c r="I253" s="107" t="str">
        <f aca="false">IF($A253="","",SUMIFS('DAILY ENTRY'!$F$7:$F$1203,'DAILY ENTRY'!$A$7:$A$1203,$A253,'DAILY ENTRY'!$B$7:$B$1203,$B253,'DAILY ENTRY'!$D$7:$D$1203,"Community answer or comment"))</f>
        <v/>
      </c>
      <c r="J253" s="107" t="str">
        <f aca="false">IF($A253="","",SUMIFS('DAILY ENTRY'!$F$7:$F$1203,'DAILY ENTRY'!$A$7:$A$1203,$A253,'DAILY ENTRY'!$B$7:$B$1203,$B253,'DAILY ENTRY'!$D$7:$D$1203,"Partnership / PR contact"))</f>
        <v/>
      </c>
      <c r="K253" s="107" t="str">
        <f aca="false">IF($A253="","",SUMIFS('DAILY ENTRY'!$F$7:$F$1203,'DAILY ENTRY'!$A$7:$A$1203,$A253,'DAILY ENTRY'!$B$7:$B$1203,$B253,'DAILY ENTRY'!$D$7:$D$1203,"Engagement (commented on someone else)"))</f>
        <v/>
      </c>
      <c r="L253" s="107" t="str">
        <f aca="false">IF($A253="","",SUMIFS('DAILY ENTRY'!$F$7:$F$1203,'DAILY ENTRY'!$A$7:$A$1203,$A253,'DAILY ENTRY'!$B$7:$B$1203,$B253,'DAILY ENTRY'!$D$7:$D$1203,"Account created / profile completed"))</f>
        <v/>
      </c>
      <c r="M253" s="108" t="str">
        <f aca="false">IF($A253="","",IFERROR(INDEX('DAILY ENTRY'!$E$7:$E$1203,MATCH(1,INDEX(('DAILY ENTRY'!$A$7:$A$1203=$A253)*('DAILY ENTRY'!$B$7:$B$1203=$B253)*('DAILY ENTRY'!$I$7:$I$1203="Meeting booked"),0),0)),IFERROR(INDEX('DAILY ENTRY'!$E$7:$E$1203,MATCH(1,INDEX(('DAILY ENTRY'!$A$7:$A$1203=$A253)*('DAILY ENTRY'!$B$7:$B$1203=$B253)*('DAILY ENTRY'!$I$7:$I$1203="Positive reply"),0),0)),"")))</f>
        <v/>
      </c>
      <c r="N253" s="108" t="str">
        <f aca="false">IF($A253="","",IFERROR(INDEX('DAILY ENTRY'!$J$7:$J$1203,MATCH(1,INDEX(('DAILY ENTRY'!$A$7:$A$1203=$A253)*('DAILY ENTRY'!$B$7:$B$1203=$B253)*('DAILY ENTRY'!$I$7:$I$1203="Blocked"),0),0)),""))</f>
        <v/>
      </c>
      <c r="O253" s="65" t="str">
        <f aca="false">IF($A253="","",(D253&gt;='START HERE'!$B$25)+(E253&gt;='START HERE'!$B$26)+(F253&gt;='START HERE'!$B$27)+(G253&gt;='START HERE'!$B$28)+(H253&gt;='START HERE'!$B$29)+(I253&gt;='START HERE'!$B$30)+(J253&gt;='START HERE'!$B$31)+(K253&gt;='START HERE'!$B$32))</f>
        <v/>
      </c>
      <c r="P253" s="46" t="str">
        <f aca="false">IF($A253="","",IF(O253&gt;=7,"Full day",IF(O253&gt;=5,"Most targets met",IF(O253&gt;=3,"Half day","Below plan - explain in the blocker column"))))</f>
        <v/>
      </c>
    </row>
    <row r="254" customFormat="false" ht="24" hidden="false" customHeight="true" outlineLevel="0" collapsed="false">
      <c r="A254" s="36"/>
      <c r="B254" s="37"/>
      <c r="C254" s="107" t="str">
        <f aca="false">IF($A254="","",ROUND(SUMIFS('DAILY ENTRY'!$G$7:$G$1203,'DAILY ENTRY'!$A$7:$A$1203,$A254,'DAILY ENTRY'!$B$7:$B$1203,$B254)/60,1))</f>
        <v/>
      </c>
      <c r="D254" s="107" t="str">
        <f aca="false">IF($A254="","",SUMIFS('DAILY ENTRY'!$F$7:$F$1203,'DAILY ENTRY'!$A$7:$A$1203,$A254,'DAILY ENTRY'!$B$7:$B$1203,$B254,'DAILY ENTRY'!$D$7:$D$1203,"Lead researched (Sales Navigator)"))</f>
        <v/>
      </c>
      <c r="E254" s="107" t="str">
        <f aca="false">IF($A254="","",SUMIFS('DAILY ENTRY'!$F$7:$F$1203,'DAILY ENTRY'!$A$7:$A$1203,$A254,'DAILY ENTRY'!$B$7:$B$1203,$B254,'DAILY ENTRY'!$D$7:$D$1203,"Connection request sent"))</f>
        <v/>
      </c>
      <c r="F254" s="107" t="str">
        <f aca="false">IF($A254="","",SUMIFS('DAILY ENTRY'!$F$7:$F$1203,'DAILY ENTRY'!$A$7:$A$1203,$A254,'DAILY ENTRY'!$B$7:$B$1203,$B254,'DAILY ENTRY'!$D$7:$D$1203,"First message sent"))</f>
        <v/>
      </c>
      <c r="G254" s="107" t="str">
        <f aca="false">IF($A254="","",SUMIFS('DAILY ENTRY'!$F$7:$F$1203,'DAILY ENTRY'!$A$7:$A$1203,$A254,'DAILY ENTRY'!$B$7:$B$1203,$B254,'DAILY ENTRY'!$D$7:$D$1203,"Follow-up message sent"))</f>
        <v/>
      </c>
      <c r="H254" s="107" t="str">
        <f aca="false">IF($A254="","",SUMIFS('DAILY ENTRY'!$F$7:$F$1203,'DAILY ENTRY'!$A$7:$A$1203,$A254,'DAILY ENTRY'!$B$7:$B$1203,$B254,'DAILY ENTRY'!$D$7:$D$1203,"Post / content published"))</f>
        <v/>
      </c>
      <c r="I254" s="107" t="str">
        <f aca="false">IF($A254="","",SUMIFS('DAILY ENTRY'!$F$7:$F$1203,'DAILY ENTRY'!$A$7:$A$1203,$A254,'DAILY ENTRY'!$B$7:$B$1203,$B254,'DAILY ENTRY'!$D$7:$D$1203,"Community answer or comment"))</f>
        <v/>
      </c>
      <c r="J254" s="107" t="str">
        <f aca="false">IF($A254="","",SUMIFS('DAILY ENTRY'!$F$7:$F$1203,'DAILY ENTRY'!$A$7:$A$1203,$A254,'DAILY ENTRY'!$B$7:$B$1203,$B254,'DAILY ENTRY'!$D$7:$D$1203,"Partnership / PR contact"))</f>
        <v/>
      </c>
      <c r="K254" s="107" t="str">
        <f aca="false">IF($A254="","",SUMIFS('DAILY ENTRY'!$F$7:$F$1203,'DAILY ENTRY'!$A$7:$A$1203,$A254,'DAILY ENTRY'!$B$7:$B$1203,$B254,'DAILY ENTRY'!$D$7:$D$1203,"Engagement (commented on someone else)"))</f>
        <v/>
      </c>
      <c r="L254" s="107" t="str">
        <f aca="false">IF($A254="","",SUMIFS('DAILY ENTRY'!$F$7:$F$1203,'DAILY ENTRY'!$A$7:$A$1203,$A254,'DAILY ENTRY'!$B$7:$B$1203,$B254,'DAILY ENTRY'!$D$7:$D$1203,"Account created / profile completed"))</f>
        <v/>
      </c>
      <c r="M254" s="108" t="str">
        <f aca="false">IF($A254="","",IFERROR(INDEX('DAILY ENTRY'!$E$7:$E$1203,MATCH(1,INDEX(('DAILY ENTRY'!$A$7:$A$1203=$A254)*('DAILY ENTRY'!$B$7:$B$1203=$B254)*('DAILY ENTRY'!$I$7:$I$1203="Meeting booked"),0),0)),IFERROR(INDEX('DAILY ENTRY'!$E$7:$E$1203,MATCH(1,INDEX(('DAILY ENTRY'!$A$7:$A$1203=$A254)*('DAILY ENTRY'!$B$7:$B$1203=$B254)*('DAILY ENTRY'!$I$7:$I$1203="Positive reply"),0),0)),"")))</f>
        <v/>
      </c>
      <c r="N254" s="108" t="str">
        <f aca="false">IF($A254="","",IFERROR(INDEX('DAILY ENTRY'!$J$7:$J$1203,MATCH(1,INDEX(('DAILY ENTRY'!$A$7:$A$1203=$A254)*('DAILY ENTRY'!$B$7:$B$1203=$B254)*('DAILY ENTRY'!$I$7:$I$1203="Blocked"),0),0)),""))</f>
        <v/>
      </c>
      <c r="O254" s="65" t="str">
        <f aca="false">IF($A254="","",(D254&gt;='START HERE'!$B$25)+(E254&gt;='START HERE'!$B$26)+(F254&gt;='START HERE'!$B$27)+(G254&gt;='START HERE'!$B$28)+(H254&gt;='START HERE'!$B$29)+(I254&gt;='START HERE'!$B$30)+(J254&gt;='START HERE'!$B$31)+(K254&gt;='START HERE'!$B$32))</f>
        <v/>
      </c>
      <c r="P254" s="46" t="str">
        <f aca="false">IF($A254="","",IF(O254&gt;=7,"Full day",IF(O254&gt;=5,"Most targets met",IF(O254&gt;=3,"Half day","Below plan - explain in the blocker column"))))</f>
        <v/>
      </c>
    </row>
    <row r="255" customFormat="false" ht="24" hidden="false" customHeight="true" outlineLevel="0" collapsed="false">
      <c r="A255" s="36"/>
      <c r="B255" s="37"/>
      <c r="C255" s="107" t="str">
        <f aca="false">IF($A255="","",ROUND(SUMIFS('DAILY ENTRY'!$G$7:$G$1203,'DAILY ENTRY'!$A$7:$A$1203,$A255,'DAILY ENTRY'!$B$7:$B$1203,$B255)/60,1))</f>
        <v/>
      </c>
      <c r="D255" s="107" t="str">
        <f aca="false">IF($A255="","",SUMIFS('DAILY ENTRY'!$F$7:$F$1203,'DAILY ENTRY'!$A$7:$A$1203,$A255,'DAILY ENTRY'!$B$7:$B$1203,$B255,'DAILY ENTRY'!$D$7:$D$1203,"Lead researched (Sales Navigator)"))</f>
        <v/>
      </c>
      <c r="E255" s="107" t="str">
        <f aca="false">IF($A255="","",SUMIFS('DAILY ENTRY'!$F$7:$F$1203,'DAILY ENTRY'!$A$7:$A$1203,$A255,'DAILY ENTRY'!$B$7:$B$1203,$B255,'DAILY ENTRY'!$D$7:$D$1203,"Connection request sent"))</f>
        <v/>
      </c>
      <c r="F255" s="107" t="str">
        <f aca="false">IF($A255="","",SUMIFS('DAILY ENTRY'!$F$7:$F$1203,'DAILY ENTRY'!$A$7:$A$1203,$A255,'DAILY ENTRY'!$B$7:$B$1203,$B255,'DAILY ENTRY'!$D$7:$D$1203,"First message sent"))</f>
        <v/>
      </c>
      <c r="G255" s="107" t="str">
        <f aca="false">IF($A255="","",SUMIFS('DAILY ENTRY'!$F$7:$F$1203,'DAILY ENTRY'!$A$7:$A$1203,$A255,'DAILY ENTRY'!$B$7:$B$1203,$B255,'DAILY ENTRY'!$D$7:$D$1203,"Follow-up message sent"))</f>
        <v/>
      </c>
      <c r="H255" s="107" t="str">
        <f aca="false">IF($A255="","",SUMIFS('DAILY ENTRY'!$F$7:$F$1203,'DAILY ENTRY'!$A$7:$A$1203,$A255,'DAILY ENTRY'!$B$7:$B$1203,$B255,'DAILY ENTRY'!$D$7:$D$1203,"Post / content published"))</f>
        <v/>
      </c>
      <c r="I255" s="107" t="str">
        <f aca="false">IF($A255="","",SUMIFS('DAILY ENTRY'!$F$7:$F$1203,'DAILY ENTRY'!$A$7:$A$1203,$A255,'DAILY ENTRY'!$B$7:$B$1203,$B255,'DAILY ENTRY'!$D$7:$D$1203,"Community answer or comment"))</f>
        <v/>
      </c>
      <c r="J255" s="107" t="str">
        <f aca="false">IF($A255="","",SUMIFS('DAILY ENTRY'!$F$7:$F$1203,'DAILY ENTRY'!$A$7:$A$1203,$A255,'DAILY ENTRY'!$B$7:$B$1203,$B255,'DAILY ENTRY'!$D$7:$D$1203,"Partnership / PR contact"))</f>
        <v/>
      </c>
      <c r="K255" s="107" t="str">
        <f aca="false">IF($A255="","",SUMIFS('DAILY ENTRY'!$F$7:$F$1203,'DAILY ENTRY'!$A$7:$A$1203,$A255,'DAILY ENTRY'!$B$7:$B$1203,$B255,'DAILY ENTRY'!$D$7:$D$1203,"Engagement (commented on someone else)"))</f>
        <v/>
      </c>
      <c r="L255" s="107" t="str">
        <f aca="false">IF($A255="","",SUMIFS('DAILY ENTRY'!$F$7:$F$1203,'DAILY ENTRY'!$A$7:$A$1203,$A255,'DAILY ENTRY'!$B$7:$B$1203,$B255,'DAILY ENTRY'!$D$7:$D$1203,"Account created / profile completed"))</f>
        <v/>
      </c>
      <c r="M255" s="108" t="str">
        <f aca="false">IF($A255="","",IFERROR(INDEX('DAILY ENTRY'!$E$7:$E$1203,MATCH(1,INDEX(('DAILY ENTRY'!$A$7:$A$1203=$A255)*('DAILY ENTRY'!$B$7:$B$1203=$B255)*('DAILY ENTRY'!$I$7:$I$1203="Meeting booked"),0),0)),IFERROR(INDEX('DAILY ENTRY'!$E$7:$E$1203,MATCH(1,INDEX(('DAILY ENTRY'!$A$7:$A$1203=$A255)*('DAILY ENTRY'!$B$7:$B$1203=$B255)*('DAILY ENTRY'!$I$7:$I$1203="Positive reply"),0),0)),"")))</f>
        <v/>
      </c>
      <c r="N255" s="108" t="str">
        <f aca="false">IF($A255="","",IFERROR(INDEX('DAILY ENTRY'!$J$7:$J$1203,MATCH(1,INDEX(('DAILY ENTRY'!$A$7:$A$1203=$A255)*('DAILY ENTRY'!$B$7:$B$1203=$B255)*('DAILY ENTRY'!$I$7:$I$1203="Blocked"),0),0)),""))</f>
        <v/>
      </c>
      <c r="O255" s="65" t="str">
        <f aca="false">IF($A255="","",(D255&gt;='START HERE'!$B$25)+(E255&gt;='START HERE'!$B$26)+(F255&gt;='START HERE'!$B$27)+(G255&gt;='START HERE'!$B$28)+(H255&gt;='START HERE'!$B$29)+(I255&gt;='START HERE'!$B$30)+(J255&gt;='START HERE'!$B$31)+(K255&gt;='START HERE'!$B$32))</f>
        <v/>
      </c>
      <c r="P255" s="46" t="str">
        <f aca="false">IF($A255="","",IF(O255&gt;=7,"Full day",IF(O255&gt;=5,"Most targets met",IF(O255&gt;=3,"Half day","Below plan - explain in the blocker column"))))</f>
        <v/>
      </c>
    </row>
    <row r="256" customFormat="false" ht="24" hidden="false" customHeight="true" outlineLevel="0" collapsed="false">
      <c r="A256" s="36"/>
      <c r="B256" s="37"/>
      <c r="C256" s="107" t="str">
        <f aca="false">IF($A256="","",ROUND(SUMIFS('DAILY ENTRY'!$G$7:$G$1203,'DAILY ENTRY'!$A$7:$A$1203,$A256,'DAILY ENTRY'!$B$7:$B$1203,$B256)/60,1))</f>
        <v/>
      </c>
      <c r="D256" s="107" t="str">
        <f aca="false">IF($A256="","",SUMIFS('DAILY ENTRY'!$F$7:$F$1203,'DAILY ENTRY'!$A$7:$A$1203,$A256,'DAILY ENTRY'!$B$7:$B$1203,$B256,'DAILY ENTRY'!$D$7:$D$1203,"Lead researched (Sales Navigator)"))</f>
        <v/>
      </c>
      <c r="E256" s="107" t="str">
        <f aca="false">IF($A256="","",SUMIFS('DAILY ENTRY'!$F$7:$F$1203,'DAILY ENTRY'!$A$7:$A$1203,$A256,'DAILY ENTRY'!$B$7:$B$1203,$B256,'DAILY ENTRY'!$D$7:$D$1203,"Connection request sent"))</f>
        <v/>
      </c>
      <c r="F256" s="107" t="str">
        <f aca="false">IF($A256="","",SUMIFS('DAILY ENTRY'!$F$7:$F$1203,'DAILY ENTRY'!$A$7:$A$1203,$A256,'DAILY ENTRY'!$B$7:$B$1203,$B256,'DAILY ENTRY'!$D$7:$D$1203,"First message sent"))</f>
        <v/>
      </c>
      <c r="G256" s="107" t="str">
        <f aca="false">IF($A256="","",SUMIFS('DAILY ENTRY'!$F$7:$F$1203,'DAILY ENTRY'!$A$7:$A$1203,$A256,'DAILY ENTRY'!$B$7:$B$1203,$B256,'DAILY ENTRY'!$D$7:$D$1203,"Follow-up message sent"))</f>
        <v/>
      </c>
      <c r="H256" s="107" t="str">
        <f aca="false">IF($A256="","",SUMIFS('DAILY ENTRY'!$F$7:$F$1203,'DAILY ENTRY'!$A$7:$A$1203,$A256,'DAILY ENTRY'!$B$7:$B$1203,$B256,'DAILY ENTRY'!$D$7:$D$1203,"Post / content published"))</f>
        <v/>
      </c>
      <c r="I256" s="107" t="str">
        <f aca="false">IF($A256="","",SUMIFS('DAILY ENTRY'!$F$7:$F$1203,'DAILY ENTRY'!$A$7:$A$1203,$A256,'DAILY ENTRY'!$B$7:$B$1203,$B256,'DAILY ENTRY'!$D$7:$D$1203,"Community answer or comment"))</f>
        <v/>
      </c>
      <c r="J256" s="107" t="str">
        <f aca="false">IF($A256="","",SUMIFS('DAILY ENTRY'!$F$7:$F$1203,'DAILY ENTRY'!$A$7:$A$1203,$A256,'DAILY ENTRY'!$B$7:$B$1203,$B256,'DAILY ENTRY'!$D$7:$D$1203,"Partnership / PR contact"))</f>
        <v/>
      </c>
      <c r="K256" s="107" t="str">
        <f aca="false">IF($A256="","",SUMIFS('DAILY ENTRY'!$F$7:$F$1203,'DAILY ENTRY'!$A$7:$A$1203,$A256,'DAILY ENTRY'!$B$7:$B$1203,$B256,'DAILY ENTRY'!$D$7:$D$1203,"Engagement (commented on someone else)"))</f>
        <v/>
      </c>
      <c r="L256" s="107" t="str">
        <f aca="false">IF($A256="","",SUMIFS('DAILY ENTRY'!$F$7:$F$1203,'DAILY ENTRY'!$A$7:$A$1203,$A256,'DAILY ENTRY'!$B$7:$B$1203,$B256,'DAILY ENTRY'!$D$7:$D$1203,"Account created / profile completed"))</f>
        <v/>
      </c>
      <c r="M256" s="108" t="str">
        <f aca="false">IF($A256="","",IFERROR(INDEX('DAILY ENTRY'!$E$7:$E$1203,MATCH(1,INDEX(('DAILY ENTRY'!$A$7:$A$1203=$A256)*('DAILY ENTRY'!$B$7:$B$1203=$B256)*('DAILY ENTRY'!$I$7:$I$1203="Meeting booked"),0),0)),IFERROR(INDEX('DAILY ENTRY'!$E$7:$E$1203,MATCH(1,INDEX(('DAILY ENTRY'!$A$7:$A$1203=$A256)*('DAILY ENTRY'!$B$7:$B$1203=$B256)*('DAILY ENTRY'!$I$7:$I$1203="Positive reply"),0),0)),"")))</f>
        <v/>
      </c>
      <c r="N256" s="108" t="str">
        <f aca="false">IF($A256="","",IFERROR(INDEX('DAILY ENTRY'!$J$7:$J$1203,MATCH(1,INDEX(('DAILY ENTRY'!$A$7:$A$1203=$A256)*('DAILY ENTRY'!$B$7:$B$1203=$B256)*('DAILY ENTRY'!$I$7:$I$1203="Blocked"),0),0)),""))</f>
        <v/>
      </c>
      <c r="O256" s="65" t="str">
        <f aca="false">IF($A256="","",(D256&gt;='START HERE'!$B$25)+(E256&gt;='START HERE'!$B$26)+(F256&gt;='START HERE'!$B$27)+(G256&gt;='START HERE'!$B$28)+(H256&gt;='START HERE'!$B$29)+(I256&gt;='START HERE'!$B$30)+(J256&gt;='START HERE'!$B$31)+(K256&gt;='START HERE'!$B$32))</f>
        <v/>
      </c>
      <c r="P256" s="46" t="str">
        <f aca="false">IF($A256="","",IF(O256&gt;=7,"Full day",IF(O256&gt;=5,"Most targets met",IF(O256&gt;=3,"Half day","Below plan - explain in the blocker column"))))</f>
        <v/>
      </c>
    </row>
    <row r="257" customFormat="false" ht="24" hidden="false" customHeight="true" outlineLevel="0" collapsed="false">
      <c r="A257" s="36"/>
      <c r="B257" s="37"/>
      <c r="C257" s="107" t="str">
        <f aca="false">IF($A257="","",ROUND(SUMIFS('DAILY ENTRY'!$G$7:$G$1203,'DAILY ENTRY'!$A$7:$A$1203,$A257,'DAILY ENTRY'!$B$7:$B$1203,$B257)/60,1))</f>
        <v/>
      </c>
      <c r="D257" s="107" t="str">
        <f aca="false">IF($A257="","",SUMIFS('DAILY ENTRY'!$F$7:$F$1203,'DAILY ENTRY'!$A$7:$A$1203,$A257,'DAILY ENTRY'!$B$7:$B$1203,$B257,'DAILY ENTRY'!$D$7:$D$1203,"Lead researched (Sales Navigator)"))</f>
        <v/>
      </c>
      <c r="E257" s="107" t="str">
        <f aca="false">IF($A257="","",SUMIFS('DAILY ENTRY'!$F$7:$F$1203,'DAILY ENTRY'!$A$7:$A$1203,$A257,'DAILY ENTRY'!$B$7:$B$1203,$B257,'DAILY ENTRY'!$D$7:$D$1203,"Connection request sent"))</f>
        <v/>
      </c>
      <c r="F257" s="107" t="str">
        <f aca="false">IF($A257="","",SUMIFS('DAILY ENTRY'!$F$7:$F$1203,'DAILY ENTRY'!$A$7:$A$1203,$A257,'DAILY ENTRY'!$B$7:$B$1203,$B257,'DAILY ENTRY'!$D$7:$D$1203,"First message sent"))</f>
        <v/>
      </c>
      <c r="G257" s="107" t="str">
        <f aca="false">IF($A257="","",SUMIFS('DAILY ENTRY'!$F$7:$F$1203,'DAILY ENTRY'!$A$7:$A$1203,$A257,'DAILY ENTRY'!$B$7:$B$1203,$B257,'DAILY ENTRY'!$D$7:$D$1203,"Follow-up message sent"))</f>
        <v/>
      </c>
      <c r="H257" s="107" t="str">
        <f aca="false">IF($A257="","",SUMIFS('DAILY ENTRY'!$F$7:$F$1203,'DAILY ENTRY'!$A$7:$A$1203,$A257,'DAILY ENTRY'!$B$7:$B$1203,$B257,'DAILY ENTRY'!$D$7:$D$1203,"Post / content published"))</f>
        <v/>
      </c>
      <c r="I257" s="107" t="str">
        <f aca="false">IF($A257="","",SUMIFS('DAILY ENTRY'!$F$7:$F$1203,'DAILY ENTRY'!$A$7:$A$1203,$A257,'DAILY ENTRY'!$B$7:$B$1203,$B257,'DAILY ENTRY'!$D$7:$D$1203,"Community answer or comment"))</f>
        <v/>
      </c>
      <c r="J257" s="107" t="str">
        <f aca="false">IF($A257="","",SUMIFS('DAILY ENTRY'!$F$7:$F$1203,'DAILY ENTRY'!$A$7:$A$1203,$A257,'DAILY ENTRY'!$B$7:$B$1203,$B257,'DAILY ENTRY'!$D$7:$D$1203,"Partnership / PR contact"))</f>
        <v/>
      </c>
      <c r="K257" s="107" t="str">
        <f aca="false">IF($A257="","",SUMIFS('DAILY ENTRY'!$F$7:$F$1203,'DAILY ENTRY'!$A$7:$A$1203,$A257,'DAILY ENTRY'!$B$7:$B$1203,$B257,'DAILY ENTRY'!$D$7:$D$1203,"Engagement (commented on someone else)"))</f>
        <v/>
      </c>
      <c r="L257" s="107" t="str">
        <f aca="false">IF($A257="","",SUMIFS('DAILY ENTRY'!$F$7:$F$1203,'DAILY ENTRY'!$A$7:$A$1203,$A257,'DAILY ENTRY'!$B$7:$B$1203,$B257,'DAILY ENTRY'!$D$7:$D$1203,"Account created / profile completed"))</f>
        <v/>
      </c>
      <c r="M257" s="108" t="str">
        <f aca="false">IF($A257="","",IFERROR(INDEX('DAILY ENTRY'!$E$7:$E$1203,MATCH(1,INDEX(('DAILY ENTRY'!$A$7:$A$1203=$A257)*('DAILY ENTRY'!$B$7:$B$1203=$B257)*('DAILY ENTRY'!$I$7:$I$1203="Meeting booked"),0),0)),IFERROR(INDEX('DAILY ENTRY'!$E$7:$E$1203,MATCH(1,INDEX(('DAILY ENTRY'!$A$7:$A$1203=$A257)*('DAILY ENTRY'!$B$7:$B$1203=$B257)*('DAILY ENTRY'!$I$7:$I$1203="Positive reply"),0),0)),"")))</f>
        <v/>
      </c>
      <c r="N257" s="108" t="str">
        <f aca="false">IF($A257="","",IFERROR(INDEX('DAILY ENTRY'!$J$7:$J$1203,MATCH(1,INDEX(('DAILY ENTRY'!$A$7:$A$1203=$A257)*('DAILY ENTRY'!$B$7:$B$1203=$B257)*('DAILY ENTRY'!$I$7:$I$1203="Blocked"),0),0)),""))</f>
        <v/>
      </c>
      <c r="O257" s="65" t="str">
        <f aca="false">IF($A257="","",(D257&gt;='START HERE'!$B$25)+(E257&gt;='START HERE'!$B$26)+(F257&gt;='START HERE'!$B$27)+(G257&gt;='START HERE'!$B$28)+(H257&gt;='START HERE'!$B$29)+(I257&gt;='START HERE'!$B$30)+(J257&gt;='START HERE'!$B$31)+(K257&gt;='START HERE'!$B$32))</f>
        <v/>
      </c>
      <c r="P257" s="46" t="str">
        <f aca="false">IF($A257="","",IF(O257&gt;=7,"Full day",IF(O257&gt;=5,"Most targets met",IF(O257&gt;=3,"Half day","Below plan - explain in the blocker column"))))</f>
        <v/>
      </c>
    </row>
    <row r="258" customFormat="false" ht="24" hidden="false" customHeight="true" outlineLevel="0" collapsed="false">
      <c r="A258" s="36"/>
      <c r="B258" s="37"/>
      <c r="C258" s="107" t="str">
        <f aca="false">IF($A258="","",ROUND(SUMIFS('DAILY ENTRY'!$G$7:$G$1203,'DAILY ENTRY'!$A$7:$A$1203,$A258,'DAILY ENTRY'!$B$7:$B$1203,$B258)/60,1))</f>
        <v/>
      </c>
      <c r="D258" s="107" t="str">
        <f aca="false">IF($A258="","",SUMIFS('DAILY ENTRY'!$F$7:$F$1203,'DAILY ENTRY'!$A$7:$A$1203,$A258,'DAILY ENTRY'!$B$7:$B$1203,$B258,'DAILY ENTRY'!$D$7:$D$1203,"Lead researched (Sales Navigator)"))</f>
        <v/>
      </c>
      <c r="E258" s="107" t="str">
        <f aca="false">IF($A258="","",SUMIFS('DAILY ENTRY'!$F$7:$F$1203,'DAILY ENTRY'!$A$7:$A$1203,$A258,'DAILY ENTRY'!$B$7:$B$1203,$B258,'DAILY ENTRY'!$D$7:$D$1203,"Connection request sent"))</f>
        <v/>
      </c>
      <c r="F258" s="107" t="str">
        <f aca="false">IF($A258="","",SUMIFS('DAILY ENTRY'!$F$7:$F$1203,'DAILY ENTRY'!$A$7:$A$1203,$A258,'DAILY ENTRY'!$B$7:$B$1203,$B258,'DAILY ENTRY'!$D$7:$D$1203,"First message sent"))</f>
        <v/>
      </c>
      <c r="G258" s="107" t="str">
        <f aca="false">IF($A258="","",SUMIFS('DAILY ENTRY'!$F$7:$F$1203,'DAILY ENTRY'!$A$7:$A$1203,$A258,'DAILY ENTRY'!$B$7:$B$1203,$B258,'DAILY ENTRY'!$D$7:$D$1203,"Follow-up message sent"))</f>
        <v/>
      </c>
      <c r="H258" s="107" t="str">
        <f aca="false">IF($A258="","",SUMIFS('DAILY ENTRY'!$F$7:$F$1203,'DAILY ENTRY'!$A$7:$A$1203,$A258,'DAILY ENTRY'!$B$7:$B$1203,$B258,'DAILY ENTRY'!$D$7:$D$1203,"Post / content published"))</f>
        <v/>
      </c>
      <c r="I258" s="107" t="str">
        <f aca="false">IF($A258="","",SUMIFS('DAILY ENTRY'!$F$7:$F$1203,'DAILY ENTRY'!$A$7:$A$1203,$A258,'DAILY ENTRY'!$B$7:$B$1203,$B258,'DAILY ENTRY'!$D$7:$D$1203,"Community answer or comment"))</f>
        <v/>
      </c>
      <c r="J258" s="107" t="str">
        <f aca="false">IF($A258="","",SUMIFS('DAILY ENTRY'!$F$7:$F$1203,'DAILY ENTRY'!$A$7:$A$1203,$A258,'DAILY ENTRY'!$B$7:$B$1203,$B258,'DAILY ENTRY'!$D$7:$D$1203,"Partnership / PR contact"))</f>
        <v/>
      </c>
      <c r="K258" s="107" t="str">
        <f aca="false">IF($A258="","",SUMIFS('DAILY ENTRY'!$F$7:$F$1203,'DAILY ENTRY'!$A$7:$A$1203,$A258,'DAILY ENTRY'!$B$7:$B$1203,$B258,'DAILY ENTRY'!$D$7:$D$1203,"Engagement (commented on someone else)"))</f>
        <v/>
      </c>
      <c r="L258" s="107" t="str">
        <f aca="false">IF($A258="","",SUMIFS('DAILY ENTRY'!$F$7:$F$1203,'DAILY ENTRY'!$A$7:$A$1203,$A258,'DAILY ENTRY'!$B$7:$B$1203,$B258,'DAILY ENTRY'!$D$7:$D$1203,"Account created / profile completed"))</f>
        <v/>
      </c>
      <c r="M258" s="108" t="str">
        <f aca="false">IF($A258="","",IFERROR(INDEX('DAILY ENTRY'!$E$7:$E$1203,MATCH(1,INDEX(('DAILY ENTRY'!$A$7:$A$1203=$A258)*('DAILY ENTRY'!$B$7:$B$1203=$B258)*('DAILY ENTRY'!$I$7:$I$1203="Meeting booked"),0),0)),IFERROR(INDEX('DAILY ENTRY'!$E$7:$E$1203,MATCH(1,INDEX(('DAILY ENTRY'!$A$7:$A$1203=$A258)*('DAILY ENTRY'!$B$7:$B$1203=$B258)*('DAILY ENTRY'!$I$7:$I$1203="Positive reply"),0),0)),"")))</f>
        <v/>
      </c>
      <c r="N258" s="108" t="str">
        <f aca="false">IF($A258="","",IFERROR(INDEX('DAILY ENTRY'!$J$7:$J$1203,MATCH(1,INDEX(('DAILY ENTRY'!$A$7:$A$1203=$A258)*('DAILY ENTRY'!$B$7:$B$1203=$B258)*('DAILY ENTRY'!$I$7:$I$1203="Blocked"),0),0)),""))</f>
        <v/>
      </c>
      <c r="O258" s="65" t="str">
        <f aca="false">IF($A258="","",(D258&gt;='START HERE'!$B$25)+(E258&gt;='START HERE'!$B$26)+(F258&gt;='START HERE'!$B$27)+(G258&gt;='START HERE'!$B$28)+(H258&gt;='START HERE'!$B$29)+(I258&gt;='START HERE'!$B$30)+(J258&gt;='START HERE'!$B$31)+(K258&gt;='START HERE'!$B$32))</f>
        <v/>
      </c>
      <c r="P258" s="46" t="str">
        <f aca="false">IF($A258="","",IF(O258&gt;=7,"Full day",IF(O258&gt;=5,"Most targets met",IF(O258&gt;=3,"Half day","Below plan - explain in the blocker column"))))</f>
        <v/>
      </c>
    </row>
    <row r="259" customFormat="false" ht="24" hidden="false" customHeight="true" outlineLevel="0" collapsed="false">
      <c r="A259" s="36"/>
      <c r="B259" s="37"/>
      <c r="C259" s="107" t="str">
        <f aca="false">IF($A259="","",ROUND(SUMIFS('DAILY ENTRY'!$G$7:$G$1203,'DAILY ENTRY'!$A$7:$A$1203,$A259,'DAILY ENTRY'!$B$7:$B$1203,$B259)/60,1))</f>
        <v/>
      </c>
      <c r="D259" s="107" t="str">
        <f aca="false">IF($A259="","",SUMIFS('DAILY ENTRY'!$F$7:$F$1203,'DAILY ENTRY'!$A$7:$A$1203,$A259,'DAILY ENTRY'!$B$7:$B$1203,$B259,'DAILY ENTRY'!$D$7:$D$1203,"Lead researched (Sales Navigator)"))</f>
        <v/>
      </c>
      <c r="E259" s="107" t="str">
        <f aca="false">IF($A259="","",SUMIFS('DAILY ENTRY'!$F$7:$F$1203,'DAILY ENTRY'!$A$7:$A$1203,$A259,'DAILY ENTRY'!$B$7:$B$1203,$B259,'DAILY ENTRY'!$D$7:$D$1203,"Connection request sent"))</f>
        <v/>
      </c>
      <c r="F259" s="107" t="str">
        <f aca="false">IF($A259="","",SUMIFS('DAILY ENTRY'!$F$7:$F$1203,'DAILY ENTRY'!$A$7:$A$1203,$A259,'DAILY ENTRY'!$B$7:$B$1203,$B259,'DAILY ENTRY'!$D$7:$D$1203,"First message sent"))</f>
        <v/>
      </c>
      <c r="G259" s="107" t="str">
        <f aca="false">IF($A259="","",SUMIFS('DAILY ENTRY'!$F$7:$F$1203,'DAILY ENTRY'!$A$7:$A$1203,$A259,'DAILY ENTRY'!$B$7:$B$1203,$B259,'DAILY ENTRY'!$D$7:$D$1203,"Follow-up message sent"))</f>
        <v/>
      </c>
      <c r="H259" s="107" t="str">
        <f aca="false">IF($A259="","",SUMIFS('DAILY ENTRY'!$F$7:$F$1203,'DAILY ENTRY'!$A$7:$A$1203,$A259,'DAILY ENTRY'!$B$7:$B$1203,$B259,'DAILY ENTRY'!$D$7:$D$1203,"Post / content published"))</f>
        <v/>
      </c>
      <c r="I259" s="107" t="str">
        <f aca="false">IF($A259="","",SUMIFS('DAILY ENTRY'!$F$7:$F$1203,'DAILY ENTRY'!$A$7:$A$1203,$A259,'DAILY ENTRY'!$B$7:$B$1203,$B259,'DAILY ENTRY'!$D$7:$D$1203,"Community answer or comment"))</f>
        <v/>
      </c>
      <c r="J259" s="107" t="str">
        <f aca="false">IF($A259="","",SUMIFS('DAILY ENTRY'!$F$7:$F$1203,'DAILY ENTRY'!$A$7:$A$1203,$A259,'DAILY ENTRY'!$B$7:$B$1203,$B259,'DAILY ENTRY'!$D$7:$D$1203,"Partnership / PR contact"))</f>
        <v/>
      </c>
      <c r="K259" s="107" t="str">
        <f aca="false">IF($A259="","",SUMIFS('DAILY ENTRY'!$F$7:$F$1203,'DAILY ENTRY'!$A$7:$A$1203,$A259,'DAILY ENTRY'!$B$7:$B$1203,$B259,'DAILY ENTRY'!$D$7:$D$1203,"Engagement (commented on someone else)"))</f>
        <v/>
      </c>
      <c r="L259" s="107" t="str">
        <f aca="false">IF($A259="","",SUMIFS('DAILY ENTRY'!$F$7:$F$1203,'DAILY ENTRY'!$A$7:$A$1203,$A259,'DAILY ENTRY'!$B$7:$B$1203,$B259,'DAILY ENTRY'!$D$7:$D$1203,"Account created / profile completed"))</f>
        <v/>
      </c>
      <c r="M259" s="108" t="str">
        <f aca="false">IF($A259="","",IFERROR(INDEX('DAILY ENTRY'!$E$7:$E$1203,MATCH(1,INDEX(('DAILY ENTRY'!$A$7:$A$1203=$A259)*('DAILY ENTRY'!$B$7:$B$1203=$B259)*('DAILY ENTRY'!$I$7:$I$1203="Meeting booked"),0),0)),IFERROR(INDEX('DAILY ENTRY'!$E$7:$E$1203,MATCH(1,INDEX(('DAILY ENTRY'!$A$7:$A$1203=$A259)*('DAILY ENTRY'!$B$7:$B$1203=$B259)*('DAILY ENTRY'!$I$7:$I$1203="Positive reply"),0),0)),"")))</f>
        <v/>
      </c>
      <c r="N259" s="108" t="str">
        <f aca="false">IF($A259="","",IFERROR(INDEX('DAILY ENTRY'!$J$7:$J$1203,MATCH(1,INDEX(('DAILY ENTRY'!$A$7:$A$1203=$A259)*('DAILY ENTRY'!$B$7:$B$1203=$B259)*('DAILY ENTRY'!$I$7:$I$1203="Blocked"),0),0)),""))</f>
        <v/>
      </c>
      <c r="O259" s="65" t="str">
        <f aca="false">IF($A259="","",(D259&gt;='START HERE'!$B$25)+(E259&gt;='START HERE'!$B$26)+(F259&gt;='START HERE'!$B$27)+(G259&gt;='START HERE'!$B$28)+(H259&gt;='START HERE'!$B$29)+(I259&gt;='START HERE'!$B$30)+(J259&gt;='START HERE'!$B$31)+(K259&gt;='START HERE'!$B$32))</f>
        <v/>
      </c>
      <c r="P259" s="46" t="str">
        <f aca="false">IF($A259="","",IF(O259&gt;=7,"Full day",IF(O259&gt;=5,"Most targets met",IF(O259&gt;=3,"Half day","Below plan - explain in the blocker column"))))</f>
        <v/>
      </c>
    </row>
    <row r="260" customFormat="false" ht="24" hidden="false" customHeight="true" outlineLevel="0" collapsed="false">
      <c r="A260" s="36"/>
      <c r="B260" s="37"/>
      <c r="C260" s="107" t="str">
        <f aca="false">IF($A260="","",ROUND(SUMIFS('DAILY ENTRY'!$G$7:$G$1203,'DAILY ENTRY'!$A$7:$A$1203,$A260,'DAILY ENTRY'!$B$7:$B$1203,$B260)/60,1))</f>
        <v/>
      </c>
      <c r="D260" s="107" t="str">
        <f aca="false">IF($A260="","",SUMIFS('DAILY ENTRY'!$F$7:$F$1203,'DAILY ENTRY'!$A$7:$A$1203,$A260,'DAILY ENTRY'!$B$7:$B$1203,$B260,'DAILY ENTRY'!$D$7:$D$1203,"Lead researched (Sales Navigator)"))</f>
        <v/>
      </c>
      <c r="E260" s="107" t="str">
        <f aca="false">IF($A260="","",SUMIFS('DAILY ENTRY'!$F$7:$F$1203,'DAILY ENTRY'!$A$7:$A$1203,$A260,'DAILY ENTRY'!$B$7:$B$1203,$B260,'DAILY ENTRY'!$D$7:$D$1203,"Connection request sent"))</f>
        <v/>
      </c>
      <c r="F260" s="107" t="str">
        <f aca="false">IF($A260="","",SUMIFS('DAILY ENTRY'!$F$7:$F$1203,'DAILY ENTRY'!$A$7:$A$1203,$A260,'DAILY ENTRY'!$B$7:$B$1203,$B260,'DAILY ENTRY'!$D$7:$D$1203,"First message sent"))</f>
        <v/>
      </c>
      <c r="G260" s="107" t="str">
        <f aca="false">IF($A260="","",SUMIFS('DAILY ENTRY'!$F$7:$F$1203,'DAILY ENTRY'!$A$7:$A$1203,$A260,'DAILY ENTRY'!$B$7:$B$1203,$B260,'DAILY ENTRY'!$D$7:$D$1203,"Follow-up message sent"))</f>
        <v/>
      </c>
      <c r="H260" s="107" t="str">
        <f aca="false">IF($A260="","",SUMIFS('DAILY ENTRY'!$F$7:$F$1203,'DAILY ENTRY'!$A$7:$A$1203,$A260,'DAILY ENTRY'!$B$7:$B$1203,$B260,'DAILY ENTRY'!$D$7:$D$1203,"Post / content published"))</f>
        <v/>
      </c>
      <c r="I260" s="107" t="str">
        <f aca="false">IF($A260="","",SUMIFS('DAILY ENTRY'!$F$7:$F$1203,'DAILY ENTRY'!$A$7:$A$1203,$A260,'DAILY ENTRY'!$B$7:$B$1203,$B260,'DAILY ENTRY'!$D$7:$D$1203,"Community answer or comment"))</f>
        <v/>
      </c>
      <c r="J260" s="107" t="str">
        <f aca="false">IF($A260="","",SUMIFS('DAILY ENTRY'!$F$7:$F$1203,'DAILY ENTRY'!$A$7:$A$1203,$A260,'DAILY ENTRY'!$B$7:$B$1203,$B260,'DAILY ENTRY'!$D$7:$D$1203,"Partnership / PR contact"))</f>
        <v/>
      </c>
      <c r="K260" s="107" t="str">
        <f aca="false">IF($A260="","",SUMIFS('DAILY ENTRY'!$F$7:$F$1203,'DAILY ENTRY'!$A$7:$A$1203,$A260,'DAILY ENTRY'!$B$7:$B$1203,$B260,'DAILY ENTRY'!$D$7:$D$1203,"Engagement (commented on someone else)"))</f>
        <v/>
      </c>
      <c r="L260" s="107" t="str">
        <f aca="false">IF($A260="","",SUMIFS('DAILY ENTRY'!$F$7:$F$1203,'DAILY ENTRY'!$A$7:$A$1203,$A260,'DAILY ENTRY'!$B$7:$B$1203,$B260,'DAILY ENTRY'!$D$7:$D$1203,"Account created / profile completed"))</f>
        <v/>
      </c>
      <c r="M260" s="108" t="str">
        <f aca="false">IF($A260="","",IFERROR(INDEX('DAILY ENTRY'!$E$7:$E$1203,MATCH(1,INDEX(('DAILY ENTRY'!$A$7:$A$1203=$A260)*('DAILY ENTRY'!$B$7:$B$1203=$B260)*('DAILY ENTRY'!$I$7:$I$1203="Meeting booked"),0),0)),IFERROR(INDEX('DAILY ENTRY'!$E$7:$E$1203,MATCH(1,INDEX(('DAILY ENTRY'!$A$7:$A$1203=$A260)*('DAILY ENTRY'!$B$7:$B$1203=$B260)*('DAILY ENTRY'!$I$7:$I$1203="Positive reply"),0),0)),"")))</f>
        <v/>
      </c>
      <c r="N260" s="108" t="str">
        <f aca="false">IF($A260="","",IFERROR(INDEX('DAILY ENTRY'!$J$7:$J$1203,MATCH(1,INDEX(('DAILY ENTRY'!$A$7:$A$1203=$A260)*('DAILY ENTRY'!$B$7:$B$1203=$B260)*('DAILY ENTRY'!$I$7:$I$1203="Blocked"),0),0)),""))</f>
        <v/>
      </c>
      <c r="O260" s="65" t="str">
        <f aca="false">IF($A260="","",(D260&gt;='START HERE'!$B$25)+(E260&gt;='START HERE'!$B$26)+(F260&gt;='START HERE'!$B$27)+(G260&gt;='START HERE'!$B$28)+(H260&gt;='START HERE'!$B$29)+(I260&gt;='START HERE'!$B$30)+(J260&gt;='START HERE'!$B$31)+(K260&gt;='START HERE'!$B$32))</f>
        <v/>
      </c>
      <c r="P260" s="46" t="str">
        <f aca="false">IF($A260="","",IF(O260&gt;=7,"Full day",IF(O260&gt;=5,"Most targets met",IF(O260&gt;=3,"Half day","Below plan - explain in the blocker column"))))</f>
        <v/>
      </c>
    </row>
    <row r="261" customFormat="false" ht="24" hidden="false" customHeight="true" outlineLevel="0" collapsed="false">
      <c r="A261" s="36"/>
      <c r="B261" s="37"/>
      <c r="C261" s="107" t="str">
        <f aca="false">IF($A261="","",ROUND(SUMIFS('DAILY ENTRY'!$G$7:$G$1203,'DAILY ENTRY'!$A$7:$A$1203,$A261,'DAILY ENTRY'!$B$7:$B$1203,$B261)/60,1))</f>
        <v/>
      </c>
      <c r="D261" s="107" t="str">
        <f aca="false">IF($A261="","",SUMIFS('DAILY ENTRY'!$F$7:$F$1203,'DAILY ENTRY'!$A$7:$A$1203,$A261,'DAILY ENTRY'!$B$7:$B$1203,$B261,'DAILY ENTRY'!$D$7:$D$1203,"Lead researched (Sales Navigator)"))</f>
        <v/>
      </c>
      <c r="E261" s="107" t="str">
        <f aca="false">IF($A261="","",SUMIFS('DAILY ENTRY'!$F$7:$F$1203,'DAILY ENTRY'!$A$7:$A$1203,$A261,'DAILY ENTRY'!$B$7:$B$1203,$B261,'DAILY ENTRY'!$D$7:$D$1203,"Connection request sent"))</f>
        <v/>
      </c>
      <c r="F261" s="107" t="str">
        <f aca="false">IF($A261="","",SUMIFS('DAILY ENTRY'!$F$7:$F$1203,'DAILY ENTRY'!$A$7:$A$1203,$A261,'DAILY ENTRY'!$B$7:$B$1203,$B261,'DAILY ENTRY'!$D$7:$D$1203,"First message sent"))</f>
        <v/>
      </c>
      <c r="G261" s="107" t="str">
        <f aca="false">IF($A261="","",SUMIFS('DAILY ENTRY'!$F$7:$F$1203,'DAILY ENTRY'!$A$7:$A$1203,$A261,'DAILY ENTRY'!$B$7:$B$1203,$B261,'DAILY ENTRY'!$D$7:$D$1203,"Follow-up message sent"))</f>
        <v/>
      </c>
      <c r="H261" s="107" t="str">
        <f aca="false">IF($A261="","",SUMIFS('DAILY ENTRY'!$F$7:$F$1203,'DAILY ENTRY'!$A$7:$A$1203,$A261,'DAILY ENTRY'!$B$7:$B$1203,$B261,'DAILY ENTRY'!$D$7:$D$1203,"Post / content published"))</f>
        <v/>
      </c>
      <c r="I261" s="107" t="str">
        <f aca="false">IF($A261="","",SUMIFS('DAILY ENTRY'!$F$7:$F$1203,'DAILY ENTRY'!$A$7:$A$1203,$A261,'DAILY ENTRY'!$B$7:$B$1203,$B261,'DAILY ENTRY'!$D$7:$D$1203,"Community answer or comment"))</f>
        <v/>
      </c>
      <c r="J261" s="107" t="str">
        <f aca="false">IF($A261="","",SUMIFS('DAILY ENTRY'!$F$7:$F$1203,'DAILY ENTRY'!$A$7:$A$1203,$A261,'DAILY ENTRY'!$B$7:$B$1203,$B261,'DAILY ENTRY'!$D$7:$D$1203,"Partnership / PR contact"))</f>
        <v/>
      </c>
      <c r="K261" s="107" t="str">
        <f aca="false">IF($A261="","",SUMIFS('DAILY ENTRY'!$F$7:$F$1203,'DAILY ENTRY'!$A$7:$A$1203,$A261,'DAILY ENTRY'!$B$7:$B$1203,$B261,'DAILY ENTRY'!$D$7:$D$1203,"Engagement (commented on someone else)"))</f>
        <v/>
      </c>
      <c r="L261" s="107" t="str">
        <f aca="false">IF($A261="","",SUMIFS('DAILY ENTRY'!$F$7:$F$1203,'DAILY ENTRY'!$A$7:$A$1203,$A261,'DAILY ENTRY'!$B$7:$B$1203,$B261,'DAILY ENTRY'!$D$7:$D$1203,"Account created / profile completed"))</f>
        <v/>
      </c>
      <c r="M261" s="108" t="str">
        <f aca="false">IF($A261="","",IFERROR(INDEX('DAILY ENTRY'!$E$7:$E$1203,MATCH(1,INDEX(('DAILY ENTRY'!$A$7:$A$1203=$A261)*('DAILY ENTRY'!$B$7:$B$1203=$B261)*('DAILY ENTRY'!$I$7:$I$1203="Meeting booked"),0),0)),IFERROR(INDEX('DAILY ENTRY'!$E$7:$E$1203,MATCH(1,INDEX(('DAILY ENTRY'!$A$7:$A$1203=$A261)*('DAILY ENTRY'!$B$7:$B$1203=$B261)*('DAILY ENTRY'!$I$7:$I$1203="Positive reply"),0),0)),"")))</f>
        <v/>
      </c>
      <c r="N261" s="108" t="str">
        <f aca="false">IF($A261="","",IFERROR(INDEX('DAILY ENTRY'!$J$7:$J$1203,MATCH(1,INDEX(('DAILY ENTRY'!$A$7:$A$1203=$A261)*('DAILY ENTRY'!$B$7:$B$1203=$B261)*('DAILY ENTRY'!$I$7:$I$1203="Blocked"),0),0)),""))</f>
        <v/>
      </c>
      <c r="O261" s="65" t="str">
        <f aca="false">IF($A261="","",(D261&gt;='START HERE'!$B$25)+(E261&gt;='START HERE'!$B$26)+(F261&gt;='START HERE'!$B$27)+(G261&gt;='START HERE'!$B$28)+(H261&gt;='START HERE'!$B$29)+(I261&gt;='START HERE'!$B$30)+(J261&gt;='START HERE'!$B$31)+(K261&gt;='START HERE'!$B$32))</f>
        <v/>
      </c>
      <c r="P261" s="46" t="str">
        <f aca="false">IF($A261="","",IF(O261&gt;=7,"Full day",IF(O261&gt;=5,"Most targets met",IF(O261&gt;=3,"Half day","Below plan - explain in the blocker column"))))</f>
        <v/>
      </c>
    </row>
    <row r="262" customFormat="false" ht="24" hidden="false" customHeight="true" outlineLevel="0" collapsed="false">
      <c r="A262" s="36"/>
      <c r="B262" s="37"/>
      <c r="C262" s="107" t="str">
        <f aca="false">IF($A262="","",ROUND(SUMIFS('DAILY ENTRY'!$G$7:$G$1203,'DAILY ENTRY'!$A$7:$A$1203,$A262,'DAILY ENTRY'!$B$7:$B$1203,$B262)/60,1))</f>
        <v/>
      </c>
      <c r="D262" s="107" t="str">
        <f aca="false">IF($A262="","",SUMIFS('DAILY ENTRY'!$F$7:$F$1203,'DAILY ENTRY'!$A$7:$A$1203,$A262,'DAILY ENTRY'!$B$7:$B$1203,$B262,'DAILY ENTRY'!$D$7:$D$1203,"Lead researched (Sales Navigator)"))</f>
        <v/>
      </c>
      <c r="E262" s="107" t="str">
        <f aca="false">IF($A262="","",SUMIFS('DAILY ENTRY'!$F$7:$F$1203,'DAILY ENTRY'!$A$7:$A$1203,$A262,'DAILY ENTRY'!$B$7:$B$1203,$B262,'DAILY ENTRY'!$D$7:$D$1203,"Connection request sent"))</f>
        <v/>
      </c>
      <c r="F262" s="107" t="str">
        <f aca="false">IF($A262="","",SUMIFS('DAILY ENTRY'!$F$7:$F$1203,'DAILY ENTRY'!$A$7:$A$1203,$A262,'DAILY ENTRY'!$B$7:$B$1203,$B262,'DAILY ENTRY'!$D$7:$D$1203,"First message sent"))</f>
        <v/>
      </c>
      <c r="G262" s="107" t="str">
        <f aca="false">IF($A262="","",SUMIFS('DAILY ENTRY'!$F$7:$F$1203,'DAILY ENTRY'!$A$7:$A$1203,$A262,'DAILY ENTRY'!$B$7:$B$1203,$B262,'DAILY ENTRY'!$D$7:$D$1203,"Follow-up message sent"))</f>
        <v/>
      </c>
      <c r="H262" s="107" t="str">
        <f aca="false">IF($A262="","",SUMIFS('DAILY ENTRY'!$F$7:$F$1203,'DAILY ENTRY'!$A$7:$A$1203,$A262,'DAILY ENTRY'!$B$7:$B$1203,$B262,'DAILY ENTRY'!$D$7:$D$1203,"Post / content published"))</f>
        <v/>
      </c>
      <c r="I262" s="107" t="str">
        <f aca="false">IF($A262="","",SUMIFS('DAILY ENTRY'!$F$7:$F$1203,'DAILY ENTRY'!$A$7:$A$1203,$A262,'DAILY ENTRY'!$B$7:$B$1203,$B262,'DAILY ENTRY'!$D$7:$D$1203,"Community answer or comment"))</f>
        <v/>
      </c>
      <c r="J262" s="107" t="str">
        <f aca="false">IF($A262="","",SUMIFS('DAILY ENTRY'!$F$7:$F$1203,'DAILY ENTRY'!$A$7:$A$1203,$A262,'DAILY ENTRY'!$B$7:$B$1203,$B262,'DAILY ENTRY'!$D$7:$D$1203,"Partnership / PR contact"))</f>
        <v/>
      </c>
      <c r="K262" s="107" t="str">
        <f aca="false">IF($A262="","",SUMIFS('DAILY ENTRY'!$F$7:$F$1203,'DAILY ENTRY'!$A$7:$A$1203,$A262,'DAILY ENTRY'!$B$7:$B$1203,$B262,'DAILY ENTRY'!$D$7:$D$1203,"Engagement (commented on someone else)"))</f>
        <v/>
      </c>
      <c r="L262" s="107" t="str">
        <f aca="false">IF($A262="","",SUMIFS('DAILY ENTRY'!$F$7:$F$1203,'DAILY ENTRY'!$A$7:$A$1203,$A262,'DAILY ENTRY'!$B$7:$B$1203,$B262,'DAILY ENTRY'!$D$7:$D$1203,"Account created / profile completed"))</f>
        <v/>
      </c>
      <c r="M262" s="108" t="str">
        <f aca="false">IF($A262="","",IFERROR(INDEX('DAILY ENTRY'!$E$7:$E$1203,MATCH(1,INDEX(('DAILY ENTRY'!$A$7:$A$1203=$A262)*('DAILY ENTRY'!$B$7:$B$1203=$B262)*('DAILY ENTRY'!$I$7:$I$1203="Meeting booked"),0),0)),IFERROR(INDEX('DAILY ENTRY'!$E$7:$E$1203,MATCH(1,INDEX(('DAILY ENTRY'!$A$7:$A$1203=$A262)*('DAILY ENTRY'!$B$7:$B$1203=$B262)*('DAILY ENTRY'!$I$7:$I$1203="Positive reply"),0),0)),"")))</f>
        <v/>
      </c>
      <c r="N262" s="108" t="str">
        <f aca="false">IF($A262="","",IFERROR(INDEX('DAILY ENTRY'!$J$7:$J$1203,MATCH(1,INDEX(('DAILY ENTRY'!$A$7:$A$1203=$A262)*('DAILY ENTRY'!$B$7:$B$1203=$B262)*('DAILY ENTRY'!$I$7:$I$1203="Blocked"),0),0)),""))</f>
        <v/>
      </c>
      <c r="O262" s="65" t="str">
        <f aca="false">IF($A262="","",(D262&gt;='START HERE'!$B$25)+(E262&gt;='START HERE'!$B$26)+(F262&gt;='START HERE'!$B$27)+(G262&gt;='START HERE'!$B$28)+(H262&gt;='START HERE'!$B$29)+(I262&gt;='START HERE'!$B$30)+(J262&gt;='START HERE'!$B$31)+(K262&gt;='START HERE'!$B$32))</f>
        <v/>
      </c>
      <c r="P262" s="46" t="str">
        <f aca="false">IF($A262="","",IF(O262&gt;=7,"Full day",IF(O262&gt;=5,"Most targets met",IF(O262&gt;=3,"Half day","Below plan - explain in the blocker column"))))</f>
        <v/>
      </c>
    </row>
    <row r="263" customFormat="false" ht="24" hidden="false" customHeight="true" outlineLevel="0" collapsed="false">
      <c r="A263" s="36"/>
      <c r="B263" s="37"/>
      <c r="C263" s="107" t="str">
        <f aca="false">IF($A263="","",ROUND(SUMIFS('DAILY ENTRY'!$G$7:$G$1203,'DAILY ENTRY'!$A$7:$A$1203,$A263,'DAILY ENTRY'!$B$7:$B$1203,$B263)/60,1))</f>
        <v/>
      </c>
      <c r="D263" s="107" t="str">
        <f aca="false">IF($A263="","",SUMIFS('DAILY ENTRY'!$F$7:$F$1203,'DAILY ENTRY'!$A$7:$A$1203,$A263,'DAILY ENTRY'!$B$7:$B$1203,$B263,'DAILY ENTRY'!$D$7:$D$1203,"Lead researched (Sales Navigator)"))</f>
        <v/>
      </c>
      <c r="E263" s="107" t="str">
        <f aca="false">IF($A263="","",SUMIFS('DAILY ENTRY'!$F$7:$F$1203,'DAILY ENTRY'!$A$7:$A$1203,$A263,'DAILY ENTRY'!$B$7:$B$1203,$B263,'DAILY ENTRY'!$D$7:$D$1203,"Connection request sent"))</f>
        <v/>
      </c>
      <c r="F263" s="107" t="str">
        <f aca="false">IF($A263="","",SUMIFS('DAILY ENTRY'!$F$7:$F$1203,'DAILY ENTRY'!$A$7:$A$1203,$A263,'DAILY ENTRY'!$B$7:$B$1203,$B263,'DAILY ENTRY'!$D$7:$D$1203,"First message sent"))</f>
        <v/>
      </c>
      <c r="G263" s="107" t="str">
        <f aca="false">IF($A263="","",SUMIFS('DAILY ENTRY'!$F$7:$F$1203,'DAILY ENTRY'!$A$7:$A$1203,$A263,'DAILY ENTRY'!$B$7:$B$1203,$B263,'DAILY ENTRY'!$D$7:$D$1203,"Follow-up message sent"))</f>
        <v/>
      </c>
      <c r="H263" s="107" t="str">
        <f aca="false">IF($A263="","",SUMIFS('DAILY ENTRY'!$F$7:$F$1203,'DAILY ENTRY'!$A$7:$A$1203,$A263,'DAILY ENTRY'!$B$7:$B$1203,$B263,'DAILY ENTRY'!$D$7:$D$1203,"Post / content published"))</f>
        <v/>
      </c>
      <c r="I263" s="107" t="str">
        <f aca="false">IF($A263="","",SUMIFS('DAILY ENTRY'!$F$7:$F$1203,'DAILY ENTRY'!$A$7:$A$1203,$A263,'DAILY ENTRY'!$B$7:$B$1203,$B263,'DAILY ENTRY'!$D$7:$D$1203,"Community answer or comment"))</f>
        <v/>
      </c>
      <c r="J263" s="107" t="str">
        <f aca="false">IF($A263="","",SUMIFS('DAILY ENTRY'!$F$7:$F$1203,'DAILY ENTRY'!$A$7:$A$1203,$A263,'DAILY ENTRY'!$B$7:$B$1203,$B263,'DAILY ENTRY'!$D$7:$D$1203,"Partnership / PR contact"))</f>
        <v/>
      </c>
      <c r="K263" s="107" t="str">
        <f aca="false">IF($A263="","",SUMIFS('DAILY ENTRY'!$F$7:$F$1203,'DAILY ENTRY'!$A$7:$A$1203,$A263,'DAILY ENTRY'!$B$7:$B$1203,$B263,'DAILY ENTRY'!$D$7:$D$1203,"Engagement (commented on someone else)"))</f>
        <v/>
      </c>
      <c r="L263" s="107" t="str">
        <f aca="false">IF($A263="","",SUMIFS('DAILY ENTRY'!$F$7:$F$1203,'DAILY ENTRY'!$A$7:$A$1203,$A263,'DAILY ENTRY'!$B$7:$B$1203,$B263,'DAILY ENTRY'!$D$7:$D$1203,"Account created / profile completed"))</f>
        <v/>
      </c>
      <c r="M263" s="108" t="str">
        <f aca="false">IF($A263="","",IFERROR(INDEX('DAILY ENTRY'!$E$7:$E$1203,MATCH(1,INDEX(('DAILY ENTRY'!$A$7:$A$1203=$A263)*('DAILY ENTRY'!$B$7:$B$1203=$B263)*('DAILY ENTRY'!$I$7:$I$1203="Meeting booked"),0),0)),IFERROR(INDEX('DAILY ENTRY'!$E$7:$E$1203,MATCH(1,INDEX(('DAILY ENTRY'!$A$7:$A$1203=$A263)*('DAILY ENTRY'!$B$7:$B$1203=$B263)*('DAILY ENTRY'!$I$7:$I$1203="Positive reply"),0),0)),"")))</f>
        <v/>
      </c>
      <c r="N263" s="108" t="str">
        <f aca="false">IF($A263="","",IFERROR(INDEX('DAILY ENTRY'!$J$7:$J$1203,MATCH(1,INDEX(('DAILY ENTRY'!$A$7:$A$1203=$A263)*('DAILY ENTRY'!$B$7:$B$1203=$B263)*('DAILY ENTRY'!$I$7:$I$1203="Blocked"),0),0)),""))</f>
        <v/>
      </c>
      <c r="O263" s="65" t="str">
        <f aca="false">IF($A263="","",(D263&gt;='START HERE'!$B$25)+(E263&gt;='START HERE'!$B$26)+(F263&gt;='START HERE'!$B$27)+(G263&gt;='START HERE'!$B$28)+(H263&gt;='START HERE'!$B$29)+(I263&gt;='START HERE'!$B$30)+(J263&gt;='START HERE'!$B$31)+(K263&gt;='START HERE'!$B$32))</f>
        <v/>
      </c>
      <c r="P263" s="46" t="str">
        <f aca="false">IF($A263="","",IF(O263&gt;=7,"Full day",IF(O263&gt;=5,"Most targets met",IF(O263&gt;=3,"Half day","Below plan - explain in the blocker column"))))</f>
        <v/>
      </c>
    </row>
    <row r="264" customFormat="false" ht="24" hidden="false" customHeight="true" outlineLevel="0" collapsed="false">
      <c r="A264" s="36"/>
      <c r="B264" s="37"/>
      <c r="C264" s="107" t="str">
        <f aca="false">IF($A264="","",ROUND(SUMIFS('DAILY ENTRY'!$G$7:$G$1203,'DAILY ENTRY'!$A$7:$A$1203,$A264,'DAILY ENTRY'!$B$7:$B$1203,$B264)/60,1))</f>
        <v/>
      </c>
      <c r="D264" s="107" t="str">
        <f aca="false">IF($A264="","",SUMIFS('DAILY ENTRY'!$F$7:$F$1203,'DAILY ENTRY'!$A$7:$A$1203,$A264,'DAILY ENTRY'!$B$7:$B$1203,$B264,'DAILY ENTRY'!$D$7:$D$1203,"Lead researched (Sales Navigator)"))</f>
        <v/>
      </c>
      <c r="E264" s="107" t="str">
        <f aca="false">IF($A264="","",SUMIFS('DAILY ENTRY'!$F$7:$F$1203,'DAILY ENTRY'!$A$7:$A$1203,$A264,'DAILY ENTRY'!$B$7:$B$1203,$B264,'DAILY ENTRY'!$D$7:$D$1203,"Connection request sent"))</f>
        <v/>
      </c>
      <c r="F264" s="107" t="str">
        <f aca="false">IF($A264="","",SUMIFS('DAILY ENTRY'!$F$7:$F$1203,'DAILY ENTRY'!$A$7:$A$1203,$A264,'DAILY ENTRY'!$B$7:$B$1203,$B264,'DAILY ENTRY'!$D$7:$D$1203,"First message sent"))</f>
        <v/>
      </c>
      <c r="G264" s="107" t="str">
        <f aca="false">IF($A264="","",SUMIFS('DAILY ENTRY'!$F$7:$F$1203,'DAILY ENTRY'!$A$7:$A$1203,$A264,'DAILY ENTRY'!$B$7:$B$1203,$B264,'DAILY ENTRY'!$D$7:$D$1203,"Follow-up message sent"))</f>
        <v/>
      </c>
      <c r="H264" s="107" t="str">
        <f aca="false">IF($A264="","",SUMIFS('DAILY ENTRY'!$F$7:$F$1203,'DAILY ENTRY'!$A$7:$A$1203,$A264,'DAILY ENTRY'!$B$7:$B$1203,$B264,'DAILY ENTRY'!$D$7:$D$1203,"Post / content published"))</f>
        <v/>
      </c>
      <c r="I264" s="107" t="str">
        <f aca="false">IF($A264="","",SUMIFS('DAILY ENTRY'!$F$7:$F$1203,'DAILY ENTRY'!$A$7:$A$1203,$A264,'DAILY ENTRY'!$B$7:$B$1203,$B264,'DAILY ENTRY'!$D$7:$D$1203,"Community answer or comment"))</f>
        <v/>
      </c>
      <c r="J264" s="107" t="str">
        <f aca="false">IF($A264="","",SUMIFS('DAILY ENTRY'!$F$7:$F$1203,'DAILY ENTRY'!$A$7:$A$1203,$A264,'DAILY ENTRY'!$B$7:$B$1203,$B264,'DAILY ENTRY'!$D$7:$D$1203,"Partnership / PR contact"))</f>
        <v/>
      </c>
      <c r="K264" s="107" t="str">
        <f aca="false">IF($A264="","",SUMIFS('DAILY ENTRY'!$F$7:$F$1203,'DAILY ENTRY'!$A$7:$A$1203,$A264,'DAILY ENTRY'!$B$7:$B$1203,$B264,'DAILY ENTRY'!$D$7:$D$1203,"Engagement (commented on someone else)"))</f>
        <v/>
      </c>
      <c r="L264" s="107" t="str">
        <f aca="false">IF($A264="","",SUMIFS('DAILY ENTRY'!$F$7:$F$1203,'DAILY ENTRY'!$A$7:$A$1203,$A264,'DAILY ENTRY'!$B$7:$B$1203,$B264,'DAILY ENTRY'!$D$7:$D$1203,"Account created / profile completed"))</f>
        <v/>
      </c>
      <c r="M264" s="108" t="str">
        <f aca="false">IF($A264="","",IFERROR(INDEX('DAILY ENTRY'!$E$7:$E$1203,MATCH(1,INDEX(('DAILY ENTRY'!$A$7:$A$1203=$A264)*('DAILY ENTRY'!$B$7:$B$1203=$B264)*('DAILY ENTRY'!$I$7:$I$1203="Meeting booked"),0),0)),IFERROR(INDEX('DAILY ENTRY'!$E$7:$E$1203,MATCH(1,INDEX(('DAILY ENTRY'!$A$7:$A$1203=$A264)*('DAILY ENTRY'!$B$7:$B$1203=$B264)*('DAILY ENTRY'!$I$7:$I$1203="Positive reply"),0),0)),"")))</f>
        <v/>
      </c>
      <c r="N264" s="108" t="str">
        <f aca="false">IF($A264="","",IFERROR(INDEX('DAILY ENTRY'!$J$7:$J$1203,MATCH(1,INDEX(('DAILY ENTRY'!$A$7:$A$1203=$A264)*('DAILY ENTRY'!$B$7:$B$1203=$B264)*('DAILY ENTRY'!$I$7:$I$1203="Blocked"),0),0)),""))</f>
        <v/>
      </c>
      <c r="O264" s="65" t="str">
        <f aca="false">IF($A264="","",(D264&gt;='START HERE'!$B$25)+(E264&gt;='START HERE'!$B$26)+(F264&gt;='START HERE'!$B$27)+(G264&gt;='START HERE'!$B$28)+(H264&gt;='START HERE'!$B$29)+(I264&gt;='START HERE'!$B$30)+(J264&gt;='START HERE'!$B$31)+(K264&gt;='START HERE'!$B$32))</f>
        <v/>
      </c>
      <c r="P264" s="46" t="str">
        <f aca="false">IF($A264="","",IF(O264&gt;=7,"Full day",IF(O264&gt;=5,"Most targets met",IF(O264&gt;=3,"Half day","Below plan - explain in the blocker column"))))</f>
        <v/>
      </c>
    </row>
    <row r="265" customFormat="false" ht="24" hidden="false" customHeight="true" outlineLevel="0" collapsed="false">
      <c r="A265" s="36"/>
      <c r="B265" s="37"/>
      <c r="C265" s="107" t="str">
        <f aca="false">IF($A265="","",ROUND(SUMIFS('DAILY ENTRY'!$G$7:$G$1203,'DAILY ENTRY'!$A$7:$A$1203,$A265,'DAILY ENTRY'!$B$7:$B$1203,$B265)/60,1))</f>
        <v/>
      </c>
      <c r="D265" s="107" t="str">
        <f aca="false">IF($A265="","",SUMIFS('DAILY ENTRY'!$F$7:$F$1203,'DAILY ENTRY'!$A$7:$A$1203,$A265,'DAILY ENTRY'!$B$7:$B$1203,$B265,'DAILY ENTRY'!$D$7:$D$1203,"Lead researched (Sales Navigator)"))</f>
        <v/>
      </c>
      <c r="E265" s="107" t="str">
        <f aca="false">IF($A265="","",SUMIFS('DAILY ENTRY'!$F$7:$F$1203,'DAILY ENTRY'!$A$7:$A$1203,$A265,'DAILY ENTRY'!$B$7:$B$1203,$B265,'DAILY ENTRY'!$D$7:$D$1203,"Connection request sent"))</f>
        <v/>
      </c>
      <c r="F265" s="107" t="str">
        <f aca="false">IF($A265="","",SUMIFS('DAILY ENTRY'!$F$7:$F$1203,'DAILY ENTRY'!$A$7:$A$1203,$A265,'DAILY ENTRY'!$B$7:$B$1203,$B265,'DAILY ENTRY'!$D$7:$D$1203,"First message sent"))</f>
        <v/>
      </c>
      <c r="G265" s="107" t="str">
        <f aca="false">IF($A265="","",SUMIFS('DAILY ENTRY'!$F$7:$F$1203,'DAILY ENTRY'!$A$7:$A$1203,$A265,'DAILY ENTRY'!$B$7:$B$1203,$B265,'DAILY ENTRY'!$D$7:$D$1203,"Follow-up message sent"))</f>
        <v/>
      </c>
      <c r="H265" s="107" t="str">
        <f aca="false">IF($A265="","",SUMIFS('DAILY ENTRY'!$F$7:$F$1203,'DAILY ENTRY'!$A$7:$A$1203,$A265,'DAILY ENTRY'!$B$7:$B$1203,$B265,'DAILY ENTRY'!$D$7:$D$1203,"Post / content published"))</f>
        <v/>
      </c>
      <c r="I265" s="107" t="str">
        <f aca="false">IF($A265="","",SUMIFS('DAILY ENTRY'!$F$7:$F$1203,'DAILY ENTRY'!$A$7:$A$1203,$A265,'DAILY ENTRY'!$B$7:$B$1203,$B265,'DAILY ENTRY'!$D$7:$D$1203,"Community answer or comment"))</f>
        <v/>
      </c>
      <c r="J265" s="107" t="str">
        <f aca="false">IF($A265="","",SUMIFS('DAILY ENTRY'!$F$7:$F$1203,'DAILY ENTRY'!$A$7:$A$1203,$A265,'DAILY ENTRY'!$B$7:$B$1203,$B265,'DAILY ENTRY'!$D$7:$D$1203,"Partnership / PR contact"))</f>
        <v/>
      </c>
      <c r="K265" s="107" t="str">
        <f aca="false">IF($A265="","",SUMIFS('DAILY ENTRY'!$F$7:$F$1203,'DAILY ENTRY'!$A$7:$A$1203,$A265,'DAILY ENTRY'!$B$7:$B$1203,$B265,'DAILY ENTRY'!$D$7:$D$1203,"Engagement (commented on someone else)"))</f>
        <v/>
      </c>
      <c r="L265" s="107" t="str">
        <f aca="false">IF($A265="","",SUMIFS('DAILY ENTRY'!$F$7:$F$1203,'DAILY ENTRY'!$A$7:$A$1203,$A265,'DAILY ENTRY'!$B$7:$B$1203,$B265,'DAILY ENTRY'!$D$7:$D$1203,"Account created / profile completed"))</f>
        <v/>
      </c>
      <c r="M265" s="108" t="str">
        <f aca="false">IF($A265="","",IFERROR(INDEX('DAILY ENTRY'!$E$7:$E$1203,MATCH(1,INDEX(('DAILY ENTRY'!$A$7:$A$1203=$A265)*('DAILY ENTRY'!$B$7:$B$1203=$B265)*('DAILY ENTRY'!$I$7:$I$1203="Meeting booked"),0),0)),IFERROR(INDEX('DAILY ENTRY'!$E$7:$E$1203,MATCH(1,INDEX(('DAILY ENTRY'!$A$7:$A$1203=$A265)*('DAILY ENTRY'!$B$7:$B$1203=$B265)*('DAILY ENTRY'!$I$7:$I$1203="Positive reply"),0),0)),"")))</f>
        <v/>
      </c>
      <c r="N265" s="108" t="str">
        <f aca="false">IF($A265="","",IFERROR(INDEX('DAILY ENTRY'!$J$7:$J$1203,MATCH(1,INDEX(('DAILY ENTRY'!$A$7:$A$1203=$A265)*('DAILY ENTRY'!$B$7:$B$1203=$B265)*('DAILY ENTRY'!$I$7:$I$1203="Blocked"),0),0)),""))</f>
        <v/>
      </c>
      <c r="O265" s="65" t="str">
        <f aca="false">IF($A265="","",(D265&gt;='START HERE'!$B$25)+(E265&gt;='START HERE'!$B$26)+(F265&gt;='START HERE'!$B$27)+(G265&gt;='START HERE'!$B$28)+(H265&gt;='START HERE'!$B$29)+(I265&gt;='START HERE'!$B$30)+(J265&gt;='START HERE'!$B$31)+(K265&gt;='START HERE'!$B$32))</f>
        <v/>
      </c>
      <c r="P265" s="46" t="str">
        <f aca="false">IF($A265="","",IF(O265&gt;=7,"Full day",IF(O265&gt;=5,"Most targets met",IF(O265&gt;=3,"Half day","Below plan - explain in the blocker column"))))</f>
        <v/>
      </c>
    </row>
    <row r="266" customFormat="false" ht="24" hidden="false" customHeight="true" outlineLevel="0" collapsed="false">
      <c r="A266" s="36"/>
      <c r="B266" s="37"/>
      <c r="C266" s="107" t="str">
        <f aca="false">IF($A266="","",ROUND(SUMIFS('DAILY ENTRY'!$G$7:$G$1203,'DAILY ENTRY'!$A$7:$A$1203,$A266,'DAILY ENTRY'!$B$7:$B$1203,$B266)/60,1))</f>
        <v/>
      </c>
      <c r="D266" s="107" t="str">
        <f aca="false">IF($A266="","",SUMIFS('DAILY ENTRY'!$F$7:$F$1203,'DAILY ENTRY'!$A$7:$A$1203,$A266,'DAILY ENTRY'!$B$7:$B$1203,$B266,'DAILY ENTRY'!$D$7:$D$1203,"Lead researched (Sales Navigator)"))</f>
        <v/>
      </c>
      <c r="E266" s="107" t="str">
        <f aca="false">IF($A266="","",SUMIFS('DAILY ENTRY'!$F$7:$F$1203,'DAILY ENTRY'!$A$7:$A$1203,$A266,'DAILY ENTRY'!$B$7:$B$1203,$B266,'DAILY ENTRY'!$D$7:$D$1203,"Connection request sent"))</f>
        <v/>
      </c>
      <c r="F266" s="107" t="str">
        <f aca="false">IF($A266="","",SUMIFS('DAILY ENTRY'!$F$7:$F$1203,'DAILY ENTRY'!$A$7:$A$1203,$A266,'DAILY ENTRY'!$B$7:$B$1203,$B266,'DAILY ENTRY'!$D$7:$D$1203,"First message sent"))</f>
        <v/>
      </c>
      <c r="G266" s="107" t="str">
        <f aca="false">IF($A266="","",SUMIFS('DAILY ENTRY'!$F$7:$F$1203,'DAILY ENTRY'!$A$7:$A$1203,$A266,'DAILY ENTRY'!$B$7:$B$1203,$B266,'DAILY ENTRY'!$D$7:$D$1203,"Follow-up message sent"))</f>
        <v/>
      </c>
      <c r="H266" s="107" t="str">
        <f aca="false">IF($A266="","",SUMIFS('DAILY ENTRY'!$F$7:$F$1203,'DAILY ENTRY'!$A$7:$A$1203,$A266,'DAILY ENTRY'!$B$7:$B$1203,$B266,'DAILY ENTRY'!$D$7:$D$1203,"Post / content published"))</f>
        <v/>
      </c>
      <c r="I266" s="107" t="str">
        <f aca="false">IF($A266="","",SUMIFS('DAILY ENTRY'!$F$7:$F$1203,'DAILY ENTRY'!$A$7:$A$1203,$A266,'DAILY ENTRY'!$B$7:$B$1203,$B266,'DAILY ENTRY'!$D$7:$D$1203,"Community answer or comment"))</f>
        <v/>
      </c>
      <c r="J266" s="107" t="str">
        <f aca="false">IF($A266="","",SUMIFS('DAILY ENTRY'!$F$7:$F$1203,'DAILY ENTRY'!$A$7:$A$1203,$A266,'DAILY ENTRY'!$B$7:$B$1203,$B266,'DAILY ENTRY'!$D$7:$D$1203,"Partnership / PR contact"))</f>
        <v/>
      </c>
      <c r="K266" s="107" t="str">
        <f aca="false">IF($A266="","",SUMIFS('DAILY ENTRY'!$F$7:$F$1203,'DAILY ENTRY'!$A$7:$A$1203,$A266,'DAILY ENTRY'!$B$7:$B$1203,$B266,'DAILY ENTRY'!$D$7:$D$1203,"Engagement (commented on someone else)"))</f>
        <v/>
      </c>
      <c r="L266" s="107" t="str">
        <f aca="false">IF($A266="","",SUMIFS('DAILY ENTRY'!$F$7:$F$1203,'DAILY ENTRY'!$A$7:$A$1203,$A266,'DAILY ENTRY'!$B$7:$B$1203,$B266,'DAILY ENTRY'!$D$7:$D$1203,"Account created / profile completed"))</f>
        <v/>
      </c>
      <c r="M266" s="108" t="str">
        <f aca="false">IF($A266="","",IFERROR(INDEX('DAILY ENTRY'!$E$7:$E$1203,MATCH(1,INDEX(('DAILY ENTRY'!$A$7:$A$1203=$A266)*('DAILY ENTRY'!$B$7:$B$1203=$B266)*('DAILY ENTRY'!$I$7:$I$1203="Meeting booked"),0),0)),IFERROR(INDEX('DAILY ENTRY'!$E$7:$E$1203,MATCH(1,INDEX(('DAILY ENTRY'!$A$7:$A$1203=$A266)*('DAILY ENTRY'!$B$7:$B$1203=$B266)*('DAILY ENTRY'!$I$7:$I$1203="Positive reply"),0),0)),"")))</f>
        <v/>
      </c>
      <c r="N266" s="108" t="str">
        <f aca="false">IF($A266="","",IFERROR(INDEX('DAILY ENTRY'!$J$7:$J$1203,MATCH(1,INDEX(('DAILY ENTRY'!$A$7:$A$1203=$A266)*('DAILY ENTRY'!$B$7:$B$1203=$B266)*('DAILY ENTRY'!$I$7:$I$1203="Blocked"),0),0)),""))</f>
        <v/>
      </c>
      <c r="O266" s="65" t="str">
        <f aca="false">IF($A266="","",(D266&gt;='START HERE'!$B$25)+(E266&gt;='START HERE'!$B$26)+(F266&gt;='START HERE'!$B$27)+(G266&gt;='START HERE'!$B$28)+(H266&gt;='START HERE'!$B$29)+(I266&gt;='START HERE'!$B$30)+(J266&gt;='START HERE'!$B$31)+(K266&gt;='START HERE'!$B$32))</f>
        <v/>
      </c>
      <c r="P266" s="46" t="str">
        <f aca="false">IF($A266="","",IF(O266&gt;=7,"Full day",IF(O266&gt;=5,"Most targets met",IF(O266&gt;=3,"Half day","Below plan - explain in the blocker column"))))</f>
        <v/>
      </c>
    </row>
    <row r="267" customFormat="false" ht="24" hidden="false" customHeight="true" outlineLevel="0" collapsed="false">
      <c r="A267" s="36"/>
      <c r="B267" s="37"/>
      <c r="C267" s="107" t="str">
        <f aca="false">IF($A267="","",ROUND(SUMIFS('DAILY ENTRY'!$G$7:$G$1203,'DAILY ENTRY'!$A$7:$A$1203,$A267,'DAILY ENTRY'!$B$7:$B$1203,$B267)/60,1))</f>
        <v/>
      </c>
      <c r="D267" s="107" t="str">
        <f aca="false">IF($A267="","",SUMIFS('DAILY ENTRY'!$F$7:$F$1203,'DAILY ENTRY'!$A$7:$A$1203,$A267,'DAILY ENTRY'!$B$7:$B$1203,$B267,'DAILY ENTRY'!$D$7:$D$1203,"Lead researched (Sales Navigator)"))</f>
        <v/>
      </c>
      <c r="E267" s="107" t="str">
        <f aca="false">IF($A267="","",SUMIFS('DAILY ENTRY'!$F$7:$F$1203,'DAILY ENTRY'!$A$7:$A$1203,$A267,'DAILY ENTRY'!$B$7:$B$1203,$B267,'DAILY ENTRY'!$D$7:$D$1203,"Connection request sent"))</f>
        <v/>
      </c>
      <c r="F267" s="107" t="str">
        <f aca="false">IF($A267="","",SUMIFS('DAILY ENTRY'!$F$7:$F$1203,'DAILY ENTRY'!$A$7:$A$1203,$A267,'DAILY ENTRY'!$B$7:$B$1203,$B267,'DAILY ENTRY'!$D$7:$D$1203,"First message sent"))</f>
        <v/>
      </c>
      <c r="G267" s="107" t="str">
        <f aca="false">IF($A267="","",SUMIFS('DAILY ENTRY'!$F$7:$F$1203,'DAILY ENTRY'!$A$7:$A$1203,$A267,'DAILY ENTRY'!$B$7:$B$1203,$B267,'DAILY ENTRY'!$D$7:$D$1203,"Follow-up message sent"))</f>
        <v/>
      </c>
      <c r="H267" s="107" t="str">
        <f aca="false">IF($A267="","",SUMIFS('DAILY ENTRY'!$F$7:$F$1203,'DAILY ENTRY'!$A$7:$A$1203,$A267,'DAILY ENTRY'!$B$7:$B$1203,$B267,'DAILY ENTRY'!$D$7:$D$1203,"Post / content published"))</f>
        <v/>
      </c>
      <c r="I267" s="107" t="str">
        <f aca="false">IF($A267="","",SUMIFS('DAILY ENTRY'!$F$7:$F$1203,'DAILY ENTRY'!$A$7:$A$1203,$A267,'DAILY ENTRY'!$B$7:$B$1203,$B267,'DAILY ENTRY'!$D$7:$D$1203,"Community answer or comment"))</f>
        <v/>
      </c>
      <c r="J267" s="107" t="str">
        <f aca="false">IF($A267="","",SUMIFS('DAILY ENTRY'!$F$7:$F$1203,'DAILY ENTRY'!$A$7:$A$1203,$A267,'DAILY ENTRY'!$B$7:$B$1203,$B267,'DAILY ENTRY'!$D$7:$D$1203,"Partnership / PR contact"))</f>
        <v/>
      </c>
      <c r="K267" s="107" t="str">
        <f aca="false">IF($A267="","",SUMIFS('DAILY ENTRY'!$F$7:$F$1203,'DAILY ENTRY'!$A$7:$A$1203,$A267,'DAILY ENTRY'!$B$7:$B$1203,$B267,'DAILY ENTRY'!$D$7:$D$1203,"Engagement (commented on someone else)"))</f>
        <v/>
      </c>
      <c r="L267" s="107" t="str">
        <f aca="false">IF($A267="","",SUMIFS('DAILY ENTRY'!$F$7:$F$1203,'DAILY ENTRY'!$A$7:$A$1203,$A267,'DAILY ENTRY'!$B$7:$B$1203,$B267,'DAILY ENTRY'!$D$7:$D$1203,"Account created / profile completed"))</f>
        <v/>
      </c>
      <c r="M267" s="108" t="str">
        <f aca="false">IF($A267="","",IFERROR(INDEX('DAILY ENTRY'!$E$7:$E$1203,MATCH(1,INDEX(('DAILY ENTRY'!$A$7:$A$1203=$A267)*('DAILY ENTRY'!$B$7:$B$1203=$B267)*('DAILY ENTRY'!$I$7:$I$1203="Meeting booked"),0),0)),IFERROR(INDEX('DAILY ENTRY'!$E$7:$E$1203,MATCH(1,INDEX(('DAILY ENTRY'!$A$7:$A$1203=$A267)*('DAILY ENTRY'!$B$7:$B$1203=$B267)*('DAILY ENTRY'!$I$7:$I$1203="Positive reply"),0),0)),"")))</f>
        <v/>
      </c>
      <c r="N267" s="108" t="str">
        <f aca="false">IF($A267="","",IFERROR(INDEX('DAILY ENTRY'!$J$7:$J$1203,MATCH(1,INDEX(('DAILY ENTRY'!$A$7:$A$1203=$A267)*('DAILY ENTRY'!$B$7:$B$1203=$B267)*('DAILY ENTRY'!$I$7:$I$1203="Blocked"),0),0)),""))</f>
        <v/>
      </c>
      <c r="O267" s="65" t="str">
        <f aca="false">IF($A267="","",(D267&gt;='START HERE'!$B$25)+(E267&gt;='START HERE'!$B$26)+(F267&gt;='START HERE'!$B$27)+(G267&gt;='START HERE'!$B$28)+(H267&gt;='START HERE'!$B$29)+(I267&gt;='START HERE'!$B$30)+(J267&gt;='START HERE'!$B$31)+(K267&gt;='START HERE'!$B$32))</f>
        <v/>
      </c>
      <c r="P267" s="46" t="str">
        <f aca="false">IF($A267="","",IF(O267&gt;=7,"Full day",IF(O267&gt;=5,"Most targets met",IF(O267&gt;=3,"Half day","Below plan - explain in the blocker column"))))</f>
        <v/>
      </c>
    </row>
    <row r="268" customFormat="false" ht="24" hidden="false" customHeight="true" outlineLevel="0" collapsed="false">
      <c r="A268" s="36"/>
      <c r="B268" s="37"/>
      <c r="C268" s="107" t="str">
        <f aca="false">IF($A268="","",ROUND(SUMIFS('DAILY ENTRY'!$G$7:$G$1203,'DAILY ENTRY'!$A$7:$A$1203,$A268,'DAILY ENTRY'!$B$7:$B$1203,$B268)/60,1))</f>
        <v/>
      </c>
      <c r="D268" s="107" t="str">
        <f aca="false">IF($A268="","",SUMIFS('DAILY ENTRY'!$F$7:$F$1203,'DAILY ENTRY'!$A$7:$A$1203,$A268,'DAILY ENTRY'!$B$7:$B$1203,$B268,'DAILY ENTRY'!$D$7:$D$1203,"Lead researched (Sales Navigator)"))</f>
        <v/>
      </c>
      <c r="E268" s="107" t="str">
        <f aca="false">IF($A268="","",SUMIFS('DAILY ENTRY'!$F$7:$F$1203,'DAILY ENTRY'!$A$7:$A$1203,$A268,'DAILY ENTRY'!$B$7:$B$1203,$B268,'DAILY ENTRY'!$D$7:$D$1203,"Connection request sent"))</f>
        <v/>
      </c>
      <c r="F268" s="107" t="str">
        <f aca="false">IF($A268="","",SUMIFS('DAILY ENTRY'!$F$7:$F$1203,'DAILY ENTRY'!$A$7:$A$1203,$A268,'DAILY ENTRY'!$B$7:$B$1203,$B268,'DAILY ENTRY'!$D$7:$D$1203,"First message sent"))</f>
        <v/>
      </c>
      <c r="G268" s="107" t="str">
        <f aca="false">IF($A268="","",SUMIFS('DAILY ENTRY'!$F$7:$F$1203,'DAILY ENTRY'!$A$7:$A$1203,$A268,'DAILY ENTRY'!$B$7:$B$1203,$B268,'DAILY ENTRY'!$D$7:$D$1203,"Follow-up message sent"))</f>
        <v/>
      </c>
      <c r="H268" s="107" t="str">
        <f aca="false">IF($A268="","",SUMIFS('DAILY ENTRY'!$F$7:$F$1203,'DAILY ENTRY'!$A$7:$A$1203,$A268,'DAILY ENTRY'!$B$7:$B$1203,$B268,'DAILY ENTRY'!$D$7:$D$1203,"Post / content published"))</f>
        <v/>
      </c>
      <c r="I268" s="107" t="str">
        <f aca="false">IF($A268="","",SUMIFS('DAILY ENTRY'!$F$7:$F$1203,'DAILY ENTRY'!$A$7:$A$1203,$A268,'DAILY ENTRY'!$B$7:$B$1203,$B268,'DAILY ENTRY'!$D$7:$D$1203,"Community answer or comment"))</f>
        <v/>
      </c>
      <c r="J268" s="107" t="str">
        <f aca="false">IF($A268="","",SUMIFS('DAILY ENTRY'!$F$7:$F$1203,'DAILY ENTRY'!$A$7:$A$1203,$A268,'DAILY ENTRY'!$B$7:$B$1203,$B268,'DAILY ENTRY'!$D$7:$D$1203,"Partnership / PR contact"))</f>
        <v/>
      </c>
      <c r="K268" s="107" t="str">
        <f aca="false">IF($A268="","",SUMIFS('DAILY ENTRY'!$F$7:$F$1203,'DAILY ENTRY'!$A$7:$A$1203,$A268,'DAILY ENTRY'!$B$7:$B$1203,$B268,'DAILY ENTRY'!$D$7:$D$1203,"Engagement (commented on someone else)"))</f>
        <v/>
      </c>
      <c r="L268" s="107" t="str">
        <f aca="false">IF($A268="","",SUMIFS('DAILY ENTRY'!$F$7:$F$1203,'DAILY ENTRY'!$A$7:$A$1203,$A268,'DAILY ENTRY'!$B$7:$B$1203,$B268,'DAILY ENTRY'!$D$7:$D$1203,"Account created / profile completed"))</f>
        <v/>
      </c>
      <c r="M268" s="108" t="str">
        <f aca="false">IF($A268="","",IFERROR(INDEX('DAILY ENTRY'!$E$7:$E$1203,MATCH(1,INDEX(('DAILY ENTRY'!$A$7:$A$1203=$A268)*('DAILY ENTRY'!$B$7:$B$1203=$B268)*('DAILY ENTRY'!$I$7:$I$1203="Meeting booked"),0),0)),IFERROR(INDEX('DAILY ENTRY'!$E$7:$E$1203,MATCH(1,INDEX(('DAILY ENTRY'!$A$7:$A$1203=$A268)*('DAILY ENTRY'!$B$7:$B$1203=$B268)*('DAILY ENTRY'!$I$7:$I$1203="Positive reply"),0),0)),"")))</f>
        <v/>
      </c>
      <c r="N268" s="108" t="str">
        <f aca="false">IF($A268="","",IFERROR(INDEX('DAILY ENTRY'!$J$7:$J$1203,MATCH(1,INDEX(('DAILY ENTRY'!$A$7:$A$1203=$A268)*('DAILY ENTRY'!$B$7:$B$1203=$B268)*('DAILY ENTRY'!$I$7:$I$1203="Blocked"),0),0)),""))</f>
        <v/>
      </c>
      <c r="O268" s="65" t="str">
        <f aca="false">IF($A268="","",(D268&gt;='START HERE'!$B$25)+(E268&gt;='START HERE'!$B$26)+(F268&gt;='START HERE'!$B$27)+(G268&gt;='START HERE'!$B$28)+(H268&gt;='START HERE'!$B$29)+(I268&gt;='START HERE'!$B$30)+(J268&gt;='START HERE'!$B$31)+(K268&gt;='START HERE'!$B$32))</f>
        <v/>
      </c>
      <c r="P268" s="46" t="str">
        <f aca="false">IF($A268="","",IF(O268&gt;=7,"Full day",IF(O268&gt;=5,"Most targets met",IF(O268&gt;=3,"Half day","Below plan - explain in the blocker column"))))</f>
        <v/>
      </c>
    </row>
    <row r="269" customFormat="false" ht="24" hidden="false" customHeight="true" outlineLevel="0" collapsed="false">
      <c r="A269" s="36"/>
      <c r="B269" s="37"/>
      <c r="C269" s="107" t="str">
        <f aca="false">IF($A269="","",ROUND(SUMIFS('DAILY ENTRY'!$G$7:$G$1203,'DAILY ENTRY'!$A$7:$A$1203,$A269,'DAILY ENTRY'!$B$7:$B$1203,$B269)/60,1))</f>
        <v/>
      </c>
      <c r="D269" s="107" t="str">
        <f aca="false">IF($A269="","",SUMIFS('DAILY ENTRY'!$F$7:$F$1203,'DAILY ENTRY'!$A$7:$A$1203,$A269,'DAILY ENTRY'!$B$7:$B$1203,$B269,'DAILY ENTRY'!$D$7:$D$1203,"Lead researched (Sales Navigator)"))</f>
        <v/>
      </c>
      <c r="E269" s="107" t="str">
        <f aca="false">IF($A269="","",SUMIFS('DAILY ENTRY'!$F$7:$F$1203,'DAILY ENTRY'!$A$7:$A$1203,$A269,'DAILY ENTRY'!$B$7:$B$1203,$B269,'DAILY ENTRY'!$D$7:$D$1203,"Connection request sent"))</f>
        <v/>
      </c>
      <c r="F269" s="107" t="str">
        <f aca="false">IF($A269="","",SUMIFS('DAILY ENTRY'!$F$7:$F$1203,'DAILY ENTRY'!$A$7:$A$1203,$A269,'DAILY ENTRY'!$B$7:$B$1203,$B269,'DAILY ENTRY'!$D$7:$D$1203,"First message sent"))</f>
        <v/>
      </c>
      <c r="G269" s="107" t="str">
        <f aca="false">IF($A269="","",SUMIFS('DAILY ENTRY'!$F$7:$F$1203,'DAILY ENTRY'!$A$7:$A$1203,$A269,'DAILY ENTRY'!$B$7:$B$1203,$B269,'DAILY ENTRY'!$D$7:$D$1203,"Follow-up message sent"))</f>
        <v/>
      </c>
      <c r="H269" s="107" t="str">
        <f aca="false">IF($A269="","",SUMIFS('DAILY ENTRY'!$F$7:$F$1203,'DAILY ENTRY'!$A$7:$A$1203,$A269,'DAILY ENTRY'!$B$7:$B$1203,$B269,'DAILY ENTRY'!$D$7:$D$1203,"Post / content published"))</f>
        <v/>
      </c>
      <c r="I269" s="107" t="str">
        <f aca="false">IF($A269="","",SUMIFS('DAILY ENTRY'!$F$7:$F$1203,'DAILY ENTRY'!$A$7:$A$1203,$A269,'DAILY ENTRY'!$B$7:$B$1203,$B269,'DAILY ENTRY'!$D$7:$D$1203,"Community answer or comment"))</f>
        <v/>
      </c>
      <c r="J269" s="107" t="str">
        <f aca="false">IF($A269="","",SUMIFS('DAILY ENTRY'!$F$7:$F$1203,'DAILY ENTRY'!$A$7:$A$1203,$A269,'DAILY ENTRY'!$B$7:$B$1203,$B269,'DAILY ENTRY'!$D$7:$D$1203,"Partnership / PR contact"))</f>
        <v/>
      </c>
      <c r="K269" s="107" t="str">
        <f aca="false">IF($A269="","",SUMIFS('DAILY ENTRY'!$F$7:$F$1203,'DAILY ENTRY'!$A$7:$A$1203,$A269,'DAILY ENTRY'!$B$7:$B$1203,$B269,'DAILY ENTRY'!$D$7:$D$1203,"Engagement (commented on someone else)"))</f>
        <v/>
      </c>
      <c r="L269" s="107" t="str">
        <f aca="false">IF($A269="","",SUMIFS('DAILY ENTRY'!$F$7:$F$1203,'DAILY ENTRY'!$A$7:$A$1203,$A269,'DAILY ENTRY'!$B$7:$B$1203,$B269,'DAILY ENTRY'!$D$7:$D$1203,"Account created / profile completed"))</f>
        <v/>
      </c>
      <c r="M269" s="108" t="str">
        <f aca="false">IF($A269="","",IFERROR(INDEX('DAILY ENTRY'!$E$7:$E$1203,MATCH(1,INDEX(('DAILY ENTRY'!$A$7:$A$1203=$A269)*('DAILY ENTRY'!$B$7:$B$1203=$B269)*('DAILY ENTRY'!$I$7:$I$1203="Meeting booked"),0),0)),IFERROR(INDEX('DAILY ENTRY'!$E$7:$E$1203,MATCH(1,INDEX(('DAILY ENTRY'!$A$7:$A$1203=$A269)*('DAILY ENTRY'!$B$7:$B$1203=$B269)*('DAILY ENTRY'!$I$7:$I$1203="Positive reply"),0),0)),"")))</f>
        <v/>
      </c>
      <c r="N269" s="108" t="str">
        <f aca="false">IF($A269="","",IFERROR(INDEX('DAILY ENTRY'!$J$7:$J$1203,MATCH(1,INDEX(('DAILY ENTRY'!$A$7:$A$1203=$A269)*('DAILY ENTRY'!$B$7:$B$1203=$B269)*('DAILY ENTRY'!$I$7:$I$1203="Blocked"),0),0)),""))</f>
        <v/>
      </c>
      <c r="O269" s="65" t="str">
        <f aca="false">IF($A269="","",(D269&gt;='START HERE'!$B$25)+(E269&gt;='START HERE'!$B$26)+(F269&gt;='START HERE'!$B$27)+(G269&gt;='START HERE'!$B$28)+(H269&gt;='START HERE'!$B$29)+(I269&gt;='START HERE'!$B$30)+(J269&gt;='START HERE'!$B$31)+(K269&gt;='START HERE'!$B$32))</f>
        <v/>
      </c>
      <c r="P269" s="46" t="str">
        <f aca="false">IF($A269="","",IF(O269&gt;=7,"Full day",IF(O269&gt;=5,"Most targets met",IF(O269&gt;=3,"Half day","Below plan - explain in the blocker column"))))</f>
        <v/>
      </c>
    </row>
    <row r="270" customFormat="false" ht="24" hidden="false" customHeight="true" outlineLevel="0" collapsed="false">
      <c r="A270" s="36"/>
      <c r="B270" s="37"/>
      <c r="C270" s="107" t="str">
        <f aca="false">IF($A270="","",ROUND(SUMIFS('DAILY ENTRY'!$G$7:$G$1203,'DAILY ENTRY'!$A$7:$A$1203,$A270,'DAILY ENTRY'!$B$7:$B$1203,$B270)/60,1))</f>
        <v/>
      </c>
      <c r="D270" s="107" t="str">
        <f aca="false">IF($A270="","",SUMIFS('DAILY ENTRY'!$F$7:$F$1203,'DAILY ENTRY'!$A$7:$A$1203,$A270,'DAILY ENTRY'!$B$7:$B$1203,$B270,'DAILY ENTRY'!$D$7:$D$1203,"Lead researched (Sales Navigator)"))</f>
        <v/>
      </c>
      <c r="E270" s="107" t="str">
        <f aca="false">IF($A270="","",SUMIFS('DAILY ENTRY'!$F$7:$F$1203,'DAILY ENTRY'!$A$7:$A$1203,$A270,'DAILY ENTRY'!$B$7:$B$1203,$B270,'DAILY ENTRY'!$D$7:$D$1203,"Connection request sent"))</f>
        <v/>
      </c>
      <c r="F270" s="107" t="str">
        <f aca="false">IF($A270="","",SUMIFS('DAILY ENTRY'!$F$7:$F$1203,'DAILY ENTRY'!$A$7:$A$1203,$A270,'DAILY ENTRY'!$B$7:$B$1203,$B270,'DAILY ENTRY'!$D$7:$D$1203,"First message sent"))</f>
        <v/>
      </c>
      <c r="G270" s="107" t="str">
        <f aca="false">IF($A270="","",SUMIFS('DAILY ENTRY'!$F$7:$F$1203,'DAILY ENTRY'!$A$7:$A$1203,$A270,'DAILY ENTRY'!$B$7:$B$1203,$B270,'DAILY ENTRY'!$D$7:$D$1203,"Follow-up message sent"))</f>
        <v/>
      </c>
      <c r="H270" s="107" t="str">
        <f aca="false">IF($A270="","",SUMIFS('DAILY ENTRY'!$F$7:$F$1203,'DAILY ENTRY'!$A$7:$A$1203,$A270,'DAILY ENTRY'!$B$7:$B$1203,$B270,'DAILY ENTRY'!$D$7:$D$1203,"Post / content published"))</f>
        <v/>
      </c>
      <c r="I270" s="107" t="str">
        <f aca="false">IF($A270="","",SUMIFS('DAILY ENTRY'!$F$7:$F$1203,'DAILY ENTRY'!$A$7:$A$1203,$A270,'DAILY ENTRY'!$B$7:$B$1203,$B270,'DAILY ENTRY'!$D$7:$D$1203,"Community answer or comment"))</f>
        <v/>
      </c>
      <c r="J270" s="107" t="str">
        <f aca="false">IF($A270="","",SUMIFS('DAILY ENTRY'!$F$7:$F$1203,'DAILY ENTRY'!$A$7:$A$1203,$A270,'DAILY ENTRY'!$B$7:$B$1203,$B270,'DAILY ENTRY'!$D$7:$D$1203,"Partnership / PR contact"))</f>
        <v/>
      </c>
      <c r="K270" s="107" t="str">
        <f aca="false">IF($A270="","",SUMIFS('DAILY ENTRY'!$F$7:$F$1203,'DAILY ENTRY'!$A$7:$A$1203,$A270,'DAILY ENTRY'!$B$7:$B$1203,$B270,'DAILY ENTRY'!$D$7:$D$1203,"Engagement (commented on someone else)"))</f>
        <v/>
      </c>
      <c r="L270" s="107" t="str">
        <f aca="false">IF($A270="","",SUMIFS('DAILY ENTRY'!$F$7:$F$1203,'DAILY ENTRY'!$A$7:$A$1203,$A270,'DAILY ENTRY'!$B$7:$B$1203,$B270,'DAILY ENTRY'!$D$7:$D$1203,"Account created / profile completed"))</f>
        <v/>
      </c>
      <c r="M270" s="108" t="str">
        <f aca="false">IF($A270="","",IFERROR(INDEX('DAILY ENTRY'!$E$7:$E$1203,MATCH(1,INDEX(('DAILY ENTRY'!$A$7:$A$1203=$A270)*('DAILY ENTRY'!$B$7:$B$1203=$B270)*('DAILY ENTRY'!$I$7:$I$1203="Meeting booked"),0),0)),IFERROR(INDEX('DAILY ENTRY'!$E$7:$E$1203,MATCH(1,INDEX(('DAILY ENTRY'!$A$7:$A$1203=$A270)*('DAILY ENTRY'!$B$7:$B$1203=$B270)*('DAILY ENTRY'!$I$7:$I$1203="Positive reply"),0),0)),"")))</f>
        <v/>
      </c>
      <c r="N270" s="108" t="str">
        <f aca="false">IF($A270="","",IFERROR(INDEX('DAILY ENTRY'!$J$7:$J$1203,MATCH(1,INDEX(('DAILY ENTRY'!$A$7:$A$1203=$A270)*('DAILY ENTRY'!$B$7:$B$1203=$B270)*('DAILY ENTRY'!$I$7:$I$1203="Blocked"),0),0)),""))</f>
        <v/>
      </c>
      <c r="O270" s="65" t="str">
        <f aca="false">IF($A270="","",(D270&gt;='START HERE'!$B$25)+(E270&gt;='START HERE'!$B$26)+(F270&gt;='START HERE'!$B$27)+(G270&gt;='START HERE'!$B$28)+(H270&gt;='START HERE'!$B$29)+(I270&gt;='START HERE'!$B$30)+(J270&gt;='START HERE'!$B$31)+(K270&gt;='START HERE'!$B$32))</f>
        <v/>
      </c>
      <c r="P270" s="46" t="str">
        <f aca="false">IF($A270="","",IF(O270&gt;=7,"Full day",IF(O270&gt;=5,"Most targets met",IF(O270&gt;=3,"Half day","Below plan - explain in the blocker column"))))</f>
        <v/>
      </c>
    </row>
    <row r="271" customFormat="false" ht="24" hidden="false" customHeight="true" outlineLevel="0" collapsed="false">
      <c r="A271" s="36"/>
      <c r="B271" s="37"/>
      <c r="C271" s="107" t="str">
        <f aca="false">IF($A271="","",ROUND(SUMIFS('DAILY ENTRY'!$G$7:$G$1203,'DAILY ENTRY'!$A$7:$A$1203,$A271,'DAILY ENTRY'!$B$7:$B$1203,$B271)/60,1))</f>
        <v/>
      </c>
      <c r="D271" s="107" t="str">
        <f aca="false">IF($A271="","",SUMIFS('DAILY ENTRY'!$F$7:$F$1203,'DAILY ENTRY'!$A$7:$A$1203,$A271,'DAILY ENTRY'!$B$7:$B$1203,$B271,'DAILY ENTRY'!$D$7:$D$1203,"Lead researched (Sales Navigator)"))</f>
        <v/>
      </c>
      <c r="E271" s="107" t="str">
        <f aca="false">IF($A271="","",SUMIFS('DAILY ENTRY'!$F$7:$F$1203,'DAILY ENTRY'!$A$7:$A$1203,$A271,'DAILY ENTRY'!$B$7:$B$1203,$B271,'DAILY ENTRY'!$D$7:$D$1203,"Connection request sent"))</f>
        <v/>
      </c>
      <c r="F271" s="107" t="str">
        <f aca="false">IF($A271="","",SUMIFS('DAILY ENTRY'!$F$7:$F$1203,'DAILY ENTRY'!$A$7:$A$1203,$A271,'DAILY ENTRY'!$B$7:$B$1203,$B271,'DAILY ENTRY'!$D$7:$D$1203,"First message sent"))</f>
        <v/>
      </c>
      <c r="G271" s="107" t="str">
        <f aca="false">IF($A271="","",SUMIFS('DAILY ENTRY'!$F$7:$F$1203,'DAILY ENTRY'!$A$7:$A$1203,$A271,'DAILY ENTRY'!$B$7:$B$1203,$B271,'DAILY ENTRY'!$D$7:$D$1203,"Follow-up message sent"))</f>
        <v/>
      </c>
      <c r="H271" s="107" t="str">
        <f aca="false">IF($A271="","",SUMIFS('DAILY ENTRY'!$F$7:$F$1203,'DAILY ENTRY'!$A$7:$A$1203,$A271,'DAILY ENTRY'!$B$7:$B$1203,$B271,'DAILY ENTRY'!$D$7:$D$1203,"Post / content published"))</f>
        <v/>
      </c>
      <c r="I271" s="107" t="str">
        <f aca="false">IF($A271="","",SUMIFS('DAILY ENTRY'!$F$7:$F$1203,'DAILY ENTRY'!$A$7:$A$1203,$A271,'DAILY ENTRY'!$B$7:$B$1203,$B271,'DAILY ENTRY'!$D$7:$D$1203,"Community answer or comment"))</f>
        <v/>
      </c>
      <c r="J271" s="107" t="str">
        <f aca="false">IF($A271="","",SUMIFS('DAILY ENTRY'!$F$7:$F$1203,'DAILY ENTRY'!$A$7:$A$1203,$A271,'DAILY ENTRY'!$B$7:$B$1203,$B271,'DAILY ENTRY'!$D$7:$D$1203,"Partnership / PR contact"))</f>
        <v/>
      </c>
      <c r="K271" s="107" t="str">
        <f aca="false">IF($A271="","",SUMIFS('DAILY ENTRY'!$F$7:$F$1203,'DAILY ENTRY'!$A$7:$A$1203,$A271,'DAILY ENTRY'!$B$7:$B$1203,$B271,'DAILY ENTRY'!$D$7:$D$1203,"Engagement (commented on someone else)"))</f>
        <v/>
      </c>
      <c r="L271" s="107" t="str">
        <f aca="false">IF($A271="","",SUMIFS('DAILY ENTRY'!$F$7:$F$1203,'DAILY ENTRY'!$A$7:$A$1203,$A271,'DAILY ENTRY'!$B$7:$B$1203,$B271,'DAILY ENTRY'!$D$7:$D$1203,"Account created / profile completed"))</f>
        <v/>
      </c>
      <c r="M271" s="108" t="str">
        <f aca="false">IF($A271="","",IFERROR(INDEX('DAILY ENTRY'!$E$7:$E$1203,MATCH(1,INDEX(('DAILY ENTRY'!$A$7:$A$1203=$A271)*('DAILY ENTRY'!$B$7:$B$1203=$B271)*('DAILY ENTRY'!$I$7:$I$1203="Meeting booked"),0),0)),IFERROR(INDEX('DAILY ENTRY'!$E$7:$E$1203,MATCH(1,INDEX(('DAILY ENTRY'!$A$7:$A$1203=$A271)*('DAILY ENTRY'!$B$7:$B$1203=$B271)*('DAILY ENTRY'!$I$7:$I$1203="Positive reply"),0),0)),"")))</f>
        <v/>
      </c>
      <c r="N271" s="108" t="str">
        <f aca="false">IF($A271="","",IFERROR(INDEX('DAILY ENTRY'!$J$7:$J$1203,MATCH(1,INDEX(('DAILY ENTRY'!$A$7:$A$1203=$A271)*('DAILY ENTRY'!$B$7:$B$1203=$B271)*('DAILY ENTRY'!$I$7:$I$1203="Blocked"),0),0)),""))</f>
        <v/>
      </c>
      <c r="O271" s="65" t="str">
        <f aca="false">IF($A271="","",(D271&gt;='START HERE'!$B$25)+(E271&gt;='START HERE'!$B$26)+(F271&gt;='START HERE'!$B$27)+(G271&gt;='START HERE'!$B$28)+(H271&gt;='START HERE'!$B$29)+(I271&gt;='START HERE'!$B$30)+(J271&gt;='START HERE'!$B$31)+(K271&gt;='START HERE'!$B$32))</f>
        <v/>
      </c>
      <c r="P271" s="46" t="str">
        <f aca="false">IF($A271="","",IF(O271&gt;=7,"Full day",IF(O271&gt;=5,"Most targets met",IF(O271&gt;=3,"Half day","Below plan - explain in the blocker column"))))</f>
        <v/>
      </c>
    </row>
    <row r="272" customFormat="false" ht="24" hidden="false" customHeight="true" outlineLevel="0" collapsed="false">
      <c r="A272" s="36"/>
      <c r="B272" s="37"/>
      <c r="C272" s="107" t="str">
        <f aca="false">IF($A272="","",ROUND(SUMIFS('DAILY ENTRY'!$G$7:$G$1203,'DAILY ENTRY'!$A$7:$A$1203,$A272,'DAILY ENTRY'!$B$7:$B$1203,$B272)/60,1))</f>
        <v/>
      </c>
      <c r="D272" s="107" t="str">
        <f aca="false">IF($A272="","",SUMIFS('DAILY ENTRY'!$F$7:$F$1203,'DAILY ENTRY'!$A$7:$A$1203,$A272,'DAILY ENTRY'!$B$7:$B$1203,$B272,'DAILY ENTRY'!$D$7:$D$1203,"Lead researched (Sales Navigator)"))</f>
        <v/>
      </c>
      <c r="E272" s="107" t="str">
        <f aca="false">IF($A272="","",SUMIFS('DAILY ENTRY'!$F$7:$F$1203,'DAILY ENTRY'!$A$7:$A$1203,$A272,'DAILY ENTRY'!$B$7:$B$1203,$B272,'DAILY ENTRY'!$D$7:$D$1203,"Connection request sent"))</f>
        <v/>
      </c>
      <c r="F272" s="107" t="str">
        <f aca="false">IF($A272="","",SUMIFS('DAILY ENTRY'!$F$7:$F$1203,'DAILY ENTRY'!$A$7:$A$1203,$A272,'DAILY ENTRY'!$B$7:$B$1203,$B272,'DAILY ENTRY'!$D$7:$D$1203,"First message sent"))</f>
        <v/>
      </c>
      <c r="G272" s="107" t="str">
        <f aca="false">IF($A272="","",SUMIFS('DAILY ENTRY'!$F$7:$F$1203,'DAILY ENTRY'!$A$7:$A$1203,$A272,'DAILY ENTRY'!$B$7:$B$1203,$B272,'DAILY ENTRY'!$D$7:$D$1203,"Follow-up message sent"))</f>
        <v/>
      </c>
      <c r="H272" s="107" t="str">
        <f aca="false">IF($A272="","",SUMIFS('DAILY ENTRY'!$F$7:$F$1203,'DAILY ENTRY'!$A$7:$A$1203,$A272,'DAILY ENTRY'!$B$7:$B$1203,$B272,'DAILY ENTRY'!$D$7:$D$1203,"Post / content published"))</f>
        <v/>
      </c>
      <c r="I272" s="107" t="str">
        <f aca="false">IF($A272="","",SUMIFS('DAILY ENTRY'!$F$7:$F$1203,'DAILY ENTRY'!$A$7:$A$1203,$A272,'DAILY ENTRY'!$B$7:$B$1203,$B272,'DAILY ENTRY'!$D$7:$D$1203,"Community answer or comment"))</f>
        <v/>
      </c>
      <c r="J272" s="107" t="str">
        <f aca="false">IF($A272="","",SUMIFS('DAILY ENTRY'!$F$7:$F$1203,'DAILY ENTRY'!$A$7:$A$1203,$A272,'DAILY ENTRY'!$B$7:$B$1203,$B272,'DAILY ENTRY'!$D$7:$D$1203,"Partnership / PR contact"))</f>
        <v/>
      </c>
      <c r="K272" s="107" t="str">
        <f aca="false">IF($A272="","",SUMIFS('DAILY ENTRY'!$F$7:$F$1203,'DAILY ENTRY'!$A$7:$A$1203,$A272,'DAILY ENTRY'!$B$7:$B$1203,$B272,'DAILY ENTRY'!$D$7:$D$1203,"Engagement (commented on someone else)"))</f>
        <v/>
      </c>
      <c r="L272" s="107" t="str">
        <f aca="false">IF($A272="","",SUMIFS('DAILY ENTRY'!$F$7:$F$1203,'DAILY ENTRY'!$A$7:$A$1203,$A272,'DAILY ENTRY'!$B$7:$B$1203,$B272,'DAILY ENTRY'!$D$7:$D$1203,"Account created / profile completed"))</f>
        <v/>
      </c>
      <c r="M272" s="108" t="str">
        <f aca="false">IF($A272="","",IFERROR(INDEX('DAILY ENTRY'!$E$7:$E$1203,MATCH(1,INDEX(('DAILY ENTRY'!$A$7:$A$1203=$A272)*('DAILY ENTRY'!$B$7:$B$1203=$B272)*('DAILY ENTRY'!$I$7:$I$1203="Meeting booked"),0),0)),IFERROR(INDEX('DAILY ENTRY'!$E$7:$E$1203,MATCH(1,INDEX(('DAILY ENTRY'!$A$7:$A$1203=$A272)*('DAILY ENTRY'!$B$7:$B$1203=$B272)*('DAILY ENTRY'!$I$7:$I$1203="Positive reply"),0),0)),"")))</f>
        <v/>
      </c>
      <c r="N272" s="108" t="str">
        <f aca="false">IF($A272="","",IFERROR(INDEX('DAILY ENTRY'!$J$7:$J$1203,MATCH(1,INDEX(('DAILY ENTRY'!$A$7:$A$1203=$A272)*('DAILY ENTRY'!$B$7:$B$1203=$B272)*('DAILY ENTRY'!$I$7:$I$1203="Blocked"),0),0)),""))</f>
        <v/>
      </c>
      <c r="O272" s="65" t="str">
        <f aca="false">IF($A272="","",(D272&gt;='START HERE'!$B$25)+(E272&gt;='START HERE'!$B$26)+(F272&gt;='START HERE'!$B$27)+(G272&gt;='START HERE'!$B$28)+(H272&gt;='START HERE'!$B$29)+(I272&gt;='START HERE'!$B$30)+(J272&gt;='START HERE'!$B$31)+(K272&gt;='START HERE'!$B$32))</f>
        <v/>
      </c>
      <c r="P272" s="46" t="str">
        <f aca="false">IF($A272="","",IF(O272&gt;=7,"Full day",IF(O272&gt;=5,"Most targets met",IF(O272&gt;=3,"Half day","Below plan - explain in the blocker column"))))</f>
        <v/>
      </c>
    </row>
    <row r="273" customFormat="false" ht="24" hidden="false" customHeight="true" outlineLevel="0" collapsed="false">
      <c r="A273" s="36"/>
      <c r="B273" s="37"/>
      <c r="C273" s="107" t="str">
        <f aca="false">IF($A273="","",ROUND(SUMIFS('DAILY ENTRY'!$G$7:$G$1203,'DAILY ENTRY'!$A$7:$A$1203,$A273,'DAILY ENTRY'!$B$7:$B$1203,$B273)/60,1))</f>
        <v/>
      </c>
      <c r="D273" s="107" t="str">
        <f aca="false">IF($A273="","",SUMIFS('DAILY ENTRY'!$F$7:$F$1203,'DAILY ENTRY'!$A$7:$A$1203,$A273,'DAILY ENTRY'!$B$7:$B$1203,$B273,'DAILY ENTRY'!$D$7:$D$1203,"Lead researched (Sales Navigator)"))</f>
        <v/>
      </c>
      <c r="E273" s="107" t="str">
        <f aca="false">IF($A273="","",SUMIFS('DAILY ENTRY'!$F$7:$F$1203,'DAILY ENTRY'!$A$7:$A$1203,$A273,'DAILY ENTRY'!$B$7:$B$1203,$B273,'DAILY ENTRY'!$D$7:$D$1203,"Connection request sent"))</f>
        <v/>
      </c>
      <c r="F273" s="107" t="str">
        <f aca="false">IF($A273="","",SUMIFS('DAILY ENTRY'!$F$7:$F$1203,'DAILY ENTRY'!$A$7:$A$1203,$A273,'DAILY ENTRY'!$B$7:$B$1203,$B273,'DAILY ENTRY'!$D$7:$D$1203,"First message sent"))</f>
        <v/>
      </c>
      <c r="G273" s="107" t="str">
        <f aca="false">IF($A273="","",SUMIFS('DAILY ENTRY'!$F$7:$F$1203,'DAILY ENTRY'!$A$7:$A$1203,$A273,'DAILY ENTRY'!$B$7:$B$1203,$B273,'DAILY ENTRY'!$D$7:$D$1203,"Follow-up message sent"))</f>
        <v/>
      </c>
      <c r="H273" s="107" t="str">
        <f aca="false">IF($A273="","",SUMIFS('DAILY ENTRY'!$F$7:$F$1203,'DAILY ENTRY'!$A$7:$A$1203,$A273,'DAILY ENTRY'!$B$7:$B$1203,$B273,'DAILY ENTRY'!$D$7:$D$1203,"Post / content published"))</f>
        <v/>
      </c>
      <c r="I273" s="107" t="str">
        <f aca="false">IF($A273="","",SUMIFS('DAILY ENTRY'!$F$7:$F$1203,'DAILY ENTRY'!$A$7:$A$1203,$A273,'DAILY ENTRY'!$B$7:$B$1203,$B273,'DAILY ENTRY'!$D$7:$D$1203,"Community answer or comment"))</f>
        <v/>
      </c>
      <c r="J273" s="107" t="str">
        <f aca="false">IF($A273="","",SUMIFS('DAILY ENTRY'!$F$7:$F$1203,'DAILY ENTRY'!$A$7:$A$1203,$A273,'DAILY ENTRY'!$B$7:$B$1203,$B273,'DAILY ENTRY'!$D$7:$D$1203,"Partnership / PR contact"))</f>
        <v/>
      </c>
      <c r="K273" s="107" t="str">
        <f aca="false">IF($A273="","",SUMIFS('DAILY ENTRY'!$F$7:$F$1203,'DAILY ENTRY'!$A$7:$A$1203,$A273,'DAILY ENTRY'!$B$7:$B$1203,$B273,'DAILY ENTRY'!$D$7:$D$1203,"Engagement (commented on someone else)"))</f>
        <v/>
      </c>
      <c r="L273" s="107" t="str">
        <f aca="false">IF($A273="","",SUMIFS('DAILY ENTRY'!$F$7:$F$1203,'DAILY ENTRY'!$A$7:$A$1203,$A273,'DAILY ENTRY'!$B$7:$B$1203,$B273,'DAILY ENTRY'!$D$7:$D$1203,"Account created / profile completed"))</f>
        <v/>
      </c>
      <c r="M273" s="108" t="str">
        <f aca="false">IF($A273="","",IFERROR(INDEX('DAILY ENTRY'!$E$7:$E$1203,MATCH(1,INDEX(('DAILY ENTRY'!$A$7:$A$1203=$A273)*('DAILY ENTRY'!$B$7:$B$1203=$B273)*('DAILY ENTRY'!$I$7:$I$1203="Meeting booked"),0),0)),IFERROR(INDEX('DAILY ENTRY'!$E$7:$E$1203,MATCH(1,INDEX(('DAILY ENTRY'!$A$7:$A$1203=$A273)*('DAILY ENTRY'!$B$7:$B$1203=$B273)*('DAILY ENTRY'!$I$7:$I$1203="Positive reply"),0),0)),"")))</f>
        <v/>
      </c>
      <c r="N273" s="108" t="str">
        <f aca="false">IF($A273="","",IFERROR(INDEX('DAILY ENTRY'!$J$7:$J$1203,MATCH(1,INDEX(('DAILY ENTRY'!$A$7:$A$1203=$A273)*('DAILY ENTRY'!$B$7:$B$1203=$B273)*('DAILY ENTRY'!$I$7:$I$1203="Blocked"),0),0)),""))</f>
        <v/>
      </c>
      <c r="O273" s="65" t="str">
        <f aca="false">IF($A273="","",(D273&gt;='START HERE'!$B$25)+(E273&gt;='START HERE'!$B$26)+(F273&gt;='START HERE'!$B$27)+(G273&gt;='START HERE'!$B$28)+(H273&gt;='START HERE'!$B$29)+(I273&gt;='START HERE'!$B$30)+(J273&gt;='START HERE'!$B$31)+(K273&gt;='START HERE'!$B$32))</f>
        <v/>
      </c>
      <c r="P273" s="46" t="str">
        <f aca="false">IF($A273="","",IF(O273&gt;=7,"Full day",IF(O273&gt;=5,"Most targets met",IF(O273&gt;=3,"Half day","Below plan - explain in the blocker column"))))</f>
        <v/>
      </c>
    </row>
    <row r="274" customFormat="false" ht="24" hidden="false" customHeight="true" outlineLevel="0" collapsed="false">
      <c r="A274" s="36"/>
      <c r="B274" s="37"/>
      <c r="C274" s="107" t="str">
        <f aca="false">IF($A274="","",ROUND(SUMIFS('DAILY ENTRY'!$G$7:$G$1203,'DAILY ENTRY'!$A$7:$A$1203,$A274,'DAILY ENTRY'!$B$7:$B$1203,$B274)/60,1))</f>
        <v/>
      </c>
      <c r="D274" s="107" t="str">
        <f aca="false">IF($A274="","",SUMIFS('DAILY ENTRY'!$F$7:$F$1203,'DAILY ENTRY'!$A$7:$A$1203,$A274,'DAILY ENTRY'!$B$7:$B$1203,$B274,'DAILY ENTRY'!$D$7:$D$1203,"Lead researched (Sales Navigator)"))</f>
        <v/>
      </c>
      <c r="E274" s="107" t="str">
        <f aca="false">IF($A274="","",SUMIFS('DAILY ENTRY'!$F$7:$F$1203,'DAILY ENTRY'!$A$7:$A$1203,$A274,'DAILY ENTRY'!$B$7:$B$1203,$B274,'DAILY ENTRY'!$D$7:$D$1203,"Connection request sent"))</f>
        <v/>
      </c>
      <c r="F274" s="107" t="str">
        <f aca="false">IF($A274="","",SUMIFS('DAILY ENTRY'!$F$7:$F$1203,'DAILY ENTRY'!$A$7:$A$1203,$A274,'DAILY ENTRY'!$B$7:$B$1203,$B274,'DAILY ENTRY'!$D$7:$D$1203,"First message sent"))</f>
        <v/>
      </c>
      <c r="G274" s="107" t="str">
        <f aca="false">IF($A274="","",SUMIFS('DAILY ENTRY'!$F$7:$F$1203,'DAILY ENTRY'!$A$7:$A$1203,$A274,'DAILY ENTRY'!$B$7:$B$1203,$B274,'DAILY ENTRY'!$D$7:$D$1203,"Follow-up message sent"))</f>
        <v/>
      </c>
      <c r="H274" s="107" t="str">
        <f aca="false">IF($A274="","",SUMIFS('DAILY ENTRY'!$F$7:$F$1203,'DAILY ENTRY'!$A$7:$A$1203,$A274,'DAILY ENTRY'!$B$7:$B$1203,$B274,'DAILY ENTRY'!$D$7:$D$1203,"Post / content published"))</f>
        <v/>
      </c>
      <c r="I274" s="107" t="str">
        <f aca="false">IF($A274="","",SUMIFS('DAILY ENTRY'!$F$7:$F$1203,'DAILY ENTRY'!$A$7:$A$1203,$A274,'DAILY ENTRY'!$B$7:$B$1203,$B274,'DAILY ENTRY'!$D$7:$D$1203,"Community answer or comment"))</f>
        <v/>
      </c>
      <c r="J274" s="107" t="str">
        <f aca="false">IF($A274="","",SUMIFS('DAILY ENTRY'!$F$7:$F$1203,'DAILY ENTRY'!$A$7:$A$1203,$A274,'DAILY ENTRY'!$B$7:$B$1203,$B274,'DAILY ENTRY'!$D$7:$D$1203,"Partnership / PR contact"))</f>
        <v/>
      </c>
      <c r="K274" s="107" t="str">
        <f aca="false">IF($A274="","",SUMIFS('DAILY ENTRY'!$F$7:$F$1203,'DAILY ENTRY'!$A$7:$A$1203,$A274,'DAILY ENTRY'!$B$7:$B$1203,$B274,'DAILY ENTRY'!$D$7:$D$1203,"Engagement (commented on someone else)"))</f>
        <v/>
      </c>
      <c r="L274" s="107" t="str">
        <f aca="false">IF($A274="","",SUMIFS('DAILY ENTRY'!$F$7:$F$1203,'DAILY ENTRY'!$A$7:$A$1203,$A274,'DAILY ENTRY'!$B$7:$B$1203,$B274,'DAILY ENTRY'!$D$7:$D$1203,"Account created / profile completed"))</f>
        <v/>
      </c>
      <c r="M274" s="108" t="str">
        <f aca="false">IF($A274="","",IFERROR(INDEX('DAILY ENTRY'!$E$7:$E$1203,MATCH(1,INDEX(('DAILY ENTRY'!$A$7:$A$1203=$A274)*('DAILY ENTRY'!$B$7:$B$1203=$B274)*('DAILY ENTRY'!$I$7:$I$1203="Meeting booked"),0),0)),IFERROR(INDEX('DAILY ENTRY'!$E$7:$E$1203,MATCH(1,INDEX(('DAILY ENTRY'!$A$7:$A$1203=$A274)*('DAILY ENTRY'!$B$7:$B$1203=$B274)*('DAILY ENTRY'!$I$7:$I$1203="Positive reply"),0),0)),"")))</f>
        <v/>
      </c>
      <c r="N274" s="108" t="str">
        <f aca="false">IF($A274="","",IFERROR(INDEX('DAILY ENTRY'!$J$7:$J$1203,MATCH(1,INDEX(('DAILY ENTRY'!$A$7:$A$1203=$A274)*('DAILY ENTRY'!$B$7:$B$1203=$B274)*('DAILY ENTRY'!$I$7:$I$1203="Blocked"),0),0)),""))</f>
        <v/>
      </c>
      <c r="O274" s="65" t="str">
        <f aca="false">IF($A274="","",(D274&gt;='START HERE'!$B$25)+(E274&gt;='START HERE'!$B$26)+(F274&gt;='START HERE'!$B$27)+(G274&gt;='START HERE'!$B$28)+(H274&gt;='START HERE'!$B$29)+(I274&gt;='START HERE'!$B$30)+(J274&gt;='START HERE'!$B$31)+(K274&gt;='START HERE'!$B$32))</f>
        <v/>
      </c>
      <c r="P274" s="46" t="str">
        <f aca="false">IF($A274="","",IF(O274&gt;=7,"Full day",IF(O274&gt;=5,"Most targets met",IF(O274&gt;=3,"Half day","Below plan - explain in the blocker column"))))</f>
        <v/>
      </c>
    </row>
    <row r="275" customFormat="false" ht="24" hidden="false" customHeight="true" outlineLevel="0" collapsed="false">
      <c r="A275" s="36"/>
      <c r="B275" s="37"/>
      <c r="C275" s="107" t="str">
        <f aca="false">IF($A275="","",ROUND(SUMIFS('DAILY ENTRY'!$G$7:$G$1203,'DAILY ENTRY'!$A$7:$A$1203,$A275,'DAILY ENTRY'!$B$7:$B$1203,$B275)/60,1))</f>
        <v/>
      </c>
      <c r="D275" s="107" t="str">
        <f aca="false">IF($A275="","",SUMIFS('DAILY ENTRY'!$F$7:$F$1203,'DAILY ENTRY'!$A$7:$A$1203,$A275,'DAILY ENTRY'!$B$7:$B$1203,$B275,'DAILY ENTRY'!$D$7:$D$1203,"Lead researched (Sales Navigator)"))</f>
        <v/>
      </c>
      <c r="E275" s="107" t="str">
        <f aca="false">IF($A275="","",SUMIFS('DAILY ENTRY'!$F$7:$F$1203,'DAILY ENTRY'!$A$7:$A$1203,$A275,'DAILY ENTRY'!$B$7:$B$1203,$B275,'DAILY ENTRY'!$D$7:$D$1203,"Connection request sent"))</f>
        <v/>
      </c>
      <c r="F275" s="107" t="str">
        <f aca="false">IF($A275="","",SUMIFS('DAILY ENTRY'!$F$7:$F$1203,'DAILY ENTRY'!$A$7:$A$1203,$A275,'DAILY ENTRY'!$B$7:$B$1203,$B275,'DAILY ENTRY'!$D$7:$D$1203,"First message sent"))</f>
        <v/>
      </c>
      <c r="G275" s="107" t="str">
        <f aca="false">IF($A275="","",SUMIFS('DAILY ENTRY'!$F$7:$F$1203,'DAILY ENTRY'!$A$7:$A$1203,$A275,'DAILY ENTRY'!$B$7:$B$1203,$B275,'DAILY ENTRY'!$D$7:$D$1203,"Follow-up message sent"))</f>
        <v/>
      </c>
      <c r="H275" s="107" t="str">
        <f aca="false">IF($A275="","",SUMIFS('DAILY ENTRY'!$F$7:$F$1203,'DAILY ENTRY'!$A$7:$A$1203,$A275,'DAILY ENTRY'!$B$7:$B$1203,$B275,'DAILY ENTRY'!$D$7:$D$1203,"Post / content published"))</f>
        <v/>
      </c>
      <c r="I275" s="107" t="str">
        <f aca="false">IF($A275="","",SUMIFS('DAILY ENTRY'!$F$7:$F$1203,'DAILY ENTRY'!$A$7:$A$1203,$A275,'DAILY ENTRY'!$B$7:$B$1203,$B275,'DAILY ENTRY'!$D$7:$D$1203,"Community answer or comment"))</f>
        <v/>
      </c>
      <c r="J275" s="107" t="str">
        <f aca="false">IF($A275="","",SUMIFS('DAILY ENTRY'!$F$7:$F$1203,'DAILY ENTRY'!$A$7:$A$1203,$A275,'DAILY ENTRY'!$B$7:$B$1203,$B275,'DAILY ENTRY'!$D$7:$D$1203,"Partnership / PR contact"))</f>
        <v/>
      </c>
      <c r="K275" s="107" t="str">
        <f aca="false">IF($A275="","",SUMIFS('DAILY ENTRY'!$F$7:$F$1203,'DAILY ENTRY'!$A$7:$A$1203,$A275,'DAILY ENTRY'!$B$7:$B$1203,$B275,'DAILY ENTRY'!$D$7:$D$1203,"Engagement (commented on someone else)"))</f>
        <v/>
      </c>
      <c r="L275" s="107" t="str">
        <f aca="false">IF($A275="","",SUMIFS('DAILY ENTRY'!$F$7:$F$1203,'DAILY ENTRY'!$A$7:$A$1203,$A275,'DAILY ENTRY'!$B$7:$B$1203,$B275,'DAILY ENTRY'!$D$7:$D$1203,"Account created / profile completed"))</f>
        <v/>
      </c>
      <c r="M275" s="108" t="str">
        <f aca="false">IF($A275="","",IFERROR(INDEX('DAILY ENTRY'!$E$7:$E$1203,MATCH(1,INDEX(('DAILY ENTRY'!$A$7:$A$1203=$A275)*('DAILY ENTRY'!$B$7:$B$1203=$B275)*('DAILY ENTRY'!$I$7:$I$1203="Meeting booked"),0),0)),IFERROR(INDEX('DAILY ENTRY'!$E$7:$E$1203,MATCH(1,INDEX(('DAILY ENTRY'!$A$7:$A$1203=$A275)*('DAILY ENTRY'!$B$7:$B$1203=$B275)*('DAILY ENTRY'!$I$7:$I$1203="Positive reply"),0),0)),"")))</f>
        <v/>
      </c>
      <c r="N275" s="108" t="str">
        <f aca="false">IF($A275="","",IFERROR(INDEX('DAILY ENTRY'!$J$7:$J$1203,MATCH(1,INDEX(('DAILY ENTRY'!$A$7:$A$1203=$A275)*('DAILY ENTRY'!$B$7:$B$1203=$B275)*('DAILY ENTRY'!$I$7:$I$1203="Blocked"),0),0)),""))</f>
        <v/>
      </c>
      <c r="O275" s="65" t="str">
        <f aca="false">IF($A275="","",(D275&gt;='START HERE'!$B$25)+(E275&gt;='START HERE'!$B$26)+(F275&gt;='START HERE'!$B$27)+(G275&gt;='START HERE'!$B$28)+(H275&gt;='START HERE'!$B$29)+(I275&gt;='START HERE'!$B$30)+(J275&gt;='START HERE'!$B$31)+(K275&gt;='START HERE'!$B$32))</f>
        <v/>
      </c>
      <c r="P275" s="46" t="str">
        <f aca="false">IF($A275="","",IF(O275&gt;=7,"Full day",IF(O275&gt;=5,"Most targets met",IF(O275&gt;=3,"Half day","Below plan - explain in the blocker column"))))</f>
        <v/>
      </c>
    </row>
    <row r="276" customFormat="false" ht="24" hidden="false" customHeight="true" outlineLevel="0" collapsed="false">
      <c r="A276" s="36"/>
      <c r="B276" s="37"/>
      <c r="C276" s="107" t="str">
        <f aca="false">IF($A276="","",ROUND(SUMIFS('DAILY ENTRY'!$G$7:$G$1203,'DAILY ENTRY'!$A$7:$A$1203,$A276,'DAILY ENTRY'!$B$7:$B$1203,$B276)/60,1))</f>
        <v/>
      </c>
      <c r="D276" s="107" t="str">
        <f aca="false">IF($A276="","",SUMIFS('DAILY ENTRY'!$F$7:$F$1203,'DAILY ENTRY'!$A$7:$A$1203,$A276,'DAILY ENTRY'!$B$7:$B$1203,$B276,'DAILY ENTRY'!$D$7:$D$1203,"Lead researched (Sales Navigator)"))</f>
        <v/>
      </c>
      <c r="E276" s="107" t="str">
        <f aca="false">IF($A276="","",SUMIFS('DAILY ENTRY'!$F$7:$F$1203,'DAILY ENTRY'!$A$7:$A$1203,$A276,'DAILY ENTRY'!$B$7:$B$1203,$B276,'DAILY ENTRY'!$D$7:$D$1203,"Connection request sent"))</f>
        <v/>
      </c>
      <c r="F276" s="107" t="str">
        <f aca="false">IF($A276="","",SUMIFS('DAILY ENTRY'!$F$7:$F$1203,'DAILY ENTRY'!$A$7:$A$1203,$A276,'DAILY ENTRY'!$B$7:$B$1203,$B276,'DAILY ENTRY'!$D$7:$D$1203,"First message sent"))</f>
        <v/>
      </c>
      <c r="G276" s="107" t="str">
        <f aca="false">IF($A276="","",SUMIFS('DAILY ENTRY'!$F$7:$F$1203,'DAILY ENTRY'!$A$7:$A$1203,$A276,'DAILY ENTRY'!$B$7:$B$1203,$B276,'DAILY ENTRY'!$D$7:$D$1203,"Follow-up message sent"))</f>
        <v/>
      </c>
      <c r="H276" s="107" t="str">
        <f aca="false">IF($A276="","",SUMIFS('DAILY ENTRY'!$F$7:$F$1203,'DAILY ENTRY'!$A$7:$A$1203,$A276,'DAILY ENTRY'!$B$7:$B$1203,$B276,'DAILY ENTRY'!$D$7:$D$1203,"Post / content published"))</f>
        <v/>
      </c>
      <c r="I276" s="107" t="str">
        <f aca="false">IF($A276="","",SUMIFS('DAILY ENTRY'!$F$7:$F$1203,'DAILY ENTRY'!$A$7:$A$1203,$A276,'DAILY ENTRY'!$B$7:$B$1203,$B276,'DAILY ENTRY'!$D$7:$D$1203,"Community answer or comment"))</f>
        <v/>
      </c>
      <c r="J276" s="107" t="str">
        <f aca="false">IF($A276="","",SUMIFS('DAILY ENTRY'!$F$7:$F$1203,'DAILY ENTRY'!$A$7:$A$1203,$A276,'DAILY ENTRY'!$B$7:$B$1203,$B276,'DAILY ENTRY'!$D$7:$D$1203,"Partnership / PR contact"))</f>
        <v/>
      </c>
      <c r="K276" s="107" t="str">
        <f aca="false">IF($A276="","",SUMIFS('DAILY ENTRY'!$F$7:$F$1203,'DAILY ENTRY'!$A$7:$A$1203,$A276,'DAILY ENTRY'!$B$7:$B$1203,$B276,'DAILY ENTRY'!$D$7:$D$1203,"Engagement (commented on someone else)"))</f>
        <v/>
      </c>
      <c r="L276" s="107" t="str">
        <f aca="false">IF($A276="","",SUMIFS('DAILY ENTRY'!$F$7:$F$1203,'DAILY ENTRY'!$A$7:$A$1203,$A276,'DAILY ENTRY'!$B$7:$B$1203,$B276,'DAILY ENTRY'!$D$7:$D$1203,"Account created / profile completed"))</f>
        <v/>
      </c>
      <c r="M276" s="108" t="str">
        <f aca="false">IF($A276="","",IFERROR(INDEX('DAILY ENTRY'!$E$7:$E$1203,MATCH(1,INDEX(('DAILY ENTRY'!$A$7:$A$1203=$A276)*('DAILY ENTRY'!$B$7:$B$1203=$B276)*('DAILY ENTRY'!$I$7:$I$1203="Meeting booked"),0),0)),IFERROR(INDEX('DAILY ENTRY'!$E$7:$E$1203,MATCH(1,INDEX(('DAILY ENTRY'!$A$7:$A$1203=$A276)*('DAILY ENTRY'!$B$7:$B$1203=$B276)*('DAILY ENTRY'!$I$7:$I$1203="Positive reply"),0),0)),"")))</f>
        <v/>
      </c>
      <c r="N276" s="108" t="str">
        <f aca="false">IF($A276="","",IFERROR(INDEX('DAILY ENTRY'!$J$7:$J$1203,MATCH(1,INDEX(('DAILY ENTRY'!$A$7:$A$1203=$A276)*('DAILY ENTRY'!$B$7:$B$1203=$B276)*('DAILY ENTRY'!$I$7:$I$1203="Blocked"),0),0)),""))</f>
        <v/>
      </c>
      <c r="O276" s="65" t="str">
        <f aca="false">IF($A276="","",(D276&gt;='START HERE'!$B$25)+(E276&gt;='START HERE'!$B$26)+(F276&gt;='START HERE'!$B$27)+(G276&gt;='START HERE'!$B$28)+(H276&gt;='START HERE'!$B$29)+(I276&gt;='START HERE'!$B$30)+(J276&gt;='START HERE'!$B$31)+(K276&gt;='START HERE'!$B$32))</f>
        <v/>
      </c>
      <c r="P276" s="46" t="str">
        <f aca="false">IF($A276="","",IF(O276&gt;=7,"Full day",IF(O276&gt;=5,"Most targets met",IF(O276&gt;=3,"Half day","Below plan - explain in the blocker column"))))</f>
        <v/>
      </c>
    </row>
    <row r="277" customFormat="false" ht="24" hidden="false" customHeight="true" outlineLevel="0" collapsed="false">
      <c r="A277" s="36"/>
      <c r="B277" s="37"/>
      <c r="C277" s="107" t="str">
        <f aca="false">IF($A277="","",ROUND(SUMIFS('DAILY ENTRY'!$G$7:$G$1203,'DAILY ENTRY'!$A$7:$A$1203,$A277,'DAILY ENTRY'!$B$7:$B$1203,$B277)/60,1))</f>
        <v/>
      </c>
      <c r="D277" s="107" t="str">
        <f aca="false">IF($A277="","",SUMIFS('DAILY ENTRY'!$F$7:$F$1203,'DAILY ENTRY'!$A$7:$A$1203,$A277,'DAILY ENTRY'!$B$7:$B$1203,$B277,'DAILY ENTRY'!$D$7:$D$1203,"Lead researched (Sales Navigator)"))</f>
        <v/>
      </c>
      <c r="E277" s="107" t="str">
        <f aca="false">IF($A277="","",SUMIFS('DAILY ENTRY'!$F$7:$F$1203,'DAILY ENTRY'!$A$7:$A$1203,$A277,'DAILY ENTRY'!$B$7:$B$1203,$B277,'DAILY ENTRY'!$D$7:$D$1203,"Connection request sent"))</f>
        <v/>
      </c>
      <c r="F277" s="107" t="str">
        <f aca="false">IF($A277="","",SUMIFS('DAILY ENTRY'!$F$7:$F$1203,'DAILY ENTRY'!$A$7:$A$1203,$A277,'DAILY ENTRY'!$B$7:$B$1203,$B277,'DAILY ENTRY'!$D$7:$D$1203,"First message sent"))</f>
        <v/>
      </c>
      <c r="G277" s="107" t="str">
        <f aca="false">IF($A277="","",SUMIFS('DAILY ENTRY'!$F$7:$F$1203,'DAILY ENTRY'!$A$7:$A$1203,$A277,'DAILY ENTRY'!$B$7:$B$1203,$B277,'DAILY ENTRY'!$D$7:$D$1203,"Follow-up message sent"))</f>
        <v/>
      </c>
      <c r="H277" s="107" t="str">
        <f aca="false">IF($A277="","",SUMIFS('DAILY ENTRY'!$F$7:$F$1203,'DAILY ENTRY'!$A$7:$A$1203,$A277,'DAILY ENTRY'!$B$7:$B$1203,$B277,'DAILY ENTRY'!$D$7:$D$1203,"Post / content published"))</f>
        <v/>
      </c>
      <c r="I277" s="107" t="str">
        <f aca="false">IF($A277="","",SUMIFS('DAILY ENTRY'!$F$7:$F$1203,'DAILY ENTRY'!$A$7:$A$1203,$A277,'DAILY ENTRY'!$B$7:$B$1203,$B277,'DAILY ENTRY'!$D$7:$D$1203,"Community answer or comment"))</f>
        <v/>
      </c>
      <c r="J277" s="107" t="str">
        <f aca="false">IF($A277="","",SUMIFS('DAILY ENTRY'!$F$7:$F$1203,'DAILY ENTRY'!$A$7:$A$1203,$A277,'DAILY ENTRY'!$B$7:$B$1203,$B277,'DAILY ENTRY'!$D$7:$D$1203,"Partnership / PR contact"))</f>
        <v/>
      </c>
      <c r="K277" s="107" t="str">
        <f aca="false">IF($A277="","",SUMIFS('DAILY ENTRY'!$F$7:$F$1203,'DAILY ENTRY'!$A$7:$A$1203,$A277,'DAILY ENTRY'!$B$7:$B$1203,$B277,'DAILY ENTRY'!$D$7:$D$1203,"Engagement (commented on someone else)"))</f>
        <v/>
      </c>
      <c r="L277" s="107" t="str">
        <f aca="false">IF($A277="","",SUMIFS('DAILY ENTRY'!$F$7:$F$1203,'DAILY ENTRY'!$A$7:$A$1203,$A277,'DAILY ENTRY'!$B$7:$B$1203,$B277,'DAILY ENTRY'!$D$7:$D$1203,"Account created / profile completed"))</f>
        <v/>
      </c>
      <c r="M277" s="108" t="str">
        <f aca="false">IF($A277="","",IFERROR(INDEX('DAILY ENTRY'!$E$7:$E$1203,MATCH(1,INDEX(('DAILY ENTRY'!$A$7:$A$1203=$A277)*('DAILY ENTRY'!$B$7:$B$1203=$B277)*('DAILY ENTRY'!$I$7:$I$1203="Meeting booked"),0),0)),IFERROR(INDEX('DAILY ENTRY'!$E$7:$E$1203,MATCH(1,INDEX(('DAILY ENTRY'!$A$7:$A$1203=$A277)*('DAILY ENTRY'!$B$7:$B$1203=$B277)*('DAILY ENTRY'!$I$7:$I$1203="Positive reply"),0),0)),"")))</f>
        <v/>
      </c>
      <c r="N277" s="108" t="str">
        <f aca="false">IF($A277="","",IFERROR(INDEX('DAILY ENTRY'!$J$7:$J$1203,MATCH(1,INDEX(('DAILY ENTRY'!$A$7:$A$1203=$A277)*('DAILY ENTRY'!$B$7:$B$1203=$B277)*('DAILY ENTRY'!$I$7:$I$1203="Blocked"),0),0)),""))</f>
        <v/>
      </c>
      <c r="O277" s="65" t="str">
        <f aca="false">IF($A277="","",(D277&gt;='START HERE'!$B$25)+(E277&gt;='START HERE'!$B$26)+(F277&gt;='START HERE'!$B$27)+(G277&gt;='START HERE'!$B$28)+(H277&gt;='START HERE'!$B$29)+(I277&gt;='START HERE'!$B$30)+(J277&gt;='START HERE'!$B$31)+(K277&gt;='START HERE'!$B$32))</f>
        <v/>
      </c>
      <c r="P277" s="46" t="str">
        <f aca="false">IF($A277="","",IF(O277&gt;=7,"Full day",IF(O277&gt;=5,"Most targets met",IF(O277&gt;=3,"Half day","Below plan - explain in the blocker column"))))</f>
        <v/>
      </c>
    </row>
    <row r="278" customFormat="false" ht="24" hidden="false" customHeight="true" outlineLevel="0" collapsed="false">
      <c r="A278" s="36"/>
      <c r="B278" s="37"/>
      <c r="C278" s="107" t="str">
        <f aca="false">IF($A278="","",ROUND(SUMIFS('DAILY ENTRY'!$G$7:$G$1203,'DAILY ENTRY'!$A$7:$A$1203,$A278,'DAILY ENTRY'!$B$7:$B$1203,$B278)/60,1))</f>
        <v/>
      </c>
      <c r="D278" s="107" t="str">
        <f aca="false">IF($A278="","",SUMIFS('DAILY ENTRY'!$F$7:$F$1203,'DAILY ENTRY'!$A$7:$A$1203,$A278,'DAILY ENTRY'!$B$7:$B$1203,$B278,'DAILY ENTRY'!$D$7:$D$1203,"Lead researched (Sales Navigator)"))</f>
        <v/>
      </c>
      <c r="E278" s="107" t="str">
        <f aca="false">IF($A278="","",SUMIFS('DAILY ENTRY'!$F$7:$F$1203,'DAILY ENTRY'!$A$7:$A$1203,$A278,'DAILY ENTRY'!$B$7:$B$1203,$B278,'DAILY ENTRY'!$D$7:$D$1203,"Connection request sent"))</f>
        <v/>
      </c>
      <c r="F278" s="107" t="str">
        <f aca="false">IF($A278="","",SUMIFS('DAILY ENTRY'!$F$7:$F$1203,'DAILY ENTRY'!$A$7:$A$1203,$A278,'DAILY ENTRY'!$B$7:$B$1203,$B278,'DAILY ENTRY'!$D$7:$D$1203,"First message sent"))</f>
        <v/>
      </c>
      <c r="G278" s="107" t="str">
        <f aca="false">IF($A278="","",SUMIFS('DAILY ENTRY'!$F$7:$F$1203,'DAILY ENTRY'!$A$7:$A$1203,$A278,'DAILY ENTRY'!$B$7:$B$1203,$B278,'DAILY ENTRY'!$D$7:$D$1203,"Follow-up message sent"))</f>
        <v/>
      </c>
      <c r="H278" s="107" t="str">
        <f aca="false">IF($A278="","",SUMIFS('DAILY ENTRY'!$F$7:$F$1203,'DAILY ENTRY'!$A$7:$A$1203,$A278,'DAILY ENTRY'!$B$7:$B$1203,$B278,'DAILY ENTRY'!$D$7:$D$1203,"Post / content published"))</f>
        <v/>
      </c>
      <c r="I278" s="107" t="str">
        <f aca="false">IF($A278="","",SUMIFS('DAILY ENTRY'!$F$7:$F$1203,'DAILY ENTRY'!$A$7:$A$1203,$A278,'DAILY ENTRY'!$B$7:$B$1203,$B278,'DAILY ENTRY'!$D$7:$D$1203,"Community answer or comment"))</f>
        <v/>
      </c>
      <c r="J278" s="107" t="str">
        <f aca="false">IF($A278="","",SUMIFS('DAILY ENTRY'!$F$7:$F$1203,'DAILY ENTRY'!$A$7:$A$1203,$A278,'DAILY ENTRY'!$B$7:$B$1203,$B278,'DAILY ENTRY'!$D$7:$D$1203,"Partnership / PR contact"))</f>
        <v/>
      </c>
      <c r="K278" s="107" t="str">
        <f aca="false">IF($A278="","",SUMIFS('DAILY ENTRY'!$F$7:$F$1203,'DAILY ENTRY'!$A$7:$A$1203,$A278,'DAILY ENTRY'!$B$7:$B$1203,$B278,'DAILY ENTRY'!$D$7:$D$1203,"Engagement (commented on someone else)"))</f>
        <v/>
      </c>
      <c r="L278" s="107" t="str">
        <f aca="false">IF($A278="","",SUMIFS('DAILY ENTRY'!$F$7:$F$1203,'DAILY ENTRY'!$A$7:$A$1203,$A278,'DAILY ENTRY'!$B$7:$B$1203,$B278,'DAILY ENTRY'!$D$7:$D$1203,"Account created / profile completed"))</f>
        <v/>
      </c>
      <c r="M278" s="108" t="str">
        <f aca="false">IF($A278="","",IFERROR(INDEX('DAILY ENTRY'!$E$7:$E$1203,MATCH(1,INDEX(('DAILY ENTRY'!$A$7:$A$1203=$A278)*('DAILY ENTRY'!$B$7:$B$1203=$B278)*('DAILY ENTRY'!$I$7:$I$1203="Meeting booked"),0),0)),IFERROR(INDEX('DAILY ENTRY'!$E$7:$E$1203,MATCH(1,INDEX(('DAILY ENTRY'!$A$7:$A$1203=$A278)*('DAILY ENTRY'!$B$7:$B$1203=$B278)*('DAILY ENTRY'!$I$7:$I$1203="Positive reply"),0),0)),"")))</f>
        <v/>
      </c>
      <c r="N278" s="108" t="str">
        <f aca="false">IF($A278="","",IFERROR(INDEX('DAILY ENTRY'!$J$7:$J$1203,MATCH(1,INDEX(('DAILY ENTRY'!$A$7:$A$1203=$A278)*('DAILY ENTRY'!$B$7:$B$1203=$B278)*('DAILY ENTRY'!$I$7:$I$1203="Blocked"),0),0)),""))</f>
        <v/>
      </c>
      <c r="O278" s="65" t="str">
        <f aca="false">IF($A278="","",(D278&gt;='START HERE'!$B$25)+(E278&gt;='START HERE'!$B$26)+(F278&gt;='START HERE'!$B$27)+(G278&gt;='START HERE'!$B$28)+(H278&gt;='START HERE'!$B$29)+(I278&gt;='START HERE'!$B$30)+(J278&gt;='START HERE'!$B$31)+(K278&gt;='START HERE'!$B$32))</f>
        <v/>
      </c>
      <c r="P278" s="46" t="str">
        <f aca="false">IF($A278="","",IF(O278&gt;=7,"Full day",IF(O278&gt;=5,"Most targets met",IF(O278&gt;=3,"Half day","Below plan - explain in the blocker column"))))</f>
        <v/>
      </c>
    </row>
    <row r="279" customFormat="false" ht="24" hidden="false" customHeight="true" outlineLevel="0" collapsed="false">
      <c r="A279" s="36"/>
      <c r="B279" s="37"/>
      <c r="C279" s="107" t="str">
        <f aca="false">IF($A279="","",ROUND(SUMIFS('DAILY ENTRY'!$G$7:$G$1203,'DAILY ENTRY'!$A$7:$A$1203,$A279,'DAILY ENTRY'!$B$7:$B$1203,$B279)/60,1))</f>
        <v/>
      </c>
      <c r="D279" s="107" t="str">
        <f aca="false">IF($A279="","",SUMIFS('DAILY ENTRY'!$F$7:$F$1203,'DAILY ENTRY'!$A$7:$A$1203,$A279,'DAILY ENTRY'!$B$7:$B$1203,$B279,'DAILY ENTRY'!$D$7:$D$1203,"Lead researched (Sales Navigator)"))</f>
        <v/>
      </c>
      <c r="E279" s="107" t="str">
        <f aca="false">IF($A279="","",SUMIFS('DAILY ENTRY'!$F$7:$F$1203,'DAILY ENTRY'!$A$7:$A$1203,$A279,'DAILY ENTRY'!$B$7:$B$1203,$B279,'DAILY ENTRY'!$D$7:$D$1203,"Connection request sent"))</f>
        <v/>
      </c>
      <c r="F279" s="107" t="str">
        <f aca="false">IF($A279="","",SUMIFS('DAILY ENTRY'!$F$7:$F$1203,'DAILY ENTRY'!$A$7:$A$1203,$A279,'DAILY ENTRY'!$B$7:$B$1203,$B279,'DAILY ENTRY'!$D$7:$D$1203,"First message sent"))</f>
        <v/>
      </c>
      <c r="G279" s="107" t="str">
        <f aca="false">IF($A279="","",SUMIFS('DAILY ENTRY'!$F$7:$F$1203,'DAILY ENTRY'!$A$7:$A$1203,$A279,'DAILY ENTRY'!$B$7:$B$1203,$B279,'DAILY ENTRY'!$D$7:$D$1203,"Follow-up message sent"))</f>
        <v/>
      </c>
      <c r="H279" s="107" t="str">
        <f aca="false">IF($A279="","",SUMIFS('DAILY ENTRY'!$F$7:$F$1203,'DAILY ENTRY'!$A$7:$A$1203,$A279,'DAILY ENTRY'!$B$7:$B$1203,$B279,'DAILY ENTRY'!$D$7:$D$1203,"Post / content published"))</f>
        <v/>
      </c>
      <c r="I279" s="107" t="str">
        <f aca="false">IF($A279="","",SUMIFS('DAILY ENTRY'!$F$7:$F$1203,'DAILY ENTRY'!$A$7:$A$1203,$A279,'DAILY ENTRY'!$B$7:$B$1203,$B279,'DAILY ENTRY'!$D$7:$D$1203,"Community answer or comment"))</f>
        <v/>
      </c>
      <c r="J279" s="107" t="str">
        <f aca="false">IF($A279="","",SUMIFS('DAILY ENTRY'!$F$7:$F$1203,'DAILY ENTRY'!$A$7:$A$1203,$A279,'DAILY ENTRY'!$B$7:$B$1203,$B279,'DAILY ENTRY'!$D$7:$D$1203,"Partnership / PR contact"))</f>
        <v/>
      </c>
      <c r="K279" s="107" t="str">
        <f aca="false">IF($A279="","",SUMIFS('DAILY ENTRY'!$F$7:$F$1203,'DAILY ENTRY'!$A$7:$A$1203,$A279,'DAILY ENTRY'!$B$7:$B$1203,$B279,'DAILY ENTRY'!$D$7:$D$1203,"Engagement (commented on someone else)"))</f>
        <v/>
      </c>
      <c r="L279" s="107" t="str">
        <f aca="false">IF($A279="","",SUMIFS('DAILY ENTRY'!$F$7:$F$1203,'DAILY ENTRY'!$A$7:$A$1203,$A279,'DAILY ENTRY'!$B$7:$B$1203,$B279,'DAILY ENTRY'!$D$7:$D$1203,"Account created / profile completed"))</f>
        <v/>
      </c>
      <c r="M279" s="108" t="str">
        <f aca="false">IF($A279="","",IFERROR(INDEX('DAILY ENTRY'!$E$7:$E$1203,MATCH(1,INDEX(('DAILY ENTRY'!$A$7:$A$1203=$A279)*('DAILY ENTRY'!$B$7:$B$1203=$B279)*('DAILY ENTRY'!$I$7:$I$1203="Meeting booked"),0),0)),IFERROR(INDEX('DAILY ENTRY'!$E$7:$E$1203,MATCH(1,INDEX(('DAILY ENTRY'!$A$7:$A$1203=$A279)*('DAILY ENTRY'!$B$7:$B$1203=$B279)*('DAILY ENTRY'!$I$7:$I$1203="Positive reply"),0),0)),"")))</f>
        <v/>
      </c>
      <c r="N279" s="108" t="str">
        <f aca="false">IF($A279="","",IFERROR(INDEX('DAILY ENTRY'!$J$7:$J$1203,MATCH(1,INDEX(('DAILY ENTRY'!$A$7:$A$1203=$A279)*('DAILY ENTRY'!$B$7:$B$1203=$B279)*('DAILY ENTRY'!$I$7:$I$1203="Blocked"),0),0)),""))</f>
        <v/>
      </c>
      <c r="O279" s="65" t="str">
        <f aca="false">IF($A279="","",(D279&gt;='START HERE'!$B$25)+(E279&gt;='START HERE'!$B$26)+(F279&gt;='START HERE'!$B$27)+(G279&gt;='START HERE'!$B$28)+(H279&gt;='START HERE'!$B$29)+(I279&gt;='START HERE'!$B$30)+(J279&gt;='START HERE'!$B$31)+(K279&gt;='START HERE'!$B$32))</f>
        <v/>
      </c>
      <c r="P279" s="46" t="str">
        <f aca="false">IF($A279="","",IF(O279&gt;=7,"Full day",IF(O279&gt;=5,"Most targets met",IF(O279&gt;=3,"Half day","Below plan - explain in the blocker column"))))</f>
        <v/>
      </c>
    </row>
    <row r="280" customFormat="false" ht="24" hidden="false" customHeight="true" outlineLevel="0" collapsed="false">
      <c r="A280" s="36"/>
      <c r="B280" s="37"/>
      <c r="C280" s="107" t="str">
        <f aca="false">IF($A280="","",ROUND(SUMIFS('DAILY ENTRY'!$G$7:$G$1203,'DAILY ENTRY'!$A$7:$A$1203,$A280,'DAILY ENTRY'!$B$7:$B$1203,$B280)/60,1))</f>
        <v/>
      </c>
      <c r="D280" s="107" t="str">
        <f aca="false">IF($A280="","",SUMIFS('DAILY ENTRY'!$F$7:$F$1203,'DAILY ENTRY'!$A$7:$A$1203,$A280,'DAILY ENTRY'!$B$7:$B$1203,$B280,'DAILY ENTRY'!$D$7:$D$1203,"Lead researched (Sales Navigator)"))</f>
        <v/>
      </c>
      <c r="E280" s="107" t="str">
        <f aca="false">IF($A280="","",SUMIFS('DAILY ENTRY'!$F$7:$F$1203,'DAILY ENTRY'!$A$7:$A$1203,$A280,'DAILY ENTRY'!$B$7:$B$1203,$B280,'DAILY ENTRY'!$D$7:$D$1203,"Connection request sent"))</f>
        <v/>
      </c>
      <c r="F280" s="107" t="str">
        <f aca="false">IF($A280="","",SUMIFS('DAILY ENTRY'!$F$7:$F$1203,'DAILY ENTRY'!$A$7:$A$1203,$A280,'DAILY ENTRY'!$B$7:$B$1203,$B280,'DAILY ENTRY'!$D$7:$D$1203,"First message sent"))</f>
        <v/>
      </c>
      <c r="G280" s="107" t="str">
        <f aca="false">IF($A280="","",SUMIFS('DAILY ENTRY'!$F$7:$F$1203,'DAILY ENTRY'!$A$7:$A$1203,$A280,'DAILY ENTRY'!$B$7:$B$1203,$B280,'DAILY ENTRY'!$D$7:$D$1203,"Follow-up message sent"))</f>
        <v/>
      </c>
      <c r="H280" s="107" t="str">
        <f aca="false">IF($A280="","",SUMIFS('DAILY ENTRY'!$F$7:$F$1203,'DAILY ENTRY'!$A$7:$A$1203,$A280,'DAILY ENTRY'!$B$7:$B$1203,$B280,'DAILY ENTRY'!$D$7:$D$1203,"Post / content published"))</f>
        <v/>
      </c>
      <c r="I280" s="107" t="str">
        <f aca="false">IF($A280="","",SUMIFS('DAILY ENTRY'!$F$7:$F$1203,'DAILY ENTRY'!$A$7:$A$1203,$A280,'DAILY ENTRY'!$B$7:$B$1203,$B280,'DAILY ENTRY'!$D$7:$D$1203,"Community answer or comment"))</f>
        <v/>
      </c>
      <c r="J280" s="107" t="str">
        <f aca="false">IF($A280="","",SUMIFS('DAILY ENTRY'!$F$7:$F$1203,'DAILY ENTRY'!$A$7:$A$1203,$A280,'DAILY ENTRY'!$B$7:$B$1203,$B280,'DAILY ENTRY'!$D$7:$D$1203,"Partnership / PR contact"))</f>
        <v/>
      </c>
      <c r="K280" s="107" t="str">
        <f aca="false">IF($A280="","",SUMIFS('DAILY ENTRY'!$F$7:$F$1203,'DAILY ENTRY'!$A$7:$A$1203,$A280,'DAILY ENTRY'!$B$7:$B$1203,$B280,'DAILY ENTRY'!$D$7:$D$1203,"Engagement (commented on someone else)"))</f>
        <v/>
      </c>
      <c r="L280" s="107" t="str">
        <f aca="false">IF($A280="","",SUMIFS('DAILY ENTRY'!$F$7:$F$1203,'DAILY ENTRY'!$A$7:$A$1203,$A280,'DAILY ENTRY'!$B$7:$B$1203,$B280,'DAILY ENTRY'!$D$7:$D$1203,"Account created / profile completed"))</f>
        <v/>
      </c>
      <c r="M280" s="108" t="str">
        <f aca="false">IF($A280="","",IFERROR(INDEX('DAILY ENTRY'!$E$7:$E$1203,MATCH(1,INDEX(('DAILY ENTRY'!$A$7:$A$1203=$A280)*('DAILY ENTRY'!$B$7:$B$1203=$B280)*('DAILY ENTRY'!$I$7:$I$1203="Meeting booked"),0),0)),IFERROR(INDEX('DAILY ENTRY'!$E$7:$E$1203,MATCH(1,INDEX(('DAILY ENTRY'!$A$7:$A$1203=$A280)*('DAILY ENTRY'!$B$7:$B$1203=$B280)*('DAILY ENTRY'!$I$7:$I$1203="Positive reply"),0),0)),"")))</f>
        <v/>
      </c>
      <c r="N280" s="108" t="str">
        <f aca="false">IF($A280="","",IFERROR(INDEX('DAILY ENTRY'!$J$7:$J$1203,MATCH(1,INDEX(('DAILY ENTRY'!$A$7:$A$1203=$A280)*('DAILY ENTRY'!$B$7:$B$1203=$B280)*('DAILY ENTRY'!$I$7:$I$1203="Blocked"),0),0)),""))</f>
        <v/>
      </c>
      <c r="O280" s="65" t="str">
        <f aca="false">IF($A280="","",(D280&gt;='START HERE'!$B$25)+(E280&gt;='START HERE'!$B$26)+(F280&gt;='START HERE'!$B$27)+(G280&gt;='START HERE'!$B$28)+(H280&gt;='START HERE'!$B$29)+(I280&gt;='START HERE'!$B$30)+(J280&gt;='START HERE'!$B$31)+(K280&gt;='START HERE'!$B$32))</f>
        <v/>
      </c>
      <c r="P280" s="46" t="str">
        <f aca="false">IF($A280="","",IF(O280&gt;=7,"Full day",IF(O280&gt;=5,"Most targets met",IF(O280&gt;=3,"Half day","Below plan - explain in the blocker column"))))</f>
        <v/>
      </c>
    </row>
    <row r="281" customFormat="false" ht="24" hidden="false" customHeight="true" outlineLevel="0" collapsed="false">
      <c r="A281" s="36"/>
      <c r="B281" s="37"/>
      <c r="C281" s="107" t="str">
        <f aca="false">IF($A281="","",ROUND(SUMIFS('DAILY ENTRY'!$G$7:$G$1203,'DAILY ENTRY'!$A$7:$A$1203,$A281,'DAILY ENTRY'!$B$7:$B$1203,$B281)/60,1))</f>
        <v/>
      </c>
      <c r="D281" s="107" t="str">
        <f aca="false">IF($A281="","",SUMIFS('DAILY ENTRY'!$F$7:$F$1203,'DAILY ENTRY'!$A$7:$A$1203,$A281,'DAILY ENTRY'!$B$7:$B$1203,$B281,'DAILY ENTRY'!$D$7:$D$1203,"Lead researched (Sales Navigator)"))</f>
        <v/>
      </c>
      <c r="E281" s="107" t="str">
        <f aca="false">IF($A281="","",SUMIFS('DAILY ENTRY'!$F$7:$F$1203,'DAILY ENTRY'!$A$7:$A$1203,$A281,'DAILY ENTRY'!$B$7:$B$1203,$B281,'DAILY ENTRY'!$D$7:$D$1203,"Connection request sent"))</f>
        <v/>
      </c>
      <c r="F281" s="107" t="str">
        <f aca="false">IF($A281="","",SUMIFS('DAILY ENTRY'!$F$7:$F$1203,'DAILY ENTRY'!$A$7:$A$1203,$A281,'DAILY ENTRY'!$B$7:$B$1203,$B281,'DAILY ENTRY'!$D$7:$D$1203,"First message sent"))</f>
        <v/>
      </c>
      <c r="G281" s="107" t="str">
        <f aca="false">IF($A281="","",SUMIFS('DAILY ENTRY'!$F$7:$F$1203,'DAILY ENTRY'!$A$7:$A$1203,$A281,'DAILY ENTRY'!$B$7:$B$1203,$B281,'DAILY ENTRY'!$D$7:$D$1203,"Follow-up message sent"))</f>
        <v/>
      </c>
      <c r="H281" s="107" t="str">
        <f aca="false">IF($A281="","",SUMIFS('DAILY ENTRY'!$F$7:$F$1203,'DAILY ENTRY'!$A$7:$A$1203,$A281,'DAILY ENTRY'!$B$7:$B$1203,$B281,'DAILY ENTRY'!$D$7:$D$1203,"Post / content published"))</f>
        <v/>
      </c>
      <c r="I281" s="107" t="str">
        <f aca="false">IF($A281="","",SUMIFS('DAILY ENTRY'!$F$7:$F$1203,'DAILY ENTRY'!$A$7:$A$1203,$A281,'DAILY ENTRY'!$B$7:$B$1203,$B281,'DAILY ENTRY'!$D$7:$D$1203,"Community answer or comment"))</f>
        <v/>
      </c>
      <c r="J281" s="107" t="str">
        <f aca="false">IF($A281="","",SUMIFS('DAILY ENTRY'!$F$7:$F$1203,'DAILY ENTRY'!$A$7:$A$1203,$A281,'DAILY ENTRY'!$B$7:$B$1203,$B281,'DAILY ENTRY'!$D$7:$D$1203,"Partnership / PR contact"))</f>
        <v/>
      </c>
      <c r="K281" s="107" t="str">
        <f aca="false">IF($A281="","",SUMIFS('DAILY ENTRY'!$F$7:$F$1203,'DAILY ENTRY'!$A$7:$A$1203,$A281,'DAILY ENTRY'!$B$7:$B$1203,$B281,'DAILY ENTRY'!$D$7:$D$1203,"Engagement (commented on someone else)"))</f>
        <v/>
      </c>
      <c r="L281" s="107" t="str">
        <f aca="false">IF($A281="","",SUMIFS('DAILY ENTRY'!$F$7:$F$1203,'DAILY ENTRY'!$A$7:$A$1203,$A281,'DAILY ENTRY'!$B$7:$B$1203,$B281,'DAILY ENTRY'!$D$7:$D$1203,"Account created / profile completed"))</f>
        <v/>
      </c>
      <c r="M281" s="108" t="str">
        <f aca="false">IF($A281="","",IFERROR(INDEX('DAILY ENTRY'!$E$7:$E$1203,MATCH(1,INDEX(('DAILY ENTRY'!$A$7:$A$1203=$A281)*('DAILY ENTRY'!$B$7:$B$1203=$B281)*('DAILY ENTRY'!$I$7:$I$1203="Meeting booked"),0),0)),IFERROR(INDEX('DAILY ENTRY'!$E$7:$E$1203,MATCH(1,INDEX(('DAILY ENTRY'!$A$7:$A$1203=$A281)*('DAILY ENTRY'!$B$7:$B$1203=$B281)*('DAILY ENTRY'!$I$7:$I$1203="Positive reply"),0),0)),"")))</f>
        <v/>
      </c>
      <c r="N281" s="108" t="str">
        <f aca="false">IF($A281="","",IFERROR(INDEX('DAILY ENTRY'!$J$7:$J$1203,MATCH(1,INDEX(('DAILY ENTRY'!$A$7:$A$1203=$A281)*('DAILY ENTRY'!$B$7:$B$1203=$B281)*('DAILY ENTRY'!$I$7:$I$1203="Blocked"),0),0)),""))</f>
        <v/>
      </c>
      <c r="O281" s="65" t="str">
        <f aca="false">IF($A281="","",(D281&gt;='START HERE'!$B$25)+(E281&gt;='START HERE'!$B$26)+(F281&gt;='START HERE'!$B$27)+(G281&gt;='START HERE'!$B$28)+(H281&gt;='START HERE'!$B$29)+(I281&gt;='START HERE'!$B$30)+(J281&gt;='START HERE'!$B$31)+(K281&gt;='START HERE'!$B$32))</f>
        <v/>
      </c>
      <c r="P281" s="46" t="str">
        <f aca="false">IF($A281="","",IF(O281&gt;=7,"Full day",IF(O281&gt;=5,"Most targets met",IF(O281&gt;=3,"Half day","Below plan - explain in the blocker column"))))</f>
        <v/>
      </c>
    </row>
    <row r="282" customFormat="false" ht="24" hidden="false" customHeight="true" outlineLevel="0" collapsed="false">
      <c r="A282" s="36"/>
      <c r="B282" s="37"/>
      <c r="C282" s="107" t="str">
        <f aca="false">IF($A282="","",ROUND(SUMIFS('DAILY ENTRY'!$G$7:$G$1203,'DAILY ENTRY'!$A$7:$A$1203,$A282,'DAILY ENTRY'!$B$7:$B$1203,$B282)/60,1))</f>
        <v/>
      </c>
      <c r="D282" s="107" t="str">
        <f aca="false">IF($A282="","",SUMIFS('DAILY ENTRY'!$F$7:$F$1203,'DAILY ENTRY'!$A$7:$A$1203,$A282,'DAILY ENTRY'!$B$7:$B$1203,$B282,'DAILY ENTRY'!$D$7:$D$1203,"Lead researched (Sales Navigator)"))</f>
        <v/>
      </c>
      <c r="E282" s="107" t="str">
        <f aca="false">IF($A282="","",SUMIFS('DAILY ENTRY'!$F$7:$F$1203,'DAILY ENTRY'!$A$7:$A$1203,$A282,'DAILY ENTRY'!$B$7:$B$1203,$B282,'DAILY ENTRY'!$D$7:$D$1203,"Connection request sent"))</f>
        <v/>
      </c>
      <c r="F282" s="107" t="str">
        <f aca="false">IF($A282="","",SUMIFS('DAILY ENTRY'!$F$7:$F$1203,'DAILY ENTRY'!$A$7:$A$1203,$A282,'DAILY ENTRY'!$B$7:$B$1203,$B282,'DAILY ENTRY'!$D$7:$D$1203,"First message sent"))</f>
        <v/>
      </c>
      <c r="G282" s="107" t="str">
        <f aca="false">IF($A282="","",SUMIFS('DAILY ENTRY'!$F$7:$F$1203,'DAILY ENTRY'!$A$7:$A$1203,$A282,'DAILY ENTRY'!$B$7:$B$1203,$B282,'DAILY ENTRY'!$D$7:$D$1203,"Follow-up message sent"))</f>
        <v/>
      </c>
      <c r="H282" s="107" t="str">
        <f aca="false">IF($A282="","",SUMIFS('DAILY ENTRY'!$F$7:$F$1203,'DAILY ENTRY'!$A$7:$A$1203,$A282,'DAILY ENTRY'!$B$7:$B$1203,$B282,'DAILY ENTRY'!$D$7:$D$1203,"Post / content published"))</f>
        <v/>
      </c>
      <c r="I282" s="107" t="str">
        <f aca="false">IF($A282="","",SUMIFS('DAILY ENTRY'!$F$7:$F$1203,'DAILY ENTRY'!$A$7:$A$1203,$A282,'DAILY ENTRY'!$B$7:$B$1203,$B282,'DAILY ENTRY'!$D$7:$D$1203,"Community answer or comment"))</f>
        <v/>
      </c>
      <c r="J282" s="107" t="str">
        <f aca="false">IF($A282="","",SUMIFS('DAILY ENTRY'!$F$7:$F$1203,'DAILY ENTRY'!$A$7:$A$1203,$A282,'DAILY ENTRY'!$B$7:$B$1203,$B282,'DAILY ENTRY'!$D$7:$D$1203,"Partnership / PR contact"))</f>
        <v/>
      </c>
      <c r="K282" s="107" t="str">
        <f aca="false">IF($A282="","",SUMIFS('DAILY ENTRY'!$F$7:$F$1203,'DAILY ENTRY'!$A$7:$A$1203,$A282,'DAILY ENTRY'!$B$7:$B$1203,$B282,'DAILY ENTRY'!$D$7:$D$1203,"Engagement (commented on someone else)"))</f>
        <v/>
      </c>
      <c r="L282" s="107" t="str">
        <f aca="false">IF($A282="","",SUMIFS('DAILY ENTRY'!$F$7:$F$1203,'DAILY ENTRY'!$A$7:$A$1203,$A282,'DAILY ENTRY'!$B$7:$B$1203,$B282,'DAILY ENTRY'!$D$7:$D$1203,"Account created / profile completed"))</f>
        <v/>
      </c>
      <c r="M282" s="108" t="str">
        <f aca="false">IF($A282="","",IFERROR(INDEX('DAILY ENTRY'!$E$7:$E$1203,MATCH(1,INDEX(('DAILY ENTRY'!$A$7:$A$1203=$A282)*('DAILY ENTRY'!$B$7:$B$1203=$B282)*('DAILY ENTRY'!$I$7:$I$1203="Meeting booked"),0),0)),IFERROR(INDEX('DAILY ENTRY'!$E$7:$E$1203,MATCH(1,INDEX(('DAILY ENTRY'!$A$7:$A$1203=$A282)*('DAILY ENTRY'!$B$7:$B$1203=$B282)*('DAILY ENTRY'!$I$7:$I$1203="Positive reply"),0),0)),"")))</f>
        <v/>
      </c>
      <c r="N282" s="108" t="str">
        <f aca="false">IF($A282="","",IFERROR(INDEX('DAILY ENTRY'!$J$7:$J$1203,MATCH(1,INDEX(('DAILY ENTRY'!$A$7:$A$1203=$A282)*('DAILY ENTRY'!$B$7:$B$1203=$B282)*('DAILY ENTRY'!$I$7:$I$1203="Blocked"),0),0)),""))</f>
        <v/>
      </c>
      <c r="O282" s="65" t="str">
        <f aca="false">IF($A282="","",(D282&gt;='START HERE'!$B$25)+(E282&gt;='START HERE'!$B$26)+(F282&gt;='START HERE'!$B$27)+(G282&gt;='START HERE'!$B$28)+(H282&gt;='START HERE'!$B$29)+(I282&gt;='START HERE'!$B$30)+(J282&gt;='START HERE'!$B$31)+(K282&gt;='START HERE'!$B$32))</f>
        <v/>
      </c>
      <c r="P282" s="46" t="str">
        <f aca="false">IF($A282="","",IF(O282&gt;=7,"Full day",IF(O282&gt;=5,"Most targets met",IF(O282&gt;=3,"Half day","Below plan - explain in the blocker column"))))</f>
        <v/>
      </c>
    </row>
    <row r="283" customFormat="false" ht="24" hidden="false" customHeight="true" outlineLevel="0" collapsed="false">
      <c r="A283" s="36"/>
      <c r="B283" s="37"/>
      <c r="C283" s="107" t="str">
        <f aca="false">IF($A283="","",ROUND(SUMIFS('DAILY ENTRY'!$G$7:$G$1203,'DAILY ENTRY'!$A$7:$A$1203,$A283,'DAILY ENTRY'!$B$7:$B$1203,$B283)/60,1))</f>
        <v/>
      </c>
      <c r="D283" s="107" t="str">
        <f aca="false">IF($A283="","",SUMIFS('DAILY ENTRY'!$F$7:$F$1203,'DAILY ENTRY'!$A$7:$A$1203,$A283,'DAILY ENTRY'!$B$7:$B$1203,$B283,'DAILY ENTRY'!$D$7:$D$1203,"Lead researched (Sales Navigator)"))</f>
        <v/>
      </c>
      <c r="E283" s="107" t="str">
        <f aca="false">IF($A283="","",SUMIFS('DAILY ENTRY'!$F$7:$F$1203,'DAILY ENTRY'!$A$7:$A$1203,$A283,'DAILY ENTRY'!$B$7:$B$1203,$B283,'DAILY ENTRY'!$D$7:$D$1203,"Connection request sent"))</f>
        <v/>
      </c>
      <c r="F283" s="107" t="str">
        <f aca="false">IF($A283="","",SUMIFS('DAILY ENTRY'!$F$7:$F$1203,'DAILY ENTRY'!$A$7:$A$1203,$A283,'DAILY ENTRY'!$B$7:$B$1203,$B283,'DAILY ENTRY'!$D$7:$D$1203,"First message sent"))</f>
        <v/>
      </c>
      <c r="G283" s="107" t="str">
        <f aca="false">IF($A283="","",SUMIFS('DAILY ENTRY'!$F$7:$F$1203,'DAILY ENTRY'!$A$7:$A$1203,$A283,'DAILY ENTRY'!$B$7:$B$1203,$B283,'DAILY ENTRY'!$D$7:$D$1203,"Follow-up message sent"))</f>
        <v/>
      </c>
      <c r="H283" s="107" t="str">
        <f aca="false">IF($A283="","",SUMIFS('DAILY ENTRY'!$F$7:$F$1203,'DAILY ENTRY'!$A$7:$A$1203,$A283,'DAILY ENTRY'!$B$7:$B$1203,$B283,'DAILY ENTRY'!$D$7:$D$1203,"Post / content published"))</f>
        <v/>
      </c>
      <c r="I283" s="107" t="str">
        <f aca="false">IF($A283="","",SUMIFS('DAILY ENTRY'!$F$7:$F$1203,'DAILY ENTRY'!$A$7:$A$1203,$A283,'DAILY ENTRY'!$B$7:$B$1203,$B283,'DAILY ENTRY'!$D$7:$D$1203,"Community answer or comment"))</f>
        <v/>
      </c>
      <c r="J283" s="107" t="str">
        <f aca="false">IF($A283="","",SUMIFS('DAILY ENTRY'!$F$7:$F$1203,'DAILY ENTRY'!$A$7:$A$1203,$A283,'DAILY ENTRY'!$B$7:$B$1203,$B283,'DAILY ENTRY'!$D$7:$D$1203,"Partnership / PR contact"))</f>
        <v/>
      </c>
      <c r="K283" s="107" t="str">
        <f aca="false">IF($A283="","",SUMIFS('DAILY ENTRY'!$F$7:$F$1203,'DAILY ENTRY'!$A$7:$A$1203,$A283,'DAILY ENTRY'!$B$7:$B$1203,$B283,'DAILY ENTRY'!$D$7:$D$1203,"Engagement (commented on someone else)"))</f>
        <v/>
      </c>
      <c r="L283" s="107" t="str">
        <f aca="false">IF($A283="","",SUMIFS('DAILY ENTRY'!$F$7:$F$1203,'DAILY ENTRY'!$A$7:$A$1203,$A283,'DAILY ENTRY'!$B$7:$B$1203,$B283,'DAILY ENTRY'!$D$7:$D$1203,"Account created / profile completed"))</f>
        <v/>
      </c>
      <c r="M283" s="108" t="str">
        <f aca="false">IF($A283="","",IFERROR(INDEX('DAILY ENTRY'!$E$7:$E$1203,MATCH(1,INDEX(('DAILY ENTRY'!$A$7:$A$1203=$A283)*('DAILY ENTRY'!$B$7:$B$1203=$B283)*('DAILY ENTRY'!$I$7:$I$1203="Meeting booked"),0),0)),IFERROR(INDEX('DAILY ENTRY'!$E$7:$E$1203,MATCH(1,INDEX(('DAILY ENTRY'!$A$7:$A$1203=$A283)*('DAILY ENTRY'!$B$7:$B$1203=$B283)*('DAILY ENTRY'!$I$7:$I$1203="Positive reply"),0),0)),"")))</f>
        <v/>
      </c>
      <c r="N283" s="108" t="str">
        <f aca="false">IF($A283="","",IFERROR(INDEX('DAILY ENTRY'!$J$7:$J$1203,MATCH(1,INDEX(('DAILY ENTRY'!$A$7:$A$1203=$A283)*('DAILY ENTRY'!$B$7:$B$1203=$B283)*('DAILY ENTRY'!$I$7:$I$1203="Blocked"),0),0)),""))</f>
        <v/>
      </c>
      <c r="O283" s="65" t="str">
        <f aca="false">IF($A283="","",(D283&gt;='START HERE'!$B$25)+(E283&gt;='START HERE'!$B$26)+(F283&gt;='START HERE'!$B$27)+(G283&gt;='START HERE'!$B$28)+(H283&gt;='START HERE'!$B$29)+(I283&gt;='START HERE'!$B$30)+(J283&gt;='START HERE'!$B$31)+(K283&gt;='START HERE'!$B$32))</f>
        <v/>
      </c>
      <c r="P283" s="46" t="str">
        <f aca="false">IF($A283="","",IF(O283&gt;=7,"Full day",IF(O283&gt;=5,"Most targets met",IF(O283&gt;=3,"Half day","Below plan - explain in the blocker column"))))</f>
        <v/>
      </c>
    </row>
    <row r="284" customFormat="false" ht="24" hidden="false" customHeight="true" outlineLevel="0" collapsed="false">
      <c r="A284" s="36"/>
      <c r="B284" s="37"/>
      <c r="C284" s="107" t="str">
        <f aca="false">IF($A284="","",ROUND(SUMIFS('DAILY ENTRY'!$G$7:$G$1203,'DAILY ENTRY'!$A$7:$A$1203,$A284,'DAILY ENTRY'!$B$7:$B$1203,$B284)/60,1))</f>
        <v/>
      </c>
      <c r="D284" s="107" t="str">
        <f aca="false">IF($A284="","",SUMIFS('DAILY ENTRY'!$F$7:$F$1203,'DAILY ENTRY'!$A$7:$A$1203,$A284,'DAILY ENTRY'!$B$7:$B$1203,$B284,'DAILY ENTRY'!$D$7:$D$1203,"Lead researched (Sales Navigator)"))</f>
        <v/>
      </c>
      <c r="E284" s="107" t="str">
        <f aca="false">IF($A284="","",SUMIFS('DAILY ENTRY'!$F$7:$F$1203,'DAILY ENTRY'!$A$7:$A$1203,$A284,'DAILY ENTRY'!$B$7:$B$1203,$B284,'DAILY ENTRY'!$D$7:$D$1203,"Connection request sent"))</f>
        <v/>
      </c>
      <c r="F284" s="107" t="str">
        <f aca="false">IF($A284="","",SUMIFS('DAILY ENTRY'!$F$7:$F$1203,'DAILY ENTRY'!$A$7:$A$1203,$A284,'DAILY ENTRY'!$B$7:$B$1203,$B284,'DAILY ENTRY'!$D$7:$D$1203,"First message sent"))</f>
        <v/>
      </c>
      <c r="G284" s="107" t="str">
        <f aca="false">IF($A284="","",SUMIFS('DAILY ENTRY'!$F$7:$F$1203,'DAILY ENTRY'!$A$7:$A$1203,$A284,'DAILY ENTRY'!$B$7:$B$1203,$B284,'DAILY ENTRY'!$D$7:$D$1203,"Follow-up message sent"))</f>
        <v/>
      </c>
      <c r="H284" s="107" t="str">
        <f aca="false">IF($A284="","",SUMIFS('DAILY ENTRY'!$F$7:$F$1203,'DAILY ENTRY'!$A$7:$A$1203,$A284,'DAILY ENTRY'!$B$7:$B$1203,$B284,'DAILY ENTRY'!$D$7:$D$1203,"Post / content published"))</f>
        <v/>
      </c>
      <c r="I284" s="107" t="str">
        <f aca="false">IF($A284="","",SUMIFS('DAILY ENTRY'!$F$7:$F$1203,'DAILY ENTRY'!$A$7:$A$1203,$A284,'DAILY ENTRY'!$B$7:$B$1203,$B284,'DAILY ENTRY'!$D$7:$D$1203,"Community answer or comment"))</f>
        <v/>
      </c>
      <c r="J284" s="107" t="str">
        <f aca="false">IF($A284="","",SUMIFS('DAILY ENTRY'!$F$7:$F$1203,'DAILY ENTRY'!$A$7:$A$1203,$A284,'DAILY ENTRY'!$B$7:$B$1203,$B284,'DAILY ENTRY'!$D$7:$D$1203,"Partnership / PR contact"))</f>
        <v/>
      </c>
      <c r="K284" s="107" t="str">
        <f aca="false">IF($A284="","",SUMIFS('DAILY ENTRY'!$F$7:$F$1203,'DAILY ENTRY'!$A$7:$A$1203,$A284,'DAILY ENTRY'!$B$7:$B$1203,$B284,'DAILY ENTRY'!$D$7:$D$1203,"Engagement (commented on someone else)"))</f>
        <v/>
      </c>
      <c r="L284" s="107" t="str">
        <f aca="false">IF($A284="","",SUMIFS('DAILY ENTRY'!$F$7:$F$1203,'DAILY ENTRY'!$A$7:$A$1203,$A284,'DAILY ENTRY'!$B$7:$B$1203,$B284,'DAILY ENTRY'!$D$7:$D$1203,"Account created / profile completed"))</f>
        <v/>
      </c>
      <c r="M284" s="108" t="str">
        <f aca="false">IF($A284="","",IFERROR(INDEX('DAILY ENTRY'!$E$7:$E$1203,MATCH(1,INDEX(('DAILY ENTRY'!$A$7:$A$1203=$A284)*('DAILY ENTRY'!$B$7:$B$1203=$B284)*('DAILY ENTRY'!$I$7:$I$1203="Meeting booked"),0),0)),IFERROR(INDEX('DAILY ENTRY'!$E$7:$E$1203,MATCH(1,INDEX(('DAILY ENTRY'!$A$7:$A$1203=$A284)*('DAILY ENTRY'!$B$7:$B$1203=$B284)*('DAILY ENTRY'!$I$7:$I$1203="Positive reply"),0),0)),"")))</f>
        <v/>
      </c>
      <c r="N284" s="108" t="str">
        <f aca="false">IF($A284="","",IFERROR(INDEX('DAILY ENTRY'!$J$7:$J$1203,MATCH(1,INDEX(('DAILY ENTRY'!$A$7:$A$1203=$A284)*('DAILY ENTRY'!$B$7:$B$1203=$B284)*('DAILY ENTRY'!$I$7:$I$1203="Blocked"),0),0)),""))</f>
        <v/>
      </c>
      <c r="O284" s="65" t="str">
        <f aca="false">IF($A284="","",(D284&gt;='START HERE'!$B$25)+(E284&gt;='START HERE'!$B$26)+(F284&gt;='START HERE'!$B$27)+(G284&gt;='START HERE'!$B$28)+(H284&gt;='START HERE'!$B$29)+(I284&gt;='START HERE'!$B$30)+(J284&gt;='START HERE'!$B$31)+(K284&gt;='START HERE'!$B$32))</f>
        <v/>
      </c>
      <c r="P284" s="46" t="str">
        <f aca="false">IF($A284="","",IF(O284&gt;=7,"Full day",IF(O284&gt;=5,"Most targets met",IF(O284&gt;=3,"Half day","Below plan - explain in the blocker column"))))</f>
        <v/>
      </c>
    </row>
    <row r="285" customFormat="false" ht="24" hidden="false" customHeight="true" outlineLevel="0" collapsed="false">
      <c r="A285" s="36"/>
      <c r="B285" s="37"/>
      <c r="C285" s="107" t="str">
        <f aca="false">IF($A285="","",ROUND(SUMIFS('DAILY ENTRY'!$G$7:$G$1203,'DAILY ENTRY'!$A$7:$A$1203,$A285,'DAILY ENTRY'!$B$7:$B$1203,$B285)/60,1))</f>
        <v/>
      </c>
      <c r="D285" s="107" t="str">
        <f aca="false">IF($A285="","",SUMIFS('DAILY ENTRY'!$F$7:$F$1203,'DAILY ENTRY'!$A$7:$A$1203,$A285,'DAILY ENTRY'!$B$7:$B$1203,$B285,'DAILY ENTRY'!$D$7:$D$1203,"Lead researched (Sales Navigator)"))</f>
        <v/>
      </c>
      <c r="E285" s="107" t="str">
        <f aca="false">IF($A285="","",SUMIFS('DAILY ENTRY'!$F$7:$F$1203,'DAILY ENTRY'!$A$7:$A$1203,$A285,'DAILY ENTRY'!$B$7:$B$1203,$B285,'DAILY ENTRY'!$D$7:$D$1203,"Connection request sent"))</f>
        <v/>
      </c>
      <c r="F285" s="107" t="str">
        <f aca="false">IF($A285="","",SUMIFS('DAILY ENTRY'!$F$7:$F$1203,'DAILY ENTRY'!$A$7:$A$1203,$A285,'DAILY ENTRY'!$B$7:$B$1203,$B285,'DAILY ENTRY'!$D$7:$D$1203,"First message sent"))</f>
        <v/>
      </c>
      <c r="G285" s="107" t="str">
        <f aca="false">IF($A285="","",SUMIFS('DAILY ENTRY'!$F$7:$F$1203,'DAILY ENTRY'!$A$7:$A$1203,$A285,'DAILY ENTRY'!$B$7:$B$1203,$B285,'DAILY ENTRY'!$D$7:$D$1203,"Follow-up message sent"))</f>
        <v/>
      </c>
      <c r="H285" s="107" t="str">
        <f aca="false">IF($A285="","",SUMIFS('DAILY ENTRY'!$F$7:$F$1203,'DAILY ENTRY'!$A$7:$A$1203,$A285,'DAILY ENTRY'!$B$7:$B$1203,$B285,'DAILY ENTRY'!$D$7:$D$1203,"Post / content published"))</f>
        <v/>
      </c>
      <c r="I285" s="107" t="str">
        <f aca="false">IF($A285="","",SUMIFS('DAILY ENTRY'!$F$7:$F$1203,'DAILY ENTRY'!$A$7:$A$1203,$A285,'DAILY ENTRY'!$B$7:$B$1203,$B285,'DAILY ENTRY'!$D$7:$D$1203,"Community answer or comment"))</f>
        <v/>
      </c>
      <c r="J285" s="107" t="str">
        <f aca="false">IF($A285="","",SUMIFS('DAILY ENTRY'!$F$7:$F$1203,'DAILY ENTRY'!$A$7:$A$1203,$A285,'DAILY ENTRY'!$B$7:$B$1203,$B285,'DAILY ENTRY'!$D$7:$D$1203,"Partnership / PR contact"))</f>
        <v/>
      </c>
      <c r="K285" s="107" t="str">
        <f aca="false">IF($A285="","",SUMIFS('DAILY ENTRY'!$F$7:$F$1203,'DAILY ENTRY'!$A$7:$A$1203,$A285,'DAILY ENTRY'!$B$7:$B$1203,$B285,'DAILY ENTRY'!$D$7:$D$1203,"Engagement (commented on someone else)"))</f>
        <v/>
      </c>
      <c r="L285" s="107" t="str">
        <f aca="false">IF($A285="","",SUMIFS('DAILY ENTRY'!$F$7:$F$1203,'DAILY ENTRY'!$A$7:$A$1203,$A285,'DAILY ENTRY'!$B$7:$B$1203,$B285,'DAILY ENTRY'!$D$7:$D$1203,"Account created / profile completed"))</f>
        <v/>
      </c>
      <c r="M285" s="108" t="str">
        <f aca="false">IF($A285="","",IFERROR(INDEX('DAILY ENTRY'!$E$7:$E$1203,MATCH(1,INDEX(('DAILY ENTRY'!$A$7:$A$1203=$A285)*('DAILY ENTRY'!$B$7:$B$1203=$B285)*('DAILY ENTRY'!$I$7:$I$1203="Meeting booked"),0),0)),IFERROR(INDEX('DAILY ENTRY'!$E$7:$E$1203,MATCH(1,INDEX(('DAILY ENTRY'!$A$7:$A$1203=$A285)*('DAILY ENTRY'!$B$7:$B$1203=$B285)*('DAILY ENTRY'!$I$7:$I$1203="Positive reply"),0),0)),"")))</f>
        <v/>
      </c>
      <c r="N285" s="108" t="str">
        <f aca="false">IF($A285="","",IFERROR(INDEX('DAILY ENTRY'!$J$7:$J$1203,MATCH(1,INDEX(('DAILY ENTRY'!$A$7:$A$1203=$A285)*('DAILY ENTRY'!$B$7:$B$1203=$B285)*('DAILY ENTRY'!$I$7:$I$1203="Blocked"),0),0)),""))</f>
        <v/>
      </c>
      <c r="O285" s="65" t="str">
        <f aca="false">IF($A285="","",(D285&gt;='START HERE'!$B$25)+(E285&gt;='START HERE'!$B$26)+(F285&gt;='START HERE'!$B$27)+(G285&gt;='START HERE'!$B$28)+(H285&gt;='START HERE'!$B$29)+(I285&gt;='START HERE'!$B$30)+(J285&gt;='START HERE'!$B$31)+(K285&gt;='START HERE'!$B$32))</f>
        <v/>
      </c>
      <c r="P285" s="46" t="str">
        <f aca="false">IF($A285="","",IF(O285&gt;=7,"Full day",IF(O285&gt;=5,"Most targets met",IF(O285&gt;=3,"Half day","Below plan - explain in the blocker column"))))</f>
        <v/>
      </c>
    </row>
    <row r="286" customFormat="false" ht="24" hidden="false" customHeight="true" outlineLevel="0" collapsed="false">
      <c r="A286" s="36"/>
      <c r="B286" s="37"/>
      <c r="C286" s="107" t="str">
        <f aca="false">IF($A286="","",ROUND(SUMIFS('DAILY ENTRY'!$G$7:$G$1203,'DAILY ENTRY'!$A$7:$A$1203,$A286,'DAILY ENTRY'!$B$7:$B$1203,$B286)/60,1))</f>
        <v/>
      </c>
      <c r="D286" s="107" t="str">
        <f aca="false">IF($A286="","",SUMIFS('DAILY ENTRY'!$F$7:$F$1203,'DAILY ENTRY'!$A$7:$A$1203,$A286,'DAILY ENTRY'!$B$7:$B$1203,$B286,'DAILY ENTRY'!$D$7:$D$1203,"Lead researched (Sales Navigator)"))</f>
        <v/>
      </c>
      <c r="E286" s="107" t="str">
        <f aca="false">IF($A286="","",SUMIFS('DAILY ENTRY'!$F$7:$F$1203,'DAILY ENTRY'!$A$7:$A$1203,$A286,'DAILY ENTRY'!$B$7:$B$1203,$B286,'DAILY ENTRY'!$D$7:$D$1203,"Connection request sent"))</f>
        <v/>
      </c>
      <c r="F286" s="107" t="str">
        <f aca="false">IF($A286="","",SUMIFS('DAILY ENTRY'!$F$7:$F$1203,'DAILY ENTRY'!$A$7:$A$1203,$A286,'DAILY ENTRY'!$B$7:$B$1203,$B286,'DAILY ENTRY'!$D$7:$D$1203,"First message sent"))</f>
        <v/>
      </c>
      <c r="G286" s="107" t="str">
        <f aca="false">IF($A286="","",SUMIFS('DAILY ENTRY'!$F$7:$F$1203,'DAILY ENTRY'!$A$7:$A$1203,$A286,'DAILY ENTRY'!$B$7:$B$1203,$B286,'DAILY ENTRY'!$D$7:$D$1203,"Follow-up message sent"))</f>
        <v/>
      </c>
      <c r="H286" s="107" t="str">
        <f aca="false">IF($A286="","",SUMIFS('DAILY ENTRY'!$F$7:$F$1203,'DAILY ENTRY'!$A$7:$A$1203,$A286,'DAILY ENTRY'!$B$7:$B$1203,$B286,'DAILY ENTRY'!$D$7:$D$1203,"Post / content published"))</f>
        <v/>
      </c>
      <c r="I286" s="107" t="str">
        <f aca="false">IF($A286="","",SUMIFS('DAILY ENTRY'!$F$7:$F$1203,'DAILY ENTRY'!$A$7:$A$1203,$A286,'DAILY ENTRY'!$B$7:$B$1203,$B286,'DAILY ENTRY'!$D$7:$D$1203,"Community answer or comment"))</f>
        <v/>
      </c>
      <c r="J286" s="107" t="str">
        <f aca="false">IF($A286="","",SUMIFS('DAILY ENTRY'!$F$7:$F$1203,'DAILY ENTRY'!$A$7:$A$1203,$A286,'DAILY ENTRY'!$B$7:$B$1203,$B286,'DAILY ENTRY'!$D$7:$D$1203,"Partnership / PR contact"))</f>
        <v/>
      </c>
      <c r="K286" s="107" t="str">
        <f aca="false">IF($A286="","",SUMIFS('DAILY ENTRY'!$F$7:$F$1203,'DAILY ENTRY'!$A$7:$A$1203,$A286,'DAILY ENTRY'!$B$7:$B$1203,$B286,'DAILY ENTRY'!$D$7:$D$1203,"Engagement (commented on someone else)"))</f>
        <v/>
      </c>
      <c r="L286" s="107" t="str">
        <f aca="false">IF($A286="","",SUMIFS('DAILY ENTRY'!$F$7:$F$1203,'DAILY ENTRY'!$A$7:$A$1203,$A286,'DAILY ENTRY'!$B$7:$B$1203,$B286,'DAILY ENTRY'!$D$7:$D$1203,"Account created / profile completed"))</f>
        <v/>
      </c>
      <c r="M286" s="108" t="str">
        <f aca="false">IF($A286="","",IFERROR(INDEX('DAILY ENTRY'!$E$7:$E$1203,MATCH(1,INDEX(('DAILY ENTRY'!$A$7:$A$1203=$A286)*('DAILY ENTRY'!$B$7:$B$1203=$B286)*('DAILY ENTRY'!$I$7:$I$1203="Meeting booked"),0),0)),IFERROR(INDEX('DAILY ENTRY'!$E$7:$E$1203,MATCH(1,INDEX(('DAILY ENTRY'!$A$7:$A$1203=$A286)*('DAILY ENTRY'!$B$7:$B$1203=$B286)*('DAILY ENTRY'!$I$7:$I$1203="Positive reply"),0),0)),"")))</f>
        <v/>
      </c>
      <c r="N286" s="108" t="str">
        <f aca="false">IF($A286="","",IFERROR(INDEX('DAILY ENTRY'!$J$7:$J$1203,MATCH(1,INDEX(('DAILY ENTRY'!$A$7:$A$1203=$A286)*('DAILY ENTRY'!$B$7:$B$1203=$B286)*('DAILY ENTRY'!$I$7:$I$1203="Blocked"),0),0)),""))</f>
        <v/>
      </c>
      <c r="O286" s="65" t="str">
        <f aca="false">IF($A286="","",(D286&gt;='START HERE'!$B$25)+(E286&gt;='START HERE'!$B$26)+(F286&gt;='START HERE'!$B$27)+(G286&gt;='START HERE'!$B$28)+(H286&gt;='START HERE'!$B$29)+(I286&gt;='START HERE'!$B$30)+(J286&gt;='START HERE'!$B$31)+(K286&gt;='START HERE'!$B$32))</f>
        <v/>
      </c>
      <c r="P286" s="46" t="str">
        <f aca="false">IF($A286="","",IF(O286&gt;=7,"Full day",IF(O286&gt;=5,"Most targets met",IF(O286&gt;=3,"Half day","Below plan - explain in the blocker column"))))</f>
        <v/>
      </c>
    </row>
    <row r="287" customFormat="false" ht="24" hidden="false" customHeight="true" outlineLevel="0" collapsed="false">
      <c r="A287" s="36"/>
      <c r="B287" s="37"/>
      <c r="C287" s="107" t="str">
        <f aca="false">IF($A287="","",ROUND(SUMIFS('DAILY ENTRY'!$G$7:$G$1203,'DAILY ENTRY'!$A$7:$A$1203,$A287,'DAILY ENTRY'!$B$7:$B$1203,$B287)/60,1))</f>
        <v/>
      </c>
      <c r="D287" s="107" t="str">
        <f aca="false">IF($A287="","",SUMIFS('DAILY ENTRY'!$F$7:$F$1203,'DAILY ENTRY'!$A$7:$A$1203,$A287,'DAILY ENTRY'!$B$7:$B$1203,$B287,'DAILY ENTRY'!$D$7:$D$1203,"Lead researched (Sales Navigator)"))</f>
        <v/>
      </c>
      <c r="E287" s="107" t="str">
        <f aca="false">IF($A287="","",SUMIFS('DAILY ENTRY'!$F$7:$F$1203,'DAILY ENTRY'!$A$7:$A$1203,$A287,'DAILY ENTRY'!$B$7:$B$1203,$B287,'DAILY ENTRY'!$D$7:$D$1203,"Connection request sent"))</f>
        <v/>
      </c>
      <c r="F287" s="107" t="str">
        <f aca="false">IF($A287="","",SUMIFS('DAILY ENTRY'!$F$7:$F$1203,'DAILY ENTRY'!$A$7:$A$1203,$A287,'DAILY ENTRY'!$B$7:$B$1203,$B287,'DAILY ENTRY'!$D$7:$D$1203,"First message sent"))</f>
        <v/>
      </c>
      <c r="G287" s="107" t="str">
        <f aca="false">IF($A287="","",SUMIFS('DAILY ENTRY'!$F$7:$F$1203,'DAILY ENTRY'!$A$7:$A$1203,$A287,'DAILY ENTRY'!$B$7:$B$1203,$B287,'DAILY ENTRY'!$D$7:$D$1203,"Follow-up message sent"))</f>
        <v/>
      </c>
      <c r="H287" s="107" t="str">
        <f aca="false">IF($A287="","",SUMIFS('DAILY ENTRY'!$F$7:$F$1203,'DAILY ENTRY'!$A$7:$A$1203,$A287,'DAILY ENTRY'!$B$7:$B$1203,$B287,'DAILY ENTRY'!$D$7:$D$1203,"Post / content published"))</f>
        <v/>
      </c>
      <c r="I287" s="107" t="str">
        <f aca="false">IF($A287="","",SUMIFS('DAILY ENTRY'!$F$7:$F$1203,'DAILY ENTRY'!$A$7:$A$1203,$A287,'DAILY ENTRY'!$B$7:$B$1203,$B287,'DAILY ENTRY'!$D$7:$D$1203,"Community answer or comment"))</f>
        <v/>
      </c>
      <c r="J287" s="107" t="str">
        <f aca="false">IF($A287="","",SUMIFS('DAILY ENTRY'!$F$7:$F$1203,'DAILY ENTRY'!$A$7:$A$1203,$A287,'DAILY ENTRY'!$B$7:$B$1203,$B287,'DAILY ENTRY'!$D$7:$D$1203,"Partnership / PR contact"))</f>
        <v/>
      </c>
      <c r="K287" s="107" t="str">
        <f aca="false">IF($A287="","",SUMIFS('DAILY ENTRY'!$F$7:$F$1203,'DAILY ENTRY'!$A$7:$A$1203,$A287,'DAILY ENTRY'!$B$7:$B$1203,$B287,'DAILY ENTRY'!$D$7:$D$1203,"Engagement (commented on someone else)"))</f>
        <v/>
      </c>
      <c r="L287" s="107" t="str">
        <f aca="false">IF($A287="","",SUMIFS('DAILY ENTRY'!$F$7:$F$1203,'DAILY ENTRY'!$A$7:$A$1203,$A287,'DAILY ENTRY'!$B$7:$B$1203,$B287,'DAILY ENTRY'!$D$7:$D$1203,"Account created / profile completed"))</f>
        <v/>
      </c>
      <c r="M287" s="108" t="str">
        <f aca="false">IF($A287="","",IFERROR(INDEX('DAILY ENTRY'!$E$7:$E$1203,MATCH(1,INDEX(('DAILY ENTRY'!$A$7:$A$1203=$A287)*('DAILY ENTRY'!$B$7:$B$1203=$B287)*('DAILY ENTRY'!$I$7:$I$1203="Meeting booked"),0),0)),IFERROR(INDEX('DAILY ENTRY'!$E$7:$E$1203,MATCH(1,INDEX(('DAILY ENTRY'!$A$7:$A$1203=$A287)*('DAILY ENTRY'!$B$7:$B$1203=$B287)*('DAILY ENTRY'!$I$7:$I$1203="Positive reply"),0),0)),"")))</f>
        <v/>
      </c>
      <c r="N287" s="108" t="str">
        <f aca="false">IF($A287="","",IFERROR(INDEX('DAILY ENTRY'!$J$7:$J$1203,MATCH(1,INDEX(('DAILY ENTRY'!$A$7:$A$1203=$A287)*('DAILY ENTRY'!$B$7:$B$1203=$B287)*('DAILY ENTRY'!$I$7:$I$1203="Blocked"),0),0)),""))</f>
        <v/>
      </c>
      <c r="O287" s="65" t="str">
        <f aca="false">IF($A287="","",(D287&gt;='START HERE'!$B$25)+(E287&gt;='START HERE'!$B$26)+(F287&gt;='START HERE'!$B$27)+(G287&gt;='START HERE'!$B$28)+(H287&gt;='START HERE'!$B$29)+(I287&gt;='START HERE'!$B$30)+(J287&gt;='START HERE'!$B$31)+(K287&gt;='START HERE'!$B$32))</f>
        <v/>
      </c>
      <c r="P287" s="46" t="str">
        <f aca="false">IF($A287="","",IF(O287&gt;=7,"Full day",IF(O287&gt;=5,"Most targets met",IF(O287&gt;=3,"Half day","Below plan - explain in the blocker column"))))</f>
        <v/>
      </c>
    </row>
    <row r="288" customFormat="false" ht="24" hidden="false" customHeight="true" outlineLevel="0" collapsed="false">
      <c r="A288" s="36"/>
      <c r="B288" s="37"/>
      <c r="C288" s="107" t="str">
        <f aca="false">IF($A288="","",ROUND(SUMIFS('DAILY ENTRY'!$G$7:$G$1203,'DAILY ENTRY'!$A$7:$A$1203,$A288,'DAILY ENTRY'!$B$7:$B$1203,$B288)/60,1))</f>
        <v/>
      </c>
      <c r="D288" s="107" t="str">
        <f aca="false">IF($A288="","",SUMIFS('DAILY ENTRY'!$F$7:$F$1203,'DAILY ENTRY'!$A$7:$A$1203,$A288,'DAILY ENTRY'!$B$7:$B$1203,$B288,'DAILY ENTRY'!$D$7:$D$1203,"Lead researched (Sales Navigator)"))</f>
        <v/>
      </c>
      <c r="E288" s="107" t="str">
        <f aca="false">IF($A288="","",SUMIFS('DAILY ENTRY'!$F$7:$F$1203,'DAILY ENTRY'!$A$7:$A$1203,$A288,'DAILY ENTRY'!$B$7:$B$1203,$B288,'DAILY ENTRY'!$D$7:$D$1203,"Connection request sent"))</f>
        <v/>
      </c>
      <c r="F288" s="107" t="str">
        <f aca="false">IF($A288="","",SUMIFS('DAILY ENTRY'!$F$7:$F$1203,'DAILY ENTRY'!$A$7:$A$1203,$A288,'DAILY ENTRY'!$B$7:$B$1203,$B288,'DAILY ENTRY'!$D$7:$D$1203,"First message sent"))</f>
        <v/>
      </c>
      <c r="G288" s="107" t="str">
        <f aca="false">IF($A288="","",SUMIFS('DAILY ENTRY'!$F$7:$F$1203,'DAILY ENTRY'!$A$7:$A$1203,$A288,'DAILY ENTRY'!$B$7:$B$1203,$B288,'DAILY ENTRY'!$D$7:$D$1203,"Follow-up message sent"))</f>
        <v/>
      </c>
      <c r="H288" s="107" t="str">
        <f aca="false">IF($A288="","",SUMIFS('DAILY ENTRY'!$F$7:$F$1203,'DAILY ENTRY'!$A$7:$A$1203,$A288,'DAILY ENTRY'!$B$7:$B$1203,$B288,'DAILY ENTRY'!$D$7:$D$1203,"Post / content published"))</f>
        <v/>
      </c>
      <c r="I288" s="107" t="str">
        <f aca="false">IF($A288="","",SUMIFS('DAILY ENTRY'!$F$7:$F$1203,'DAILY ENTRY'!$A$7:$A$1203,$A288,'DAILY ENTRY'!$B$7:$B$1203,$B288,'DAILY ENTRY'!$D$7:$D$1203,"Community answer or comment"))</f>
        <v/>
      </c>
      <c r="J288" s="107" t="str">
        <f aca="false">IF($A288="","",SUMIFS('DAILY ENTRY'!$F$7:$F$1203,'DAILY ENTRY'!$A$7:$A$1203,$A288,'DAILY ENTRY'!$B$7:$B$1203,$B288,'DAILY ENTRY'!$D$7:$D$1203,"Partnership / PR contact"))</f>
        <v/>
      </c>
      <c r="K288" s="107" t="str">
        <f aca="false">IF($A288="","",SUMIFS('DAILY ENTRY'!$F$7:$F$1203,'DAILY ENTRY'!$A$7:$A$1203,$A288,'DAILY ENTRY'!$B$7:$B$1203,$B288,'DAILY ENTRY'!$D$7:$D$1203,"Engagement (commented on someone else)"))</f>
        <v/>
      </c>
      <c r="L288" s="107" t="str">
        <f aca="false">IF($A288="","",SUMIFS('DAILY ENTRY'!$F$7:$F$1203,'DAILY ENTRY'!$A$7:$A$1203,$A288,'DAILY ENTRY'!$B$7:$B$1203,$B288,'DAILY ENTRY'!$D$7:$D$1203,"Account created / profile completed"))</f>
        <v/>
      </c>
      <c r="M288" s="108" t="str">
        <f aca="false">IF($A288="","",IFERROR(INDEX('DAILY ENTRY'!$E$7:$E$1203,MATCH(1,INDEX(('DAILY ENTRY'!$A$7:$A$1203=$A288)*('DAILY ENTRY'!$B$7:$B$1203=$B288)*('DAILY ENTRY'!$I$7:$I$1203="Meeting booked"),0),0)),IFERROR(INDEX('DAILY ENTRY'!$E$7:$E$1203,MATCH(1,INDEX(('DAILY ENTRY'!$A$7:$A$1203=$A288)*('DAILY ENTRY'!$B$7:$B$1203=$B288)*('DAILY ENTRY'!$I$7:$I$1203="Positive reply"),0),0)),"")))</f>
        <v/>
      </c>
      <c r="N288" s="108" t="str">
        <f aca="false">IF($A288="","",IFERROR(INDEX('DAILY ENTRY'!$J$7:$J$1203,MATCH(1,INDEX(('DAILY ENTRY'!$A$7:$A$1203=$A288)*('DAILY ENTRY'!$B$7:$B$1203=$B288)*('DAILY ENTRY'!$I$7:$I$1203="Blocked"),0),0)),""))</f>
        <v/>
      </c>
      <c r="O288" s="65" t="str">
        <f aca="false">IF($A288="","",(D288&gt;='START HERE'!$B$25)+(E288&gt;='START HERE'!$B$26)+(F288&gt;='START HERE'!$B$27)+(G288&gt;='START HERE'!$B$28)+(H288&gt;='START HERE'!$B$29)+(I288&gt;='START HERE'!$B$30)+(J288&gt;='START HERE'!$B$31)+(K288&gt;='START HERE'!$B$32))</f>
        <v/>
      </c>
      <c r="P288" s="46" t="str">
        <f aca="false">IF($A288="","",IF(O288&gt;=7,"Full day",IF(O288&gt;=5,"Most targets met",IF(O288&gt;=3,"Half day","Below plan - explain in the blocker column"))))</f>
        <v/>
      </c>
    </row>
    <row r="289" customFormat="false" ht="24" hidden="false" customHeight="true" outlineLevel="0" collapsed="false">
      <c r="A289" s="36"/>
      <c r="B289" s="37"/>
      <c r="C289" s="107" t="str">
        <f aca="false">IF($A289="","",ROUND(SUMIFS('DAILY ENTRY'!$G$7:$G$1203,'DAILY ENTRY'!$A$7:$A$1203,$A289,'DAILY ENTRY'!$B$7:$B$1203,$B289)/60,1))</f>
        <v/>
      </c>
      <c r="D289" s="107" t="str">
        <f aca="false">IF($A289="","",SUMIFS('DAILY ENTRY'!$F$7:$F$1203,'DAILY ENTRY'!$A$7:$A$1203,$A289,'DAILY ENTRY'!$B$7:$B$1203,$B289,'DAILY ENTRY'!$D$7:$D$1203,"Lead researched (Sales Navigator)"))</f>
        <v/>
      </c>
      <c r="E289" s="107" t="str">
        <f aca="false">IF($A289="","",SUMIFS('DAILY ENTRY'!$F$7:$F$1203,'DAILY ENTRY'!$A$7:$A$1203,$A289,'DAILY ENTRY'!$B$7:$B$1203,$B289,'DAILY ENTRY'!$D$7:$D$1203,"Connection request sent"))</f>
        <v/>
      </c>
      <c r="F289" s="107" t="str">
        <f aca="false">IF($A289="","",SUMIFS('DAILY ENTRY'!$F$7:$F$1203,'DAILY ENTRY'!$A$7:$A$1203,$A289,'DAILY ENTRY'!$B$7:$B$1203,$B289,'DAILY ENTRY'!$D$7:$D$1203,"First message sent"))</f>
        <v/>
      </c>
      <c r="G289" s="107" t="str">
        <f aca="false">IF($A289="","",SUMIFS('DAILY ENTRY'!$F$7:$F$1203,'DAILY ENTRY'!$A$7:$A$1203,$A289,'DAILY ENTRY'!$B$7:$B$1203,$B289,'DAILY ENTRY'!$D$7:$D$1203,"Follow-up message sent"))</f>
        <v/>
      </c>
      <c r="H289" s="107" t="str">
        <f aca="false">IF($A289="","",SUMIFS('DAILY ENTRY'!$F$7:$F$1203,'DAILY ENTRY'!$A$7:$A$1203,$A289,'DAILY ENTRY'!$B$7:$B$1203,$B289,'DAILY ENTRY'!$D$7:$D$1203,"Post / content published"))</f>
        <v/>
      </c>
      <c r="I289" s="107" t="str">
        <f aca="false">IF($A289="","",SUMIFS('DAILY ENTRY'!$F$7:$F$1203,'DAILY ENTRY'!$A$7:$A$1203,$A289,'DAILY ENTRY'!$B$7:$B$1203,$B289,'DAILY ENTRY'!$D$7:$D$1203,"Community answer or comment"))</f>
        <v/>
      </c>
      <c r="J289" s="107" t="str">
        <f aca="false">IF($A289="","",SUMIFS('DAILY ENTRY'!$F$7:$F$1203,'DAILY ENTRY'!$A$7:$A$1203,$A289,'DAILY ENTRY'!$B$7:$B$1203,$B289,'DAILY ENTRY'!$D$7:$D$1203,"Partnership / PR contact"))</f>
        <v/>
      </c>
      <c r="K289" s="107" t="str">
        <f aca="false">IF($A289="","",SUMIFS('DAILY ENTRY'!$F$7:$F$1203,'DAILY ENTRY'!$A$7:$A$1203,$A289,'DAILY ENTRY'!$B$7:$B$1203,$B289,'DAILY ENTRY'!$D$7:$D$1203,"Engagement (commented on someone else)"))</f>
        <v/>
      </c>
      <c r="L289" s="107" t="str">
        <f aca="false">IF($A289="","",SUMIFS('DAILY ENTRY'!$F$7:$F$1203,'DAILY ENTRY'!$A$7:$A$1203,$A289,'DAILY ENTRY'!$B$7:$B$1203,$B289,'DAILY ENTRY'!$D$7:$D$1203,"Account created / profile completed"))</f>
        <v/>
      </c>
      <c r="M289" s="108" t="str">
        <f aca="false">IF($A289="","",IFERROR(INDEX('DAILY ENTRY'!$E$7:$E$1203,MATCH(1,INDEX(('DAILY ENTRY'!$A$7:$A$1203=$A289)*('DAILY ENTRY'!$B$7:$B$1203=$B289)*('DAILY ENTRY'!$I$7:$I$1203="Meeting booked"),0),0)),IFERROR(INDEX('DAILY ENTRY'!$E$7:$E$1203,MATCH(1,INDEX(('DAILY ENTRY'!$A$7:$A$1203=$A289)*('DAILY ENTRY'!$B$7:$B$1203=$B289)*('DAILY ENTRY'!$I$7:$I$1203="Positive reply"),0),0)),"")))</f>
        <v/>
      </c>
      <c r="N289" s="108" t="str">
        <f aca="false">IF($A289="","",IFERROR(INDEX('DAILY ENTRY'!$J$7:$J$1203,MATCH(1,INDEX(('DAILY ENTRY'!$A$7:$A$1203=$A289)*('DAILY ENTRY'!$B$7:$B$1203=$B289)*('DAILY ENTRY'!$I$7:$I$1203="Blocked"),0),0)),""))</f>
        <v/>
      </c>
      <c r="O289" s="65" t="str">
        <f aca="false">IF($A289="","",(D289&gt;='START HERE'!$B$25)+(E289&gt;='START HERE'!$B$26)+(F289&gt;='START HERE'!$B$27)+(G289&gt;='START HERE'!$B$28)+(H289&gt;='START HERE'!$B$29)+(I289&gt;='START HERE'!$B$30)+(J289&gt;='START HERE'!$B$31)+(K289&gt;='START HERE'!$B$32))</f>
        <v/>
      </c>
      <c r="P289" s="46" t="str">
        <f aca="false">IF($A289="","",IF(O289&gt;=7,"Full day",IF(O289&gt;=5,"Most targets met",IF(O289&gt;=3,"Half day","Below plan - explain in the blocker column"))))</f>
        <v/>
      </c>
    </row>
    <row r="290" customFormat="false" ht="24" hidden="false" customHeight="true" outlineLevel="0" collapsed="false">
      <c r="A290" s="36"/>
      <c r="B290" s="37"/>
      <c r="C290" s="107" t="str">
        <f aca="false">IF($A290="","",ROUND(SUMIFS('DAILY ENTRY'!$G$7:$G$1203,'DAILY ENTRY'!$A$7:$A$1203,$A290,'DAILY ENTRY'!$B$7:$B$1203,$B290)/60,1))</f>
        <v/>
      </c>
      <c r="D290" s="107" t="str">
        <f aca="false">IF($A290="","",SUMIFS('DAILY ENTRY'!$F$7:$F$1203,'DAILY ENTRY'!$A$7:$A$1203,$A290,'DAILY ENTRY'!$B$7:$B$1203,$B290,'DAILY ENTRY'!$D$7:$D$1203,"Lead researched (Sales Navigator)"))</f>
        <v/>
      </c>
      <c r="E290" s="107" t="str">
        <f aca="false">IF($A290="","",SUMIFS('DAILY ENTRY'!$F$7:$F$1203,'DAILY ENTRY'!$A$7:$A$1203,$A290,'DAILY ENTRY'!$B$7:$B$1203,$B290,'DAILY ENTRY'!$D$7:$D$1203,"Connection request sent"))</f>
        <v/>
      </c>
      <c r="F290" s="107" t="str">
        <f aca="false">IF($A290="","",SUMIFS('DAILY ENTRY'!$F$7:$F$1203,'DAILY ENTRY'!$A$7:$A$1203,$A290,'DAILY ENTRY'!$B$7:$B$1203,$B290,'DAILY ENTRY'!$D$7:$D$1203,"First message sent"))</f>
        <v/>
      </c>
      <c r="G290" s="107" t="str">
        <f aca="false">IF($A290="","",SUMIFS('DAILY ENTRY'!$F$7:$F$1203,'DAILY ENTRY'!$A$7:$A$1203,$A290,'DAILY ENTRY'!$B$7:$B$1203,$B290,'DAILY ENTRY'!$D$7:$D$1203,"Follow-up message sent"))</f>
        <v/>
      </c>
      <c r="H290" s="107" t="str">
        <f aca="false">IF($A290="","",SUMIFS('DAILY ENTRY'!$F$7:$F$1203,'DAILY ENTRY'!$A$7:$A$1203,$A290,'DAILY ENTRY'!$B$7:$B$1203,$B290,'DAILY ENTRY'!$D$7:$D$1203,"Post / content published"))</f>
        <v/>
      </c>
      <c r="I290" s="107" t="str">
        <f aca="false">IF($A290="","",SUMIFS('DAILY ENTRY'!$F$7:$F$1203,'DAILY ENTRY'!$A$7:$A$1203,$A290,'DAILY ENTRY'!$B$7:$B$1203,$B290,'DAILY ENTRY'!$D$7:$D$1203,"Community answer or comment"))</f>
        <v/>
      </c>
      <c r="J290" s="107" t="str">
        <f aca="false">IF($A290="","",SUMIFS('DAILY ENTRY'!$F$7:$F$1203,'DAILY ENTRY'!$A$7:$A$1203,$A290,'DAILY ENTRY'!$B$7:$B$1203,$B290,'DAILY ENTRY'!$D$7:$D$1203,"Partnership / PR contact"))</f>
        <v/>
      </c>
      <c r="K290" s="107" t="str">
        <f aca="false">IF($A290="","",SUMIFS('DAILY ENTRY'!$F$7:$F$1203,'DAILY ENTRY'!$A$7:$A$1203,$A290,'DAILY ENTRY'!$B$7:$B$1203,$B290,'DAILY ENTRY'!$D$7:$D$1203,"Engagement (commented on someone else)"))</f>
        <v/>
      </c>
      <c r="L290" s="107" t="str">
        <f aca="false">IF($A290="","",SUMIFS('DAILY ENTRY'!$F$7:$F$1203,'DAILY ENTRY'!$A$7:$A$1203,$A290,'DAILY ENTRY'!$B$7:$B$1203,$B290,'DAILY ENTRY'!$D$7:$D$1203,"Account created / profile completed"))</f>
        <v/>
      </c>
      <c r="M290" s="108" t="str">
        <f aca="false">IF($A290="","",IFERROR(INDEX('DAILY ENTRY'!$E$7:$E$1203,MATCH(1,INDEX(('DAILY ENTRY'!$A$7:$A$1203=$A290)*('DAILY ENTRY'!$B$7:$B$1203=$B290)*('DAILY ENTRY'!$I$7:$I$1203="Meeting booked"),0),0)),IFERROR(INDEX('DAILY ENTRY'!$E$7:$E$1203,MATCH(1,INDEX(('DAILY ENTRY'!$A$7:$A$1203=$A290)*('DAILY ENTRY'!$B$7:$B$1203=$B290)*('DAILY ENTRY'!$I$7:$I$1203="Positive reply"),0),0)),"")))</f>
        <v/>
      </c>
      <c r="N290" s="108" t="str">
        <f aca="false">IF($A290="","",IFERROR(INDEX('DAILY ENTRY'!$J$7:$J$1203,MATCH(1,INDEX(('DAILY ENTRY'!$A$7:$A$1203=$A290)*('DAILY ENTRY'!$B$7:$B$1203=$B290)*('DAILY ENTRY'!$I$7:$I$1203="Blocked"),0),0)),""))</f>
        <v/>
      </c>
      <c r="O290" s="65" t="str">
        <f aca="false">IF($A290="","",(D290&gt;='START HERE'!$B$25)+(E290&gt;='START HERE'!$B$26)+(F290&gt;='START HERE'!$B$27)+(G290&gt;='START HERE'!$B$28)+(H290&gt;='START HERE'!$B$29)+(I290&gt;='START HERE'!$B$30)+(J290&gt;='START HERE'!$B$31)+(K290&gt;='START HERE'!$B$32))</f>
        <v/>
      </c>
      <c r="P290" s="46" t="str">
        <f aca="false">IF($A290="","",IF(O290&gt;=7,"Full day",IF(O290&gt;=5,"Most targets met",IF(O290&gt;=3,"Half day","Below plan - explain in the blocker column"))))</f>
        <v/>
      </c>
    </row>
    <row r="291" customFormat="false" ht="24" hidden="false" customHeight="true" outlineLevel="0" collapsed="false">
      <c r="A291" s="36"/>
      <c r="B291" s="37"/>
      <c r="C291" s="107" t="str">
        <f aca="false">IF($A291="","",ROUND(SUMIFS('DAILY ENTRY'!$G$7:$G$1203,'DAILY ENTRY'!$A$7:$A$1203,$A291,'DAILY ENTRY'!$B$7:$B$1203,$B291)/60,1))</f>
        <v/>
      </c>
      <c r="D291" s="107" t="str">
        <f aca="false">IF($A291="","",SUMIFS('DAILY ENTRY'!$F$7:$F$1203,'DAILY ENTRY'!$A$7:$A$1203,$A291,'DAILY ENTRY'!$B$7:$B$1203,$B291,'DAILY ENTRY'!$D$7:$D$1203,"Lead researched (Sales Navigator)"))</f>
        <v/>
      </c>
      <c r="E291" s="107" t="str">
        <f aca="false">IF($A291="","",SUMIFS('DAILY ENTRY'!$F$7:$F$1203,'DAILY ENTRY'!$A$7:$A$1203,$A291,'DAILY ENTRY'!$B$7:$B$1203,$B291,'DAILY ENTRY'!$D$7:$D$1203,"Connection request sent"))</f>
        <v/>
      </c>
      <c r="F291" s="107" t="str">
        <f aca="false">IF($A291="","",SUMIFS('DAILY ENTRY'!$F$7:$F$1203,'DAILY ENTRY'!$A$7:$A$1203,$A291,'DAILY ENTRY'!$B$7:$B$1203,$B291,'DAILY ENTRY'!$D$7:$D$1203,"First message sent"))</f>
        <v/>
      </c>
      <c r="G291" s="107" t="str">
        <f aca="false">IF($A291="","",SUMIFS('DAILY ENTRY'!$F$7:$F$1203,'DAILY ENTRY'!$A$7:$A$1203,$A291,'DAILY ENTRY'!$B$7:$B$1203,$B291,'DAILY ENTRY'!$D$7:$D$1203,"Follow-up message sent"))</f>
        <v/>
      </c>
      <c r="H291" s="107" t="str">
        <f aca="false">IF($A291="","",SUMIFS('DAILY ENTRY'!$F$7:$F$1203,'DAILY ENTRY'!$A$7:$A$1203,$A291,'DAILY ENTRY'!$B$7:$B$1203,$B291,'DAILY ENTRY'!$D$7:$D$1203,"Post / content published"))</f>
        <v/>
      </c>
      <c r="I291" s="107" t="str">
        <f aca="false">IF($A291="","",SUMIFS('DAILY ENTRY'!$F$7:$F$1203,'DAILY ENTRY'!$A$7:$A$1203,$A291,'DAILY ENTRY'!$B$7:$B$1203,$B291,'DAILY ENTRY'!$D$7:$D$1203,"Community answer or comment"))</f>
        <v/>
      </c>
      <c r="J291" s="107" t="str">
        <f aca="false">IF($A291="","",SUMIFS('DAILY ENTRY'!$F$7:$F$1203,'DAILY ENTRY'!$A$7:$A$1203,$A291,'DAILY ENTRY'!$B$7:$B$1203,$B291,'DAILY ENTRY'!$D$7:$D$1203,"Partnership / PR contact"))</f>
        <v/>
      </c>
      <c r="K291" s="107" t="str">
        <f aca="false">IF($A291="","",SUMIFS('DAILY ENTRY'!$F$7:$F$1203,'DAILY ENTRY'!$A$7:$A$1203,$A291,'DAILY ENTRY'!$B$7:$B$1203,$B291,'DAILY ENTRY'!$D$7:$D$1203,"Engagement (commented on someone else)"))</f>
        <v/>
      </c>
      <c r="L291" s="107" t="str">
        <f aca="false">IF($A291="","",SUMIFS('DAILY ENTRY'!$F$7:$F$1203,'DAILY ENTRY'!$A$7:$A$1203,$A291,'DAILY ENTRY'!$B$7:$B$1203,$B291,'DAILY ENTRY'!$D$7:$D$1203,"Account created / profile completed"))</f>
        <v/>
      </c>
      <c r="M291" s="108" t="str">
        <f aca="false">IF($A291="","",IFERROR(INDEX('DAILY ENTRY'!$E$7:$E$1203,MATCH(1,INDEX(('DAILY ENTRY'!$A$7:$A$1203=$A291)*('DAILY ENTRY'!$B$7:$B$1203=$B291)*('DAILY ENTRY'!$I$7:$I$1203="Meeting booked"),0),0)),IFERROR(INDEX('DAILY ENTRY'!$E$7:$E$1203,MATCH(1,INDEX(('DAILY ENTRY'!$A$7:$A$1203=$A291)*('DAILY ENTRY'!$B$7:$B$1203=$B291)*('DAILY ENTRY'!$I$7:$I$1203="Positive reply"),0),0)),"")))</f>
        <v/>
      </c>
      <c r="N291" s="108" t="str">
        <f aca="false">IF($A291="","",IFERROR(INDEX('DAILY ENTRY'!$J$7:$J$1203,MATCH(1,INDEX(('DAILY ENTRY'!$A$7:$A$1203=$A291)*('DAILY ENTRY'!$B$7:$B$1203=$B291)*('DAILY ENTRY'!$I$7:$I$1203="Blocked"),0),0)),""))</f>
        <v/>
      </c>
      <c r="O291" s="65" t="str">
        <f aca="false">IF($A291="","",(D291&gt;='START HERE'!$B$25)+(E291&gt;='START HERE'!$B$26)+(F291&gt;='START HERE'!$B$27)+(G291&gt;='START HERE'!$B$28)+(H291&gt;='START HERE'!$B$29)+(I291&gt;='START HERE'!$B$30)+(J291&gt;='START HERE'!$B$31)+(K291&gt;='START HERE'!$B$32))</f>
        <v/>
      </c>
      <c r="P291" s="46" t="str">
        <f aca="false">IF($A291="","",IF(O291&gt;=7,"Full day",IF(O291&gt;=5,"Most targets met",IF(O291&gt;=3,"Half day","Below plan - explain in the blocker column"))))</f>
        <v/>
      </c>
    </row>
    <row r="292" customFormat="false" ht="24" hidden="false" customHeight="true" outlineLevel="0" collapsed="false">
      <c r="A292" s="36"/>
      <c r="B292" s="37"/>
      <c r="C292" s="107" t="str">
        <f aca="false">IF($A292="","",ROUND(SUMIFS('DAILY ENTRY'!$G$7:$G$1203,'DAILY ENTRY'!$A$7:$A$1203,$A292,'DAILY ENTRY'!$B$7:$B$1203,$B292)/60,1))</f>
        <v/>
      </c>
      <c r="D292" s="107" t="str">
        <f aca="false">IF($A292="","",SUMIFS('DAILY ENTRY'!$F$7:$F$1203,'DAILY ENTRY'!$A$7:$A$1203,$A292,'DAILY ENTRY'!$B$7:$B$1203,$B292,'DAILY ENTRY'!$D$7:$D$1203,"Lead researched (Sales Navigator)"))</f>
        <v/>
      </c>
      <c r="E292" s="107" t="str">
        <f aca="false">IF($A292="","",SUMIFS('DAILY ENTRY'!$F$7:$F$1203,'DAILY ENTRY'!$A$7:$A$1203,$A292,'DAILY ENTRY'!$B$7:$B$1203,$B292,'DAILY ENTRY'!$D$7:$D$1203,"Connection request sent"))</f>
        <v/>
      </c>
      <c r="F292" s="107" t="str">
        <f aca="false">IF($A292="","",SUMIFS('DAILY ENTRY'!$F$7:$F$1203,'DAILY ENTRY'!$A$7:$A$1203,$A292,'DAILY ENTRY'!$B$7:$B$1203,$B292,'DAILY ENTRY'!$D$7:$D$1203,"First message sent"))</f>
        <v/>
      </c>
      <c r="G292" s="107" t="str">
        <f aca="false">IF($A292="","",SUMIFS('DAILY ENTRY'!$F$7:$F$1203,'DAILY ENTRY'!$A$7:$A$1203,$A292,'DAILY ENTRY'!$B$7:$B$1203,$B292,'DAILY ENTRY'!$D$7:$D$1203,"Follow-up message sent"))</f>
        <v/>
      </c>
      <c r="H292" s="107" t="str">
        <f aca="false">IF($A292="","",SUMIFS('DAILY ENTRY'!$F$7:$F$1203,'DAILY ENTRY'!$A$7:$A$1203,$A292,'DAILY ENTRY'!$B$7:$B$1203,$B292,'DAILY ENTRY'!$D$7:$D$1203,"Post / content published"))</f>
        <v/>
      </c>
      <c r="I292" s="107" t="str">
        <f aca="false">IF($A292="","",SUMIFS('DAILY ENTRY'!$F$7:$F$1203,'DAILY ENTRY'!$A$7:$A$1203,$A292,'DAILY ENTRY'!$B$7:$B$1203,$B292,'DAILY ENTRY'!$D$7:$D$1203,"Community answer or comment"))</f>
        <v/>
      </c>
      <c r="J292" s="107" t="str">
        <f aca="false">IF($A292="","",SUMIFS('DAILY ENTRY'!$F$7:$F$1203,'DAILY ENTRY'!$A$7:$A$1203,$A292,'DAILY ENTRY'!$B$7:$B$1203,$B292,'DAILY ENTRY'!$D$7:$D$1203,"Partnership / PR contact"))</f>
        <v/>
      </c>
      <c r="K292" s="107" t="str">
        <f aca="false">IF($A292="","",SUMIFS('DAILY ENTRY'!$F$7:$F$1203,'DAILY ENTRY'!$A$7:$A$1203,$A292,'DAILY ENTRY'!$B$7:$B$1203,$B292,'DAILY ENTRY'!$D$7:$D$1203,"Engagement (commented on someone else)"))</f>
        <v/>
      </c>
      <c r="L292" s="107" t="str">
        <f aca="false">IF($A292="","",SUMIFS('DAILY ENTRY'!$F$7:$F$1203,'DAILY ENTRY'!$A$7:$A$1203,$A292,'DAILY ENTRY'!$B$7:$B$1203,$B292,'DAILY ENTRY'!$D$7:$D$1203,"Account created / profile completed"))</f>
        <v/>
      </c>
      <c r="M292" s="108" t="str">
        <f aca="false">IF($A292="","",IFERROR(INDEX('DAILY ENTRY'!$E$7:$E$1203,MATCH(1,INDEX(('DAILY ENTRY'!$A$7:$A$1203=$A292)*('DAILY ENTRY'!$B$7:$B$1203=$B292)*('DAILY ENTRY'!$I$7:$I$1203="Meeting booked"),0),0)),IFERROR(INDEX('DAILY ENTRY'!$E$7:$E$1203,MATCH(1,INDEX(('DAILY ENTRY'!$A$7:$A$1203=$A292)*('DAILY ENTRY'!$B$7:$B$1203=$B292)*('DAILY ENTRY'!$I$7:$I$1203="Positive reply"),0),0)),"")))</f>
        <v/>
      </c>
      <c r="N292" s="108" t="str">
        <f aca="false">IF($A292="","",IFERROR(INDEX('DAILY ENTRY'!$J$7:$J$1203,MATCH(1,INDEX(('DAILY ENTRY'!$A$7:$A$1203=$A292)*('DAILY ENTRY'!$B$7:$B$1203=$B292)*('DAILY ENTRY'!$I$7:$I$1203="Blocked"),0),0)),""))</f>
        <v/>
      </c>
      <c r="O292" s="65" t="str">
        <f aca="false">IF($A292="","",(D292&gt;='START HERE'!$B$25)+(E292&gt;='START HERE'!$B$26)+(F292&gt;='START HERE'!$B$27)+(G292&gt;='START HERE'!$B$28)+(H292&gt;='START HERE'!$B$29)+(I292&gt;='START HERE'!$B$30)+(J292&gt;='START HERE'!$B$31)+(K292&gt;='START HERE'!$B$32))</f>
        <v/>
      </c>
      <c r="P292" s="46" t="str">
        <f aca="false">IF($A292="","",IF(O292&gt;=7,"Full day",IF(O292&gt;=5,"Most targets met",IF(O292&gt;=3,"Half day","Below plan - explain in the blocker column"))))</f>
        <v/>
      </c>
    </row>
    <row r="293" customFormat="false" ht="24" hidden="false" customHeight="true" outlineLevel="0" collapsed="false">
      <c r="A293" s="36"/>
      <c r="B293" s="37"/>
      <c r="C293" s="107" t="str">
        <f aca="false">IF($A293="","",ROUND(SUMIFS('DAILY ENTRY'!$G$7:$G$1203,'DAILY ENTRY'!$A$7:$A$1203,$A293,'DAILY ENTRY'!$B$7:$B$1203,$B293)/60,1))</f>
        <v/>
      </c>
      <c r="D293" s="107" t="str">
        <f aca="false">IF($A293="","",SUMIFS('DAILY ENTRY'!$F$7:$F$1203,'DAILY ENTRY'!$A$7:$A$1203,$A293,'DAILY ENTRY'!$B$7:$B$1203,$B293,'DAILY ENTRY'!$D$7:$D$1203,"Lead researched (Sales Navigator)"))</f>
        <v/>
      </c>
      <c r="E293" s="107" t="str">
        <f aca="false">IF($A293="","",SUMIFS('DAILY ENTRY'!$F$7:$F$1203,'DAILY ENTRY'!$A$7:$A$1203,$A293,'DAILY ENTRY'!$B$7:$B$1203,$B293,'DAILY ENTRY'!$D$7:$D$1203,"Connection request sent"))</f>
        <v/>
      </c>
      <c r="F293" s="107" t="str">
        <f aca="false">IF($A293="","",SUMIFS('DAILY ENTRY'!$F$7:$F$1203,'DAILY ENTRY'!$A$7:$A$1203,$A293,'DAILY ENTRY'!$B$7:$B$1203,$B293,'DAILY ENTRY'!$D$7:$D$1203,"First message sent"))</f>
        <v/>
      </c>
      <c r="G293" s="107" t="str">
        <f aca="false">IF($A293="","",SUMIFS('DAILY ENTRY'!$F$7:$F$1203,'DAILY ENTRY'!$A$7:$A$1203,$A293,'DAILY ENTRY'!$B$7:$B$1203,$B293,'DAILY ENTRY'!$D$7:$D$1203,"Follow-up message sent"))</f>
        <v/>
      </c>
      <c r="H293" s="107" t="str">
        <f aca="false">IF($A293="","",SUMIFS('DAILY ENTRY'!$F$7:$F$1203,'DAILY ENTRY'!$A$7:$A$1203,$A293,'DAILY ENTRY'!$B$7:$B$1203,$B293,'DAILY ENTRY'!$D$7:$D$1203,"Post / content published"))</f>
        <v/>
      </c>
      <c r="I293" s="107" t="str">
        <f aca="false">IF($A293="","",SUMIFS('DAILY ENTRY'!$F$7:$F$1203,'DAILY ENTRY'!$A$7:$A$1203,$A293,'DAILY ENTRY'!$B$7:$B$1203,$B293,'DAILY ENTRY'!$D$7:$D$1203,"Community answer or comment"))</f>
        <v/>
      </c>
      <c r="J293" s="107" t="str">
        <f aca="false">IF($A293="","",SUMIFS('DAILY ENTRY'!$F$7:$F$1203,'DAILY ENTRY'!$A$7:$A$1203,$A293,'DAILY ENTRY'!$B$7:$B$1203,$B293,'DAILY ENTRY'!$D$7:$D$1203,"Partnership / PR contact"))</f>
        <v/>
      </c>
      <c r="K293" s="107" t="str">
        <f aca="false">IF($A293="","",SUMIFS('DAILY ENTRY'!$F$7:$F$1203,'DAILY ENTRY'!$A$7:$A$1203,$A293,'DAILY ENTRY'!$B$7:$B$1203,$B293,'DAILY ENTRY'!$D$7:$D$1203,"Engagement (commented on someone else)"))</f>
        <v/>
      </c>
      <c r="L293" s="107" t="str">
        <f aca="false">IF($A293="","",SUMIFS('DAILY ENTRY'!$F$7:$F$1203,'DAILY ENTRY'!$A$7:$A$1203,$A293,'DAILY ENTRY'!$B$7:$B$1203,$B293,'DAILY ENTRY'!$D$7:$D$1203,"Account created / profile completed"))</f>
        <v/>
      </c>
      <c r="M293" s="108" t="str">
        <f aca="false">IF($A293="","",IFERROR(INDEX('DAILY ENTRY'!$E$7:$E$1203,MATCH(1,INDEX(('DAILY ENTRY'!$A$7:$A$1203=$A293)*('DAILY ENTRY'!$B$7:$B$1203=$B293)*('DAILY ENTRY'!$I$7:$I$1203="Meeting booked"),0),0)),IFERROR(INDEX('DAILY ENTRY'!$E$7:$E$1203,MATCH(1,INDEX(('DAILY ENTRY'!$A$7:$A$1203=$A293)*('DAILY ENTRY'!$B$7:$B$1203=$B293)*('DAILY ENTRY'!$I$7:$I$1203="Positive reply"),0),0)),"")))</f>
        <v/>
      </c>
      <c r="N293" s="108" t="str">
        <f aca="false">IF($A293="","",IFERROR(INDEX('DAILY ENTRY'!$J$7:$J$1203,MATCH(1,INDEX(('DAILY ENTRY'!$A$7:$A$1203=$A293)*('DAILY ENTRY'!$B$7:$B$1203=$B293)*('DAILY ENTRY'!$I$7:$I$1203="Blocked"),0),0)),""))</f>
        <v/>
      </c>
      <c r="O293" s="65" t="str">
        <f aca="false">IF($A293="","",(D293&gt;='START HERE'!$B$25)+(E293&gt;='START HERE'!$B$26)+(F293&gt;='START HERE'!$B$27)+(G293&gt;='START HERE'!$B$28)+(H293&gt;='START HERE'!$B$29)+(I293&gt;='START HERE'!$B$30)+(J293&gt;='START HERE'!$B$31)+(K293&gt;='START HERE'!$B$32))</f>
        <v/>
      </c>
      <c r="P293" s="46" t="str">
        <f aca="false">IF($A293="","",IF(O293&gt;=7,"Full day",IF(O293&gt;=5,"Most targets met",IF(O293&gt;=3,"Half day","Below plan - explain in the blocker column"))))</f>
        <v/>
      </c>
    </row>
    <row r="294" customFormat="false" ht="24" hidden="false" customHeight="true" outlineLevel="0" collapsed="false">
      <c r="A294" s="36"/>
      <c r="B294" s="37"/>
      <c r="C294" s="107" t="str">
        <f aca="false">IF($A294="","",ROUND(SUMIFS('DAILY ENTRY'!$G$7:$G$1203,'DAILY ENTRY'!$A$7:$A$1203,$A294,'DAILY ENTRY'!$B$7:$B$1203,$B294)/60,1))</f>
        <v/>
      </c>
      <c r="D294" s="107" t="str">
        <f aca="false">IF($A294="","",SUMIFS('DAILY ENTRY'!$F$7:$F$1203,'DAILY ENTRY'!$A$7:$A$1203,$A294,'DAILY ENTRY'!$B$7:$B$1203,$B294,'DAILY ENTRY'!$D$7:$D$1203,"Lead researched (Sales Navigator)"))</f>
        <v/>
      </c>
      <c r="E294" s="107" t="str">
        <f aca="false">IF($A294="","",SUMIFS('DAILY ENTRY'!$F$7:$F$1203,'DAILY ENTRY'!$A$7:$A$1203,$A294,'DAILY ENTRY'!$B$7:$B$1203,$B294,'DAILY ENTRY'!$D$7:$D$1203,"Connection request sent"))</f>
        <v/>
      </c>
      <c r="F294" s="107" t="str">
        <f aca="false">IF($A294="","",SUMIFS('DAILY ENTRY'!$F$7:$F$1203,'DAILY ENTRY'!$A$7:$A$1203,$A294,'DAILY ENTRY'!$B$7:$B$1203,$B294,'DAILY ENTRY'!$D$7:$D$1203,"First message sent"))</f>
        <v/>
      </c>
      <c r="G294" s="107" t="str">
        <f aca="false">IF($A294="","",SUMIFS('DAILY ENTRY'!$F$7:$F$1203,'DAILY ENTRY'!$A$7:$A$1203,$A294,'DAILY ENTRY'!$B$7:$B$1203,$B294,'DAILY ENTRY'!$D$7:$D$1203,"Follow-up message sent"))</f>
        <v/>
      </c>
      <c r="H294" s="107" t="str">
        <f aca="false">IF($A294="","",SUMIFS('DAILY ENTRY'!$F$7:$F$1203,'DAILY ENTRY'!$A$7:$A$1203,$A294,'DAILY ENTRY'!$B$7:$B$1203,$B294,'DAILY ENTRY'!$D$7:$D$1203,"Post / content published"))</f>
        <v/>
      </c>
      <c r="I294" s="107" t="str">
        <f aca="false">IF($A294="","",SUMIFS('DAILY ENTRY'!$F$7:$F$1203,'DAILY ENTRY'!$A$7:$A$1203,$A294,'DAILY ENTRY'!$B$7:$B$1203,$B294,'DAILY ENTRY'!$D$7:$D$1203,"Community answer or comment"))</f>
        <v/>
      </c>
      <c r="J294" s="107" t="str">
        <f aca="false">IF($A294="","",SUMIFS('DAILY ENTRY'!$F$7:$F$1203,'DAILY ENTRY'!$A$7:$A$1203,$A294,'DAILY ENTRY'!$B$7:$B$1203,$B294,'DAILY ENTRY'!$D$7:$D$1203,"Partnership / PR contact"))</f>
        <v/>
      </c>
      <c r="K294" s="107" t="str">
        <f aca="false">IF($A294="","",SUMIFS('DAILY ENTRY'!$F$7:$F$1203,'DAILY ENTRY'!$A$7:$A$1203,$A294,'DAILY ENTRY'!$B$7:$B$1203,$B294,'DAILY ENTRY'!$D$7:$D$1203,"Engagement (commented on someone else)"))</f>
        <v/>
      </c>
      <c r="L294" s="107" t="str">
        <f aca="false">IF($A294="","",SUMIFS('DAILY ENTRY'!$F$7:$F$1203,'DAILY ENTRY'!$A$7:$A$1203,$A294,'DAILY ENTRY'!$B$7:$B$1203,$B294,'DAILY ENTRY'!$D$7:$D$1203,"Account created / profile completed"))</f>
        <v/>
      </c>
      <c r="M294" s="108" t="str">
        <f aca="false">IF($A294="","",IFERROR(INDEX('DAILY ENTRY'!$E$7:$E$1203,MATCH(1,INDEX(('DAILY ENTRY'!$A$7:$A$1203=$A294)*('DAILY ENTRY'!$B$7:$B$1203=$B294)*('DAILY ENTRY'!$I$7:$I$1203="Meeting booked"),0),0)),IFERROR(INDEX('DAILY ENTRY'!$E$7:$E$1203,MATCH(1,INDEX(('DAILY ENTRY'!$A$7:$A$1203=$A294)*('DAILY ENTRY'!$B$7:$B$1203=$B294)*('DAILY ENTRY'!$I$7:$I$1203="Positive reply"),0),0)),"")))</f>
        <v/>
      </c>
      <c r="N294" s="108" t="str">
        <f aca="false">IF($A294="","",IFERROR(INDEX('DAILY ENTRY'!$J$7:$J$1203,MATCH(1,INDEX(('DAILY ENTRY'!$A$7:$A$1203=$A294)*('DAILY ENTRY'!$B$7:$B$1203=$B294)*('DAILY ENTRY'!$I$7:$I$1203="Blocked"),0),0)),""))</f>
        <v/>
      </c>
      <c r="O294" s="65" t="str">
        <f aca="false">IF($A294="","",(D294&gt;='START HERE'!$B$25)+(E294&gt;='START HERE'!$B$26)+(F294&gt;='START HERE'!$B$27)+(G294&gt;='START HERE'!$B$28)+(H294&gt;='START HERE'!$B$29)+(I294&gt;='START HERE'!$B$30)+(J294&gt;='START HERE'!$B$31)+(K294&gt;='START HERE'!$B$32))</f>
        <v/>
      </c>
      <c r="P294" s="46" t="str">
        <f aca="false">IF($A294="","",IF(O294&gt;=7,"Full day",IF(O294&gt;=5,"Most targets met",IF(O294&gt;=3,"Half day","Below plan - explain in the blocker column"))))</f>
        <v/>
      </c>
    </row>
    <row r="295" customFormat="false" ht="24" hidden="false" customHeight="true" outlineLevel="0" collapsed="false">
      <c r="A295" s="36"/>
      <c r="B295" s="37"/>
      <c r="C295" s="107" t="str">
        <f aca="false">IF($A295="","",ROUND(SUMIFS('DAILY ENTRY'!$G$7:$G$1203,'DAILY ENTRY'!$A$7:$A$1203,$A295,'DAILY ENTRY'!$B$7:$B$1203,$B295)/60,1))</f>
        <v/>
      </c>
      <c r="D295" s="107" t="str">
        <f aca="false">IF($A295="","",SUMIFS('DAILY ENTRY'!$F$7:$F$1203,'DAILY ENTRY'!$A$7:$A$1203,$A295,'DAILY ENTRY'!$B$7:$B$1203,$B295,'DAILY ENTRY'!$D$7:$D$1203,"Lead researched (Sales Navigator)"))</f>
        <v/>
      </c>
      <c r="E295" s="107" t="str">
        <f aca="false">IF($A295="","",SUMIFS('DAILY ENTRY'!$F$7:$F$1203,'DAILY ENTRY'!$A$7:$A$1203,$A295,'DAILY ENTRY'!$B$7:$B$1203,$B295,'DAILY ENTRY'!$D$7:$D$1203,"Connection request sent"))</f>
        <v/>
      </c>
      <c r="F295" s="107" t="str">
        <f aca="false">IF($A295="","",SUMIFS('DAILY ENTRY'!$F$7:$F$1203,'DAILY ENTRY'!$A$7:$A$1203,$A295,'DAILY ENTRY'!$B$7:$B$1203,$B295,'DAILY ENTRY'!$D$7:$D$1203,"First message sent"))</f>
        <v/>
      </c>
      <c r="G295" s="107" t="str">
        <f aca="false">IF($A295="","",SUMIFS('DAILY ENTRY'!$F$7:$F$1203,'DAILY ENTRY'!$A$7:$A$1203,$A295,'DAILY ENTRY'!$B$7:$B$1203,$B295,'DAILY ENTRY'!$D$7:$D$1203,"Follow-up message sent"))</f>
        <v/>
      </c>
      <c r="H295" s="107" t="str">
        <f aca="false">IF($A295="","",SUMIFS('DAILY ENTRY'!$F$7:$F$1203,'DAILY ENTRY'!$A$7:$A$1203,$A295,'DAILY ENTRY'!$B$7:$B$1203,$B295,'DAILY ENTRY'!$D$7:$D$1203,"Post / content published"))</f>
        <v/>
      </c>
      <c r="I295" s="107" t="str">
        <f aca="false">IF($A295="","",SUMIFS('DAILY ENTRY'!$F$7:$F$1203,'DAILY ENTRY'!$A$7:$A$1203,$A295,'DAILY ENTRY'!$B$7:$B$1203,$B295,'DAILY ENTRY'!$D$7:$D$1203,"Community answer or comment"))</f>
        <v/>
      </c>
      <c r="J295" s="107" t="str">
        <f aca="false">IF($A295="","",SUMIFS('DAILY ENTRY'!$F$7:$F$1203,'DAILY ENTRY'!$A$7:$A$1203,$A295,'DAILY ENTRY'!$B$7:$B$1203,$B295,'DAILY ENTRY'!$D$7:$D$1203,"Partnership / PR contact"))</f>
        <v/>
      </c>
      <c r="K295" s="107" t="str">
        <f aca="false">IF($A295="","",SUMIFS('DAILY ENTRY'!$F$7:$F$1203,'DAILY ENTRY'!$A$7:$A$1203,$A295,'DAILY ENTRY'!$B$7:$B$1203,$B295,'DAILY ENTRY'!$D$7:$D$1203,"Engagement (commented on someone else)"))</f>
        <v/>
      </c>
      <c r="L295" s="107" t="str">
        <f aca="false">IF($A295="","",SUMIFS('DAILY ENTRY'!$F$7:$F$1203,'DAILY ENTRY'!$A$7:$A$1203,$A295,'DAILY ENTRY'!$B$7:$B$1203,$B295,'DAILY ENTRY'!$D$7:$D$1203,"Account created / profile completed"))</f>
        <v/>
      </c>
      <c r="M295" s="108" t="str">
        <f aca="false">IF($A295="","",IFERROR(INDEX('DAILY ENTRY'!$E$7:$E$1203,MATCH(1,INDEX(('DAILY ENTRY'!$A$7:$A$1203=$A295)*('DAILY ENTRY'!$B$7:$B$1203=$B295)*('DAILY ENTRY'!$I$7:$I$1203="Meeting booked"),0),0)),IFERROR(INDEX('DAILY ENTRY'!$E$7:$E$1203,MATCH(1,INDEX(('DAILY ENTRY'!$A$7:$A$1203=$A295)*('DAILY ENTRY'!$B$7:$B$1203=$B295)*('DAILY ENTRY'!$I$7:$I$1203="Positive reply"),0),0)),"")))</f>
        <v/>
      </c>
      <c r="N295" s="108" t="str">
        <f aca="false">IF($A295="","",IFERROR(INDEX('DAILY ENTRY'!$J$7:$J$1203,MATCH(1,INDEX(('DAILY ENTRY'!$A$7:$A$1203=$A295)*('DAILY ENTRY'!$B$7:$B$1203=$B295)*('DAILY ENTRY'!$I$7:$I$1203="Blocked"),0),0)),""))</f>
        <v/>
      </c>
      <c r="O295" s="65" t="str">
        <f aca="false">IF($A295="","",(D295&gt;='START HERE'!$B$25)+(E295&gt;='START HERE'!$B$26)+(F295&gt;='START HERE'!$B$27)+(G295&gt;='START HERE'!$B$28)+(H295&gt;='START HERE'!$B$29)+(I295&gt;='START HERE'!$B$30)+(J295&gt;='START HERE'!$B$31)+(K295&gt;='START HERE'!$B$32))</f>
        <v/>
      </c>
      <c r="P295" s="46" t="str">
        <f aca="false">IF($A295="","",IF(O295&gt;=7,"Full day",IF(O295&gt;=5,"Most targets met",IF(O295&gt;=3,"Half day","Below plan - explain in the blocker column"))))</f>
        <v/>
      </c>
    </row>
    <row r="296" customFormat="false" ht="24" hidden="false" customHeight="true" outlineLevel="0" collapsed="false">
      <c r="A296" s="36"/>
      <c r="B296" s="37"/>
      <c r="C296" s="107" t="str">
        <f aca="false">IF($A296="","",ROUND(SUMIFS('DAILY ENTRY'!$G$7:$G$1203,'DAILY ENTRY'!$A$7:$A$1203,$A296,'DAILY ENTRY'!$B$7:$B$1203,$B296)/60,1))</f>
        <v/>
      </c>
      <c r="D296" s="107" t="str">
        <f aca="false">IF($A296="","",SUMIFS('DAILY ENTRY'!$F$7:$F$1203,'DAILY ENTRY'!$A$7:$A$1203,$A296,'DAILY ENTRY'!$B$7:$B$1203,$B296,'DAILY ENTRY'!$D$7:$D$1203,"Lead researched (Sales Navigator)"))</f>
        <v/>
      </c>
      <c r="E296" s="107" t="str">
        <f aca="false">IF($A296="","",SUMIFS('DAILY ENTRY'!$F$7:$F$1203,'DAILY ENTRY'!$A$7:$A$1203,$A296,'DAILY ENTRY'!$B$7:$B$1203,$B296,'DAILY ENTRY'!$D$7:$D$1203,"Connection request sent"))</f>
        <v/>
      </c>
      <c r="F296" s="107" t="str">
        <f aca="false">IF($A296="","",SUMIFS('DAILY ENTRY'!$F$7:$F$1203,'DAILY ENTRY'!$A$7:$A$1203,$A296,'DAILY ENTRY'!$B$7:$B$1203,$B296,'DAILY ENTRY'!$D$7:$D$1203,"First message sent"))</f>
        <v/>
      </c>
      <c r="G296" s="107" t="str">
        <f aca="false">IF($A296="","",SUMIFS('DAILY ENTRY'!$F$7:$F$1203,'DAILY ENTRY'!$A$7:$A$1203,$A296,'DAILY ENTRY'!$B$7:$B$1203,$B296,'DAILY ENTRY'!$D$7:$D$1203,"Follow-up message sent"))</f>
        <v/>
      </c>
      <c r="H296" s="107" t="str">
        <f aca="false">IF($A296="","",SUMIFS('DAILY ENTRY'!$F$7:$F$1203,'DAILY ENTRY'!$A$7:$A$1203,$A296,'DAILY ENTRY'!$B$7:$B$1203,$B296,'DAILY ENTRY'!$D$7:$D$1203,"Post / content published"))</f>
        <v/>
      </c>
      <c r="I296" s="107" t="str">
        <f aca="false">IF($A296="","",SUMIFS('DAILY ENTRY'!$F$7:$F$1203,'DAILY ENTRY'!$A$7:$A$1203,$A296,'DAILY ENTRY'!$B$7:$B$1203,$B296,'DAILY ENTRY'!$D$7:$D$1203,"Community answer or comment"))</f>
        <v/>
      </c>
      <c r="J296" s="107" t="str">
        <f aca="false">IF($A296="","",SUMIFS('DAILY ENTRY'!$F$7:$F$1203,'DAILY ENTRY'!$A$7:$A$1203,$A296,'DAILY ENTRY'!$B$7:$B$1203,$B296,'DAILY ENTRY'!$D$7:$D$1203,"Partnership / PR contact"))</f>
        <v/>
      </c>
      <c r="K296" s="107" t="str">
        <f aca="false">IF($A296="","",SUMIFS('DAILY ENTRY'!$F$7:$F$1203,'DAILY ENTRY'!$A$7:$A$1203,$A296,'DAILY ENTRY'!$B$7:$B$1203,$B296,'DAILY ENTRY'!$D$7:$D$1203,"Engagement (commented on someone else)"))</f>
        <v/>
      </c>
      <c r="L296" s="107" t="str">
        <f aca="false">IF($A296="","",SUMIFS('DAILY ENTRY'!$F$7:$F$1203,'DAILY ENTRY'!$A$7:$A$1203,$A296,'DAILY ENTRY'!$B$7:$B$1203,$B296,'DAILY ENTRY'!$D$7:$D$1203,"Account created / profile completed"))</f>
        <v/>
      </c>
      <c r="M296" s="108" t="str">
        <f aca="false">IF($A296="","",IFERROR(INDEX('DAILY ENTRY'!$E$7:$E$1203,MATCH(1,INDEX(('DAILY ENTRY'!$A$7:$A$1203=$A296)*('DAILY ENTRY'!$B$7:$B$1203=$B296)*('DAILY ENTRY'!$I$7:$I$1203="Meeting booked"),0),0)),IFERROR(INDEX('DAILY ENTRY'!$E$7:$E$1203,MATCH(1,INDEX(('DAILY ENTRY'!$A$7:$A$1203=$A296)*('DAILY ENTRY'!$B$7:$B$1203=$B296)*('DAILY ENTRY'!$I$7:$I$1203="Positive reply"),0),0)),"")))</f>
        <v/>
      </c>
      <c r="N296" s="108" t="str">
        <f aca="false">IF($A296="","",IFERROR(INDEX('DAILY ENTRY'!$J$7:$J$1203,MATCH(1,INDEX(('DAILY ENTRY'!$A$7:$A$1203=$A296)*('DAILY ENTRY'!$B$7:$B$1203=$B296)*('DAILY ENTRY'!$I$7:$I$1203="Blocked"),0),0)),""))</f>
        <v/>
      </c>
      <c r="O296" s="65" t="str">
        <f aca="false">IF($A296="","",(D296&gt;='START HERE'!$B$25)+(E296&gt;='START HERE'!$B$26)+(F296&gt;='START HERE'!$B$27)+(G296&gt;='START HERE'!$B$28)+(H296&gt;='START HERE'!$B$29)+(I296&gt;='START HERE'!$B$30)+(J296&gt;='START HERE'!$B$31)+(K296&gt;='START HERE'!$B$32))</f>
        <v/>
      </c>
      <c r="P296" s="46" t="str">
        <f aca="false">IF($A296="","",IF(O296&gt;=7,"Full day",IF(O296&gt;=5,"Most targets met",IF(O296&gt;=3,"Half day","Below plan - explain in the blocker column"))))</f>
        <v/>
      </c>
    </row>
    <row r="297" customFormat="false" ht="24" hidden="false" customHeight="true" outlineLevel="0" collapsed="false">
      <c r="A297" s="36"/>
      <c r="B297" s="37"/>
      <c r="C297" s="107" t="str">
        <f aca="false">IF($A297="","",ROUND(SUMIFS('DAILY ENTRY'!$G$7:$G$1203,'DAILY ENTRY'!$A$7:$A$1203,$A297,'DAILY ENTRY'!$B$7:$B$1203,$B297)/60,1))</f>
        <v/>
      </c>
      <c r="D297" s="107" t="str">
        <f aca="false">IF($A297="","",SUMIFS('DAILY ENTRY'!$F$7:$F$1203,'DAILY ENTRY'!$A$7:$A$1203,$A297,'DAILY ENTRY'!$B$7:$B$1203,$B297,'DAILY ENTRY'!$D$7:$D$1203,"Lead researched (Sales Navigator)"))</f>
        <v/>
      </c>
      <c r="E297" s="107" t="str">
        <f aca="false">IF($A297="","",SUMIFS('DAILY ENTRY'!$F$7:$F$1203,'DAILY ENTRY'!$A$7:$A$1203,$A297,'DAILY ENTRY'!$B$7:$B$1203,$B297,'DAILY ENTRY'!$D$7:$D$1203,"Connection request sent"))</f>
        <v/>
      </c>
      <c r="F297" s="107" t="str">
        <f aca="false">IF($A297="","",SUMIFS('DAILY ENTRY'!$F$7:$F$1203,'DAILY ENTRY'!$A$7:$A$1203,$A297,'DAILY ENTRY'!$B$7:$B$1203,$B297,'DAILY ENTRY'!$D$7:$D$1203,"First message sent"))</f>
        <v/>
      </c>
      <c r="G297" s="107" t="str">
        <f aca="false">IF($A297="","",SUMIFS('DAILY ENTRY'!$F$7:$F$1203,'DAILY ENTRY'!$A$7:$A$1203,$A297,'DAILY ENTRY'!$B$7:$B$1203,$B297,'DAILY ENTRY'!$D$7:$D$1203,"Follow-up message sent"))</f>
        <v/>
      </c>
      <c r="H297" s="107" t="str">
        <f aca="false">IF($A297="","",SUMIFS('DAILY ENTRY'!$F$7:$F$1203,'DAILY ENTRY'!$A$7:$A$1203,$A297,'DAILY ENTRY'!$B$7:$B$1203,$B297,'DAILY ENTRY'!$D$7:$D$1203,"Post / content published"))</f>
        <v/>
      </c>
      <c r="I297" s="107" t="str">
        <f aca="false">IF($A297="","",SUMIFS('DAILY ENTRY'!$F$7:$F$1203,'DAILY ENTRY'!$A$7:$A$1203,$A297,'DAILY ENTRY'!$B$7:$B$1203,$B297,'DAILY ENTRY'!$D$7:$D$1203,"Community answer or comment"))</f>
        <v/>
      </c>
      <c r="J297" s="107" t="str">
        <f aca="false">IF($A297="","",SUMIFS('DAILY ENTRY'!$F$7:$F$1203,'DAILY ENTRY'!$A$7:$A$1203,$A297,'DAILY ENTRY'!$B$7:$B$1203,$B297,'DAILY ENTRY'!$D$7:$D$1203,"Partnership / PR contact"))</f>
        <v/>
      </c>
      <c r="K297" s="107" t="str">
        <f aca="false">IF($A297="","",SUMIFS('DAILY ENTRY'!$F$7:$F$1203,'DAILY ENTRY'!$A$7:$A$1203,$A297,'DAILY ENTRY'!$B$7:$B$1203,$B297,'DAILY ENTRY'!$D$7:$D$1203,"Engagement (commented on someone else)"))</f>
        <v/>
      </c>
      <c r="L297" s="107" t="str">
        <f aca="false">IF($A297="","",SUMIFS('DAILY ENTRY'!$F$7:$F$1203,'DAILY ENTRY'!$A$7:$A$1203,$A297,'DAILY ENTRY'!$B$7:$B$1203,$B297,'DAILY ENTRY'!$D$7:$D$1203,"Account created / profile completed"))</f>
        <v/>
      </c>
      <c r="M297" s="108" t="str">
        <f aca="false">IF($A297="","",IFERROR(INDEX('DAILY ENTRY'!$E$7:$E$1203,MATCH(1,INDEX(('DAILY ENTRY'!$A$7:$A$1203=$A297)*('DAILY ENTRY'!$B$7:$B$1203=$B297)*('DAILY ENTRY'!$I$7:$I$1203="Meeting booked"),0),0)),IFERROR(INDEX('DAILY ENTRY'!$E$7:$E$1203,MATCH(1,INDEX(('DAILY ENTRY'!$A$7:$A$1203=$A297)*('DAILY ENTRY'!$B$7:$B$1203=$B297)*('DAILY ENTRY'!$I$7:$I$1203="Positive reply"),0),0)),"")))</f>
        <v/>
      </c>
      <c r="N297" s="108" t="str">
        <f aca="false">IF($A297="","",IFERROR(INDEX('DAILY ENTRY'!$J$7:$J$1203,MATCH(1,INDEX(('DAILY ENTRY'!$A$7:$A$1203=$A297)*('DAILY ENTRY'!$B$7:$B$1203=$B297)*('DAILY ENTRY'!$I$7:$I$1203="Blocked"),0),0)),""))</f>
        <v/>
      </c>
      <c r="O297" s="65" t="str">
        <f aca="false">IF($A297="","",(D297&gt;='START HERE'!$B$25)+(E297&gt;='START HERE'!$B$26)+(F297&gt;='START HERE'!$B$27)+(G297&gt;='START HERE'!$B$28)+(H297&gt;='START HERE'!$B$29)+(I297&gt;='START HERE'!$B$30)+(J297&gt;='START HERE'!$B$31)+(K297&gt;='START HERE'!$B$32))</f>
        <v/>
      </c>
      <c r="P297" s="46" t="str">
        <f aca="false">IF($A297="","",IF(O297&gt;=7,"Full day",IF(O297&gt;=5,"Most targets met",IF(O297&gt;=3,"Half day","Below plan - explain in the blocker column"))))</f>
        <v/>
      </c>
    </row>
    <row r="298" customFormat="false" ht="24" hidden="false" customHeight="true" outlineLevel="0" collapsed="false">
      <c r="A298" s="36"/>
      <c r="B298" s="37"/>
      <c r="C298" s="107" t="str">
        <f aca="false">IF($A298="","",ROUND(SUMIFS('DAILY ENTRY'!$G$7:$G$1203,'DAILY ENTRY'!$A$7:$A$1203,$A298,'DAILY ENTRY'!$B$7:$B$1203,$B298)/60,1))</f>
        <v/>
      </c>
      <c r="D298" s="107" t="str">
        <f aca="false">IF($A298="","",SUMIFS('DAILY ENTRY'!$F$7:$F$1203,'DAILY ENTRY'!$A$7:$A$1203,$A298,'DAILY ENTRY'!$B$7:$B$1203,$B298,'DAILY ENTRY'!$D$7:$D$1203,"Lead researched (Sales Navigator)"))</f>
        <v/>
      </c>
      <c r="E298" s="107" t="str">
        <f aca="false">IF($A298="","",SUMIFS('DAILY ENTRY'!$F$7:$F$1203,'DAILY ENTRY'!$A$7:$A$1203,$A298,'DAILY ENTRY'!$B$7:$B$1203,$B298,'DAILY ENTRY'!$D$7:$D$1203,"Connection request sent"))</f>
        <v/>
      </c>
      <c r="F298" s="107" t="str">
        <f aca="false">IF($A298="","",SUMIFS('DAILY ENTRY'!$F$7:$F$1203,'DAILY ENTRY'!$A$7:$A$1203,$A298,'DAILY ENTRY'!$B$7:$B$1203,$B298,'DAILY ENTRY'!$D$7:$D$1203,"First message sent"))</f>
        <v/>
      </c>
      <c r="G298" s="107" t="str">
        <f aca="false">IF($A298="","",SUMIFS('DAILY ENTRY'!$F$7:$F$1203,'DAILY ENTRY'!$A$7:$A$1203,$A298,'DAILY ENTRY'!$B$7:$B$1203,$B298,'DAILY ENTRY'!$D$7:$D$1203,"Follow-up message sent"))</f>
        <v/>
      </c>
      <c r="H298" s="107" t="str">
        <f aca="false">IF($A298="","",SUMIFS('DAILY ENTRY'!$F$7:$F$1203,'DAILY ENTRY'!$A$7:$A$1203,$A298,'DAILY ENTRY'!$B$7:$B$1203,$B298,'DAILY ENTRY'!$D$7:$D$1203,"Post / content published"))</f>
        <v/>
      </c>
      <c r="I298" s="107" t="str">
        <f aca="false">IF($A298="","",SUMIFS('DAILY ENTRY'!$F$7:$F$1203,'DAILY ENTRY'!$A$7:$A$1203,$A298,'DAILY ENTRY'!$B$7:$B$1203,$B298,'DAILY ENTRY'!$D$7:$D$1203,"Community answer or comment"))</f>
        <v/>
      </c>
      <c r="J298" s="107" t="str">
        <f aca="false">IF($A298="","",SUMIFS('DAILY ENTRY'!$F$7:$F$1203,'DAILY ENTRY'!$A$7:$A$1203,$A298,'DAILY ENTRY'!$B$7:$B$1203,$B298,'DAILY ENTRY'!$D$7:$D$1203,"Partnership / PR contact"))</f>
        <v/>
      </c>
      <c r="K298" s="107" t="str">
        <f aca="false">IF($A298="","",SUMIFS('DAILY ENTRY'!$F$7:$F$1203,'DAILY ENTRY'!$A$7:$A$1203,$A298,'DAILY ENTRY'!$B$7:$B$1203,$B298,'DAILY ENTRY'!$D$7:$D$1203,"Engagement (commented on someone else)"))</f>
        <v/>
      </c>
      <c r="L298" s="107" t="str">
        <f aca="false">IF($A298="","",SUMIFS('DAILY ENTRY'!$F$7:$F$1203,'DAILY ENTRY'!$A$7:$A$1203,$A298,'DAILY ENTRY'!$B$7:$B$1203,$B298,'DAILY ENTRY'!$D$7:$D$1203,"Account created / profile completed"))</f>
        <v/>
      </c>
      <c r="M298" s="108" t="str">
        <f aca="false">IF($A298="","",IFERROR(INDEX('DAILY ENTRY'!$E$7:$E$1203,MATCH(1,INDEX(('DAILY ENTRY'!$A$7:$A$1203=$A298)*('DAILY ENTRY'!$B$7:$B$1203=$B298)*('DAILY ENTRY'!$I$7:$I$1203="Meeting booked"),0),0)),IFERROR(INDEX('DAILY ENTRY'!$E$7:$E$1203,MATCH(1,INDEX(('DAILY ENTRY'!$A$7:$A$1203=$A298)*('DAILY ENTRY'!$B$7:$B$1203=$B298)*('DAILY ENTRY'!$I$7:$I$1203="Positive reply"),0),0)),"")))</f>
        <v/>
      </c>
      <c r="N298" s="108" t="str">
        <f aca="false">IF($A298="","",IFERROR(INDEX('DAILY ENTRY'!$J$7:$J$1203,MATCH(1,INDEX(('DAILY ENTRY'!$A$7:$A$1203=$A298)*('DAILY ENTRY'!$B$7:$B$1203=$B298)*('DAILY ENTRY'!$I$7:$I$1203="Blocked"),0),0)),""))</f>
        <v/>
      </c>
      <c r="O298" s="65" t="str">
        <f aca="false">IF($A298="","",(D298&gt;='START HERE'!$B$25)+(E298&gt;='START HERE'!$B$26)+(F298&gt;='START HERE'!$B$27)+(G298&gt;='START HERE'!$B$28)+(H298&gt;='START HERE'!$B$29)+(I298&gt;='START HERE'!$B$30)+(J298&gt;='START HERE'!$B$31)+(K298&gt;='START HERE'!$B$32))</f>
        <v/>
      </c>
      <c r="P298" s="46" t="str">
        <f aca="false">IF($A298="","",IF(O298&gt;=7,"Full day",IF(O298&gt;=5,"Most targets met",IF(O298&gt;=3,"Half day","Below plan - explain in the blocker column"))))</f>
        <v/>
      </c>
    </row>
    <row r="299" customFormat="false" ht="24" hidden="false" customHeight="true" outlineLevel="0" collapsed="false">
      <c r="A299" s="36"/>
      <c r="B299" s="37"/>
      <c r="C299" s="107" t="str">
        <f aca="false">IF($A299="","",ROUND(SUMIFS('DAILY ENTRY'!$G$7:$G$1203,'DAILY ENTRY'!$A$7:$A$1203,$A299,'DAILY ENTRY'!$B$7:$B$1203,$B299)/60,1))</f>
        <v/>
      </c>
      <c r="D299" s="107" t="str">
        <f aca="false">IF($A299="","",SUMIFS('DAILY ENTRY'!$F$7:$F$1203,'DAILY ENTRY'!$A$7:$A$1203,$A299,'DAILY ENTRY'!$B$7:$B$1203,$B299,'DAILY ENTRY'!$D$7:$D$1203,"Lead researched (Sales Navigator)"))</f>
        <v/>
      </c>
      <c r="E299" s="107" t="str">
        <f aca="false">IF($A299="","",SUMIFS('DAILY ENTRY'!$F$7:$F$1203,'DAILY ENTRY'!$A$7:$A$1203,$A299,'DAILY ENTRY'!$B$7:$B$1203,$B299,'DAILY ENTRY'!$D$7:$D$1203,"Connection request sent"))</f>
        <v/>
      </c>
      <c r="F299" s="107" t="str">
        <f aca="false">IF($A299="","",SUMIFS('DAILY ENTRY'!$F$7:$F$1203,'DAILY ENTRY'!$A$7:$A$1203,$A299,'DAILY ENTRY'!$B$7:$B$1203,$B299,'DAILY ENTRY'!$D$7:$D$1203,"First message sent"))</f>
        <v/>
      </c>
      <c r="G299" s="107" t="str">
        <f aca="false">IF($A299="","",SUMIFS('DAILY ENTRY'!$F$7:$F$1203,'DAILY ENTRY'!$A$7:$A$1203,$A299,'DAILY ENTRY'!$B$7:$B$1203,$B299,'DAILY ENTRY'!$D$7:$D$1203,"Follow-up message sent"))</f>
        <v/>
      </c>
      <c r="H299" s="107" t="str">
        <f aca="false">IF($A299="","",SUMIFS('DAILY ENTRY'!$F$7:$F$1203,'DAILY ENTRY'!$A$7:$A$1203,$A299,'DAILY ENTRY'!$B$7:$B$1203,$B299,'DAILY ENTRY'!$D$7:$D$1203,"Post / content published"))</f>
        <v/>
      </c>
      <c r="I299" s="107" t="str">
        <f aca="false">IF($A299="","",SUMIFS('DAILY ENTRY'!$F$7:$F$1203,'DAILY ENTRY'!$A$7:$A$1203,$A299,'DAILY ENTRY'!$B$7:$B$1203,$B299,'DAILY ENTRY'!$D$7:$D$1203,"Community answer or comment"))</f>
        <v/>
      </c>
      <c r="J299" s="107" t="str">
        <f aca="false">IF($A299="","",SUMIFS('DAILY ENTRY'!$F$7:$F$1203,'DAILY ENTRY'!$A$7:$A$1203,$A299,'DAILY ENTRY'!$B$7:$B$1203,$B299,'DAILY ENTRY'!$D$7:$D$1203,"Partnership / PR contact"))</f>
        <v/>
      </c>
      <c r="K299" s="107" t="str">
        <f aca="false">IF($A299="","",SUMIFS('DAILY ENTRY'!$F$7:$F$1203,'DAILY ENTRY'!$A$7:$A$1203,$A299,'DAILY ENTRY'!$B$7:$B$1203,$B299,'DAILY ENTRY'!$D$7:$D$1203,"Engagement (commented on someone else)"))</f>
        <v/>
      </c>
      <c r="L299" s="107" t="str">
        <f aca="false">IF($A299="","",SUMIFS('DAILY ENTRY'!$F$7:$F$1203,'DAILY ENTRY'!$A$7:$A$1203,$A299,'DAILY ENTRY'!$B$7:$B$1203,$B299,'DAILY ENTRY'!$D$7:$D$1203,"Account created / profile completed"))</f>
        <v/>
      </c>
      <c r="M299" s="108" t="str">
        <f aca="false">IF($A299="","",IFERROR(INDEX('DAILY ENTRY'!$E$7:$E$1203,MATCH(1,INDEX(('DAILY ENTRY'!$A$7:$A$1203=$A299)*('DAILY ENTRY'!$B$7:$B$1203=$B299)*('DAILY ENTRY'!$I$7:$I$1203="Meeting booked"),0),0)),IFERROR(INDEX('DAILY ENTRY'!$E$7:$E$1203,MATCH(1,INDEX(('DAILY ENTRY'!$A$7:$A$1203=$A299)*('DAILY ENTRY'!$B$7:$B$1203=$B299)*('DAILY ENTRY'!$I$7:$I$1203="Positive reply"),0),0)),"")))</f>
        <v/>
      </c>
      <c r="N299" s="108" t="str">
        <f aca="false">IF($A299="","",IFERROR(INDEX('DAILY ENTRY'!$J$7:$J$1203,MATCH(1,INDEX(('DAILY ENTRY'!$A$7:$A$1203=$A299)*('DAILY ENTRY'!$B$7:$B$1203=$B299)*('DAILY ENTRY'!$I$7:$I$1203="Blocked"),0),0)),""))</f>
        <v/>
      </c>
      <c r="O299" s="65" t="str">
        <f aca="false">IF($A299="","",(D299&gt;='START HERE'!$B$25)+(E299&gt;='START HERE'!$B$26)+(F299&gt;='START HERE'!$B$27)+(G299&gt;='START HERE'!$B$28)+(H299&gt;='START HERE'!$B$29)+(I299&gt;='START HERE'!$B$30)+(J299&gt;='START HERE'!$B$31)+(K299&gt;='START HERE'!$B$32))</f>
        <v/>
      </c>
      <c r="P299" s="46" t="str">
        <f aca="false">IF($A299="","",IF(O299&gt;=7,"Full day",IF(O299&gt;=5,"Most targets met",IF(O299&gt;=3,"Half day","Below plan - explain in the blocker column"))))</f>
        <v/>
      </c>
    </row>
    <row r="300" customFormat="false" ht="24" hidden="false" customHeight="true" outlineLevel="0" collapsed="false">
      <c r="A300" s="36"/>
      <c r="B300" s="37"/>
      <c r="C300" s="107" t="str">
        <f aca="false">IF($A300="","",ROUND(SUMIFS('DAILY ENTRY'!$G$7:$G$1203,'DAILY ENTRY'!$A$7:$A$1203,$A300,'DAILY ENTRY'!$B$7:$B$1203,$B300)/60,1))</f>
        <v/>
      </c>
      <c r="D300" s="107" t="str">
        <f aca="false">IF($A300="","",SUMIFS('DAILY ENTRY'!$F$7:$F$1203,'DAILY ENTRY'!$A$7:$A$1203,$A300,'DAILY ENTRY'!$B$7:$B$1203,$B300,'DAILY ENTRY'!$D$7:$D$1203,"Lead researched (Sales Navigator)"))</f>
        <v/>
      </c>
      <c r="E300" s="107" t="str">
        <f aca="false">IF($A300="","",SUMIFS('DAILY ENTRY'!$F$7:$F$1203,'DAILY ENTRY'!$A$7:$A$1203,$A300,'DAILY ENTRY'!$B$7:$B$1203,$B300,'DAILY ENTRY'!$D$7:$D$1203,"Connection request sent"))</f>
        <v/>
      </c>
      <c r="F300" s="107" t="str">
        <f aca="false">IF($A300="","",SUMIFS('DAILY ENTRY'!$F$7:$F$1203,'DAILY ENTRY'!$A$7:$A$1203,$A300,'DAILY ENTRY'!$B$7:$B$1203,$B300,'DAILY ENTRY'!$D$7:$D$1203,"First message sent"))</f>
        <v/>
      </c>
      <c r="G300" s="107" t="str">
        <f aca="false">IF($A300="","",SUMIFS('DAILY ENTRY'!$F$7:$F$1203,'DAILY ENTRY'!$A$7:$A$1203,$A300,'DAILY ENTRY'!$B$7:$B$1203,$B300,'DAILY ENTRY'!$D$7:$D$1203,"Follow-up message sent"))</f>
        <v/>
      </c>
      <c r="H300" s="107" t="str">
        <f aca="false">IF($A300="","",SUMIFS('DAILY ENTRY'!$F$7:$F$1203,'DAILY ENTRY'!$A$7:$A$1203,$A300,'DAILY ENTRY'!$B$7:$B$1203,$B300,'DAILY ENTRY'!$D$7:$D$1203,"Post / content published"))</f>
        <v/>
      </c>
      <c r="I300" s="107" t="str">
        <f aca="false">IF($A300="","",SUMIFS('DAILY ENTRY'!$F$7:$F$1203,'DAILY ENTRY'!$A$7:$A$1203,$A300,'DAILY ENTRY'!$B$7:$B$1203,$B300,'DAILY ENTRY'!$D$7:$D$1203,"Community answer or comment"))</f>
        <v/>
      </c>
      <c r="J300" s="107" t="str">
        <f aca="false">IF($A300="","",SUMIFS('DAILY ENTRY'!$F$7:$F$1203,'DAILY ENTRY'!$A$7:$A$1203,$A300,'DAILY ENTRY'!$B$7:$B$1203,$B300,'DAILY ENTRY'!$D$7:$D$1203,"Partnership / PR contact"))</f>
        <v/>
      </c>
      <c r="K300" s="107" t="str">
        <f aca="false">IF($A300="","",SUMIFS('DAILY ENTRY'!$F$7:$F$1203,'DAILY ENTRY'!$A$7:$A$1203,$A300,'DAILY ENTRY'!$B$7:$B$1203,$B300,'DAILY ENTRY'!$D$7:$D$1203,"Engagement (commented on someone else)"))</f>
        <v/>
      </c>
      <c r="L300" s="107" t="str">
        <f aca="false">IF($A300="","",SUMIFS('DAILY ENTRY'!$F$7:$F$1203,'DAILY ENTRY'!$A$7:$A$1203,$A300,'DAILY ENTRY'!$B$7:$B$1203,$B300,'DAILY ENTRY'!$D$7:$D$1203,"Account created / profile completed"))</f>
        <v/>
      </c>
      <c r="M300" s="108" t="str">
        <f aca="false">IF($A300="","",IFERROR(INDEX('DAILY ENTRY'!$E$7:$E$1203,MATCH(1,INDEX(('DAILY ENTRY'!$A$7:$A$1203=$A300)*('DAILY ENTRY'!$B$7:$B$1203=$B300)*('DAILY ENTRY'!$I$7:$I$1203="Meeting booked"),0),0)),IFERROR(INDEX('DAILY ENTRY'!$E$7:$E$1203,MATCH(1,INDEX(('DAILY ENTRY'!$A$7:$A$1203=$A300)*('DAILY ENTRY'!$B$7:$B$1203=$B300)*('DAILY ENTRY'!$I$7:$I$1203="Positive reply"),0),0)),"")))</f>
        <v/>
      </c>
      <c r="N300" s="108" t="str">
        <f aca="false">IF($A300="","",IFERROR(INDEX('DAILY ENTRY'!$J$7:$J$1203,MATCH(1,INDEX(('DAILY ENTRY'!$A$7:$A$1203=$A300)*('DAILY ENTRY'!$B$7:$B$1203=$B300)*('DAILY ENTRY'!$I$7:$I$1203="Blocked"),0),0)),""))</f>
        <v/>
      </c>
      <c r="O300" s="65" t="str">
        <f aca="false">IF($A300="","",(D300&gt;='START HERE'!$B$25)+(E300&gt;='START HERE'!$B$26)+(F300&gt;='START HERE'!$B$27)+(G300&gt;='START HERE'!$B$28)+(H300&gt;='START HERE'!$B$29)+(I300&gt;='START HERE'!$B$30)+(J300&gt;='START HERE'!$B$31)+(K300&gt;='START HERE'!$B$32))</f>
        <v/>
      </c>
      <c r="P300" s="46" t="str">
        <f aca="false">IF($A300="","",IF(O300&gt;=7,"Full day",IF(O300&gt;=5,"Most targets met",IF(O300&gt;=3,"Half day","Below plan - explain in the blocker column"))))</f>
        <v/>
      </c>
    </row>
    <row r="301" customFormat="false" ht="24" hidden="false" customHeight="true" outlineLevel="0" collapsed="false">
      <c r="A301" s="36"/>
      <c r="B301" s="37"/>
      <c r="C301" s="107" t="str">
        <f aca="false">IF($A301="","",ROUND(SUMIFS('DAILY ENTRY'!$G$7:$G$1203,'DAILY ENTRY'!$A$7:$A$1203,$A301,'DAILY ENTRY'!$B$7:$B$1203,$B301)/60,1))</f>
        <v/>
      </c>
      <c r="D301" s="107" t="str">
        <f aca="false">IF($A301="","",SUMIFS('DAILY ENTRY'!$F$7:$F$1203,'DAILY ENTRY'!$A$7:$A$1203,$A301,'DAILY ENTRY'!$B$7:$B$1203,$B301,'DAILY ENTRY'!$D$7:$D$1203,"Lead researched (Sales Navigator)"))</f>
        <v/>
      </c>
      <c r="E301" s="107" t="str">
        <f aca="false">IF($A301="","",SUMIFS('DAILY ENTRY'!$F$7:$F$1203,'DAILY ENTRY'!$A$7:$A$1203,$A301,'DAILY ENTRY'!$B$7:$B$1203,$B301,'DAILY ENTRY'!$D$7:$D$1203,"Connection request sent"))</f>
        <v/>
      </c>
      <c r="F301" s="107" t="str">
        <f aca="false">IF($A301="","",SUMIFS('DAILY ENTRY'!$F$7:$F$1203,'DAILY ENTRY'!$A$7:$A$1203,$A301,'DAILY ENTRY'!$B$7:$B$1203,$B301,'DAILY ENTRY'!$D$7:$D$1203,"First message sent"))</f>
        <v/>
      </c>
      <c r="G301" s="107" t="str">
        <f aca="false">IF($A301="","",SUMIFS('DAILY ENTRY'!$F$7:$F$1203,'DAILY ENTRY'!$A$7:$A$1203,$A301,'DAILY ENTRY'!$B$7:$B$1203,$B301,'DAILY ENTRY'!$D$7:$D$1203,"Follow-up message sent"))</f>
        <v/>
      </c>
      <c r="H301" s="107" t="str">
        <f aca="false">IF($A301="","",SUMIFS('DAILY ENTRY'!$F$7:$F$1203,'DAILY ENTRY'!$A$7:$A$1203,$A301,'DAILY ENTRY'!$B$7:$B$1203,$B301,'DAILY ENTRY'!$D$7:$D$1203,"Post / content published"))</f>
        <v/>
      </c>
      <c r="I301" s="107" t="str">
        <f aca="false">IF($A301="","",SUMIFS('DAILY ENTRY'!$F$7:$F$1203,'DAILY ENTRY'!$A$7:$A$1203,$A301,'DAILY ENTRY'!$B$7:$B$1203,$B301,'DAILY ENTRY'!$D$7:$D$1203,"Community answer or comment"))</f>
        <v/>
      </c>
      <c r="J301" s="107" t="str">
        <f aca="false">IF($A301="","",SUMIFS('DAILY ENTRY'!$F$7:$F$1203,'DAILY ENTRY'!$A$7:$A$1203,$A301,'DAILY ENTRY'!$B$7:$B$1203,$B301,'DAILY ENTRY'!$D$7:$D$1203,"Partnership / PR contact"))</f>
        <v/>
      </c>
      <c r="K301" s="107" t="str">
        <f aca="false">IF($A301="","",SUMIFS('DAILY ENTRY'!$F$7:$F$1203,'DAILY ENTRY'!$A$7:$A$1203,$A301,'DAILY ENTRY'!$B$7:$B$1203,$B301,'DAILY ENTRY'!$D$7:$D$1203,"Engagement (commented on someone else)"))</f>
        <v/>
      </c>
      <c r="L301" s="107" t="str">
        <f aca="false">IF($A301="","",SUMIFS('DAILY ENTRY'!$F$7:$F$1203,'DAILY ENTRY'!$A$7:$A$1203,$A301,'DAILY ENTRY'!$B$7:$B$1203,$B301,'DAILY ENTRY'!$D$7:$D$1203,"Account created / profile completed"))</f>
        <v/>
      </c>
      <c r="M301" s="108" t="str">
        <f aca="false">IF($A301="","",IFERROR(INDEX('DAILY ENTRY'!$E$7:$E$1203,MATCH(1,INDEX(('DAILY ENTRY'!$A$7:$A$1203=$A301)*('DAILY ENTRY'!$B$7:$B$1203=$B301)*('DAILY ENTRY'!$I$7:$I$1203="Meeting booked"),0),0)),IFERROR(INDEX('DAILY ENTRY'!$E$7:$E$1203,MATCH(1,INDEX(('DAILY ENTRY'!$A$7:$A$1203=$A301)*('DAILY ENTRY'!$B$7:$B$1203=$B301)*('DAILY ENTRY'!$I$7:$I$1203="Positive reply"),0),0)),"")))</f>
        <v/>
      </c>
      <c r="N301" s="108" t="str">
        <f aca="false">IF($A301="","",IFERROR(INDEX('DAILY ENTRY'!$J$7:$J$1203,MATCH(1,INDEX(('DAILY ENTRY'!$A$7:$A$1203=$A301)*('DAILY ENTRY'!$B$7:$B$1203=$B301)*('DAILY ENTRY'!$I$7:$I$1203="Blocked"),0),0)),""))</f>
        <v/>
      </c>
      <c r="O301" s="65" t="str">
        <f aca="false">IF($A301="","",(D301&gt;='START HERE'!$B$25)+(E301&gt;='START HERE'!$B$26)+(F301&gt;='START HERE'!$B$27)+(G301&gt;='START HERE'!$B$28)+(H301&gt;='START HERE'!$B$29)+(I301&gt;='START HERE'!$B$30)+(J301&gt;='START HERE'!$B$31)+(K301&gt;='START HERE'!$B$32))</f>
        <v/>
      </c>
      <c r="P301" s="46" t="str">
        <f aca="false">IF($A301="","",IF(O301&gt;=7,"Full day",IF(O301&gt;=5,"Most targets met",IF(O301&gt;=3,"Half day","Below plan - explain in the blocker column"))))</f>
        <v/>
      </c>
    </row>
    <row r="302" customFormat="false" ht="24" hidden="false" customHeight="true" outlineLevel="0" collapsed="false">
      <c r="A302" s="36"/>
      <c r="B302" s="37"/>
      <c r="C302" s="107" t="str">
        <f aca="false">IF($A302="","",ROUND(SUMIFS('DAILY ENTRY'!$G$7:$G$1203,'DAILY ENTRY'!$A$7:$A$1203,$A302,'DAILY ENTRY'!$B$7:$B$1203,$B302)/60,1))</f>
        <v/>
      </c>
      <c r="D302" s="107" t="str">
        <f aca="false">IF($A302="","",SUMIFS('DAILY ENTRY'!$F$7:$F$1203,'DAILY ENTRY'!$A$7:$A$1203,$A302,'DAILY ENTRY'!$B$7:$B$1203,$B302,'DAILY ENTRY'!$D$7:$D$1203,"Lead researched (Sales Navigator)"))</f>
        <v/>
      </c>
      <c r="E302" s="107" t="str">
        <f aca="false">IF($A302="","",SUMIFS('DAILY ENTRY'!$F$7:$F$1203,'DAILY ENTRY'!$A$7:$A$1203,$A302,'DAILY ENTRY'!$B$7:$B$1203,$B302,'DAILY ENTRY'!$D$7:$D$1203,"Connection request sent"))</f>
        <v/>
      </c>
      <c r="F302" s="107" t="str">
        <f aca="false">IF($A302="","",SUMIFS('DAILY ENTRY'!$F$7:$F$1203,'DAILY ENTRY'!$A$7:$A$1203,$A302,'DAILY ENTRY'!$B$7:$B$1203,$B302,'DAILY ENTRY'!$D$7:$D$1203,"First message sent"))</f>
        <v/>
      </c>
      <c r="G302" s="107" t="str">
        <f aca="false">IF($A302="","",SUMIFS('DAILY ENTRY'!$F$7:$F$1203,'DAILY ENTRY'!$A$7:$A$1203,$A302,'DAILY ENTRY'!$B$7:$B$1203,$B302,'DAILY ENTRY'!$D$7:$D$1203,"Follow-up message sent"))</f>
        <v/>
      </c>
      <c r="H302" s="107" t="str">
        <f aca="false">IF($A302="","",SUMIFS('DAILY ENTRY'!$F$7:$F$1203,'DAILY ENTRY'!$A$7:$A$1203,$A302,'DAILY ENTRY'!$B$7:$B$1203,$B302,'DAILY ENTRY'!$D$7:$D$1203,"Post / content published"))</f>
        <v/>
      </c>
      <c r="I302" s="107" t="str">
        <f aca="false">IF($A302="","",SUMIFS('DAILY ENTRY'!$F$7:$F$1203,'DAILY ENTRY'!$A$7:$A$1203,$A302,'DAILY ENTRY'!$B$7:$B$1203,$B302,'DAILY ENTRY'!$D$7:$D$1203,"Community answer or comment"))</f>
        <v/>
      </c>
      <c r="J302" s="107" t="str">
        <f aca="false">IF($A302="","",SUMIFS('DAILY ENTRY'!$F$7:$F$1203,'DAILY ENTRY'!$A$7:$A$1203,$A302,'DAILY ENTRY'!$B$7:$B$1203,$B302,'DAILY ENTRY'!$D$7:$D$1203,"Partnership / PR contact"))</f>
        <v/>
      </c>
      <c r="K302" s="107" t="str">
        <f aca="false">IF($A302="","",SUMIFS('DAILY ENTRY'!$F$7:$F$1203,'DAILY ENTRY'!$A$7:$A$1203,$A302,'DAILY ENTRY'!$B$7:$B$1203,$B302,'DAILY ENTRY'!$D$7:$D$1203,"Engagement (commented on someone else)"))</f>
        <v/>
      </c>
      <c r="L302" s="107" t="str">
        <f aca="false">IF($A302="","",SUMIFS('DAILY ENTRY'!$F$7:$F$1203,'DAILY ENTRY'!$A$7:$A$1203,$A302,'DAILY ENTRY'!$B$7:$B$1203,$B302,'DAILY ENTRY'!$D$7:$D$1203,"Account created / profile completed"))</f>
        <v/>
      </c>
      <c r="M302" s="108" t="str">
        <f aca="false">IF($A302="","",IFERROR(INDEX('DAILY ENTRY'!$E$7:$E$1203,MATCH(1,INDEX(('DAILY ENTRY'!$A$7:$A$1203=$A302)*('DAILY ENTRY'!$B$7:$B$1203=$B302)*('DAILY ENTRY'!$I$7:$I$1203="Meeting booked"),0),0)),IFERROR(INDEX('DAILY ENTRY'!$E$7:$E$1203,MATCH(1,INDEX(('DAILY ENTRY'!$A$7:$A$1203=$A302)*('DAILY ENTRY'!$B$7:$B$1203=$B302)*('DAILY ENTRY'!$I$7:$I$1203="Positive reply"),0),0)),"")))</f>
        <v/>
      </c>
      <c r="N302" s="108" t="str">
        <f aca="false">IF($A302="","",IFERROR(INDEX('DAILY ENTRY'!$J$7:$J$1203,MATCH(1,INDEX(('DAILY ENTRY'!$A$7:$A$1203=$A302)*('DAILY ENTRY'!$B$7:$B$1203=$B302)*('DAILY ENTRY'!$I$7:$I$1203="Blocked"),0),0)),""))</f>
        <v/>
      </c>
      <c r="O302" s="65" t="str">
        <f aca="false">IF($A302="","",(D302&gt;='START HERE'!$B$25)+(E302&gt;='START HERE'!$B$26)+(F302&gt;='START HERE'!$B$27)+(G302&gt;='START HERE'!$B$28)+(H302&gt;='START HERE'!$B$29)+(I302&gt;='START HERE'!$B$30)+(J302&gt;='START HERE'!$B$31)+(K302&gt;='START HERE'!$B$32))</f>
        <v/>
      </c>
      <c r="P302" s="46" t="str">
        <f aca="false">IF($A302="","",IF(O302&gt;=7,"Full day",IF(O302&gt;=5,"Most targets met",IF(O302&gt;=3,"Half day","Below plan - explain in the blocker column"))))</f>
        <v/>
      </c>
    </row>
    <row r="303" customFormat="false" ht="24" hidden="false" customHeight="true" outlineLevel="0" collapsed="false">
      <c r="A303" s="36"/>
      <c r="B303" s="37"/>
      <c r="C303" s="107" t="str">
        <f aca="false">IF($A303="","",ROUND(SUMIFS('DAILY ENTRY'!$G$7:$G$1203,'DAILY ENTRY'!$A$7:$A$1203,$A303,'DAILY ENTRY'!$B$7:$B$1203,$B303)/60,1))</f>
        <v/>
      </c>
      <c r="D303" s="107" t="str">
        <f aca="false">IF($A303="","",SUMIFS('DAILY ENTRY'!$F$7:$F$1203,'DAILY ENTRY'!$A$7:$A$1203,$A303,'DAILY ENTRY'!$B$7:$B$1203,$B303,'DAILY ENTRY'!$D$7:$D$1203,"Lead researched (Sales Navigator)"))</f>
        <v/>
      </c>
      <c r="E303" s="107" t="str">
        <f aca="false">IF($A303="","",SUMIFS('DAILY ENTRY'!$F$7:$F$1203,'DAILY ENTRY'!$A$7:$A$1203,$A303,'DAILY ENTRY'!$B$7:$B$1203,$B303,'DAILY ENTRY'!$D$7:$D$1203,"Connection request sent"))</f>
        <v/>
      </c>
      <c r="F303" s="107" t="str">
        <f aca="false">IF($A303="","",SUMIFS('DAILY ENTRY'!$F$7:$F$1203,'DAILY ENTRY'!$A$7:$A$1203,$A303,'DAILY ENTRY'!$B$7:$B$1203,$B303,'DAILY ENTRY'!$D$7:$D$1203,"First message sent"))</f>
        <v/>
      </c>
      <c r="G303" s="107" t="str">
        <f aca="false">IF($A303="","",SUMIFS('DAILY ENTRY'!$F$7:$F$1203,'DAILY ENTRY'!$A$7:$A$1203,$A303,'DAILY ENTRY'!$B$7:$B$1203,$B303,'DAILY ENTRY'!$D$7:$D$1203,"Follow-up message sent"))</f>
        <v/>
      </c>
      <c r="H303" s="107" t="str">
        <f aca="false">IF($A303="","",SUMIFS('DAILY ENTRY'!$F$7:$F$1203,'DAILY ENTRY'!$A$7:$A$1203,$A303,'DAILY ENTRY'!$B$7:$B$1203,$B303,'DAILY ENTRY'!$D$7:$D$1203,"Post / content published"))</f>
        <v/>
      </c>
      <c r="I303" s="107" t="str">
        <f aca="false">IF($A303="","",SUMIFS('DAILY ENTRY'!$F$7:$F$1203,'DAILY ENTRY'!$A$7:$A$1203,$A303,'DAILY ENTRY'!$B$7:$B$1203,$B303,'DAILY ENTRY'!$D$7:$D$1203,"Community answer or comment"))</f>
        <v/>
      </c>
      <c r="J303" s="107" t="str">
        <f aca="false">IF($A303="","",SUMIFS('DAILY ENTRY'!$F$7:$F$1203,'DAILY ENTRY'!$A$7:$A$1203,$A303,'DAILY ENTRY'!$B$7:$B$1203,$B303,'DAILY ENTRY'!$D$7:$D$1203,"Partnership / PR contact"))</f>
        <v/>
      </c>
      <c r="K303" s="107" t="str">
        <f aca="false">IF($A303="","",SUMIFS('DAILY ENTRY'!$F$7:$F$1203,'DAILY ENTRY'!$A$7:$A$1203,$A303,'DAILY ENTRY'!$B$7:$B$1203,$B303,'DAILY ENTRY'!$D$7:$D$1203,"Engagement (commented on someone else)"))</f>
        <v/>
      </c>
      <c r="L303" s="107" t="str">
        <f aca="false">IF($A303="","",SUMIFS('DAILY ENTRY'!$F$7:$F$1203,'DAILY ENTRY'!$A$7:$A$1203,$A303,'DAILY ENTRY'!$B$7:$B$1203,$B303,'DAILY ENTRY'!$D$7:$D$1203,"Account created / profile completed"))</f>
        <v/>
      </c>
      <c r="M303" s="108" t="str">
        <f aca="false">IF($A303="","",IFERROR(INDEX('DAILY ENTRY'!$E$7:$E$1203,MATCH(1,INDEX(('DAILY ENTRY'!$A$7:$A$1203=$A303)*('DAILY ENTRY'!$B$7:$B$1203=$B303)*('DAILY ENTRY'!$I$7:$I$1203="Meeting booked"),0),0)),IFERROR(INDEX('DAILY ENTRY'!$E$7:$E$1203,MATCH(1,INDEX(('DAILY ENTRY'!$A$7:$A$1203=$A303)*('DAILY ENTRY'!$B$7:$B$1203=$B303)*('DAILY ENTRY'!$I$7:$I$1203="Positive reply"),0),0)),"")))</f>
        <v/>
      </c>
      <c r="N303" s="108" t="str">
        <f aca="false">IF($A303="","",IFERROR(INDEX('DAILY ENTRY'!$J$7:$J$1203,MATCH(1,INDEX(('DAILY ENTRY'!$A$7:$A$1203=$A303)*('DAILY ENTRY'!$B$7:$B$1203=$B303)*('DAILY ENTRY'!$I$7:$I$1203="Blocked"),0),0)),""))</f>
        <v/>
      </c>
      <c r="O303" s="65" t="str">
        <f aca="false">IF($A303="","",(D303&gt;='START HERE'!$B$25)+(E303&gt;='START HERE'!$B$26)+(F303&gt;='START HERE'!$B$27)+(G303&gt;='START HERE'!$B$28)+(H303&gt;='START HERE'!$B$29)+(I303&gt;='START HERE'!$B$30)+(J303&gt;='START HERE'!$B$31)+(K303&gt;='START HERE'!$B$32))</f>
        <v/>
      </c>
      <c r="P303" s="46" t="str">
        <f aca="false">IF($A303="","",IF(O303&gt;=7,"Full day",IF(O303&gt;=5,"Most targets met",IF(O303&gt;=3,"Half day","Below plan - explain in the blocker column"))))</f>
        <v/>
      </c>
    </row>
    <row r="304" customFormat="false" ht="24" hidden="false" customHeight="true" outlineLevel="0" collapsed="false">
      <c r="A304" s="36"/>
      <c r="B304" s="37"/>
      <c r="C304" s="107" t="str">
        <f aca="false">IF($A304="","",ROUND(SUMIFS('DAILY ENTRY'!$G$7:$G$1203,'DAILY ENTRY'!$A$7:$A$1203,$A304,'DAILY ENTRY'!$B$7:$B$1203,$B304)/60,1))</f>
        <v/>
      </c>
      <c r="D304" s="107" t="str">
        <f aca="false">IF($A304="","",SUMIFS('DAILY ENTRY'!$F$7:$F$1203,'DAILY ENTRY'!$A$7:$A$1203,$A304,'DAILY ENTRY'!$B$7:$B$1203,$B304,'DAILY ENTRY'!$D$7:$D$1203,"Lead researched (Sales Navigator)"))</f>
        <v/>
      </c>
      <c r="E304" s="107" t="str">
        <f aca="false">IF($A304="","",SUMIFS('DAILY ENTRY'!$F$7:$F$1203,'DAILY ENTRY'!$A$7:$A$1203,$A304,'DAILY ENTRY'!$B$7:$B$1203,$B304,'DAILY ENTRY'!$D$7:$D$1203,"Connection request sent"))</f>
        <v/>
      </c>
      <c r="F304" s="107" t="str">
        <f aca="false">IF($A304="","",SUMIFS('DAILY ENTRY'!$F$7:$F$1203,'DAILY ENTRY'!$A$7:$A$1203,$A304,'DAILY ENTRY'!$B$7:$B$1203,$B304,'DAILY ENTRY'!$D$7:$D$1203,"First message sent"))</f>
        <v/>
      </c>
      <c r="G304" s="107" t="str">
        <f aca="false">IF($A304="","",SUMIFS('DAILY ENTRY'!$F$7:$F$1203,'DAILY ENTRY'!$A$7:$A$1203,$A304,'DAILY ENTRY'!$B$7:$B$1203,$B304,'DAILY ENTRY'!$D$7:$D$1203,"Follow-up message sent"))</f>
        <v/>
      </c>
      <c r="H304" s="107" t="str">
        <f aca="false">IF($A304="","",SUMIFS('DAILY ENTRY'!$F$7:$F$1203,'DAILY ENTRY'!$A$7:$A$1203,$A304,'DAILY ENTRY'!$B$7:$B$1203,$B304,'DAILY ENTRY'!$D$7:$D$1203,"Post / content published"))</f>
        <v/>
      </c>
      <c r="I304" s="107" t="str">
        <f aca="false">IF($A304="","",SUMIFS('DAILY ENTRY'!$F$7:$F$1203,'DAILY ENTRY'!$A$7:$A$1203,$A304,'DAILY ENTRY'!$B$7:$B$1203,$B304,'DAILY ENTRY'!$D$7:$D$1203,"Community answer or comment"))</f>
        <v/>
      </c>
      <c r="J304" s="107" t="str">
        <f aca="false">IF($A304="","",SUMIFS('DAILY ENTRY'!$F$7:$F$1203,'DAILY ENTRY'!$A$7:$A$1203,$A304,'DAILY ENTRY'!$B$7:$B$1203,$B304,'DAILY ENTRY'!$D$7:$D$1203,"Partnership / PR contact"))</f>
        <v/>
      </c>
      <c r="K304" s="107" t="str">
        <f aca="false">IF($A304="","",SUMIFS('DAILY ENTRY'!$F$7:$F$1203,'DAILY ENTRY'!$A$7:$A$1203,$A304,'DAILY ENTRY'!$B$7:$B$1203,$B304,'DAILY ENTRY'!$D$7:$D$1203,"Engagement (commented on someone else)"))</f>
        <v/>
      </c>
      <c r="L304" s="107" t="str">
        <f aca="false">IF($A304="","",SUMIFS('DAILY ENTRY'!$F$7:$F$1203,'DAILY ENTRY'!$A$7:$A$1203,$A304,'DAILY ENTRY'!$B$7:$B$1203,$B304,'DAILY ENTRY'!$D$7:$D$1203,"Account created / profile completed"))</f>
        <v/>
      </c>
      <c r="M304" s="108" t="str">
        <f aca="false">IF($A304="","",IFERROR(INDEX('DAILY ENTRY'!$E$7:$E$1203,MATCH(1,INDEX(('DAILY ENTRY'!$A$7:$A$1203=$A304)*('DAILY ENTRY'!$B$7:$B$1203=$B304)*('DAILY ENTRY'!$I$7:$I$1203="Meeting booked"),0),0)),IFERROR(INDEX('DAILY ENTRY'!$E$7:$E$1203,MATCH(1,INDEX(('DAILY ENTRY'!$A$7:$A$1203=$A304)*('DAILY ENTRY'!$B$7:$B$1203=$B304)*('DAILY ENTRY'!$I$7:$I$1203="Positive reply"),0),0)),"")))</f>
        <v/>
      </c>
      <c r="N304" s="108" t="str">
        <f aca="false">IF($A304="","",IFERROR(INDEX('DAILY ENTRY'!$J$7:$J$1203,MATCH(1,INDEX(('DAILY ENTRY'!$A$7:$A$1203=$A304)*('DAILY ENTRY'!$B$7:$B$1203=$B304)*('DAILY ENTRY'!$I$7:$I$1203="Blocked"),0),0)),""))</f>
        <v/>
      </c>
      <c r="O304" s="65" t="str">
        <f aca="false">IF($A304="","",(D304&gt;='START HERE'!$B$25)+(E304&gt;='START HERE'!$B$26)+(F304&gt;='START HERE'!$B$27)+(G304&gt;='START HERE'!$B$28)+(H304&gt;='START HERE'!$B$29)+(I304&gt;='START HERE'!$B$30)+(J304&gt;='START HERE'!$B$31)+(K304&gt;='START HERE'!$B$32))</f>
        <v/>
      </c>
      <c r="P304" s="46" t="str">
        <f aca="false">IF($A304="","",IF(O304&gt;=7,"Full day",IF(O304&gt;=5,"Most targets met",IF(O304&gt;=3,"Half day","Below plan - explain in the blocker column"))))</f>
        <v/>
      </c>
    </row>
    <row r="305" customFormat="false" ht="24" hidden="false" customHeight="true" outlineLevel="0" collapsed="false">
      <c r="A305" s="36"/>
      <c r="B305" s="37"/>
      <c r="C305" s="107" t="str">
        <f aca="false">IF($A305="","",ROUND(SUMIFS('DAILY ENTRY'!$G$7:$G$1203,'DAILY ENTRY'!$A$7:$A$1203,$A305,'DAILY ENTRY'!$B$7:$B$1203,$B305)/60,1))</f>
        <v/>
      </c>
      <c r="D305" s="107" t="str">
        <f aca="false">IF($A305="","",SUMIFS('DAILY ENTRY'!$F$7:$F$1203,'DAILY ENTRY'!$A$7:$A$1203,$A305,'DAILY ENTRY'!$B$7:$B$1203,$B305,'DAILY ENTRY'!$D$7:$D$1203,"Lead researched (Sales Navigator)"))</f>
        <v/>
      </c>
      <c r="E305" s="107" t="str">
        <f aca="false">IF($A305="","",SUMIFS('DAILY ENTRY'!$F$7:$F$1203,'DAILY ENTRY'!$A$7:$A$1203,$A305,'DAILY ENTRY'!$B$7:$B$1203,$B305,'DAILY ENTRY'!$D$7:$D$1203,"Connection request sent"))</f>
        <v/>
      </c>
      <c r="F305" s="107" t="str">
        <f aca="false">IF($A305="","",SUMIFS('DAILY ENTRY'!$F$7:$F$1203,'DAILY ENTRY'!$A$7:$A$1203,$A305,'DAILY ENTRY'!$B$7:$B$1203,$B305,'DAILY ENTRY'!$D$7:$D$1203,"First message sent"))</f>
        <v/>
      </c>
      <c r="G305" s="107" t="str">
        <f aca="false">IF($A305="","",SUMIFS('DAILY ENTRY'!$F$7:$F$1203,'DAILY ENTRY'!$A$7:$A$1203,$A305,'DAILY ENTRY'!$B$7:$B$1203,$B305,'DAILY ENTRY'!$D$7:$D$1203,"Follow-up message sent"))</f>
        <v/>
      </c>
      <c r="H305" s="107" t="str">
        <f aca="false">IF($A305="","",SUMIFS('DAILY ENTRY'!$F$7:$F$1203,'DAILY ENTRY'!$A$7:$A$1203,$A305,'DAILY ENTRY'!$B$7:$B$1203,$B305,'DAILY ENTRY'!$D$7:$D$1203,"Post / content published"))</f>
        <v/>
      </c>
      <c r="I305" s="107" t="str">
        <f aca="false">IF($A305="","",SUMIFS('DAILY ENTRY'!$F$7:$F$1203,'DAILY ENTRY'!$A$7:$A$1203,$A305,'DAILY ENTRY'!$B$7:$B$1203,$B305,'DAILY ENTRY'!$D$7:$D$1203,"Community answer or comment"))</f>
        <v/>
      </c>
      <c r="J305" s="107" t="str">
        <f aca="false">IF($A305="","",SUMIFS('DAILY ENTRY'!$F$7:$F$1203,'DAILY ENTRY'!$A$7:$A$1203,$A305,'DAILY ENTRY'!$B$7:$B$1203,$B305,'DAILY ENTRY'!$D$7:$D$1203,"Partnership / PR contact"))</f>
        <v/>
      </c>
      <c r="K305" s="107" t="str">
        <f aca="false">IF($A305="","",SUMIFS('DAILY ENTRY'!$F$7:$F$1203,'DAILY ENTRY'!$A$7:$A$1203,$A305,'DAILY ENTRY'!$B$7:$B$1203,$B305,'DAILY ENTRY'!$D$7:$D$1203,"Engagement (commented on someone else)"))</f>
        <v/>
      </c>
      <c r="L305" s="107" t="str">
        <f aca="false">IF($A305="","",SUMIFS('DAILY ENTRY'!$F$7:$F$1203,'DAILY ENTRY'!$A$7:$A$1203,$A305,'DAILY ENTRY'!$B$7:$B$1203,$B305,'DAILY ENTRY'!$D$7:$D$1203,"Account created / profile completed"))</f>
        <v/>
      </c>
      <c r="M305" s="108" t="str">
        <f aca="false">IF($A305="","",IFERROR(INDEX('DAILY ENTRY'!$E$7:$E$1203,MATCH(1,INDEX(('DAILY ENTRY'!$A$7:$A$1203=$A305)*('DAILY ENTRY'!$B$7:$B$1203=$B305)*('DAILY ENTRY'!$I$7:$I$1203="Meeting booked"),0),0)),IFERROR(INDEX('DAILY ENTRY'!$E$7:$E$1203,MATCH(1,INDEX(('DAILY ENTRY'!$A$7:$A$1203=$A305)*('DAILY ENTRY'!$B$7:$B$1203=$B305)*('DAILY ENTRY'!$I$7:$I$1203="Positive reply"),0),0)),"")))</f>
        <v/>
      </c>
      <c r="N305" s="108" t="str">
        <f aca="false">IF($A305="","",IFERROR(INDEX('DAILY ENTRY'!$J$7:$J$1203,MATCH(1,INDEX(('DAILY ENTRY'!$A$7:$A$1203=$A305)*('DAILY ENTRY'!$B$7:$B$1203=$B305)*('DAILY ENTRY'!$I$7:$I$1203="Blocked"),0),0)),""))</f>
        <v/>
      </c>
      <c r="O305" s="65" t="str">
        <f aca="false">IF($A305="","",(D305&gt;='START HERE'!$B$25)+(E305&gt;='START HERE'!$B$26)+(F305&gt;='START HERE'!$B$27)+(G305&gt;='START HERE'!$B$28)+(H305&gt;='START HERE'!$B$29)+(I305&gt;='START HERE'!$B$30)+(J305&gt;='START HERE'!$B$31)+(K305&gt;='START HERE'!$B$32))</f>
        <v/>
      </c>
      <c r="P305" s="46" t="str">
        <f aca="false">IF($A305="","",IF(O305&gt;=7,"Full day",IF(O305&gt;=5,"Most targets met",IF(O305&gt;=3,"Half day","Below plan - explain in the blocker column"))))</f>
        <v/>
      </c>
    </row>
    <row r="306" customFormat="false" ht="24" hidden="false" customHeight="true" outlineLevel="0" collapsed="false">
      <c r="A306" s="36"/>
      <c r="B306" s="37"/>
      <c r="C306" s="107" t="str">
        <f aca="false">IF($A306="","",ROUND(SUMIFS('DAILY ENTRY'!$G$7:$G$1203,'DAILY ENTRY'!$A$7:$A$1203,$A306,'DAILY ENTRY'!$B$7:$B$1203,$B306)/60,1))</f>
        <v/>
      </c>
      <c r="D306" s="107" t="str">
        <f aca="false">IF($A306="","",SUMIFS('DAILY ENTRY'!$F$7:$F$1203,'DAILY ENTRY'!$A$7:$A$1203,$A306,'DAILY ENTRY'!$B$7:$B$1203,$B306,'DAILY ENTRY'!$D$7:$D$1203,"Lead researched (Sales Navigator)"))</f>
        <v/>
      </c>
      <c r="E306" s="107" t="str">
        <f aca="false">IF($A306="","",SUMIFS('DAILY ENTRY'!$F$7:$F$1203,'DAILY ENTRY'!$A$7:$A$1203,$A306,'DAILY ENTRY'!$B$7:$B$1203,$B306,'DAILY ENTRY'!$D$7:$D$1203,"Connection request sent"))</f>
        <v/>
      </c>
      <c r="F306" s="107" t="str">
        <f aca="false">IF($A306="","",SUMIFS('DAILY ENTRY'!$F$7:$F$1203,'DAILY ENTRY'!$A$7:$A$1203,$A306,'DAILY ENTRY'!$B$7:$B$1203,$B306,'DAILY ENTRY'!$D$7:$D$1203,"First message sent"))</f>
        <v/>
      </c>
      <c r="G306" s="107" t="str">
        <f aca="false">IF($A306="","",SUMIFS('DAILY ENTRY'!$F$7:$F$1203,'DAILY ENTRY'!$A$7:$A$1203,$A306,'DAILY ENTRY'!$B$7:$B$1203,$B306,'DAILY ENTRY'!$D$7:$D$1203,"Follow-up message sent"))</f>
        <v/>
      </c>
      <c r="H306" s="107" t="str">
        <f aca="false">IF($A306="","",SUMIFS('DAILY ENTRY'!$F$7:$F$1203,'DAILY ENTRY'!$A$7:$A$1203,$A306,'DAILY ENTRY'!$B$7:$B$1203,$B306,'DAILY ENTRY'!$D$7:$D$1203,"Post / content published"))</f>
        <v/>
      </c>
      <c r="I306" s="107" t="str">
        <f aca="false">IF($A306="","",SUMIFS('DAILY ENTRY'!$F$7:$F$1203,'DAILY ENTRY'!$A$7:$A$1203,$A306,'DAILY ENTRY'!$B$7:$B$1203,$B306,'DAILY ENTRY'!$D$7:$D$1203,"Community answer or comment"))</f>
        <v/>
      </c>
      <c r="J306" s="107" t="str">
        <f aca="false">IF($A306="","",SUMIFS('DAILY ENTRY'!$F$7:$F$1203,'DAILY ENTRY'!$A$7:$A$1203,$A306,'DAILY ENTRY'!$B$7:$B$1203,$B306,'DAILY ENTRY'!$D$7:$D$1203,"Partnership / PR contact"))</f>
        <v/>
      </c>
      <c r="K306" s="107" t="str">
        <f aca="false">IF($A306="","",SUMIFS('DAILY ENTRY'!$F$7:$F$1203,'DAILY ENTRY'!$A$7:$A$1203,$A306,'DAILY ENTRY'!$B$7:$B$1203,$B306,'DAILY ENTRY'!$D$7:$D$1203,"Engagement (commented on someone else)"))</f>
        <v/>
      </c>
      <c r="L306" s="107" t="str">
        <f aca="false">IF($A306="","",SUMIFS('DAILY ENTRY'!$F$7:$F$1203,'DAILY ENTRY'!$A$7:$A$1203,$A306,'DAILY ENTRY'!$B$7:$B$1203,$B306,'DAILY ENTRY'!$D$7:$D$1203,"Account created / profile completed"))</f>
        <v/>
      </c>
      <c r="M306" s="108" t="str">
        <f aca="false">IF($A306="","",IFERROR(INDEX('DAILY ENTRY'!$E$7:$E$1203,MATCH(1,INDEX(('DAILY ENTRY'!$A$7:$A$1203=$A306)*('DAILY ENTRY'!$B$7:$B$1203=$B306)*('DAILY ENTRY'!$I$7:$I$1203="Meeting booked"),0),0)),IFERROR(INDEX('DAILY ENTRY'!$E$7:$E$1203,MATCH(1,INDEX(('DAILY ENTRY'!$A$7:$A$1203=$A306)*('DAILY ENTRY'!$B$7:$B$1203=$B306)*('DAILY ENTRY'!$I$7:$I$1203="Positive reply"),0),0)),"")))</f>
        <v/>
      </c>
      <c r="N306" s="108" t="str">
        <f aca="false">IF($A306="","",IFERROR(INDEX('DAILY ENTRY'!$J$7:$J$1203,MATCH(1,INDEX(('DAILY ENTRY'!$A$7:$A$1203=$A306)*('DAILY ENTRY'!$B$7:$B$1203=$B306)*('DAILY ENTRY'!$I$7:$I$1203="Blocked"),0),0)),""))</f>
        <v/>
      </c>
      <c r="O306" s="65" t="str">
        <f aca="false">IF($A306="","",(D306&gt;='START HERE'!$B$25)+(E306&gt;='START HERE'!$B$26)+(F306&gt;='START HERE'!$B$27)+(G306&gt;='START HERE'!$B$28)+(H306&gt;='START HERE'!$B$29)+(I306&gt;='START HERE'!$B$30)+(J306&gt;='START HERE'!$B$31)+(K306&gt;='START HERE'!$B$32))</f>
        <v/>
      </c>
      <c r="P306" s="46" t="str">
        <f aca="false">IF($A306="","",IF(O306&gt;=7,"Full day",IF(O306&gt;=5,"Most targets met",IF(O306&gt;=3,"Half day","Below plan - explain in the blocker column"))))</f>
        <v/>
      </c>
    </row>
    <row r="307" customFormat="false" ht="24" hidden="false" customHeight="true" outlineLevel="0" collapsed="false">
      <c r="A307" s="36"/>
      <c r="B307" s="37"/>
      <c r="C307" s="107" t="str">
        <f aca="false">IF($A307="","",ROUND(SUMIFS('DAILY ENTRY'!$G$7:$G$1203,'DAILY ENTRY'!$A$7:$A$1203,$A307,'DAILY ENTRY'!$B$7:$B$1203,$B307)/60,1))</f>
        <v/>
      </c>
      <c r="D307" s="107" t="str">
        <f aca="false">IF($A307="","",SUMIFS('DAILY ENTRY'!$F$7:$F$1203,'DAILY ENTRY'!$A$7:$A$1203,$A307,'DAILY ENTRY'!$B$7:$B$1203,$B307,'DAILY ENTRY'!$D$7:$D$1203,"Lead researched (Sales Navigator)"))</f>
        <v/>
      </c>
      <c r="E307" s="107" t="str">
        <f aca="false">IF($A307="","",SUMIFS('DAILY ENTRY'!$F$7:$F$1203,'DAILY ENTRY'!$A$7:$A$1203,$A307,'DAILY ENTRY'!$B$7:$B$1203,$B307,'DAILY ENTRY'!$D$7:$D$1203,"Connection request sent"))</f>
        <v/>
      </c>
      <c r="F307" s="107" t="str">
        <f aca="false">IF($A307="","",SUMIFS('DAILY ENTRY'!$F$7:$F$1203,'DAILY ENTRY'!$A$7:$A$1203,$A307,'DAILY ENTRY'!$B$7:$B$1203,$B307,'DAILY ENTRY'!$D$7:$D$1203,"First message sent"))</f>
        <v/>
      </c>
      <c r="G307" s="107" t="str">
        <f aca="false">IF($A307="","",SUMIFS('DAILY ENTRY'!$F$7:$F$1203,'DAILY ENTRY'!$A$7:$A$1203,$A307,'DAILY ENTRY'!$B$7:$B$1203,$B307,'DAILY ENTRY'!$D$7:$D$1203,"Follow-up message sent"))</f>
        <v/>
      </c>
      <c r="H307" s="107" t="str">
        <f aca="false">IF($A307="","",SUMIFS('DAILY ENTRY'!$F$7:$F$1203,'DAILY ENTRY'!$A$7:$A$1203,$A307,'DAILY ENTRY'!$B$7:$B$1203,$B307,'DAILY ENTRY'!$D$7:$D$1203,"Post / content published"))</f>
        <v/>
      </c>
      <c r="I307" s="107" t="str">
        <f aca="false">IF($A307="","",SUMIFS('DAILY ENTRY'!$F$7:$F$1203,'DAILY ENTRY'!$A$7:$A$1203,$A307,'DAILY ENTRY'!$B$7:$B$1203,$B307,'DAILY ENTRY'!$D$7:$D$1203,"Community answer or comment"))</f>
        <v/>
      </c>
      <c r="J307" s="107" t="str">
        <f aca="false">IF($A307="","",SUMIFS('DAILY ENTRY'!$F$7:$F$1203,'DAILY ENTRY'!$A$7:$A$1203,$A307,'DAILY ENTRY'!$B$7:$B$1203,$B307,'DAILY ENTRY'!$D$7:$D$1203,"Partnership / PR contact"))</f>
        <v/>
      </c>
      <c r="K307" s="107" t="str">
        <f aca="false">IF($A307="","",SUMIFS('DAILY ENTRY'!$F$7:$F$1203,'DAILY ENTRY'!$A$7:$A$1203,$A307,'DAILY ENTRY'!$B$7:$B$1203,$B307,'DAILY ENTRY'!$D$7:$D$1203,"Engagement (commented on someone else)"))</f>
        <v/>
      </c>
      <c r="L307" s="107" t="str">
        <f aca="false">IF($A307="","",SUMIFS('DAILY ENTRY'!$F$7:$F$1203,'DAILY ENTRY'!$A$7:$A$1203,$A307,'DAILY ENTRY'!$B$7:$B$1203,$B307,'DAILY ENTRY'!$D$7:$D$1203,"Account created / profile completed"))</f>
        <v/>
      </c>
      <c r="M307" s="108" t="str">
        <f aca="false">IF($A307="","",IFERROR(INDEX('DAILY ENTRY'!$E$7:$E$1203,MATCH(1,INDEX(('DAILY ENTRY'!$A$7:$A$1203=$A307)*('DAILY ENTRY'!$B$7:$B$1203=$B307)*('DAILY ENTRY'!$I$7:$I$1203="Meeting booked"),0),0)),IFERROR(INDEX('DAILY ENTRY'!$E$7:$E$1203,MATCH(1,INDEX(('DAILY ENTRY'!$A$7:$A$1203=$A307)*('DAILY ENTRY'!$B$7:$B$1203=$B307)*('DAILY ENTRY'!$I$7:$I$1203="Positive reply"),0),0)),"")))</f>
        <v/>
      </c>
      <c r="N307" s="108" t="str">
        <f aca="false">IF($A307="","",IFERROR(INDEX('DAILY ENTRY'!$J$7:$J$1203,MATCH(1,INDEX(('DAILY ENTRY'!$A$7:$A$1203=$A307)*('DAILY ENTRY'!$B$7:$B$1203=$B307)*('DAILY ENTRY'!$I$7:$I$1203="Blocked"),0),0)),""))</f>
        <v/>
      </c>
      <c r="O307" s="65" t="str">
        <f aca="false">IF($A307="","",(D307&gt;='START HERE'!$B$25)+(E307&gt;='START HERE'!$B$26)+(F307&gt;='START HERE'!$B$27)+(G307&gt;='START HERE'!$B$28)+(H307&gt;='START HERE'!$B$29)+(I307&gt;='START HERE'!$B$30)+(J307&gt;='START HERE'!$B$31)+(K307&gt;='START HERE'!$B$32))</f>
        <v/>
      </c>
      <c r="P307" s="46" t="str">
        <f aca="false">IF($A307="","",IF(O307&gt;=7,"Full day",IF(O307&gt;=5,"Most targets met",IF(O307&gt;=3,"Half day","Below plan - explain in the blocker column"))))</f>
        <v/>
      </c>
    </row>
    <row r="308" customFormat="false" ht="24" hidden="false" customHeight="true" outlineLevel="0" collapsed="false">
      <c r="A308" s="36"/>
      <c r="B308" s="37"/>
      <c r="C308" s="107" t="str">
        <f aca="false">IF($A308="","",ROUND(SUMIFS('DAILY ENTRY'!$G$7:$G$1203,'DAILY ENTRY'!$A$7:$A$1203,$A308,'DAILY ENTRY'!$B$7:$B$1203,$B308)/60,1))</f>
        <v/>
      </c>
      <c r="D308" s="107" t="str">
        <f aca="false">IF($A308="","",SUMIFS('DAILY ENTRY'!$F$7:$F$1203,'DAILY ENTRY'!$A$7:$A$1203,$A308,'DAILY ENTRY'!$B$7:$B$1203,$B308,'DAILY ENTRY'!$D$7:$D$1203,"Lead researched (Sales Navigator)"))</f>
        <v/>
      </c>
      <c r="E308" s="107" t="str">
        <f aca="false">IF($A308="","",SUMIFS('DAILY ENTRY'!$F$7:$F$1203,'DAILY ENTRY'!$A$7:$A$1203,$A308,'DAILY ENTRY'!$B$7:$B$1203,$B308,'DAILY ENTRY'!$D$7:$D$1203,"Connection request sent"))</f>
        <v/>
      </c>
      <c r="F308" s="107" t="str">
        <f aca="false">IF($A308="","",SUMIFS('DAILY ENTRY'!$F$7:$F$1203,'DAILY ENTRY'!$A$7:$A$1203,$A308,'DAILY ENTRY'!$B$7:$B$1203,$B308,'DAILY ENTRY'!$D$7:$D$1203,"First message sent"))</f>
        <v/>
      </c>
      <c r="G308" s="107" t="str">
        <f aca="false">IF($A308="","",SUMIFS('DAILY ENTRY'!$F$7:$F$1203,'DAILY ENTRY'!$A$7:$A$1203,$A308,'DAILY ENTRY'!$B$7:$B$1203,$B308,'DAILY ENTRY'!$D$7:$D$1203,"Follow-up message sent"))</f>
        <v/>
      </c>
      <c r="H308" s="107" t="str">
        <f aca="false">IF($A308="","",SUMIFS('DAILY ENTRY'!$F$7:$F$1203,'DAILY ENTRY'!$A$7:$A$1203,$A308,'DAILY ENTRY'!$B$7:$B$1203,$B308,'DAILY ENTRY'!$D$7:$D$1203,"Post / content published"))</f>
        <v/>
      </c>
      <c r="I308" s="107" t="str">
        <f aca="false">IF($A308="","",SUMIFS('DAILY ENTRY'!$F$7:$F$1203,'DAILY ENTRY'!$A$7:$A$1203,$A308,'DAILY ENTRY'!$B$7:$B$1203,$B308,'DAILY ENTRY'!$D$7:$D$1203,"Community answer or comment"))</f>
        <v/>
      </c>
      <c r="J308" s="107" t="str">
        <f aca="false">IF($A308="","",SUMIFS('DAILY ENTRY'!$F$7:$F$1203,'DAILY ENTRY'!$A$7:$A$1203,$A308,'DAILY ENTRY'!$B$7:$B$1203,$B308,'DAILY ENTRY'!$D$7:$D$1203,"Partnership / PR contact"))</f>
        <v/>
      </c>
      <c r="K308" s="107" t="str">
        <f aca="false">IF($A308="","",SUMIFS('DAILY ENTRY'!$F$7:$F$1203,'DAILY ENTRY'!$A$7:$A$1203,$A308,'DAILY ENTRY'!$B$7:$B$1203,$B308,'DAILY ENTRY'!$D$7:$D$1203,"Engagement (commented on someone else)"))</f>
        <v/>
      </c>
      <c r="L308" s="107" t="str">
        <f aca="false">IF($A308="","",SUMIFS('DAILY ENTRY'!$F$7:$F$1203,'DAILY ENTRY'!$A$7:$A$1203,$A308,'DAILY ENTRY'!$B$7:$B$1203,$B308,'DAILY ENTRY'!$D$7:$D$1203,"Account created / profile completed"))</f>
        <v/>
      </c>
      <c r="M308" s="108" t="str">
        <f aca="false">IF($A308="","",IFERROR(INDEX('DAILY ENTRY'!$E$7:$E$1203,MATCH(1,INDEX(('DAILY ENTRY'!$A$7:$A$1203=$A308)*('DAILY ENTRY'!$B$7:$B$1203=$B308)*('DAILY ENTRY'!$I$7:$I$1203="Meeting booked"),0),0)),IFERROR(INDEX('DAILY ENTRY'!$E$7:$E$1203,MATCH(1,INDEX(('DAILY ENTRY'!$A$7:$A$1203=$A308)*('DAILY ENTRY'!$B$7:$B$1203=$B308)*('DAILY ENTRY'!$I$7:$I$1203="Positive reply"),0),0)),"")))</f>
        <v/>
      </c>
      <c r="N308" s="108" t="str">
        <f aca="false">IF($A308="","",IFERROR(INDEX('DAILY ENTRY'!$J$7:$J$1203,MATCH(1,INDEX(('DAILY ENTRY'!$A$7:$A$1203=$A308)*('DAILY ENTRY'!$B$7:$B$1203=$B308)*('DAILY ENTRY'!$I$7:$I$1203="Blocked"),0),0)),""))</f>
        <v/>
      </c>
      <c r="O308" s="65" t="str">
        <f aca="false">IF($A308="","",(D308&gt;='START HERE'!$B$25)+(E308&gt;='START HERE'!$B$26)+(F308&gt;='START HERE'!$B$27)+(G308&gt;='START HERE'!$B$28)+(H308&gt;='START HERE'!$B$29)+(I308&gt;='START HERE'!$B$30)+(J308&gt;='START HERE'!$B$31)+(K308&gt;='START HERE'!$B$32))</f>
        <v/>
      </c>
      <c r="P308" s="46" t="str">
        <f aca="false">IF($A308="","",IF(O308&gt;=7,"Full day",IF(O308&gt;=5,"Most targets met",IF(O308&gt;=3,"Half day","Below plan - explain in the blocker column"))))</f>
        <v/>
      </c>
    </row>
    <row r="309" customFormat="false" ht="24" hidden="false" customHeight="true" outlineLevel="0" collapsed="false">
      <c r="A309" s="36"/>
      <c r="B309" s="37"/>
      <c r="C309" s="107" t="str">
        <f aca="false">IF($A309="","",ROUND(SUMIFS('DAILY ENTRY'!$G$7:$G$1203,'DAILY ENTRY'!$A$7:$A$1203,$A309,'DAILY ENTRY'!$B$7:$B$1203,$B309)/60,1))</f>
        <v/>
      </c>
      <c r="D309" s="107" t="str">
        <f aca="false">IF($A309="","",SUMIFS('DAILY ENTRY'!$F$7:$F$1203,'DAILY ENTRY'!$A$7:$A$1203,$A309,'DAILY ENTRY'!$B$7:$B$1203,$B309,'DAILY ENTRY'!$D$7:$D$1203,"Lead researched (Sales Navigator)"))</f>
        <v/>
      </c>
      <c r="E309" s="107" t="str">
        <f aca="false">IF($A309="","",SUMIFS('DAILY ENTRY'!$F$7:$F$1203,'DAILY ENTRY'!$A$7:$A$1203,$A309,'DAILY ENTRY'!$B$7:$B$1203,$B309,'DAILY ENTRY'!$D$7:$D$1203,"Connection request sent"))</f>
        <v/>
      </c>
      <c r="F309" s="107" t="str">
        <f aca="false">IF($A309="","",SUMIFS('DAILY ENTRY'!$F$7:$F$1203,'DAILY ENTRY'!$A$7:$A$1203,$A309,'DAILY ENTRY'!$B$7:$B$1203,$B309,'DAILY ENTRY'!$D$7:$D$1203,"First message sent"))</f>
        <v/>
      </c>
      <c r="G309" s="107" t="str">
        <f aca="false">IF($A309="","",SUMIFS('DAILY ENTRY'!$F$7:$F$1203,'DAILY ENTRY'!$A$7:$A$1203,$A309,'DAILY ENTRY'!$B$7:$B$1203,$B309,'DAILY ENTRY'!$D$7:$D$1203,"Follow-up message sent"))</f>
        <v/>
      </c>
      <c r="H309" s="107" t="str">
        <f aca="false">IF($A309="","",SUMIFS('DAILY ENTRY'!$F$7:$F$1203,'DAILY ENTRY'!$A$7:$A$1203,$A309,'DAILY ENTRY'!$B$7:$B$1203,$B309,'DAILY ENTRY'!$D$7:$D$1203,"Post / content published"))</f>
        <v/>
      </c>
      <c r="I309" s="107" t="str">
        <f aca="false">IF($A309="","",SUMIFS('DAILY ENTRY'!$F$7:$F$1203,'DAILY ENTRY'!$A$7:$A$1203,$A309,'DAILY ENTRY'!$B$7:$B$1203,$B309,'DAILY ENTRY'!$D$7:$D$1203,"Community answer or comment"))</f>
        <v/>
      </c>
      <c r="J309" s="107" t="str">
        <f aca="false">IF($A309="","",SUMIFS('DAILY ENTRY'!$F$7:$F$1203,'DAILY ENTRY'!$A$7:$A$1203,$A309,'DAILY ENTRY'!$B$7:$B$1203,$B309,'DAILY ENTRY'!$D$7:$D$1203,"Partnership / PR contact"))</f>
        <v/>
      </c>
      <c r="K309" s="107" t="str">
        <f aca="false">IF($A309="","",SUMIFS('DAILY ENTRY'!$F$7:$F$1203,'DAILY ENTRY'!$A$7:$A$1203,$A309,'DAILY ENTRY'!$B$7:$B$1203,$B309,'DAILY ENTRY'!$D$7:$D$1203,"Engagement (commented on someone else)"))</f>
        <v/>
      </c>
      <c r="L309" s="107" t="str">
        <f aca="false">IF($A309="","",SUMIFS('DAILY ENTRY'!$F$7:$F$1203,'DAILY ENTRY'!$A$7:$A$1203,$A309,'DAILY ENTRY'!$B$7:$B$1203,$B309,'DAILY ENTRY'!$D$7:$D$1203,"Account created / profile completed"))</f>
        <v/>
      </c>
      <c r="M309" s="108" t="str">
        <f aca="false">IF($A309="","",IFERROR(INDEX('DAILY ENTRY'!$E$7:$E$1203,MATCH(1,INDEX(('DAILY ENTRY'!$A$7:$A$1203=$A309)*('DAILY ENTRY'!$B$7:$B$1203=$B309)*('DAILY ENTRY'!$I$7:$I$1203="Meeting booked"),0),0)),IFERROR(INDEX('DAILY ENTRY'!$E$7:$E$1203,MATCH(1,INDEX(('DAILY ENTRY'!$A$7:$A$1203=$A309)*('DAILY ENTRY'!$B$7:$B$1203=$B309)*('DAILY ENTRY'!$I$7:$I$1203="Positive reply"),0),0)),"")))</f>
        <v/>
      </c>
      <c r="N309" s="108" t="str">
        <f aca="false">IF($A309="","",IFERROR(INDEX('DAILY ENTRY'!$J$7:$J$1203,MATCH(1,INDEX(('DAILY ENTRY'!$A$7:$A$1203=$A309)*('DAILY ENTRY'!$B$7:$B$1203=$B309)*('DAILY ENTRY'!$I$7:$I$1203="Blocked"),0),0)),""))</f>
        <v/>
      </c>
      <c r="O309" s="65" t="str">
        <f aca="false">IF($A309="","",(D309&gt;='START HERE'!$B$25)+(E309&gt;='START HERE'!$B$26)+(F309&gt;='START HERE'!$B$27)+(G309&gt;='START HERE'!$B$28)+(H309&gt;='START HERE'!$B$29)+(I309&gt;='START HERE'!$B$30)+(J309&gt;='START HERE'!$B$31)+(K309&gt;='START HERE'!$B$32))</f>
        <v/>
      </c>
      <c r="P309" s="46" t="str">
        <f aca="false">IF($A309="","",IF(O309&gt;=7,"Full day",IF(O309&gt;=5,"Most targets met",IF(O309&gt;=3,"Half day","Below plan - explain in the blocker column"))))</f>
        <v/>
      </c>
    </row>
    <row r="310" customFormat="false" ht="24" hidden="false" customHeight="true" outlineLevel="0" collapsed="false">
      <c r="A310" s="36"/>
      <c r="B310" s="37"/>
      <c r="C310" s="107" t="str">
        <f aca="false">IF($A310="","",ROUND(SUMIFS('DAILY ENTRY'!$G$7:$G$1203,'DAILY ENTRY'!$A$7:$A$1203,$A310,'DAILY ENTRY'!$B$7:$B$1203,$B310)/60,1))</f>
        <v/>
      </c>
      <c r="D310" s="107" t="str">
        <f aca="false">IF($A310="","",SUMIFS('DAILY ENTRY'!$F$7:$F$1203,'DAILY ENTRY'!$A$7:$A$1203,$A310,'DAILY ENTRY'!$B$7:$B$1203,$B310,'DAILY ENTRY'!$D$7:$D$1203,"Lead researched (Sales Navigator)"))</f>
        <v/>
      </c>
      <c r="E310" s="107" t="str">
        <f aca="false">IF($A310="","",SUMIFS('DAILY ENTRY'!$F$7:$F$1203,'DAILY ENTRY'!$A$7:$A$1203,$A310,'DAILY ENTRY'!$B$7:$B$1203,$B310,'DAILY ENTRY'!$D$7:$D$1203,"Connection request sent"))</f>
        <v/>
      </c>
      <c r="F310" s="107" t="str">
        <f aca="false">IF($A310="","",SUMIFS('DAILY ENTRY'!$F$7:$F$1203,'DAILY ENTRY'!$A$7:$A$1203,$A310,'DAILY ENTRY'!$B$7:$B$1203,$B310,'DAILY ENTRY'!$D$7:$D$1203,"First message sent"))</f>
        <v/>
      </c>
      <c r="G310" s="107" t="str">
        <f aca="false">IF($A310="","",SUMIFS('DAILY ENTRY'!$F$7:$F$1203,'DAILY ENTRY'!$A$7:$A$1203,$A310,'DAILY ENTRY'!$B$7:$B$1203,$B310,'DAILY ENTRY'!$D$7:$D$1203,"Follow-up message sent"))</f>
        <v/>
      </c>
      <c r="H310" s="107" t="str">
        <f aca="false">IF($A310="","",SUMIFS('DAILY ENTRY'!$F$7:$F$1203,'DAILY ENTRY'!$A$7:$A$1203,$A310,'DAILY ENTRY'!$B$7:$B$1203,$B310,'DAILY ENTRY'!$D$7:$D$1203,"Post / content published"))</f>
        <v/>
      </c>
      <c r="I310" s="107" t="str">
        <f aca="false">IF($A310="","",SUMIFS('DAILY ENTRY'!$F$7:$F$1203,'DAILY ENTRY'!$A$7:$A$1203,$A310,'DAILY ENTRY'!$B$7:$B$1203,$B310,'DAILY ENTRY'!$D$7:$D$1203,"Community answer or comment"))</f>
        <v/>
      </c>
      <c r="J310" s="107" t="str">
        <f aca="false">IF($A310="","",SUMIFS('DAILY ENTRY'!$F$7:$F$1203,'DAILY ENTRY'!$A$7:$A$1203,$A310,'DAILY ENTRY'!$B$7:$B$1203,$B310,'DAILY ENTRY'!$D$7:$D$1203,"Partnership / PR contact"))</f>
        <v/>
      </c>
      <c r="K310" s="107" t="str">
        <f aca="false">IF($A310="","",SUMIFS('DAILY ENTRY'!$F$7:$F$1203,'DAILY ENTRY'!$A$7:$A$1203,$A310,'DAILY ENTRY'!$B$7:$B$1203,$B310,'DAILY ENTRY'!$D$7:$D$1203,"Engagement (commented on someone else)"))</f>
        <v/>
      </c>
      <c r="L310" s="107" t="str">
        <f aca="false">IF($A310="","",SUMIFS('DAILY ENTRY'!$F$7:$F$1203,'DAILY ENTRY'!$A$7:$A$1203,$A310,'DAILY ENTRY'!$B$7:$B$1203,$B310,'DAILY ENTRY'!$D$7:$D$1203,"Account created / profile completed"))</f>
        <v/>
      </c>
      <c r="M310" s="108" t="str">
        <f aca="false">IF($A310="","",IFERROR(INDEX('DAILY ENTRY'!$E$7:$E$1203,MATCH(1,INDEX(('DAILY ENTRY'!$A$7:$A$1203=$A310)*('DAILY ENTRY'!$B$7:$B$1203=$B310)*('DAILY ENTRY'!$I$7:$I$1203="Meeting booked"),0),0)),IFERROR(INDEX('DAILY ENTRY'!$E$7:$E$1203,MATCH(1,INDEX(('DAILY ENTRY'!$A$7:$A$1203=$A310)*('DAILY ENTRY'!$B$7:$B$1203=$B310)*('DAILY ENTRY'!$I$7:$I$1203="Positive reply"),0),0)),"")))</f>
        <v/>
      </c>
      <c r="N310" s="108" t="str">
        <f aca="false">IF($A310="","",IFERROR(INDEX('DAILY ENTRY'!$J$7:$J$1203,MATCH(1,INDEX(('DAILY ENTRY'!$A$7:$A$1203=$A310)*('DAILY ENTRY'!$B$7:$B$1203=$B310)*('DAILY ENTRY'!$I$7:$I$1203="Blocked"),0),0)),""))</f>
        <v/>
      </c>
      <c r="O310" s="65" t="str">
        <f aca="false">IF($A310="","",(D310&gt;='START HERE'!$B$25)+(E310&gt;='START HERE'!$B$26)+(F310&gt;='START HERE'!$B$27)+(G310&gt;='START HERE'!$B$28)+(H310&gt;='START HERE'!$B$29)+(I310&gt;='START HERE'!$B$30)+(J310&gt;='START HERE'!$B$31)+(K310&gt;='START HERE'!$B$32))</f>
        <v/>
      </c>
      <c r="P310" s="46" t="str">
        <f aca="false">IF($A310="","",IF(O310&gt;=7,"Full day",IF(O310&gt;=5,"Most targets met",IF(O310&gt;=3,"Half day","Below plan - explain in the blocker column"))))</f>
        <v/>
      </c>
    </row>
    <row r="311" customFormat="false" ht="24" hidden="false" customHeight="true" outlineLevel="0" collapsed="false">
      <c r="A311" s="36"/>
      <c r="B311" s="37"/>
      <c r="C311" s="107" t="str">
        <f aca="false">IF($A311="","",ROUND(SUMIFS('DAILY ENTRY'!$G$7:$G$1203,'DAILY ENTRY'!$A$7:$A$1203,$A311,'DAILY ENTRY'!$B$7:$B$1203,$B311)/60,1))</f>
        <v/>
      </c>
      <c r="D311" s="107" t="str">
        <f aca="false">IF($A311="","",SUMIFS('DAILY ENTRY'!$F$7:$F$1203,'DAILY ENTRY'!$A$7:$A$1203,$A311,'DAILY ENTRY'!$B$7:$B$1203,$B311,'DAILY ENTRY'!$D$7:$D$1203,"Lead researched (Sales Navigator)"))</f>
        <v/>
      </c>
      <c r="E311" s="107" t="str">
        <f aca="false">IF($A311="","",SUMIFS('DAILY ENTRY'!$F$7:$F$1203,'DAILY ENTRY'!$A$7:$A$1203,$A311,'DAILY ENTRY'!$B$7:$B$1203,$B311,'DAILY ENTRY'!$D$7:$D$1203,"Connection request sent"))</f>
        <v/>
      </c>
      <c r="F311" s="107" t="str">
        <f aca="false">IF($A311="","",SUMIFS('DAILY ENTRY'!$F$7:$F$1203,'DAILY ENTRY'!$A$7:$A$1203,$A311,'DAILY ENTRY'!$B$7:$B$1203,$B311,'DAILY ENTRY'!$D$7:$D$1203,"First message sent"))</f>
        <v/>
      </c>
      <c r="G311" s="107" t="str">
        <f aca="false">IF($A311="","",SUMIFS('DAILY ENTRY'!$F$7:$F$1203,'DAILY ENTRY'!$A$7:$A$1203,$A311,'DAILY ENTRY'!$B$7:$B$1203,$B311,'DAILY ENTRY'!$D$7:$D$1203,"Follow-up message sent"))</f>
        <v/>
      </c>
      <c r="H311" s="107" t="str">
        <f aca="false">IF($A311="","",SUMIFS('DAILY ENTRY'!$F$7:$F$1203,'DAILY ENTRY'!$A$7:$A$1203,$A311,'DAILY ENTRY'!$B$7:$B$1203,$B311,'DAILY ENTRY'!$D$7:$D$1203,"Post / content published"))</f>
        <v/>
      </c>
      <c r="I311" s="107" t="str">
        <f aca="false">IF($A311="","",SUMIFS('DAILY ENTRY'!$F$7:$F$1203,'DAILY ENTRY'!$A$7:$A$1203,$A311,'DAILY ENTRY'!$B$7:$B$1203,$B311,'DAILY ENTRY'!$D$7:$D$1203,"Community answer or comment"))</f>
        <v/>
      </c>
      <c r="J311" s="107" t="str">
        <f aca="false">IF($A311="","",SUMIFS('DAILY ENTRY'!$F$7:$F$1203,'DAILY ENTRY'!$A$7:$A$1203,$A311,'DAILY ENTRY'!$B$7:$B$1203,$B311,'DAILY ENTRY'!$D$7:$D$1203,"Partnership / PR contact"))</f>
        <v/>
      </c>
      <c r="K311" s="107" t="str">
        <f aca="false">IF($A311="","",SUMIFS('DAILY ENTRY'!$F$7:$F$1203,'DAILY ENTRY'!$A$7:$A$1203,$A311,'DAILY ENTRY'!$B$7:$B$1203,$B311,'DAILY ENTRY'!$D$7:$D$1203,"Engagement (commented on someone else)"))</f>
        <v/>
      </c>
      <c r="L311" s="107" t="str">
        <f aca="false">IF($A311="","",SUMIFS('DAILY ENTRY'!$F$7:$F$1203,'DAILY ENTRY'!$A$7:$A$1203,$A311,'DAILY ENTRY'!$B$7:$B$1203,$B311,'DAILY ENTRY'!$D$7:$D$1203,"Account created / profile completed"))</f>
        <v/>
      </c>
      <c r="M311" s="108" t="str">
        <f aca="false">IF($A311="","",IFERROR(INDEX('DAILY ENTRY'!$E$7:$E$1203,MATCH(1,INDEX(('DAILY ENTRY'!$A$7:$A$1203=$A311)*('DAILY ENTRY'!$B$7:$B$1203=$B311)*('DAILY ENTRY'!$I$7:$I$1203="Meeting booked"),0),0)),IFERROR(INDEX('DAILY ENTRY'!$E$7:$E$1203,MATCH(1,INDEX(('DAILY ENTRY'!$A$7:$A$1203=$A311)*('DAILY ENTRY'!$B$7:$B$1203=$B311)*('DAILY ENTRY'!$I$7:$I$1203="Positive reply"),0),0)),"")))</f>
        <v/>
      </c>
      <c r="N311" s="108" t="str">
        <f aca="false">IF($A311="","",IFERROR(INDEX('DAILY ENTRY'!$J$7:$J$1203,MATCH(1,INDEX(('DAILY ENTRY'!$A$7:$A$1203=$A311)*('DAILY ENTRY'!$B$7:$B$1203=$B311)*('DAILY ENTRY'!$I$7:$I$1203="Blocked"),0),0)),""))</f>
        <v/>
      </c>
      <c r="O311" s="65" t="str">
        <f aca="false">IF($A311="","",(D311&gt;='START HERE'!$B$25)+(E311&gt;='START HERE'!$B$26)+(F311&gt;='START HERE'!$B$27)+(G311&gt;='START HERE'!$B$28)+(H311&gt;='START HERE'!$B$29)+(I311&gt;='START HERE'!$B$30)+(J311&gt;='START HERE'!$B$31)+(K311&gt;='START HERE'!$B$32))</f>
        <v/>
      </c>
      <c r="P311" s="46" t="str">
        <f aca="false">IF($A311="","",IF(O311&gt;=7,"Full day",IF(O311&gt;=5,"Most targets met",IF(O311&gt;=3,"Half day","Below plan - explain in the blocker column"))))</f>
        <v/>
      </c>
    </row>
    <row r="312" customFormat="false" ht="24" hidden="false" customHeight="true" outlineLevel="0" collapsed="false">
      <c r="A312" s="36"/>
      <c r="B312" s="37"/>
      <c r="C312" s="107" t="str">
        <f aca="false">IF($A312="","",ROUND(SUMIFS('DAILY ENTRY'!$G$7:$G$1203,'DAILY ENTRY'!$A$7:$A$1203,$A312,'DAILY ENTRY'!$B$7:$B$1203,$B312)/60,1))</f>
        <v/>
      </c>
      <c r="D312" s="107" t="str">
        <f aca="false">IF($A312="","",SUMIFS('DAILY ENTRY'!$F$7:$F$1203,'DAILY ENTRY'!$A$7:$A$1203,$A312,'DAILY ENTRY'!$B$7:$B$1203,$B312,'DAILY ENTRY'!$D$7:$D$1203,"Lead researched (Sales Navigator)"))</f>
        <v/>
      </c>
      <c r="E312" s="107" t="str">
        <f aca="false">IF($A312="","",SUMIFS('DAILY ENTRY'!$F$7:$F$1203,'DAILY ENTRY'!$A$7:$A$1203,$A312,'DAILY ENTRY'!$B$7:$B$1203,$B312,'DAILY ENTRY'!$D$7:$D$1203,"Connection request sent"))</f>
        <v/>
      </c>
      <c r="F312" s="107" t="str">
        <f aca="false">IF($A312="","",SUMIFS('DAILY ENTRY'!$F$7:$F$1203,'DAILY ENTRY'!$A$7:$A$1203,$A312,'DAILY ENTRY'!$B$7:$B$1203,$B312,'DAILY ENTRY'!$D$7:$D$1203,"First message sent"))</f>
        <v/>
      </c>
      <c r="G312" s="107" t="str">
        <f aca="false">IF($A312="","",SUMIFS('DAILY ENTRY'!$F$7:$F$1203,'DAILY ENTRY'!$A$7:$A$1203,$A312,'DAILY ENTRY'!$B$7:$B$1203,$B312,'DAILY ENTRY'!$D$7:$D$1203,"Follow-up message sent"))</f>
        <v/>
      </c>
      <c r="H312" s="107" t="str">
        <f aca="false">IF($A312="","",SUMIFS('DAILY ENTRY'!$F$7:$F$1203,'DAILY ENTRY'!$A$7:$A$1203,$A312,'DAILY ENTRY'!$B$7:$B$1203,$B312,'DAILY ENTRY'!$D$7:$D$1203,"Post / content published"))</f>
        <v/>
      </c>
      <c r="I312" s="107" t="str">
        <f aca="false">IF($A312="","",SUMIFS('DAILY ENTRY'!$F$7:$F$1203,'DAILY ENTRY'!$A$7:$A$1203,$A312,'DAILY ENTRY'!$B$7:$B$1203,$B312,'DAILY ENTRY'!$D$7:$D$1203,"Community answer or comment"))</f>
        <v/>
      </c>
      <c r="J312" s="107" t="str">
        <f aca="false">IF($A312="","",SUMIFS('DAILY ENTRY'!$F$7:$F$1203,'DAILY ENTRY'!$A$7:$A$1203,$A312,'DAILY ENTRY'!$B$7:$B$1203,$B312,'DAILY ENTRY'!$D$7:$D$1203,"Partnership / PR contact"))</f>
        <v/>
      </c>
      <c r="K312" s="107" t="str">
        <f aca="false">IF($A312="","",SUMIFS('DAILY ENTRY'!$F$7:$F$1203,'DAILY ENTRY'!$A$7:$A$1203,$A312,'DAILY ENTRY'!$B$7:$B$1203,$B312,'DAILY ENTRY'!$D$7:$D$1203,"Engagement (commented on someone else)"))</f>
        <v/>
      </c>
      <c r="L312" s="107" t="str">
        <f aca="false">IF($A312="","",SUMIFS('DAILY ENTRY'!$F$7:$F$1203,'DAILY ENTRY'!$A$7:$A$1203,$A312,'DAILY ENTRY'!$B$7:$B$1203,$B312,'DAILY ENTRY'!$D$7:$D$1203,"Account created / profile completed"))</f>
        <v/>
      </c>
      <c r="M312" s="108" t="str">
        <f aca="false">IF($A312="","",IFERROR(INDEX('DAILY ENTRY'!$E$7:$E$1203,MATCH(1,INDEX(('DAILY ENTRY'!$A$7:$A$1203=$A312)*('DAILY ENTRY'!$B$7:$B$1203=$B312)*('DAILY ENTRY'!$I$7:$I$1203="Meeting booked"),0),0)),IFERROR(INDEX('DAILY ENTRY'!$E$7:$E$1203,MATCH(1,INDEX(('DAILY ENTRY'!$A$7:$A$1203=$A312)*('DAILY ENTRY'!$B$7:$B$1203=$B312)*('DAILY ENTRY'!$I$7:$I$1203="Positive reply"),0),0)),"")))</f>
        <v/>
      </c>
      <c r="N312" s="108" t="str">
        <f aca="false">IF($A312="","",IFERROR(INDEX('DAILY ENTRY'!$J$7:$J$1203,MATCH(1,INDEX(('DAILY ENTRY'!$A$7:$A$1203=$A312)*('DAILY ENTRY'!$B$7:$B$1203=$B312)*('DAILY ENTRY'!$I$7:$I$1203="Blocked"),0),0)),""))</f>
        <v/>
      </c>
      <c r="O312" s="65" t="str">
        <f aca="false">IF($A312="","",(D312&gt;='START HERE'!$B$25)+(E312&gt;='START HERE'!$B$26)+(F312&gt;='START HERE'!$B$27)+(G312&gt;='START HERE'!$B$28)+(H312&gt;='START HERE'!$B$29)+(I312&gt;='START HERE'!$B$30)+(J312&gt;='START HERE'!$B$31)+(K312&gt;='START HERE'!$B$32))</f>
        <v/>
      </c>
      <c r="P312" s="46" t="str">
        <f aca="false">IF($A312="","",IF(O312&gt;=7,"Full day",IF(O312&gt;=5,"Most targets met",IF(O312&gt;=3,"Half day","Below plan - explain in the blocker column"))))</f>
        <v/>
      </c>
    </row>
    <row r="313" customFormat="false" ht="24" hidden="false" customHeight="true" outlineLevel="0" collapsed="false">
      <c r="A313" s="36"/>
      <c r="B313" s="37"/>
      <c r="C313" s="107" t="str">
        <f aca="false">IF($A313="","",ROUND(SUMIFS('DAILY ENTRY'!$G$7:$G$1203,'DAILY ENTRY'!$A$7:$A$1203,$A313,'DAILY ENTRY'!$B$7:$B$1203,$B313)/60,1))</f>
        <v/>
      </c>
      <c r="D313" s="107" t="str">
        <f aca="false">IF($A313="","",SUMIFS('DAILY ENTRY'!$F$7:$F$1203,'DAILY ENTRY'!$A$7:$A$1203,$A313,'DAILY ENTRY'!$B$7:$B$1203,$B313,'DAILY ENTRY'!$D$7:$D$1203,"Lead researched (Sales Navigator)"))</f>
        <v/>
      </c>
      <c r="E313" s="107" t="str">
        <f aca="false">IF($A313="","",SUMIFS('DAILY ENTRY'!$F$7:$F$1203,'DAILY ENTRY'!$A$7:$A$1203,$A313,'DAILY ENTRY'!$B$7:$B$1203,$B313,'DAILY ENTRY'!$D$7:$D$1203,"Connection request sent"))</f>
        <v/>
      </c>
      <c r="F313" s="107" t="str">
        <f aca="false">IF($A313="","",SUMIFS('DAILY ENTRY'!$F$7:$F$1203,'DAILY ENTRY'!$A$7:$A$1203,$A313,'DAILY ENTRY'!$B$7:$B$1203,$B313,'DAILY ENTRY'!$D$7:$D$1203,"First message sent"))</f>
        <v/>
      </c>
      <c r="G313" s="107" t="str">
        <f aca="false">IF($A313="","",SUMIFS('DAILY ENTRY'!$F$7:$F$1203,'DAILY ENTRY'!$A$7:$A$1203,$A313,'DAILY ENTRY'!$B$7:$B$1203,$B313,'DAILY ENTRY'!$D$7:$D$1203,"Follow-up message sent"))</f>
        <v/>
      </c>
      <c r="H313" s="107" t="str">
        <f aca="false">IF($A313="","",SUMIFS('DAILY ENTRY'!$F$7:$F$1203,'DAILY ENTRY'!$A$7:$A$1203,$A313,'DAILY ENTRY'!$B$7:$B$1203,$B313,'DAILY ENTRY'!$D$7:$D$1203,"Post / content published"))</f>
        <v/>
      </c>
      <c r="I313" s="107" t="str">
        <f aca="false">IF($A313="","",SUMIFS('DAILY ENTRY'!$F$7:$F$1203,'DAILY ENTRY'!$A$7:$A$1203,$A313,'DAILY ENTRY'!$B$7:$B$1203,$B313,'DAILY ENTRY'!$D$7:$D$1203,"Community answer or comment"))</f>
        <v/>
      </c>
      <c r="J313" s="107" t="str">
        <f aca="false">IF($A313="","",SUMIFS('DAILY ENTRY'!$F$7:$F$1203,'DAILY ENTRY'!$A$7:$A$1203,$A313,'DAILY ENTRY'!$B$7:$B$1203,$B313,'DAILY ENTRY'!$D$7:$D$1203,"Partnership / PR contact"))</f>
        <v/>
      </c>
      <c r="K313" s="107" t="str">
        <f aca="false">IF($A313="","",SUMIFS('DAILY ENTRY'!$F$7:$F$1203,'DAILY ENTRY'!$A$7:$A$1203,$A313,'DAILY ENTRY'!$B$7:$B$1203,$B313,'DAILY ENTRY'!$D$7:$D$1203,"Engagement (commented on someone else)"))</f>
        <v/>
      </c>
      <c r="L313" s="107" t="str">
        <f aca="false">IF($A313="","",SUMIFS('DAILY ENTRY'!$F$7:$F$1203,'DAILY ENTRY'!$A$7:$A$1203,$A313,'DAILY ENTRY'!$B$7:$B$1203,$B313,'DAILY ENTRY'!$D$7:$D$1203,"Account created / profile completed"))</f>
        <v/>
      </c>
      <c r="M313" s="108" t="str">
        <f aca="false">IF($A313="","",IFERROR(INDEX('DAILY ENTRY'!$E$7:$E$1203,MATCH(1,INDEX(('DAILY ENTRY'!$A$7:$A$1203=$A313)*('DAILY ENTRY'!$B$7:$B$1203=$B313)*('DAILY ENTRY'!$I$7:$I$1203="Meeting booked"),0),0)),IFERROR(INDEX('DAILY ENTRY'!$E$7:$E$1203,MATCH(1,INDEX(('DAILY ENTRY'!$A$7:$A$1203=$A313)*('DAILY ENTRY'!$B$7:$B$1203=$B313)*('DAILY ENTRY'!$I$7:$I$1203="Positive reply"),0),0)),"")))</f>
        <v/>
      </c>
      <c r="N313" s="108" t="str">
        <f aca="false">IF($A313="","",IFERROR(INDEX('DAILY ENTRY'!$J$7:$J$1203,MATCH(1,INDEX(('DAILY ENTRY'!$A$7:$A$1203=$A313)*('DAILY ENTRY'!$B$7:$B$1203=$B313)*('DAILY ENTRY'!$I$7:$I$1203="Blocked"),0),0)),""))</f>
        <v/>
      </c>
      <c r="O313" s="65" t="str">
        <f aca="false">IF($A313="","",(D313&gt;='START HERE'!$B$25)+(E313&gt;='START HERE'!$B$26)+(F313&gt;='START HERE'!$B$27)+(G313&gt;='START HERE'!$B$28)+(H313&gt;='START HERE'!$B$29)+(I313&gt;='START HERE'!$B$30)+(J313&gt;='START HERE'!$B$31)+(K313&gt;='START HERE'!$B$32))</f>
        <v/>
      </c>
      <c r="P313" s="46" t="str">
        <f aca="false">IF($A313="","",IF(O313&gt;=7,"Full day",IF(O313&gt;=5,"Most targets met",IF(O313&gt;=3,"Half day","Below plan - explain in the blocker column"))))</f>
        <v/>
      </c>
    </row>
    <row r="314" customFormat="false" ht="24" hidden="false" customHeight="true" outlineLevel="0" collapsed="false">
      <c r="A314" s="36"/>
      <c r="B314" s="37"/>
      <c r="C314" s="107" t="str">
        <f aca="false">IF($A314="","",ROUND(SUMIFS('DAILY ENTRY'!$G$7:$G$1203,'DAILY ENTRY'!$A$7:$A$1203,$A314,'DAILY ENTRY'!$B$7:$B$1203,$B314)/60,1))</f>
        <v/>
      </c>
      <c r="D314" s="107" t="str">
        <f aca="false">IF($A314="","",SUMIFS('DAILY ENTRY'!$F$7:$F$1203,'DAILY ENTRY'!$A$7:$A$1203,$A314,'DAILY ENTRY'!$B$7:$B$1203,$B314,'DAILY ENTRY'!$D$7:$D$1203,"Lead researched (Sales Navigator)"))</f>
        <v/>
      </c>
      <c r="E314" s="107" t="str">
        <f aca="false">IF($A314="","",SUMIFS('DAILY ENTRY'!$F$7:$F$1203,'DAILY ENTRY'!$A$7:$A$1203,$A314,'DAILY ENTRY'!$B$7:$B$1203,$B314,'DAILY ENTRY'!$D$7:$D$1203,"Connection request sent"))</f>
        <v/>
      </c>
      <c r="F314" s="107" t="str">
        <f aca="false">IF($A314="","",SUMIFS('DAILY ENTRY'!$F$7:$F$1203,'DAILY ENTRY'!$A$7:$A$1203,$A314,'DAILY ENTRY'!$B$7:$B$1203,$B314,'DAILY ENTRY'!$D$7:$D$1203,"First message sent"))</f>
        <v/>
      </c>
      <c r="G314" s="107" t="str">
        <f aca="false">IF($A314="","",SUMIFS('DAILY ENTRY'!$F$7:$F$1203,'DAILY ENTRY'!$A$7:$A$1203,$A314,'DAILY ENTRY'!$B$7:$B$1203,$B314,'DAILY ENTRY'!$D$7:$D$1203,"Follow-up message sent"))</f>
        <v/>
      </c>
      <c r="H314" s="107" t="str">
        <f aca="false">IF($A314="","",SUMIFS('DAILY ENTRY'!$F$7:$F$1203,'DAILY ENTRY'!$A$7:$A$1203,$A314,'DAILY ENTRY'!$B$7:$B$1203,$B314,'DAILY ENTRY'!$D$7:$D$1203,"Post / content published"))</f>
        <v/>
      </c>
      <c r="I314" s="107" t="str">
        <f aca="false">IF($A314="","",SUMIFS('DAILY ENTRY'!$F$7:$F$1203,'DAILY ENTRY'!$A$7:$A$1203,$A314,'DAILY ENTRY'!$B$7:$B$1203,$B314,'DAILY ENTRY'!$D$7:$D$1203,"Community answer or comment"))</f>
        <v/>
      </c>
      <c r="J314" s="107" t="str">
        <f aca="false">IF($A314="","",SUMIFS('DAILY ENTRY'!$F$7:$F$1203,'DAILY ENTRY'!$A$7:$A$1203,$A314,'DAILY ENTRY'!$B$7:$B$1203,$B314,'DAILY ENTRY'!$D$7:$D$1203,"Partnership / PR contact"))</f>
        <v/>
      </c>
      <c r="K314" s="107" t="str">
        <f aca="false">IF($A314="","",SUMIFS('DAILY ENTRY'!$F$7:$F$1203,'DAILY ENTRY'!$A$7:$A$1203,$A314,'DAILY ENTRY'!$B$7:$B$1203,$B314,'DAILY ENTRY'!$D$7:$D$1203,"Engagement (commented on someone else)"))</f>
        <v/>
      </c>
      <c r="L314" s="107" t="str">
        <f aca="false">IF($A314="","",SUMIFS('DAILY ENTRY'!$F$7:$F$1203,'DAILY ENTRY'!$A$7:$A$1203,$A314,'DAILY ENTRY'!$B$7:$B$1203,$B314,'DAILY ENTRY'!$D$7:$D$1203,"Account created / profile completed"))</f>
        <v/>
      </c>
      <c r="M314" s="108" t="str">
        <f aca="false">IF($A314="","",IFERROR(INDEX('DAILY ENTRY'!$E$7:$E$1203,MATCH(1,INDEX(('DAILY ENTRY'!$A$7:$A$1203=$A314)*('DAILY ENTRY'!$B$7:$B$1203=$B314)*('DAILY ENTRY'!$I$7:$I$1203="Meeting booked"),0),0)),IFERROR(INDEX('DAILY ENTRY'!$E$7:$E$1203,MATCH(1,INDEX(('DAILY ENTRY'!$A$7:$A$1203=$A314)*('DAILY ENTRY'!$B$7:$B$1203=$B314)*('DAILY ENTRY'!$I$7:$I$1203="Positive reply"),0),0)),"")))</f>
        <v/>
      </c>
      <c r="N314" s="108" t="str">
        <f aca="false">IF($A314="","",IFERROR(INDEX('DAILY ENTRY'!$J$7:$J$1203,MATCH(1,INDEX(('DAILY ENTRY'!$A$7:$A$1203=$A314)*('DAILY ENTRY'!$B$7:$B$1203=$B314)*('DAILY ENTRY'!$I$7:$I$1203="Blocked"),0),0)),""))</f>
        <v/>
      </c>
      <c r="O314" s="65" t="str">
        <f aca="false">IF($A314="","",(D314&gt;='START HERE'!$B$25)+(E314&gt;='START HERE'!$B$26)+(F314&gt;='START HERE'!$B$27)+(G314&gt;='START HERE'!$B$28)+(H314&gt;='START HERE'!$B$29)+(I314&gt;='START HERE'!$B$30)+(J314&gt;='START HERE'!$B$31)+(K314&gt;='START HERE'!$B$32))</f>
        <v/>
      </c>
      <c r="P314" s="46" t="str">
        <f aca="false">IF($A314="","",IF(O314&gt;=7,"Full day",IF(O314&gt;=5,"Most targets met",IF(O314&gt;=3,"Half day","Below plan - explain in the blocker column"))))</f>
        <v/>
      </c>
    </row>
    <row r="315" customFormat="false" ht="24" hidden="false" customHeight="true" outlineLevel="0" collapsed="false">
      <c r="A315" s="36"/>
      <c r="B315" s="37"/>
      <c r="C315" s="107" t="str">
        <f aca="false">IF($A315="","",ROUND(SUMIFS('DAILY ENTRY'!$G$7:$G$1203,'DAILY ENTRY'!$A$7:$A$1203,$A315,'DAILY ENTRY'!$B$7:$B$1203,$B315)/60,1))</f>
        <v/>
      </c>
      <c r="D315" s="107" t="str">
        <f aca="false">IF($A315="","",SUMIFS('DAILY ENTRY'!$F$7:$F$1203,'DAILY ENTRY'!$A$7:$A$1203,$A315,'DAILY ENTRY'!$B$7:$B$1203,$B315,'DAILY ENTRY'!$D$7:$D$1203,"Lead researched (Sales Navigator)"))</f>
        <v/>
      </c>
      <c r="E315" s="107" t="str">
        <f aca="false">IF($A315="","",SUMIFS('DAILY ENTRY'!$F$7:$F$1203,'DAILY ENTRY'!$A$7:$A$1203,$A315,'DAILY ENTRY'!$B$7:$B$1203,$B315,'DAILY ENTRY'!$D$7:$D$1203,"Connection request sent"))</f>
        <v/>
      </c>
      <c r="F315" s="107" t="str">
        <f aca="false">IF($A315="","",SUMIFS('DAILY ENTRY'!$F$7:$F$1203,'DAILY ENTRY'!$A$7:$A$1203,$A315,'DAILY ENTRY'!$B$7:$B$1203,$B315,'DAILY ENTRY'!$D$7:$D$1203,"First message sent"))</f>
        <v/>
      </c>
      <c r="G315" s="107" t="str">
        <f aca="false">IF($A315="","",SUMIFS('DAILY ENTRY'!$F$7:$F$1203,'DAILY ENTRY'!$A$7:$A$1203,$A315,'DAILY ENTRY'!$B$7:$B$1203,$B315,'DAILY ENTRY'!$D$7:$D$1203,"Follow-up message sent"))</f>
        <v/>
      </c>
      <c r="H315" s="107" t="str">
        <f aca="false">IF($A315="","",SUMIFS('DAILY ENTRY'!$F$7:$F$1203,'DAILY ENTRY'!$A$7:$A$1203,$A315,'DAILY ENTRY'!$B$7:$B$1203,$B315,'DAILY ENTRY'!$D$7:$D$1203,"Post / content published"))</f>
        <v/>
      </c>
      <c r="I315" s="107" t="str">
        <f aca="false">IF($A315="","",SUMIFS('DAILY ENTRY'!$F$7:$F$1203,'DAILY ENTRY'!$A$7:$A$1203,$A315,'DAILY ENTRY'!$B$7:$B$1203,$B315,'DAILY ENTRY'!$D$7:$D$1203,"Community answer or comment"))</f>
        <v/>
      </c>
      <c r="J315" s="107" t="str">
        <f aca="false">IF($A315="","",SUMIFS('DAILY ENTRY'!$F$7:$F$1203,'DAILY ENTRY'!$A$7:$A$1203,$A315,'DAILY ENTRY'!$B$7:$B$1203,$B315,'DAILY ENTRY'!$D$7:$D$1203,"Partnership / PR contact"))</f>
        <v/>
      </c>
      <c r="K315" s="107" t="str">
        <f aca="false">IF($A315="","",SUMIFS('DAILY ENTRY'!$F$7:$F$1203,'DAILY ENTRY'!$A$7:$A$1203,$A315,'DAILY ENTRY'!$B$7:$B$1203,$B315,'DAILY ENTRY'!$D$7:$D$1203,"Engagement (commented on someone else)"))</f>
        <v/>
      </c>
      <c r="L315" s="107" t="str">
        <f aca="false">IF($A315="","",SUMIFS('DAILY ENTRY'!$F$7:$F$1203,'DAILY ENTRY'!$A$7:$A$1203,$A315,'DAILY ENTRY'!$B$7:$B$1203,$B315,'DAILY ENTRY'!$D$7:$D$1203,"Account created / profile completed"))</f>
        <v/>
      </c>
      <c r="M315" s="108" t="str">
        <f aca="false">IF($A315="","",IFERROR(INDEX('DAILY ENTRY'!$E$7:$E$1203,MATCH(1,INDEX(('DAILY ENTRY'!$A$7:$A$1203=$A315)*('DAILY ENTRY'!$B$7:$B$1203=$B315)*('DAILY ENTRY'!$I$7:$I$1203="Meeting booked"),0),0)),IFERROR(INDEX('DAILY ENTRY'!$E$7:$E$1203,MATCH(1,INDEX(('DAILY ENTRY'!$A$7:$A$1203=$A315)*('DAILY ENTRY'!$B$7:$B$1203=$B315)*('DAILY ENTRY'!$I$7:$I$1203="Positive reply"),0),0)),"")))</f>
        <v/>
      </c>
      <c r="N315" s="108" t="str">
        <f aca="false">IF($A315="","",IFERROR(INDEX('DAILY ENTRY'!$J$7:$J$1203,MATCH(1,INDEX(('DAILY ENTRY'!$A$7:$A$1203=$A315)*('DAILY ENTRY'!$B$7:$B$1203=$B315)*('DAILY ENTRY'!$I$7:$I$1203="Blocked"),0),0)),""))</f>
        <v/>
      </c>
      <c r="O315" s="65" t="str">
        <f aca="false">IF($A315="","",(D315&gt;='START HERE'!$B$25)+(E315&gt;='START HERE'!$B$26)+(F315&gt;='START HERE'!$B$27)+(G315&gt;='START HERE'!$B$28)+(H315&gt;='START HERE'!$B$29)+(I315&gt;='START HERE'!$B$30)+(J315&gt;='START HERE'!$B$31)+(K315&gt;='START HERE'!$B$32))</f>
        <v/>
      </c>
      <c r="P315" s="46" t="str">
        <f aca="false">IF($A315="","",IF(O315&gt;=7,"Full day",IF(O315&gt;=5,"Most targets met",IF(O315&gt;=3,"Half day","Below plan - explain in the blocker column"))))</f>
        <v/>
      </c>
    </row>
    <row r="316" customFormat="false" ht="24" hidden="false" customHeight="true" outlineLevel="0" collapsed="false">
      <c r="A316" s="36"/>
      <c r="B316" s="37"/>
      <c r="C316" s="107" t="str">
        <f aca="false">IF($A316="","",ROUND(SUMIFS('DAILY ENTRY'!$G$7:$G$1203,'DAILY ENTRY'!$A$7:$A$1203,$A316,'DAILY ENTRY'!$B$7:$B$1203,$B316)/60,1))</f>
        <v/>
      </c>
      <c r="D316" s="107" t="str">
        <f aca="false">IF($A316="","",SUMIFS('DAILY ENTRY'!$F$7:$F$1203,'DAILY ENTRY'!$A$7:$A$1203,$A316,'DAILY ENTRY'!$B$7:$B$1203,$B316,'DAILY ENTRY'!$D$7:$D$1203,"Lead researched (Sales Navigator)"))</f>
        <v/>
      </c>
      <c r="E316" s="107" t="str">
        <f aca="false">IF($A316="","",SUMIFS('DAILY ENTRY'!$F$7:$F$1203,'DAILY ENTRY'!$A$7:$A$1203,$A316,'DAILY ENTRY'!$B$7:$B$1203,$B316,'DAILY ENTRY'!$D$7:$D$1203,"Connection request sent"))</f>
        <v/>
      </c>
      <c r="F316" s="107" t="str">
        <f aca="false">IF($A316="","",SUMIFS('DAILY ENTRY'!$F$7:$F$1203,'DAILY ENTRY'!$A$7:$A$1203,$A316,'DAILY ENTRY'!$B$7:$B$1203,$B316,'DAILY ENTRY'!$D$7:$D$1203,"First message sent"))</f>
        <v/>
      </c>
      <c r="G316" s="107" t="str">
        <f aca="false">IF($A316="","",SUMIFS('DAILY ENTRY'!$F$7:$F$1203,'DAILY ENTRY'!$A$7:$A$1203,$A316,'DAILY ENTRY'!$B$7:$B$1203,$B316,'DAILY ENTRY'!$D$7:$D$1203,"Follow-up message sent"))</f>
        <v/>
      </c>
      <c r="H316" s="107" t="str">
        <f aca="false">IF($A316="","",SUMIFS('DAILY ENTRY'!$F$7:$F$1203,'DAILY ENTRY'!$A$7:$A$1203,$A316,'DAILY ENTRY'!$B$7:$B$1203,$B316,'DAILY ENTRY'!$D$7:$D$1203,"Post / content published"))</f>
        <v/>
      </c>
      <c r="I316" s="107" t="str">
        <f aca="false">IF($A316="","",SUMIFS('DAILY ENTRY'!$F$7:$F$1203,'DAILY ENTRY'!$A$7:$A$1203,$A316,'DAILY ENTRY'!$B$7:$B$1203,$B316,'DAILY ENTRY'!$D$7:$D$1203,"Community answer or comment"))</f>
        <v/>
      </c>
      <c r="J316" s="107" t="str">
        <f aca="false">IF($A316="","",SUMIFS('DAILY ENTRY'!$F$7:$F$1203,'DAILY ENTRY'!$A$7:$A$1203,$A316,'DAILY ENTRY'!$B$7:$B$1203,$B316,'DAILY ENTRY'!$D$7:$D$1203,"Partnership / PR contact"))</f>
        <v/>
      </c>
      <c r="K316" s="107" t="str">
        <f aca="false">IF($A316="","",SUMIFS('DAILY ENTRY'!$F$7:$F$1203,'DAILY ENTRY'!$A$7:$A$1203,$A316,'DAILY ENTRY'!$B$7:$B$1203,$B316,'DAILY ENTRY'!$D$7:$D$1203,"Engagement (commented on someone else)"))</f>
        <v/>
      </c>
      <c r="L316" s="107" t="str">
        <f aca="false">IF($A316="","",SUMIFS('DAILY ENTRY'!$F$7:$F$1203,'DAILY ENTRY'!$A$7:$A$1203,$A316,'DAILY ENTRY'!$B$7:$B$1203,$B316,'DAILY ENTRY'!$D$7:$D$1203,"Account created / profile completed"))</f>
        <v/>
      </c>
      <c r="M316" s="108" t="str">
        <f aca="false">IF($A316="","",IFERROR(INDEX('DAILY ENTRY'!$E$7:$E$1203,MATCH(1,INDEX(('DAILY ENTRY'!$A$7:$A$1203=$A316)*('DAILY ENTRY'!$B$7:$B$1203=$B316)*('DAILY ENTRY'!$I$7:$I$1203="Meeting booked"),0),0)),IFERROR(INDEX('DAILY ENTRY'!$E$7:$E$1203,MATCH(1,INDEX(('DAILY ENTRY'!$A$7:$A$1203=$A316)*('DAILY ENTRY'!$B$7:$B$1203=$B316)*('DAILY ENTRY'!$I$7:$I$1203="Positive reply"),0),0)),"")))</f>
        <v/>
      </c>
      <c r="N316" s="108" t="str">
        <f aca="false">IF($A316="","",IFERROR(INDEX('DAILY ENTRY'!$J$7:$J$1203,MATCH(1,INDEX(('DAILY ENTRY'!$A$7:$A$1203=$A316)*('DAILY ENTRY'!$B$7:$B$1203=$B316)*('DAILY ENTRY'!$I$7:$I$1203="Blocked"),0),0)),""))</f>
        <v/>
      </c>
      <c r="O316" s="65" t="str">
        <f aca="false">IF($A316="","",(D316&gt;='START HERE'!$B$25)+(E316&gt;='START HERE'!$B$26)+(F316&gt;='START HERE'!$B$27)+(G316&gt;='START HERE'!$B$28)+(H316&gt;='START HERE'!$B$29)+(I316&gt;='START HERE'!$B$30)+(J316&gt;='START HERE'!$B$31)+(K316&gt;='START HERE'!$B$32))</f>
        <v/>
      </c>
      <c r="P316" s="46" t="str">
        <f aca="false">IF($A316="","",IF(O316&gt;=7,"Full day",IF(O316&gt;=5,"Most targets met",IF(O316&gt;=3,"Half day","Below plan - explain in the blocker column"))))</f>
        <v/>
      </c>
    </row>
    <row r="317" customFormat="false" ht="24" hidden="false" customHeight="true" outlineLevel="0" collapsed="false">
      <c r="A317" s="36"/>
      <c r="B317" s="37"/>
      <c r="C317" s="107" t="str">
        <f aca="false">IF($A317="","",ROUND(SUMIFS('DAILY ENTRY'!$G$7:$G$1203,'DAILY ENTRY'!$A$7:$A$1203,$A317,'DAILY ENTRY'!$B$7:$B$1203,$B317)/60,1))</f>
        <v/>
      </c>
      <c r="D317" s="107" t="str">
        <f aca="false">IF($A317="","",SUMIFS('DAILY ENTRY'!$F$7:$F$1203,'DAILY ENTRY'!$A$7:$A$1203,$A317,'DAILY ENTRY'!$B$7:$B$1203,$B317,'DAILY ENTRY'!$D$7:$D$1203,"Lead researched (Sales Navigator)"))</f>
        <v/>
      </c>
      <c r="E317" s="107" t="str">
        <f aca="false">IF($A317="","",SUMIFS('DAILY ENTRY'!$F$7:$F$1203,'DAILY ENTRY'!$A$7:$A$1203,$A317,'DAILY ENTRY'!$B$7:$B$1203,$B317,'DAILY ENTRY'!$D$7:$D$1203,"Connection request sent"))</f>
        <v/>
      </c>
      <c r="F317" s="107" t="str">
        <f aca="false">IF($A317="","",SUMIFS('DAILY ENTRY'!$F$7:$F$1203,'DAILY ENTRY'!$A$7:$A$1203,$A317,'DAILY ENTRY'!$B$7:$B$1203,$B317,'DAILY ENTRY'!$D$7:$D$1203,"First message sent"))</f>
        <v/>
      </c>
      <c r="G317" s="107" t="str">
        <f aca="false">IF($A317="","",SUMIFS('DAILY ENTRY'!$F$7:$F$1203,'DAILY ENTRY'!$A$7:$A$1203,$A317,'DAILY ENTRY'!$B$7:$B$1203,$B317,'DAILY ENTRY'!$D$7:$D$1203,"Follow-up message sent"))</f>
        <v/>
      </c>
      <c r="H317" s="107" t="str">
        <f aca="false">IF($A317="","",SUMIFS('DAILY ENTRY'!$F$7:$F$1203,'DAILY ENTRY'!$A$7:$A$1203,$A317,'DAILY ENTRY'!$B$7:$B$1203,$B317,'DAILY ENTRY'!$D$7:$D$1203,"Post / content published"))</f>
        <v/>
      </c>
      <c r="I317" s="107" t="str">
        <f aca="false">IF($A317="","",SUMIFS('DAILY ENTRY'!$F$7:$F$1203,'DAILY ENTRY'!$A$7:$A$1203,$A317,'DAILY ENTRY'!$B$7:$B$1203,$B317,'DAILY ENTRY'!$D$7:$D$1203,"Community answer or comment"))</f>
        <v/>
      </c>
      <c r="J317" s="107" t="str">
        <f aca="false">IF($A317="","",SUMIFS('DAILY ENTRY'!$F$7:$F$1203,'DAILY ENTRY'!$A$7:$A$1203,$A317,'DAILY ENTRY'!$B$7:$B$1203,$B317,'DAILY ENTRY'!$D$7:$D$1203,"Partnership / PR contact"))</f>
        <v/>
      </c>
      <c r="K317" s="107" t="str">
        <f aca="false">IF($A317="","",SUMIFS('DAILY ENTRY'!$F$7:$F$1203,'DAILY ENTRY'!$A$7:$A$1203,$A317,'DAILY ENTRY'!$B$7:$B$1203,$B317,'DAILY ENTRY'!$D$7:$D$1203,"Engagement (commented on someone else)"))</f>
        <v/>
      </c>
      <c r="L317" s="107" t="str">
        <f aca="false">IF($A317="","",SUMIFS('DAILY ENTRY'!$F$7:$F$1203,'DAILY ENTRY'!$A$7:$A$1203,$A317,'DAILY ENTRY'!$B$7:$B$1203,$B317,'DAILY ENTRY'!$D$7:$D$1203,"Account created / profile completed"))</f>
        <v/>
      </c>
      <c r="M317" s="108" t="str">
        <f aca="false">IF($A317="","",IFERROR(INDEX('DAILY ENTRY'!$E$7:$E$1203,MATCH(1,INDEX(('DAILY ENTRY'!$A$7:$A$1203=$A317)*('DAILY ENTRY'!$B$7:$B$1203=$B317)*('DAILY ENTRY'!$I$7:$I$1203="Meeting booked"),0),0)),IFERROR(INDEX('DAILY ENTRY'!$E$7:$E$1203,MATCH(1,INDEX(('DAILY ENTRY'!$A$7:$A$1203=$A317)*('DAILY ENTRY'!$B$7:$B$1203=$B317)*('DAILY ENTRY'!$I$7:$I$1203="Positive reply"),0),0)),"")))</f>
        <v/>
      </c>
      <c r="N317" s="108" t="str">
        <f aca="false">IF($A317="","",IFERROR(INDEX('DAILY ENTRY'!$J$7:$J$1203,MATCH(1,INDEX(('DAILY ENTRY'!$A$7:$A$1203=$A317)*('DAILY ENTRY'!$B$7:$B$1203=$B317)*('DAILY ENTRY'!$I$7:$I$1203="Blocked"),0),0)),""))</f>
        <v/>
      </c>
      <c r="O317" s="65" t="str">
        <f aca="false">IF($A317="","",(D317&gt;='START HERE'!$B$25)+(E317&gt;='START HERE'!$B$26)+(F317&gt;='START HERE'!$B$27)+(G317&gt;='START HERE'!$B$28)+(H317&gt;='START HERE'!$B$29)+(I317&gt;='START HERE'!$B$30)+(J317&gt;='START HERE'!$B$31)+(K317&gt;='START HERE'!$B$32))</f>
        <v/>
      </c>
      <c r="P317" s="46" t="str">
        <f aca="false">IF($A317="","",IF(O317&gt;=7,"Full day",IF(O317&gt;=5,"Most targets met",IF(O317&gt;=3,"Half day","Below plan - explain in the blocker column"))))</f>
        <v/>
      </c>
    </row>
    <row r="318" customFormat="false" ht="24" hidden="false" customHeight="true" outlineLevel="0" collapsed="false">
      <c r="A318" s="36"/>
      <c r="B318" s="37"/>
      <c r="C318" s="107" t="str">
        <f aca="false">IF($A318="","",ROUND(SUMIFS('DAILY ENTRY'!$G$7:$G$1203,'DAILY ENTRY'!$A$7:$A$1203,$A318,'DAILY ENTRY'!$B$7:$B$1203,$B318)/60,1))</f>
        <v/>
      </c>
      <c r="D318" s="107" t="str">
        <f aca="false">IF($A318="","",SUMIFS('DAILY ENTRY'!$F$7:$F$1203,'DAILY ENTRY'!$A$7:$A$1203,$A318,'DAILY ENTRY'!$B$7:$B$1203,$B318,'DAILY ENTRY'!$D$7:$D$1203,"Lead researched (Sales Navigator)"))</f>
        <v/>
      </c>
      <c r="E318" s="107" t="str">
        <f aca="false">IF($A318="","",SUMIFS('DAILY ENTRY'!$F$7:$F$1203,'DAILY ENTRY'!$A$7:$A$1203,$A318,'DAILY ENTRY'!$B$7:$B$1203,$B318,'DAILY ENTRY'!$D$7:$D$1203,"Connection request sent"))</f>
        <v/>
      </c>
      <c r="F318" s="107" t="str">
        <f aca="false">IF($A318="","",SUMIFS('DAILY ENTRY'!$F$7:$F$1203,'DAILY ENTRY'!$A$7:$A$1203,$A318,'DAILY ENTRY'!$B$7:$B$1203,$B318,'DAILY ENTRY'!$D$7:$D$1203,"First message sent"))</f>
        <v/>
      </c>
      <c r="G318" s="107" t="str">
        <f aca="false">IF($A318="","",SUMIFS('DAILY ENTRY'!$F$7:$F$1203,'DAILY ENTRY'!$A$7:$A$1203,$A318,'DAILY ENTRY'!$B$7:$B$1203,$B318,'DAILY ENTRY'!$D$7:$D$1203,"Follow-up message sent"))</f>
        <v/>
      </c>
      <c r="H318" s="107" t="str">
        <f aca="false">IF($A318="","",SUMIFS('DAILY ENTRY'!$F$7:$F$1203,'DAILY ENTRY'!$A$7:$A$1203,$A318,'DAILY ENTRY'!$B$7:$B$1203,$B318,'DAILY ENTRY'!$D$7:$D$1203,"Post / content published"))</f>
        <v/>
      </c>
      <c r="I318" s="107" t="str">
        <f aca="false">IF($A318="","",SUMIFS('DAILY ENTRY'!$F$7:$F$1203,'DAILY ENTRY'!$A$7:$A$1203,$A318,'DAILY ENTRY'!$B$7:$B$1203,$B318,'DAILY ENTRY'!$D$7:$D$1203,"Community answer or comment"))</f>
        <v/>
      </c>
      <c r="J318" s="107" t="str">
        <f aca="false">IF($A318="","",SUMIFS('DAILY ENTRY'!$F$7:$F$1203,'DAILY ENTRY'!$A$7:$A$1203,$A318,'DAILY ENTRY'!$B$7:$B$1203,$B318,'DAILY ENTRY'!$D$7:$D$1203,"Partnership / PR contact"))</f>
        <v/>
      </c>
      <c r="K318" s="107" t="str">
        <f aca="false">IF($A318="","",SUMIFS('DAILY ENTRY'!$F$7:$F$1203,'DAILY ENTRY'!$A$7:$A$1203,$A318,'DAILY ENTRY'!$B$7:$B$1203,$B318,'DAILY ENTRY'!$D$7:$D$1203,"Engagement (commented on someone else)"))</f>
        <v/>
      </c>
      <c r="L318" s="107" t="str">
        <f aca="false">IF($A318="","",SUMIFS('DAILY ENTRY'!$F$7:$F$1203,'DAILY ENTRY'!$A$7:$A$1203,$A318,'DAILY ENTRY'!$B$7:$B$1203,$B318,'DAILY ENTRY'!$D$7:$D$1203,"Account created / profile completed"))</f>
        <v/>
      </c>
      <c r="M318" s="108" t="str">
        <f aca="false">IF($A318="","",IFERROR(INDEX('DAILY ENTRY'!$E$7:$E$1203,MATCH(1,INDEX(('DAILY ENTRY'!$A$7:$A$1203=$A318)*('DAILY ENTRY'!$B$7:$B$1203=$B318)*('DAILY ENTRY'!$I$7:$I$1203="Meeting booked"),0),0)),IFERROR(INDEX('DAILY ENTRY'!$E$7:$E$1203,MATCH(1,INDEX(('DAILY ENTRY'!$A$7:$A$1203=$A318)*('DAILY ENTRY'!$B$7:$B$1203=$B318)*('DAILY ENTRY'!$I$7:$I$1203="Positive reply"),0),0)),"")))</f>
        <v/>
      </c>
      <c r="N318" s="108" t="str">
        <f aca="false">IF($A318="","",IFERROR(INDEX('DAILY ENTRY'!$J$7:$J$1203,MATCH(1,INDEX(('DAILY ENTRY'!$A$7:$A$1203=$A318)*('DAILY ENTRY'!$B$7:$B$1203=$B318)*('DAILY ENTRY'!$I$7:$I$1203="Blocked"),0),0)),""))</f>
        <v/>
      </c>
      <c r="O318" s="65" t="str">
        <f aca="false">IF($A318="","",(D318&gt;='START HERE'!$B$25)+(E318&gt;='START HERE'!$B$26)+(F318&gt;='START HERE'!$B$27)+(G318&gt;='START HERE'!$B$28)+(H318&gt;='START HERE'!$B$29)+(I318&gt;='START HERE'!$B$30)+(J318&gt;='START HERE'!$B$31)+(K318&gt;='START HERE'!$B$32))</f>
        <v/>
      </c>
      <c r="P318" s="46" t="str">
        <f aca="false">IF($A318="","",IF(O318&gt;=7,"Full day",IF(O318&gt;=5,"Most targets met",IF(O318&gt;=3,"Half day","Below plan - explain in the blocker column"))))</f>
        <v/>
      </c>
    </row>
    <row r="319" customFormat="false" ht="24" hidden="false" customHeight="true" outlineLevel="0" collapsed="false">
      <c r="A319" s="36"/>
      <c r="B319" s="37"/>
      <c r="C319" s="107" t="str">
        <f aca="false">IF($A319="","",ROUND(SUMIFS('DAILY ENTRY'!$G$7:$G$1203,'DAILY ENTRY'!$A$7:$A$1203,$A319,'DAILY ENTRY'!$B$7:$B$1203,$B319)/60,1))</f>
        <v/>
      </c>
      <c r="D319" s="107" t="str">
        <f aca="false">IF($A319="","",SUMIFS('DAILY ENTRY'!$F$7:$F$1203,'DAILY ENTRY'!$A$7:$A$1203,$A319,'DAILY ENTRY'!$B$7:$B$1203,$B319,'DAILY ENTRY'!$D$7:$D$1203,"Lead researched (Sales Navigator)"))</f>
        <v/>
      </c>
      <c r="E319" s="107" t="str">
        <f aca="false">IF($A319="","",SUMIFS('DAILY ENTRY'!$F$7:$F$1203,'DAILY ENTRY'!$A$7:$A$1203,$A319,'DAILY ENTRY'!$B$7:$B$1203,$B319,'DAILY ENTRY'!$D$7:$D$1203,"Connection request sent"))</f>
        <v/>
      </c>
      <c r="F319" s="107" t="str">
        <f aca="false">IF($A319="","",SUMIFS('DAILY ENTRY'!$F$7:$F$1203,'DAILY ENTRY'!$A$7:$A$1203,$A319,'DAILY ENTRY'!$B$7:$B$1203,$B319,'DAILY ENTRY'!$D$7:$D$1203,"First message sent"))</f>
        <v/>
      </c>
      <c r="G319" s="107" t="str">
        <f aca="false">IF($A319="","",SUMIFS('DAILY ENTRY'!$F$7:$F$1203,'DAILY ENTRY'!$A$7:$A$1203,$A319,'DAILY ENTRY'!$B$7:$B$1203,$B319,'DAILY ENTRY'!$D$7:$D$1203,"Follow-up message sent"))</f>
        <v/>
      </c>
      <c r="H319" s="107" t="str">
        <f aca="false">IF($A319="","",SUMIFS('DAILY ENTRY'!$F$7:$F$1203,'DAILY ENTRY'!$A$7:$A$1203,$A319,'DAILY ENTRY'!$B$7:$B$1203,$B319,'DAILY ENTRY'!$D$7:$D$1203,"Post / content published"))</f>
        <v/>
      </c>
      <c r="I319" s="107" t="str">
        <f aca="false">IF($A319="","",SUMIFS('DAILY ENTRY'!$F$7:$F$1203,'DAILY ENTRY'!$A$7:$A$1203,$A319,'DAILY ENTRY'!$B$7:$B$1203,$B319,'DAILY ENTRY'!$D$7:$D$1203,"Community answer or comment"))</f>
        <v/>
      </c>
      <c r="J319" s="107" t="str">
        <f aca="false">IF($A319="","",SUMIFS('DAILY ENTRY'!$F$7:$F$1203,'DAILY ENTRY'!$A$7:$A$1203,$A319,'DAILY ENTRY'!$B$7:$B$1203,$B319,'DAILY ENTRY'!$D$7:$D$1203,"Partnership / PR contact"))</f>
        <v/>
      </c>
      <c r="K319" s="107" t="str">
        <f aca="false">IF($A319="","",SUMIFS('DAILY ENTRY'!$F$7:$F$1203,'DAILY ENTRY'!$A$7:$A$1203,$A319,'DAILY ENTRY'!$B$7:$B$1203,$B319,'DAILY ENTRY'!$D$7:$D$1203,"Engagement (commented on someone else)"))</f>
        <v/>
      </c>
      <c r="L319" s="107" t="str">
        <f aca="false">IF($A319="","",SUMIFS('DAILY ENTRY'!$F$7:$F$1203,'DAILY ENTRY'!$A$7:$A$1203,$A319,'DAILY ENTRY'!$B$7:$B$1203,$B319,'DAILY ENTRY'!$D$7:$D$1203,"Account created / profile completed"))</f>
        <v/>
      </c>
      <c r="M319" s="108" t="str">
        <f aca="false">IF($A319="","",IFERROR(INDEX('DAILY ENTRY'!$E$7:$E$1203,MATCH(1,INDEX(('DAILY ENTRY'!$A$7:$A$1203=$A319)*('DAILY ENTRY'!$B$7:$B$1203=$B319)*('DAILY ENTRY'!$I$7:$I$1203="Meeting booked"),0),0)),IFERROR(INDEX('DAILY ENTRY'!$E$7:$E$1203,MATCH(1,INDEX(('DAILY ENTRY'!$A$7:$A$1203=$A319)*('DAILY ENTRY'!$B$7:$B$1203=$B319)*('DAILY ENTRY'!$I$7:$I$1203="Positive reply"),0),0)),"")))</f>
        <v/>
      </c>
      <c r="N319" s="108" t="str">
        <f aca="false">IF($A319="","",IFERROR(INDEX('DAILY ENTRY'!$J$7:$J$1203,MATCH(1,INDEX(('DAILY ENTRY'!$A$7:$A$1203=$A319)*('DAILY ENTRY'!$B$7:$B$1203=$B319)*('DAILY ENTRY'!$I$7:$I$1203="Blocked"),0),0)),""))</f>
        <v/>
      </c>
      <c r="O319" s="65" t="str">
        <f aca="false">IF($A319="","",(D319&gt;='START HERE'!$B$25)+(E319&gt;='START HERE'!$B$26)+(F319&gt;='START HERE'!$B$27)+(G319&gt;='START HERE'!$B$28)+(H319&gt;='START HERE'!$B$29)+(I319&gt;='START HERE'!$B$30)+(J319&gt;='START HERE'!$B$31)+(K319&gt;='START HERE'!$B$32))</f>
        <v/>
      </c>
      <c r="P319" s="46" t="str">
        <f aca="false">IF($A319="","",IF(O319&gt;=7,"Full day",IF(O319&gt;=5,"Most targets met",IF(O319&gt;=3,"Half day","Below plan - explain in the blocker column"))))</f>
        <v/>
      </c>
    </row>
    <row r="320" customFormat="false" ht="24" hidden="false" customHeight="true" outlineLevel="0" collapsed="false">
      <c r="A320" s="36"/>
      <c r="B320" s="37"/>
      <c r="C320" s="107" t="str">
        <f aca="false">IF($A320="","",ROUND(SUMIFS('DAILY ENTRY'!$G$7:$G$1203,'DAILY ENTRY'!$A$7:$A$1203,$A320,'DAILY ENTRY'!$B$7:$B$1203,$B320)/60,1))</f>
        <v/>
      </c>
      <c r="D320" s="107" t="str">
        <f aca="false">IF($A320="","",SUMIFS('DAILY ENTRY'!$F$7:$F$1203,'DAILY ENTRY'!$A$7:$A$1203,$A320,'DAILY ENTRY'!$B$7:$B$1203,$B320,'DAILY ENTRY'!$D$7:$D$1203,"Lead researched (Sales Navigator)"))</f>
        <v/>
      </c>
      <c r="E320" s="107" t="str">
        <f aca="false">IF($A320="","",SUMIFS('DAILY ENTRY'!$F$7:$F$1203,'DAILY ENTRY'!$A$7:$A$1203,$A320,'DAILY ENTRY'!$B$7:$B$1203,$B320,'DAILY ENTRY'!$D$7:$D$1203,"Connection request sent"))</f>
        <v/>
      </c>
      <c r="F320" s="107" t="str">
        <f aca="false">IF($A320="","",SUMIFS('DAILY ENTRY'!$F$7:$F$1203,'DAILY ENTRY'!$A$7:$A$1203,$A320,'DAILY ENTRY'!$B$7:$B$1203,$B320,'DAILY ENTRY'!$D$7:$D$1203,"First message sent"))</f>
        <v/>
      </c>
      <c r="G320" s="107" t="str">
        <f aca="false">IF($A320="","",SUMIFS('DAILY ENTRY'!$F$7:$F$1203,'DAILY ENTRY'!$A$7:$A$1203,$A320,'DAILY ENTRY'!$B$7:$B$1203,$B320,'DAILY ENTRY'!$D$7:$D$1203,"Follow-up message sent"))</f>
        <v/>
      </c>
      <c r="H320" s="107" t="str">
        <f aca="false">IF($A320="","",SUMIFS('DAILY ENTRY'!$F$7:$F$1203,'DAILY ENTRY'!$A$7:$A$1203,$A320,'DAILY ENTRY'!$B$7:$B$1203,$B320,'DAILY ENTRY'!$D$7:$D$1203,"Post / content published"))</f>
        <v/>
      </c>
      <c r="I320" s="107" t="str">
        <f aca="false">IF($A320="","",SUMIFS('DAILY ENTRY'!$F$7:$F$1203,'DAILY ENTRY'!$A$7:$A$1203,$A320,'DAILY ENTRY'!$B$7:$B$1203,$B320,'DAILY ENTRY'!$D$7:$D$1203,"Community answer or comment"))</f>
        <v/>
      </c>
      <c r="J320" s="107" t="str">
        <f aca="false">IF($A320="","",SUMIFS('DAILY ENTRY'!$F$7:$F$1203,'DAILY ENTRY'!$A$7:$A$1203,$A320,'DAILY ENTRY'!$B$7:$B$1203,$B320,'DAILY ENTRY'!$D$7:$D$1203,"Partnership / PR contact"))</f>
        <v/>
      </c>
      <c r="K320" s="107" t="str">
        <f aca="false">IF($A320="","",SUMIFS('DAILY ENTRY'!$F$7:$F$1203,'DAILY ENTRY'!$A$7:$A$1203,$A320,'DAILY ENTRY'!$B$7:$B$1203,$B320,'DAILY ENTRY'!$D$7:$D$1203,"Engagement (commented on someone else)"))</f>
        <v/>
      </c>
      <c r="L320" s="107" t="str">
        <f aca="false">IF($A320="","",SUMIFS('DAILY ENTRY'!$F$7:$F$1203,'DAILY ENTRY'!$A$7:$A$1203,$A320,'DAILY ENTRY'!$B$7:$B$1203,$B320,'DAILY ENTRY'!$D$7:$D$1203,"Account created / profile completed"))</f>
        <v/>
      </c>
      <c r="M320" s="108" t="str">
        <f aca="false">IF($A320="","",IFERROR(INDEX('DAILY ENTRY'!$E$7:$E$1203,MATCH(1,INDEX(('DAILY ENTRY'!$A$7:$A$1203=$A320)*('DAILY ENTRY'!$B$7:$B$1203=$B320)*('DAILY ENTRY'!$I$7:$I$1203="Meeting booked"),0),0)),IFERROR(INDEX('DAILY ENTRY'!$E$7:$E$1203,MATCH(1,INDEX(('DAILY ENTRY'!$A$7:$A$1203=$A320)*('DAILY ENTRY'!$B$7:$B$1203=$B320)*('DAILY ENTRY'!$I$7:$I$1203="Positive reply"),0),0)),"")))</f>
        <v/>
      </c>
      <c r="N320" s="108" t="str">
        <f aca="false">IF($A320="","",IFERROR(INDEX('DAILY ENTRY'!$J$7:$J$1203,MATCH(1,INDEX(('DAILY ENTRY'!$A$7:$A$1203=$A320)*('DAILY ENTRY'!$B$7:$B$1203=$B320)*('DAILY ENTRY'!$I$7:$I$1203="Blocked"),0),0)),""))</f>
        <v/>
      </c>
      <c r="O320" s="65" t="str">
        <f aca="false">IF($A320="","",(D320&gt;='START HERE'!$B$25)+(E320&gt;='START HERE'!$B$26)+(F320&gt;='START HERE'!$B$27)+(G320&gt;='START HERE'!$B$28)+(H320&gt;='START HERE'!$B$29)+(I320&gt;='START HERE'!$B$30)+(J320&gt;='START HERE'!$B$31)+(K320&gt;='START HERE'!$B$32))</f>
        <v/>
      </c>
      <c r="P320" s="46" t="str">
        <f aca="false">IF($A320="","",IF(O320&gt;=7,"Full day",IF(O320&gt;=5,"Most targets met",IF(O320&gt;=3,"Half day","Below plan - explain in the blocker column"))))</f>
        <v/>
      </c>
    </row>
    <row r="321" customFormat="false" ht="24" hidden="false" customHeight="true" outlineLevel="0" collapsed="false">
      <c r="A321" s="36"/>
      <c r="B321" s="37"/>
      <c r="C321" s="107" t="str">
        <f aca="false">IF($A321="","",ROUND(SUMIFS('DAILY ENTRY'!$G$7:$G$1203,'DAILY ENTRY'!$A$7:$A$1203,$A321,'DAILY ENTRY'!$B$7:$B$1203,$B321)/60,1))</f>
        <v/>
      </c>
      <c r="D321" s="107" t="str">
        <f aca="false">IF($A321="","",SUMIFS('DAILY ENTRY'!$F$7:$F$1203,'DAILY ENTRY'!$A$7:$A$1203,$A321,'DAILY ENTRY'!$B$7:$B$1203,$B321,'DAILY ENTRY'!$D$7:$D$1203,"Lead researched (Sales Navigator)"))</f>
        <v/>
      </c>
      <c r="E321" s="107" t="str">
        <f aca="false">IF($A321="","",SUMIFS('DAILY ENTRY'!$F$7:$F$1203,'DAILY ENTRY'!$A$7:$A$1203,$A321,'DAILY ENTRY'!$B$7:$B$1203,$B321,'DAILY ENTRY'!$D$7:$D$1203,"Connection request sent"))</f>
        <v/>
      </c>
      <c r="F321" s="107" t="str">
        <f aca="false">IF($A321="","",SUMIFS('DAILY ENTRY'!$F$7:$F$1203,'DAILY ENTRY'!$A$7:$A$1203,$A321,'DAILY ENTRY'!$B$7:$B$1203,$B321,'DAILY ENTRY'!$D$7:$D$1203,"First message sent"))</f>
        <v/>
      </c>
      <c r="G321" s="107" t="str">
        <f aca="false">IF($A321="","",SUMIFS('DAILY ENTRY'!$F$7:$F$1203,'DAILY ENTRY'!$A$7:$A$1203,$A321,'DAILY ENTRY'!$B$7:$B$1203,$B321,'DAILY ENTRY'!$D$7:$D$1203,"Follow-up message sent"))</f>
        <v/>
      </c>
      <c r="H321" s="107" t="str">
        <f aca="false">IF($A321="","",SUMIFS('DAILY ENTRY'!$F$7:$F$1203,'DAILY ENTRY'!$A$7:$A$1203,$A321,'DAILY ENTRY'!$B$7:$B$1203,$B321,'DAILY ENTRY'!$D$7:$D$1203,"Post / content published"))</f>
        <v/>
      </c>
      <c r="I321" s="107" t="str">
        <f aca="false">IF($A321="","",SUMIFS('DAILY ENTRY'!$F$7:$F$1203,'DAILY ENTRY'!$A$7:$A$1203,$A321,'DAILY ENTRY'!$B$7:$B$1203,$B321,'DAILY ENTRY'!$D$7:$D$1203,"Community answer or comment"))</f>
        <v/>
      </c>
      <c r="J321" s="107" t="str">
        <f aca="false">IF($A321="","",SUMIFS('DAILY ENTRY'!$F$7:$F$1203,'DAILY ENTRY'!$A$7:$A$1203,$A321,'DAILY ENTRY'!$B$7:$B$1203,$B321,'DAILY ENTRY'!$D$7:$D$1203,"Partnership / PR contact"))</f>
        <v/>
      </c>
      <c r="K321" s="107" t="str">
        <f aca="false">IF($A321="","",SUMIFS('DAILY ENTRY'!$F$7:$F$1203,'DAILY ENTRY'!$A$7:$A$1203,$A321,'DAILY ENTRY'!$B$7:$B$1203,$B321,'DAILY ENTRY'!$D$7:$D$1203,"Engagement (commented on someone else)"))</f>
        <v/>
      </c>
      <c r="L321" s="107" t="str">
        <f aca="false">IF($A321="","",SUMIFS('DAILY ENTRY'!$F$7:$F$1203,'DAILY ENTRY'!$A$7:$A$1203,$A321,'DAILY ENTRY'!$B$7:$B$1203,$B321,'DAILY ENTRY'!$D$7:$D$1203,"Account created / profile completed"))</f>
        <v/>
      </c>
      <c r="M321" s="108" t="str">
        <f aca="false">IF($A321="","",IFERROR(INDEX('DAILY ENTRY'!$E$7:$E$1203,MATCH(1,INDEX(('DAILY ENTRY'!$A$7:$A$1203=$A321)*('DAILY ENTRY'!$B$7:$B$1203=$B321)*('DAILY ENTRY'!$I$7:$I$1203="Meeting booked"),0),0)),IFERROR(INDEX('DAILY ENTRY'!$E$7:$E$1203,MATCH(1,INDEX(('DAILY ENTRY'!$A$7:$A$1203=$A321)*('DAILY ENTRY'!$B$7:$B$1203=$B321)*('DAILY ENTRY'!$I$7:$I$1203="Positive reply"),0),0)),"")))</f>
        <v/>
      </c>
      <c r="N321" s="108" t="str">
        <f aca="false">IF($A321="","",IFERROR(INDEX('DAILY ENTRY'!$J$7:$J$1203,MATCH(1,INDEX(('DAILY ENTRY'!$A$7:$A$1203=$A321)*('DAILY ENTRY'!$B$7:$B$1203=$B321)*('DAILY ENTRY'!$I$7:$I$1203="Blocked"),0),0)),""))</f>
        <v/>
      </c>
      <c r="O321" s="65" t="str">
        <f aca="false">IF($A321="","",(D321&gt;='START HERE'!$B$25)+(E321&gt;='START HERE'!$B$26)+(F321&gt;='START HERE'!$B$27)+(G321&gt;='START HERE'!$B$28)+(H321&gt;='START HERE'!$B$29)+(I321&gt;='START HERE'!$B$30)+(J321&gt;='START HERE'!$B$31)+(K321&gt;='START HERE'!$B$32))</f>
        <v/>
      </c>
      <c r="P321" s="46" t="str">
        <f aca="false">IF($A321="","",IF(O321&gt;=7,"Full day",IF(O321&gt;=5,"Most targets met",IF(O321&gt;=3,"Half day","Below plan - explain in the blocker column"))))</f>
        <v/>
      </c>
    </row>
    <row r="322" customFormat="false" ht="24" hidden="false" customHeight="true" outlineLevel="0" collapsed="false">
      <c r="A322" s="36"/>
      <c r="B322" s="37"/>
      <c r="C322" s="107" t="str">
        <f aca="false">IF($A322="","",ROUND(SUMIFS('DAILY ENTRY'!$G$7:$G$1203,'DAILY ENTRY'!$A$7:$A$1203,$A322,'DAILY ENTRY'!$B$7:$B$1203,$B322)/60,1))</f>
        <v/>
      </c>
      <c r="D322" s="107" t="str">
        <f aca="false">IF($A322="","",SUMIFS('DAILY ENTRY'!$F$7:$F$1203,'DAILY ENTRY'!$A$7:$A$1203,$A322,'DAILY ENTRY'!$B$7:$B$1203,$B322,'DAILY ENTRY'!$D$7:$D$1203,"Lead researched (Sales Navigator)"))</f>
        <v/>
      </c>
      <c r="E322" s="107" t="str">
        <f aca="false">IF($A322="","",SUMIFS('DAILY ENTRY'!$F$7:$F$1203,'DAILY ENTRY'!$A$7:$A$1203,$A322,'DAILY ENTRY'!$B$7:$B$1203,$B322,'DAILY ENTRY'!$D$7:$D$1203,"Connection request sent"))</f>
        <v/>
      </c>
      <c r="F322" s="107" t="str">
        <f aca="false">IF($A322="","",SUMIFS('DAILY ENTRY'!$F$7:$F$1203,'DAILY ENTRY'!$A$7:$A$1203,$A322,'DAILY ENTRY'!$B$7:$B$1203,$B322,'DAILY ENTRY'!$D$7:$D$1203,"First message sent"))</f>
        <v/>
      </c>
      <c r="G322" s="107" t="str">
        <f aca="false">IF($A322="","",SUMIFS('DAILY ENTRY'!$F$7:$F$1203,'DAILY ENTRY'!$A$7:$A$1203,$A322,'DAILY ENTRY'!$B$7:$B$1203,$B322,'DAILY ENTRY'!$D$7:$D$1203,"Follow-up message sent"))</f>
        <v/>
      </c>
      <c r="H322" s="107" t="str">
        <f aca="false">IF($A322="","",SUMIFS('DAILY ENTRY'!$F$7:$F$1203,'DAILY ENTRY'!$A$7:$A$1203,$A322,'DAILY ENTRY'!$B$7:$B$1203,$B322,'DAILY ENTRY'!$D$7:$D$1203,"Post / content published"))</f>
        <v/>
      </c>
      <c r="I322" s="107" t="str">
        <f aca="false">IF($A322="","",SUMIFS('DAILY ENTRY'!$F$7:$F$1203,'DAILY ENTRY'!$A$7:$A$1203,$A322,'DAILY ENTRY'!$B$7:$B$1203,$B322,'DAILY ENTRY'!$D$7:$D$1203,"Community answer or comment"))</f>
        <v/>
      </c>
      <c r="J322" s="107" t="str">
        <f aca="false">IF($A322="","",SUMIFS('DAILY ENTRY'!$F$7:$F$1203,'DAILY ENTRY'!$A$7:$A$1203,$A322,'DAILY ENTRY'!$B$7:$B$1203,$B322,'DAILY ENTRY'!$D$7:$D$1203,"Partnership / PR contact"))</f>
        <v/>
      </c>
      <c r="K322" s="107" t="str">
        <f aca="false">IF($A322="","",SUMIFS('DAILY ENTRY'!$F$7:$F$1203,'DAILY ENTRY'!$A$7:$A$1203,$A322,'DAILY ENTRY'!$B$7:$B$1203,$B322,'DAILY ENTRY'!$D$7:$D$1203,"Engagement (commented on someone else)"))</f>
        <v/>
      </c>
      <c r="L322" s="107" t="str">
        <f aca="false">IF($A322="","",SUMIFS('DAILY ENTRY'!$F$7:$F$1203,'DAILY ENTRY'!$A$7:$A$1203,$A322,'DAILY ENTRY'!$B$7:$B$1203,$B322,'DAILY ENTRY'!$D$7:$D$1203,"Account created / profile completed"))</f>
        <v/>
      </c>
      <c r="M322" s="108" t="str">
        <f aca="false">IF($A322="","",IFERROR(INDEX('DAILY ENTRY'!$E$7:$E$1203,MATCH(1,INDEX(('DAILY ENTRY'!$A$7:$A$1203=$A322)*('DAILY ENTRY'!$B$7:$B$1203=$B322)*('DAILY ENTRY'!$I$7:$I$1203="Meeting booked"),0),0)),IFERROR(INDEX('DAILY ENTRY'!$E$7:$E$1203,MATCH(1,INDEX(('DAILY ENTRY'!$A$7:$A$1203=$A322)*('DAILY ENTRY'!$B$7:$B$1203=$B322)*('DAILY ENTRY'!$I$7:$I$1203="Positive reply"),0),0)),"")))</f>
        <v/>
      </c>
      <c r="N322" s="108" t="str">
        <f aca="false">IF($A322="","",IFERROR(INDEX('DAILY ENTRY'!$J$7:$J$1203,MATCH(1,INDEX(('DAILY ENTRY'!$A$7:$A$1203=$A322)*('DAILY ENTRY'!$B$7:$B$1203=$B322)*('DAILY ENTRY'!$I$7:$I$1203="Blocked"),0),0)),""))</f>
        <v/>
      </c>
      <c r="O322" s="65" t="str">
        <f aca="false">IF($A322="","",(D322&gt;='START HERE'!$B$25)+(E322&gt;='START HERE'!$B$26)+(F322&gt;='START HERE'!$B$27)+(G322&gt;='START HERE'!$B$28)+(H322&gt;='START HERE'!$B$29)+(I322&gt;='START HERE'!$B$30)+(J322&gt;='START HERE'!$B$31)+(K322&gt;='START HERE'!$B$32))</f>
        <v/>
      </c>
      <c r="P322" s="46" t="str">
        <f aca="false">IF($A322="","",IF(O322&gt;=7,"Full day",IF(O322&gt;=5,"Most targets met",IF(O322&gt;=3,"Half day","Below plan - explain in the blocker column"))))</f>
        <v/>
      </c>
    </row>
    <row r="323" customFormat="false" ht="24" hidden="false" customHeight="true" outlineLevel="0" collapsed="false">
      <c r="A323" s="36"/>
      <c r="B323" s="37"/>
      <c r="C323" s="107" t="str">
        <f aca="false">IF($A323="","",ROUND(SUMIFS('DAILY ENTRY'!$G$7:$G$1203,'DAILY ENTRY'!$A$7:$A$1203,$A323,'DAILY ENTRY'!$B$7:$B$1203,$B323)/60,1))</f>
        <v/>
      </c>
      <c r="D323" s="107" t="str">
        <f aca="false">IF($A323="","",SUMIFS('DAILY ENTRY'!$F$7:$F$1203,'DAILY ENTRY'!$A$7:$A$1203,$A323,'DAILY ENTRY'!$B$7:$B$1203,$B323,'DAILY ENTRY'!$D$7:$D$1203,"Lead researched (Sales Navigator)"))</f>
        <v/>
      </c>
      <c r="E323" s="107" t="str">
        <f aca="false">IF($A323="","",SUMIFS('DAILY ENTRY'!$F$7:$F$1203,'DAILY ENTRY'!$A$7:$A$1203,$A323,'DAILY ENTRY'!$B$7:$B$1203,$B323,'DAILY ENTRY'!$D$7:$D$1203,"Connection request sent"))</f>
        <v/>
      </c>
      <c r="F323" s="107" t="str">
        <f aca="false">IF($A323="","",SUMIFS('DAILY ENTRY'!$F$7:$F$1203,'DAILY ENTRY'!$A$7:$A$1203,$A323,'DAILY ENTRY'!$B$7:$B$1203,$B323,'DAILY ENTRY'!$D$7:$D$1203,"First message sent"))</f>
        <v/>
      </c>
      <c r="G323" s="107" t="str">
        <f aca="false">IF($A323="","",SUMIFS('DAILY ENTRY'!$F$7:$F$1203,'DAILY ENTRY'!$A$7:$A$1203,$A323,'DAILY ENTRY'!$B$7:$B$1203,$B323,'DAILY ENTRY'!$D$7:$D$1203,"Follow-up message sent"))</f>
        <v/>
      </c>
      <c r="H323" s="107" t="str">
        <f aca="false">IF($A323="","",SUMIFS('DAILY ENTRY'!$F$7:$F$1203,'DAILY ENTRY'!$A$7:$A$1203,$A323,'DAILY ENTRY'!$B$7:$B$1203,$B323,'DAILY ENTRY'!$D$7:$D$1203,"Post / content published"))</f>
        <v/>
      </c>
      <c r="I323" s="107" t="str">
        <f aca="false">IF($A323="","",SUMIFS('DAILY ENTRY'!$F$7:$F$1203,'DAILY ENTRY'!$A$7:$A$1203,$A323,'DAILY ENTRY'!$B$7:$B$1203,$B323,'DAILY ENTRY'!$D$7:$D$1203,"Community answer or comment"))</f>
        <v/>
      </c>
      <c r="J323" s="107" t="str">
        <f aca="false">IF($A323="","",SUMIFS('DAILY ENTRY'!$F$7:$F$1203,'DAILY ENTRY'!$A$7:$A$1203,$A323,'DAILY ENTRY'!$B$7:$B$1203,$B323,'DAILY ENTRY'!$D$7:$D$1203,"Partnership / PR contact"))</f>
        <v/>
      </c>
      <c r="K323" s="107" t="str">
        <f aca="false">IF($A323="","",SUMIFS('DAILY ENTRY'!$F$7:$F$1203,'DAILY ENTRY'!$A$7:$A$1203,$A323,'DAILY ENTRY'!$B$7:$B$1203,$B323,'DAILY ENTRY'!$D$7:$D$1203,"Engagement (commented on someone else)"))</f>
        <v/>
      </c>
      <c r="L323" s="107" t="str">
        <f aca="false">IF($A323="","",SUMIFS('DAILY ENTRY'!$F$7:$F$1203,'DAILY ENTRY'!$A$7:$A$1203,$A323,'DAILY ENTRY'!$B$7:$B$1203,$B323,'DAILY ENTRY'!$D$7:$D$1203,"Account created / profile completed"))</f>
        <v/>
      </c>
      <c r="M323" s="108" t="str">
        <f aca="false">IF($A323="","",IFERROR(INDEX('DAILY ENTRY'!$E$7:$E$1203,MATCH(1,INDEX(('DAILY ENTRY'!$A$7:$A$1203=$A323)*('DAILY ENTRY'!$B$7:$B$1203=$B323)*('DAILY ENTRY'!$I$7:$I$1203="Meeting booked"),0),0)),IFERROR(INDEX('DAILY ENTRY'!$E$7:$E$1203,MATCH(1,INDEX(('DAILY ENTRY'!$A$7:$A$1203=$A323)*('DAILY ENTRY'!$B$7:$B$1203=$B323)*('DAILY ENTRY'!$I$7:$I$1203="Positive reply"),0),0)),"")))</f>
        <v/>
      </c>
      <c r="N323" s="108" t="str">
        <f aca="false">IF($A323="","",IFERROR(INDEX('DAILY ENTRY'!$J$7:$J$1203,MATCH(1,INDEX(('DAILY ENTRY'!$A$7:$A$1203=$A323)*('DAILY ENTRY'!$B$7:$B$1203=$B323)*('DAILY ENTRY'!$I$7:$I$1203="Blocked"),0),0)),""))</f>
        <v/>
      </c>
      <c r="O323" s="65" t="str">
        <f aca="false">IF($A323="","",(D323&gt;='START HERE'!$B$25)+(E323&gt;='START HERE'!$B$26)+(F323&gt;='START HERE'!$B$27)+(G323&gt;='START HERE'!$B$28)+(H323&gt;='START HERE'!$B$29)+(I323&gt;='START HERE'!$B$30)+(J323&gt;='START HERE'!$B$31)+(K323&gt;='START HERE'!$B$32))</f>
        <v/>
      </c>
      <c r="P323" s="46" t="str">
        <f aca="false">IF($A323="","",IF(O323&gt;=7,"Full day",IF(O323&gt;=5,"Most targets met",IF(O323&gt;=3,"Half day","Below plan - explain in the blocker column"))))</f>
        <v/>
      </c>
    </row>
    <row r="324" customFormat="false" ht="24" hidden="false" customHeight="true" outlineLevel="0" collapsed="false">
      <c r="A324" s="36"/>
      <c r="B324" s="37"/>
      <c r="C324" s="107" t="str">
        <f aca="false">IF($A324="","",ROUND(SUMIFS('DAILY ENTRY'!$G$7:$G$1203,'DAILY ENTRY'!$A$7:$A$1203,$A324,'DAILY ENTRY'!$B$7:$B$1203,$B324)/60,1))</f>
        <v/>
      </c>
      <c r="D324" s="107" t="str">
        <f aca="false">IF($A324="","",SUMIFS('DAILY ENTRY'!$F$7:$F$1203,'DAILY ENTRY'!$A$7:$A$1203,$A324,'DAILY ENTRY'!$B$7:$B$1203,$B324,'DAILY ENTRY'!$D$7:$D$1203,"Lead researched (Sales Navigator)"))</f>
        <v/>
      </c>
      <c r="E324" s="107" t="str">
        <f aca="false">IF($A324="","",SUMIFS('DAILY ENTRY'!$F$7:$F$1203,'DAILY ENTRY'!$A$7:$A$1203,$A324,'DAILY ENTRY'!$B$7:$B$1203,$B324,'DAILY ENTRY'!$D$7:$D$1203,"Connection request sent"))</f>
        <v/>
      </c>
      <c r="F324" s="107" t="str">
        <f aca="false">IF($A324="","",SUMIFS('DAILY ENTRY'!$F$7:$F$1203,'DAILY ENTRY'!$A$7:$A$1203,$A324,'DAILY ENTRY'!$B$7:$B$1203,$B324,'DAILY ENTRY'!$D$7:$D$1203,"First message sent"))</f>
        <v/>
      </c>
      <c r="G324" s="107" t="str">
        <f aca="false">IF($A324="","",SUMIFS('DAILY ENTRY'!$F$7:$F$1203,'DAILY ENTRY'!$A$7:$A$1203,$A324,'DAILY ENTRY'!$B$7:$B$1203,$B324,'DAILY ENTRY'!$D$7:$D$1203,"Follow-up message sent"))</f>
        <v/>
      </c>
      <c r="H324" s="107" t="str">
        <f aca="false">IF($A324="","",SUMIFS('DAILY ENTRY'!$F$7:$F$1203,'DAILY ENTRY'!$A$7:$A$1203,$A324,'DAILY ENTRY'!$B$7:$B$1203,$B324,'DAILY ENTRY'!$D$7:$D$1203,"Post / content published"))</f>
        <v/>
      </c>
      <c r="I324" s="107" t="str">
        <f aca="false">IF($A324="","",SUMIFS('DAILY ENTRY'!$F$7:$F$1203,'DAILY ENTRY'!$A$7:$A$1203,$A324,'DAILY ENTRY'!$B$7:$B$1203,$B324,'DAILY ENTRY'!$D$7:$D$1203,"Community answer or comment"))</f>
        <v/>
      </c>
      <c r="J324" s="107" t="str">
        <f aca="false">IF($A324="","",SUMIFS('DAILY ENTRY'!$F$7:$F$1203,'DAILY ENTRY'!$A$7:$A$1203,$A324,'DAILY ENTRY'!$B$7:$B$1203,$B324,'DAILY ENTRY'!$D$7:$D$1203,"Partnership / PR contact"))</f>
        <v/>
      </c>
      <c r="K324" s="107" t="str">
        <f aca="false">IF($A324="","",SUMIFS('DAILY ENTRY'!$F$7:$F$1203,'DAILY ENTRY'!$A$7:$A$1203,$A324,'DAILY ENTRY'!$B$7:$B$1203,$B324,'DAILY ENTRY'!$D$7:$D$1203,"Engagement (commented on someone else)"))</f>
        <v/>
      </c>
      <c r="L324" s="107" t="str">
        <f aca="false">IF($A324="","",SUMIFS('DAILY ENTRY'!$F$7:$F$1203,'DAILY ENTRY'!$A$7:$A$1203,$A324,'DAILY ENTRY'!$B$7:$B$1203,$B324,'DAILY ENTRY'!$D$7:$D$1203,"Account created / profile completed"))</f>
        <v/>
      </c>
      <c r="M324" s="108" t="str">
        <f aca="false">IF($A324="","",IFERROR(INDEX('DAILY ENTRY'!$E$7:$E$1203,MATCH(1,INDEX(('DAILY ENTRY'!$A$7:$A$1203=$A324)*('DAILY ENTRY'!$B$7:$B$1203=$B324)*('DAILY ENTRY'!$I$7:$I$1203="Meeting booked"),0),0)),IFERROR(INDEX('DAILY ENTRY'!$E$7:$E$1203,MATCH(1,INDEX(('DAILY ENTRY'!$A$7:$A$1203=$A324)*('DAILY ENTRY'!$B$7:$B$1203=$B324)*('DAILY ENTRY'!$I$7:$I$1203="Positive reply"),0),0)),"")))</f>
        <v/>
      </c>
      <c r="N324" s="108" t="str">
        <f aca="false">IF($A324="","",IFERROR(INDEX('DAILY ENTRY'!$J$7:$J$1203,MATCH(1,INDEX(('DAILY ENTRY'!$A$7:$A$1203=$A324)*('DAILY ENTRY'!$B$7:$B$1203=$B324)*('DAILY ENTRY'!$I$7:$I$1203="Blocked"),0),0)),""))</f>
        <v/>
      </c>
      <c r="O324" s="65" t="str">
        <f aca="false">IF($A324="","",(D324&gt;='START HERE'!$B$25)+(E324&gt;='START HERE'!$B$26)+(F324&gt;='START HERE'!$B$27)+(G324&gt;='START HERE'!$B$28)+(H324&gt;='START HERE'!$B$29)+(I324&gt;='START HERE'!$B$30)+(J324&gt;='START HERE'!$B$31)+(K324&gt;='START HERE'!$B$32))</f>
        <v/>
      </c>
      <c r="P324" s="46" t="str">
        <f aca="false">IF($A324="","",IF(O324&gt;=7,"Full day",IF(O324&gt;=5,"Most targets met",IF(O324&gt;=3,"Half day","Below plan - explain in the blocker column"))))</f>
        <v/>
      </c>
    </row>
    <row r="325" customFormat="false" ht="24" hidden="false" customHeight="true" outlineLevel="0" collapsed="false">
      <c r="A325" s="36"/>
      <c r="B325" s="37"/>
      <c r="C325" s="107" t="str">
        <f aca="false">IF($A325="","",ROUND(SUMIFS('DAILY ENTRY'!$G$7:$G$1203,'DAILY ENTRY'!$A$7:$A$1203,$A325,'DAILY ENTRY'!$B$7:$B$1203,$B325)/60,1))</f>
        <v/>
      </c>
      <c r="D325" s="107" t="str">
        <f aca="false">IF($A325="","",SUMIFS('DAILY ENTRY'!$F$7:$F$1203,'DAILY ENTRY'!$A$7:$A$1203,$A325,'DAILY ENTRY'!$B$7:$B$1203,$B325,'DAILY ENTRY'!$D$7:$D$1203,"Lead researched (Sales Navigator)"))</f>
        <v/>
      </c>
      <c r="E325" s="107" t="str">
        <f aca="false">IF($A325="","",SUMIFS('DAILY ENTRY'!$F$7:$F$1203,'DAILY ENTRY'!$A$7:$A$1203,$A325,'DAILY ENTRY'!$B$7:$B$1203,$B325,'DAILY ENTRY'!$D$7:$D$1203,"Connection request sent"))</f>
        <v/>
      </c>
      <c r="F325" s="107" t="str">
        <f aca="false">IF($A325="","",SUMIFS('DAILY ENTRY'!$F$7:$F$1203,'DAILY ENTRY'!$A$7:$A$1203,$A325,'DAILY ENTRY'!$B$7:$B$1203,$B325,'DAILY ENTRY'!$D$7:$D$1203,"First message sent"))</f>
        <v/>
      </c>
      <c r="G325" s="107" t="str">
        <f aca="false">IF($A325="","",SUMIFS('DAILY ENTRY'!$F$7:$F$1203,'DAILY ENTRY'!$A$7:$A$1203,$A325,'DAILY ENTRY'!$B$7:$B$1203,$B325,'DAILY ENTRY'!$D$7:$D$1203,"Follow-up message sent"))</f>
        <v/>
      </c>
      <c r="H325" s="107" t="str">
        <f aca="false">IF($A325="","",SUMIFS('DAILY ENTRY'!$F$7:$F$1203,'DAILY ENTRY'!$A$7:$A$1203,$A325,'DAILY ENTRY'!$B$7:$B$1203,$B325,'DAILY ENTRY'!$D$7:$D$1203,"Post / content published"))</f>
        <v/>
      </c>
      <c r="I325" s="107" t="str">
        <f aca="false">IF($A325="","",SUMIFS('DAILY ENTRY'!$F$7:$F$1203,'DAILY ENTRY'!$A$7:$A$1203,$A325,'DAILY ENTRY'!$B$7:$B$1203,$B325,'DAILY ENTRY'!$D$7:$D$1203,"Community answer or comment"))</f>
        <v/>
      </c>
      <c r="J325" s="107" t="str">
        <f aca="false">IF($A325="","",SUMIFS('DAILY ENTRY'!$F$7:$F$1203,'DAILY ENTRY'!$A$7:$A$1203,$A325,'DAILY ENTRY'!$B$7:$B$1203,$B325,'DAILY ENTRY'!$D$7:$D$1203,"Partnership / PR contact"))</f>
        <v/>
      </c>
      <c r="K325" s="107" t="str">
        <f aca="false">IF($A325="","",SUMIFS('DAILY ENTRY'!$F$7:$F$1203,'DAILY ENTRY'!$A$7:$A$1203,$A325,'DAILY ENTRY'!$B$7:$B$1203,$B325,'DAILY ENTRY'!$D$7:$D$1203,"Engagement (commented on someone else)"))</f>
        <v/>
      </c>
      <c r="L325" s="107" t="str">
        <f aca="false">IF($A325="","",SUMIFS('DAILY ENTRY'!$F$7:$F$1203,'DAILY ENTRY'!$A$7:$A$1203,$A325,'DAILY ENTRY'!$B$7:$B$1203,$B325,'DAILY ENTRY'!$D$7:$D$1203,"Account created / profile completed"))</f>
        <v/>
      </c>
      <c r="M325" s="108" t="str">
        <f aca="false">IF($A325="","",IFERROR(INDEX('DAILY ENTRY'!$E$7:$E$1203,MATCH(1,INDEX(('DAILY ENTRY'!$A$7:$A$1203=$A325)*('DAILY ENTRY'!$B$7:$B$1203=$B325)*('DAILY ENTRY'!$I$7:$I$1203="Meeting booked"),0),0)),IFERROR(INDEX('DAILY ENTRY'!$E$7:$E$1203,MATCH(1,INDEX(('DAILY ENTRY'!$A$7:$A$1203=$A325)*('DAILY ENTRY'!$B$7:$B$1203=$B325)*('DAILY ENTRY'!$I$7:$I$1203="Positive reply"),0),0)),"")))</f>
        <v/>
      </c>
      <c r="N325" s="108" t="str">
        <f aca="false">IF($A325="","",IFERROR(INDEX('DAILY ENTRY'!$J$7:$J$1203,MATCH(1,INDEX(('DAILY ENTRY'!$A$7:$A$1203=$A325)*('DAILY ENTRY'!$B$7:$B$1203=$B325)*('DAILY ENTRY'!$I$7:$I$1203="Blocked"),0),0)),""))</f>
        <v/>
      </c>
      <c r="O325" s="65" t="str">
        <f aca="false">IF($A325="","",(D325&gt;='START HERE'!$B$25)+(E325&gt;='START HERE'!$B$26)+(F325&gt;='START HERE'!$B$27)+(G325&gt;='START HERE'!$B$28)+(H325&gt;='START HERE'!$B$29)+(I325&gt;='START HERE'!$B$30)+(J325&gt;='START HERE'!$B$31)+(K325&gt;='START HERE'!$B$32))</f>
        <v/>
      </c>
      <c r="P325" s="46" t="str">
        <f aca="false">IF($A325="","",IF(O325&gt;=7,"Full day",IF(O325&gt;=5,"Most targets met",IF(O325&gt;=3,"Half day","Below plan - explain in the blocker column"))))</f>
        <v/>
      </c>
    </row>
    <row r="326" customFormat="false" ht="24" hidden="false" customHeight="true" outlineLevel="0" collapsed="false">
      <c r="A326" s="36"/>
      <c r="B326" s="37"/>
      <c r="C326" s="107" t="str">
        <f aca="false">IF($A326="","",ROUND(SUMIFS('DAILY ENTRY'!$G$7:$G$1203,'DAILY ENTRY'!$A$7:$A$1203,$A326,'DAILY ENTRY'!$B$7:$B$1203,$B326)/60,1))</f>
        <v/>
      </c>
      <c r="D326" s="107" t="str">
        <f aca="false">IF($A326="","",SUMIFS('DAILY ENTRY'!$F$7:$F$1203,'DAILY ENTRY'!$A$7:$A$1203,$A326,'DAILY ENTRY'!$B$7:$B$1203,$B326,'DAILY ENTRY'!$D$7:$D$1203,"Lead researched (Sales Navigator)"))</f>
        <v/>
      </c>
      <c r="E326" s="107" t="str">
        <f aca="false">IF($A326="","",SUMIFS('DAILY ENTRY'!$F$7:$F$1203,'DAILY ENTRY'!$A$7:$A$1203,$A326,'DAILY ENTRY'!$B$7:$B$1203,$B326,'DAILY ENTRY'!$D$7:$D$1203,"Connection request sent"))</f>
        <v/>
      </c>
      <c r="F326" s="107" t="str">
        <f aca="false">IF($A326="","",SUMIFS('DAILY ENTRY'!$F$7:$F$1203,'DAILY ENTRY'!$A$7:$A$1203,$A326,'DAILY ENTRY'!$B$7:$B$1203,$B326,'DAILY ENTRY'!$D$7:$D$1203,"First message sent"))</f>
        <v/>
      </c>
      <c r="G326" s="107" t="str">
        <f aca="false">IF($A326="","",SUMIFS('DAILY ENTRY'!$F$7:$F$1203,'DAILY ENTRY'!$A$7:$A$1203,$A326,'DAILY ENTRY'!$B$7:$B$1203,$B326,'DAILY ENTRY'!$D$7:$D$1203,"Follow-up message sent"))</f>
        <v/>
      </c>
      <c r="H326" s="107" t="str">
        <f aca="false">IF($A326="","",SUMIFS('DAILY ENTRY'!$F$7:$F$1203,'DAILY ENTRY'!$A$7:$A$1203,$A326,'DAILY ENTRY'!$B$7:$B$1203,$B326,'DAILY ENTRY'!$D$7:$D$1203,"Post / content published"))</f>
        <v/>
      </c>
      <c r="I326" s="107" t="str">
        <f aca="false">IF($A326="","",SUMIFS('DAILY ENTRY'!$F$7:$F$1203,'DAILY ENTRY'!$A$7:$A$1203,$A326,'DAILY ENTRY'!$B$7:$B$1203,$B326,'DAILY ENTRY'!$D$7:$D$1203,"Community answer or comment"))</f>
        <v/>
      </c>
      <c r="J326" s="107" t="str">
        <f aca="false">IF($A326="","",SUMIFS('DAILY ENTRY'!$F$7:$F$1203,'DAILY ENTRY'!$A$7:$A$1203,$A326,'DAILY ENTRY'!$B$7:$B$1203,$B326,'DAILY ENTRY'!$D$7:$D$1203,"Partnership / PR contact"))</f>
        <v/>
      </c>
      <c r="K326" s="107" t="str">
        <f aca="false">IF($A326="","",SUMIFS('DAILY ENTRY'!$F$7:$F$1203,'DAILY ENTRY'!$A$7:$A$1203,$A326,'DAILY ENTRY'!$B$7:$B$1203,$B326,'DAILY ENTRY'!$D$7:$D$1203,"Engagement (commented on someone else)"))</f>
        <v/>
      </c>
      <c r="L326" s="107" t="str">
        <f aca="false">IF($A326="","",SUMIFS('DAILY ENTRY'!$F$7:$F$1203,'DAILY ENTRY'!$A$7:$A$1203,$A326,'DAILY ENTRY'!$B$7:$B$1203,$B326,'DAILY ENTRY'!$D$7:$D$1203,"Account created / profile completed"))</f>
        <v/>
      </c>
      <c r="M326" s="108" t="str">
        <f aca="false">IF($A326="","",IFERROR(INDEX('DAILY ENTRY'!$E$7:$E$1203,MATCH(1,INDEX(('DAILY ENTRY'!$A$7:$A$1203=$A326)*('DAILY ENTRY'!$B$7:$B$1203=$B326)*('DAILY ENTRY'!$I$7:$I$1203="Meeting booked"),0),0)),IFERROR(INDEX('DAILY ENTRY'!$E$7:$E$1203,MATCH(1,INDEX(('DAILY ENTRY'!$A$7:$A$1203=$A326)*('DAILY ENTRY'!$B$7:$B$1203=$B326)*('DAILY ENTRY'!$I$7:$I$1203="Positive reply"),0),0)),"")))</f>
        <v/>
      </c>
      <c r="N326" s="108" t="str">
        <f aca="false">IF($A326="","",IFERROR(INDEX('DAILY ENTRY'!$J$7:$J$1203,MATCH(1,INDEX(('DAILY ENTRY'!$A$7:$A$1203=$A326)*('DAILY ENTRY'!$B$7:$B$1203=$B326)*('DAILY ENTRY'!$I$7:$I$1203="Blocked"),0),0)),""))</f>
        <v/>
      </c>
      <c r="O326" s="65" t="str">
        <f aca="false">IF($A326="","",(D326&gt;='START HERE'!$B$25)+(E326&gt;='START HERE'!$B$26)+(F326&gt;='START HERE'!$B$27)+(G326&gt;='START HERE'!$B$28)+(H326&gt;='START HERE'!$B$29)+(I326&gt;='START HERE'!$B$30)+(J326&gt;='START HERE'!$B$31)+(K326&gt;='START HERE'!$B$32))</f>
        <v/>
      </c>
      <c r="P326" s="46" t="str">
        <f aca="false">IF($A326="","",IF(O326&gt;=7,"Full day",IF(O326&gt;=5,"Most targets met",IF(O326&gt;=3,"Half day","Below plan - explain in the blocker column"))))</f>
        <v/>
      </c>
    </row>
    <row r="327" customFormat="false" ht="24" hidden="false" customHeight="true" outlineLevel="0" collapsed="false">
      <c r="A327" s="36"/>
      <c r="B327" s="37"/>
      <c r="C327" s="107" t="str">
        <f aca="false">IF($A327="","",ROUND(SUMIFS('DAILY ENTRY'!$G$7:$G$1203,'DAILY ENTRY'!$A$7:$A$1203,$A327,'DAILY ENTRY'!$B$7:$B$1203,$B327)/60,1))</f>
        <v/>
      </c>
      <c r="D327" s="107" t="str">
        <f aca="false">IF($A327="","",SUMIFS('DAILY ENTRY'!$F$7:$F$1203,'DAILY ENTRY'!$A$7:$A$1203,$A327,'DAILY ENTRY'!$B$7:$B$1203,$B327,'DAILY ENTRY'!$D$7:$D$1203,"Lead researched (Sales Navigator)"))</f>
        <v/>
      </c>
      <c r="E327" s="107" t="str">
        <f aca="false">IF($A327="","",SUMIFS('DAILY ENTRY'!$F$7:$F$1203,'DAILY ENTRY'!$A$7:$A$1203,$A327,'DAILY ENTRY'!$B$7:$B$1203,$B327,'DAILY ENTRY'!$D$7:$D$1203,"Connection request sent"))</f>
        <v/>
      </c>
      <c r="F327" s="107" t="str">
        <f aca="false">IF($A327="","",SUMIFS('DAILY ENTRY'!$F$7:$F$1203,'DAILY ENTRY'!$A$7:$A$1203,$A327,'DAILY ENTRY'!$B$7:$B$1203,$B327,'DAILY ENTRY'!$D$7:$D$1203,"First message sent"))</f>
        <v/>
      </c>
      <c r="G327" s="107" t="str">
        <f aca="false">IF($A327="","",SUMIFS('DAILY ENTRY'!$F$7:$F$1203,'DAILY ENTRY'!$A$7:$A$1203,$A327,'DAILY ENTRY'!$B$7:$B$1203,$B327,'DAILY ENTRY'!$D$7:$D$1203,"Follow-up message sent"))</f>
        <v/>
      </c>
      <c r="H327" s="107" t="str">
        <f aca="false">IF($A327="","",SUMIFS('DAILY ENTRY'!$F$7:$F$1203,'DAILY ENTRY'!$A$7:$A$1203,$A327,'DAILY ENTRY'!$B$7:$B$1203,$B327,'DAILY ENTRY'!$D$7:$D$1203,"Post / content published"))</f>
        <v/>
      </c>
      <c r="I327" s="107" t="str">
        <f aca="false">IF($A327="","",SUMIFS('DAILY ENTRY'!$F$7:$F$1203,'DAILY ENTRY'!$A$7:$A$1203,$A327,'DAILY ENTRY'!$B$7:$B$1203,$B327,'DAILY ENTRY'!$D$7:$D$1203,"Community answer or comment"))</f>
        <v/>
      </c>
      <c r="J327" s="107" t="str">
        <f aca="false">IF($A327="","",SUMIFS('DAILY ENTRY'!$F$7:$F$1203,'DAILY ENTRY'!$A$7:$A$1203,$A327,'DAILY ENTRY'!$B$7:$B$1203,$B327,'DAILY ENTRY'!$D$7:$D$1203,"Partnership / PR contact"))</f>
        <v/>
      </c>
      <c r="K327" s="107" t="str">
        <f aca="false">IF($A327="","",SUMIFS('DAILY ENTRY'!$F$7:$F$1203,'DAILY ENTRY'!$A$7:$A$1203,$A327,'DAILY ENTRY'!$B$7:$B$1203,$B327,'DAILY ENTRY'!$D$7:$D$1203,"Engagement (commented on someone else)"))</f>
        <v/>
      </c>
      <c r="L327" s="107" t="str">
        <f aca="false">IF($A327="","",SUMIFS('DAILY ENTRY'!$F$7:$F$1203,'DAILY ENTRY'!$A$7:$A$1203,$A327,'DAILY ENTRY'!$B$7:$B$1203,$B327,'DAILY ENTRY'!$D$7:$D$1203,"Account created / profile completed"))</f>
        <v/>
      </c>
      <c r="M327" s="108" t="str">
        <f aca="false">IF($A327="","",IFERROR(INDEX('DAILY ENTRY'!$E$7:$E$1203,MATCH(1,INDEX(('DAILY ENTRY'!$A$7:$A$1203=$A327)*('DAILY ENTRY'!$B$7:$B$1203=$B327)*('DAILY ENTRY'!$I$7:$I$1203="Meeting booked"),0),0)),IFERROR(INDEX('DAILY ENTRY'!$E$7:$E$1203,MATCH(1,INDEX(('DAILY ENTRY'!$A$7:$A$1203=$A327)*('DAILY ENTRY'!$B$7:$B$1203=$B327)*('DAILY ENTRY'!$I$7:$I$1203="Positive reply"),0),0)),"")))</f>
        <v/>
      </c>
      <c r="N327" s="108" t="str">
        <f aca="false">IF($A327="","",IFERROR(INDEX('DAILY ENTRY'!$J$7:$J$1203,MATCH(1,INDEX(('DAILY ENTRY'!$A$7:$A$1203=$A327)*('DAILY ENTRY'!$B$7:$B$1203=$B327)*('DAILY ENTRY'!$I$7:$I$1203="Blocked"),0),0)),""))</f>
        <v/>
      </c>
      <c r="O327" s="65" t="str">
        <f aca="false">IF($A327="","",(D327&gt;='START HERE'!$B$25)+(E327&gt;='START HERE'!$B$26)+(F327&gt;='START HERE'!$B$27)+(G327&gt;='START HERE'!$B$28)+(H327&gt;='START HERE'!$B$29)+(I327&gt;='START HERE'!$B$30)+(J327&gt;='START HERE'!$B$31)+(K327&gt;='START HERE'!$B$32))</f>
        <v/>
      </c>
      <c r="P327" s="46" t="str">
        <f aca="false">IF($A327="","",IF(O327&gt;=7,"Full day",IF(O327&gt;=5,"Most targets met",IF(O327&gt;=3,"Half day","Below plan - explain in the blocker column"))))</f>
        <v/>
      </c>
    </row>
    <row r="328" customFormat="false" ht="24" hidden="false" customHeight="true" outlineLevel="0" collapsed="false">
      <c r="A328" s="36"/>
      <c r="B328" s="37"/>
      <c r="C328" s="107" t="str">
        <f aca="false">IF($A328="","",ROUND(SUMIFS('DAILY ENTRY'!$G$7:$G$1203,'DAILY ENTRY'!$A$7:$A$1203,$A328,'DAILY ENTRY'!$B$7:$B$1203,$B328)/60,1))</f>
        <v/>
      </c>
      <c r="D328" s="107" t="str">
        <f aca="false">IF($A328="","",SUMIFS('DAILY ENTRY'!$F$7:$F$1203,'DAILY ENTRY'!$A$7:$A$1203,$A328,'DAILY ENTRY'!$B$7:$B$1203,$B328,'DAILY ENTRY'!$D$7:$D$1203,"Lead researched (Sales Navigator)"))</f>
        <v/>
      </c>
      <c r="E328" s="107" t="str">
        <f aca="false">IF($A328="","",SUMIFS('DAILY ENTRY'!$F$7:$F$1203,'DAILY ENTRY'!$A$7:$A$1203,$A328,'DAILY ENTRY'!$B$7:$B$1203,$B328,'DAILY ENTRY'!$D$7:$D$1203,"Connection request sent"))</f>
        <v/>
      </c>
      <c r="F328" s="107" t="str">
        <f aca="false">IF($A328="","",SUMIFS('DAILY ENTRY'!$F$7:$F$1203,'DAILY ENTRY'!$A$7:$A$1203,$A328,'DAILY ENTRY'!$B$7:$B$1203,$B328,'DAILY ENTRY'!$D$7:$D$1203,"First message sent"))</f>
        <v/>
      </c>
      <c r="G328" s="107" t="str">
        <f aca="false">IF($A328="","",SUMIFS('DAILY ENTRY'!$F$7:$F$1203,'DAILY ENTRY'!$A$7:$A$1203,$A328,'DAILY ENTRY'!$B$7:$B$1203,$B328,'DAILY ENTRY'!$D$7:$D$1203,"Follow-up message sent"))</f>
        <v/>
      </c>
      <c r="H328" s="107" t="str">
        <f aca="false">IF($A328="","",SUMIFS('DAILY ENTRY'!$F$7:$F$1203,'DAILY ENTRY'!$A$7:$A$1203,$A328,'DAILY ENTRY'!$B$7:$B$1203,$B328,'DAILY ENTRY'!$D$7:$D$1203,"Post / content published"))</f>
        <v/>
      </c>
      <c r="I328" s="107" t="str">
        <f aca="false">IF($A328="","",SUMIFS('DAILY ENTRY'!$F$7:$F$1203,'DAILY ENTRY'!$A$7:$A$1203,$A328,'DAILY ENTRY'!$B$7:$B$1203,$B328,'DAILY ENTRY'!$D$7:$D$1203,"Community answer or comment"))</f>
        <v/>
      </c>
      <c r="J328" s="107" t="str">
        <f aca="false">IF($A328="","",SUMIFS('DAILY ENTRY'!$F$7:$F$1203,'DAILY ENTRY'!$A$7:$A$1203,$A328,'DAILY ENTRY'!$B$7:$B$1203,$B328,'DAILY ENTRY'!$D$7:$D$1203,"Partnership / PR contact"))</f>
        <v/>
      </c>
      <c r="K328" s="107" t="str">
        <f aca="false">IF($A328="","",SUMIFS('DAILY ENTRY'!$F$7:$F$1203,'DAILY ENTRY'!$A$7:$A$1203,$A328,'DAILY ENTRY'!$B$7:$B$1203,$B328,'DAILY ENTRY'!$D$7:$D$1203,"Engagement (commented on someone else)"))</f>
        <v/>
      </c>
      <c r="L328" s="107" t="str">
        <f aca="false">IF($A328="","",SUMIFS('DAILY ENTRY'!$F$7:$F$1203,'DAILY ENTRY'!$A$7:$A$1203,$A328,'DAILY ENTRY'!$B$7:$B$1203,$B328,'DAILY ENTRY'!$D$7:$D$1203,"Account created / profile completed"))</f>
        <v/>
      </c>
      <c r="M328" s="108" t="str">
        <f aca="false">IF($A328="","",IFERROR(INDEX('DAILY ENTRY'!$E$7:$E$1203,MATCH(1,INDEX(('DAILY ENTRY'!$A$7:$A$1203=$A328)*('DAILY ENTRY'!$B$7:$B$1203=$B328)*('DAILY ENTRY'!$I$7:$I$1203="Meeting booked"),0),0)),IFERROR(INDEX('DAILY ENTRY'!$E$7:$E$1203,MATCH(1,INDEX(('DAILY ENTRY'!$A$7:$A$1203=$A328)*('DAILY ENTRY'!$B$7:$B$1203=$B328)*('DAILY ENTRY'!$I$7:$I$1203="Positive reply"),0),0)),"")))</f>
        <v/>
      </c>
      <c r="N328" s="108" t="str">
        <f aca="false">IF($A328="","",IFERROR(INDEX('DAILY ENTRY'!$J$7:$J$1203,MATCH(1,INDEX(('DAILY ENTRY'!$A$7:$A$1203=$A328)*('DAILY ENTRY'!$B$7:$B$1203=$B328)*('DAILY ENTRY'!$I$7:$I$1203="Blocked"),0),0)),""))</f>
        <v/>
      </c>
      <c r="O328" s="65" t="str">
        <f aca="false">IF($A328="","",(D328&gt;='START HERE'!$B$25)+(E328&gt;='START HERE'!$B$26)+(F328&gt;='START HERE'!$B$27)+(G328&gt;='START HERE'!$B$28)+(H328&gt;='START HERE'!$B$29)+(I328&gt;='START HERE'!$B$30)+(J328&gt;='START HERE'!$B$31)+(K328&gt;='START HERE'!$B$32))</f>
        <v/>
      </c>
      <c r="P328" s="46" t="str">
        <f aca="false">IF($A328="","",IF(O328&gt;=7,"Full day",IF(O328&gt;=5,"Most targets met",IF(O328&gt;=3,"Half day","Below plan - explain in the blocker column"))))</f>
        <v/>
      </c>
    </row>
    <row r="329" customFormat="false" ht="24" hidden="false" customHeight="true" outlineLevel="0" collapsed="false">
      <c r="A329" s="36"/>
      <c r="B329" s="37"/>
      <c r="C329" s="107" t="str">
        <f aca="false">IF($A329="","",ROUND(SUMIFS('DAILY ENTRY'!$G$7:$G$1203,'DAILY ENTRY'!$A$7:$A$1203,$A329,'DAILY ENTRY'!$B$7:$B$1203,$B329)/60,1))</f>
        <v/>
      </c>
      <c r="D329" s="107" t="str">
        <f aca="false">IF($A329="","",SUMIFS('DAILY ENTRY'!$F$7:$F$1203,'DAILY ENTRY'!$A$7:$A$1203,$A329,'DAILY ENTRY'!$B$7:$B$1203,$B329,'DAILY ENTRY'!$D$7:$D$1203,"Lead researched (Sales Navigator)"))</f>
        <v/>
      </c>
      <c r="E329" s="107" t="str">
        <f aca="false">IF($A329="","",SUMIFS('DAILY ENTRY'!$F$7:$F$1203,'DAILY ENTRY'!$A$7:$A$1203,$A329,'DAILY ENTRY'!$B$7:$B$1203,$B329,'DAILY ENTRY'!$D$7:$D$1203,"Connection request sent"))</f>
        <v/>
      </c>
      <c r="F329" s="107" t="str">
        <f aca="false">IF($A329="","",SUMIFS('DAILY ENTRY'!$F$7:$F$1203,'DAILY ENTRY'!$A$7:$A$1203,$A329,'DAILY ENTRY'!$B$7:$B$1203,$B329,'DAILY ENTRY'!$D$7:$D$1203,"First message sent"))</f>
        <v/>
      </c>
      <c r="G329" s="107" t="str">
        <f aca="false">IF($A329="","",SUMIFS('DAILY ENTRY'!$F$7:$F$1203,'DAILY ENTRY'!$A$7:$A$1203,$A329,'DAILY ENTRY'!$B$7:$B$1203,$B329,'DAILY ENTRY'!$D$7:$D$1203,"Follow-up message sent"))</f>
        <v/>
      </c>
      <c r="H329" s="107" t="str">
        <f aca="false">IF($A329="","",SUMIFS('DAILY ENTRY'!$F$7:$F$1203,'DAILY ENTRY'!$A$7:$A$1203,$A329,'DAILY ENTRY'!$B$7:$B$1203,$B329,'DAILY ENTRY'!$D$7:$D$1203,"Post / content published"))</f>
        <v/>
      </c>
      <c r="I329" s="107" t="str">
        <f aca="false">IF($A329="","",SUMIFS('DAILY ENTRY'!$F$7:$F$1203,'DAILY ENTRY'!$A$7:$A$1203,$A329,'DAILY ENTRY'!$B$7:$B$1203,$B329,'DAILY ENTRY'!$D$7:$D$1203,"Community answer or comment"))</f>
        <v/>
      </c>
      <c r="J329" s="107" t="str">
        <f aca="false">IF($A329="","",SUMIFS('DAILY ENTRY'!$F$7:$F$1203,'DAILY ENTRY'!$A$7:$A$1203,$A329,'DAILY ENTRY'!$B$7:$B$1203,$B329,'DAILY ENTRY'!$D$7:$D$1203,"Partnership / PR contact"))</f>
        <v/>
      </c>
      <c r="K329" s="107" t="str">
        <f aca="false">IF($A329="","",SUMIFS('DAILY ENTRY'!$F$7:$F$1203,'DAILY ENTRY'!$A$7:$A$1203,$A329,'DAILY ENTRY'!$B$7:$B$1203,$B329,'DAILY ENTRY'!$D$7:$D$1203,"Engagement (commented on someone else)"))</f>
        <v/>
      </c>
      <c r="L329" s="107" t="str">
        <f aca="false">IF($A329="","",SUMIFS('DAILY ENTRY'!$F$7:$F$1203,'DAILY ENTRY'!$A$7:$A$1203,$A329,'DAILY ENTRY'!$B$7:$B$1203,$B329,'DAILY ENTRY'!$D$7:$D$1203,"Account created / profile completed"))</f>
        <v/>
      </c>
      <c r="M329" s="108" t="str">
        <f aca="false">IF($A329="","",IFERROR(INDEX('DAILY ENTRY'!$E$7:$E$1203,MATCH(1,INDEX(('DAILY ENTRY'!$A$7:$A$1203=$A329)*('DAILY ENTRY'!$B$7:$B$1203=$B329)*('DAILY ENTRY'!$I$7:$I$1203="Meeting booked"),0),0)),IFERROR(INDEX('DAILY ENTRY'!$E$7:$E$1203,MATCH(1,INDEX(('DAILY ENTRY'!$A$7:$A$1203=$A329)*('DAILY ENTRY'!$B$7:$B$1203=$B329)*('DAILY ENTRY'!$I$7:$I$1203="Positive reply"),0),0)),"")))</f>
        <v/>
      </c>
      <c r="N329" s="108" t="str">
        <f aca="false">IF($A329="","",IFERROR(INDEX('DAILY ENTRY'!$J$7:$J$1203,MATCH(1,INDEX(('DAILY ENTRY'!$A$7:$A$1203=$A329)*('DAILY ENTRY'!$B$7:$B$1203=$B329)*('DAILY ENTRY'!$I$7:$I$1203="Blocked"),0),0)),""))</f>
        <v/>
      </c>
      <c r="O329" s="65" t="str">
        <f aca="false">IF($A329="","",(D329&gt;='START HERE'!$B$25)+(E329&gt;='START HERE'!$B$26)+(F329&gt;='START HERE'!$B$27)+(G329&gt;='START HERE'!$B$28)+(H329&gt;='START HERE'!$B$29)+(I329&gt;='START HERE'!$B$30)+(J329&gt;='START HERE'!$B$31)+(K329&gt;='START HERE'!$B$32))</f>
        <v/>
      </c>
      <c r="P329" s="46" t="str">
        <f aca="false">IF($A329="","",IF(O329&gt;=7,"Full day",IF(O329&gt;=5,"Most targets met",IF(O329&gt;=3,"Half day","Below plan - explain in the blocker column"))))</f>
        <v/>
      </c>
    </row>
    <row r="330" customFormat="false" ht="24" hidden="false" customHeight="true" outlineLevel="0" collapsed="false">
      <c r="A330" s="36"/>
      <c r="B330" s="37"/>
      <c r="C330" s="107" t="str">
        <f aca="false">IF($A330="","",ROUND(SUMIFS('DAILY ENTRY'!$G$7:$G$1203,'DAILY ENTRY'!$A$7:$A$1203,$A330,'DAILY ENTRY'!$B$7:$B$1203,$B330)/60,1))</f>
        <v/>
      </c>
      <c r="D330" s="107" t="str">
        <f aca="false">IF($A330="","",SUMIFS('DAILY ENTRY'!$F$7:$F$1203,'DAILY ENTRY'!$A$7:$A$1203,$A330,'DAILY ENTRY'!$B$7:$B$1203,$B330,'DAILY ENTRY'!$D$7:$D$1203,"Lead researched (Sales Navigator)"))</f>
        <v/>
      </c>
      <c r="E330" s="107" t="str">
        <f aca="false">IF($A330="","",SUMIFS('DAILY ENTRY'!$F$7:$F$1203,'DAILY ENTRY'!$A$7:$A$1203,$A330,'DAILY ENTRY'!$B$7:$B$1203,$B330,'DAILY ENTRY'!$D$7:$D$1203,"Connection request sent"))</f>
        <v/>
      </c>
      <c r="F330" s="107" t="str">
        <f aca="false">IF($A330="","",SUMIFS('DAILY ENTRY'!$F$7:$F$1203,'DAILY ENTRY'!$A$7:$A$1203,$A330,'DAILY ENTRY'!$B$7:$B$1203,$B330,'DAILY ENTRY'!$D$7:$D$1203,"First message sent"))</f>
        <v/>
      </c>
      <c r="G330" s="107" t="str">
        <f aca="false">IF($A330="","",SUMIFS('DAILY ENTRY'!$F$7:$F$1203,'DAILY ENTRY'!$A$7:$A$1203,$A330,'DAILY ENTRY'!$B$7:$B$1203,$B330,'DAILY ENTRY'!$D$7:$D$1203,"Follow-up message sent"))</f>
        <v/>
      </c>
      <c r="H330" s="107" t="str">
        <f aca="false">IF($A330="","",SUMIFS('DAILY ENTRY'!$F$7:$F$1203,'DAILY ENTRY'!$A$7:$A$1203,$A330,'DAILY ENTRY'!$B$7:$B$1203,$B330,'DAILY ENTRY'!$D$7:$D$1203,"Post / content published"))</f>
        <v/>
      </c>
      <c r="I330" s="107" t="str">
        <f aca="false">IF($A330="","",SUMIFS('DAILY ENTRY'!$F$7:$F$1203,'DAILY ENTRY'!$A$7:$A$1203,$A330,'DAILY ENTRY'!$B$7:$B$1203,$B330,'DAILY ENTRY'!$D$7:$D$1203,"Community answer or comment"))</f>
        <v/>
      </c>
      <c r="J330" s="107" t="str">
        <f aca="false">IF($A330="","",SUMIFS('DAILY ENTRY'!$F$7:$F$1203,'DAILY ENTRY'!$A$7:$A$1203,$A330,'DAILY ENTRY'!$B$7:$B$1203,$B330,'DAILY ENTRY'!$D$7:$D$1203,"Partnership / PR contact"))</f>
        <v/>
      </c>
      <c r="K330" s="107" t="str">
        <f aca="false">IF($A330="","",SUMIFS('DAILY ENTRY'!$F$7:$F$1203,'DAILY ENTRY'!$A$7:$A$1203,$A330,'DAILY ENTRY'!$B$7:$B$1203,$B330,'DAILY ENTRY'!$D$7:$D$1203,"Engagement (commented on someone else)"))</f>
        <v/>
      </c>
      <c r="L330" s="107" t="str">
        <f aca="false">IF($A330="","",SUMIFS('DAILY ENTRY'!$F$7:$F$1203,'DAILY ENTRY'!$A$7:$A$1203,$A330,'DAILY ENTRY'!$B$7:$B$1203,$B330,'DAILY ENTRY'!$D$7:$D$1203,"Account created / profile completed"))</f>
        <v/>
      </c>
      <c r="M330" s="108" t="str">
        <f aca="false">IF($A330="","",IFERROR(INDEX('DAILY ENTRY'!$E$7:$E$1203,MATCH(1,INDEX(('DAILY ENTRY'!$A$7:$A$1203=$A330)*('DAILY ENTRY'!$B$7:$B$1203=$B330)*('DAILY ENTRY'!$I$7:$I$1203="Meeting booked"),0),0)),IFERROR(INDEX('DAILY ENTRY'!$E$7:$E$1203,MATCH(1,INDEX(('DAILY ENTRY'!$A$7:$A$1203=$A330)*('DAILY ENTRY'!$B$7:$B$1203=$B330)*('DAILY ENTRY'!$I$7:$I$1203="Positive reply"),0),0)),"")))</f>
        <v/>
      </c>
      <c r="N330" s="108" t="str">
        <f aca="false">IF($A330="","",IFERROR(INDEX('DAILY ENTRY'!$J$7:$J$1203,MATCH(1,INDEX(('DAILY ENTRY'!$A$7:$A$1203=$A330)*('DAILY ENTRY'!$B$7:$B$1203=$B330)*('DAILY ENTRY'!$I$7:$I$1203="Blocked"),0),0)),""))</f>
        <v/>
      </c>
      <c r="O330" s="65" t="str">
        <f aca="false">IF($A330="","",(D330&gt;='START HERE'!$B$25)+(E330&gt;='START HERE'!$B$26)+(F330&gt;='START HERE'!$B$27)+(G330&gt;='START HERE'!$B$28)+(H330&gt;='START HERE'!$B$29)+(I330&gt;='START HERE'!$B$30)+(J330&gt;='START HERE'!$B$31)+(K330&gt;='START HERE'!$B$32))</f>
        <v/>
      </c>
      <c r="P330" s="46" t="str">
        <f aca="false">IF($A330="","",IF(O330&gt;=7,"Full day",IF(O330&gt;=5,"Most targets met",IF(O330&gt;=3,"Half day","Below plan - explain in the blocker column"))))</f>
        <v/>
      </c>
    </row>
    <row r="331" customFormat="false" ht="24" hidden="false" customHeight="true" outlineLevel="0" collapsed="false">
      <c r="A331" s="36"/>
      <c r="B331" s="37"/>
      <c r="C331" s="107" t="str">
        <f aca="false">IF($A331="","",ROUND(SUMIFS('DAILY ENTRY'!$G$7:$G$1203,'DAILY ENTRY'!$A$7:$A$1203,$A331,'DAILY ENTRY'!$B$7:$B$1203,$B331)/60,1))</f>
        <v/>
      </c>
      <c r="D331" s="107" t="str">
        <f aca="false">IF($A331="","",SUMIFS('DAILY ENTRY'!$F$7:$F$1203,'DAILY ENTRY'!$A$7:$A$1203,$A331,'DAILY ENTRY'!$B$7:$B$1203,$B331,'DAILY ENTRY'!$D$7:$D$1203,"Lead researched (Sales Navigator)"))</f>
        <v/>
      </c>
      <c r="E331" s="107" t="str">
        <f aca="false">IF($A331="","",SUMIFS('DAILY ENTRY'!$F$7:$F$1203,'DAILY ENTRY'!$A$7:$A$1203,$A331,'DAILY ENTRY'!$B$7:$B$1203,$B331,'DAILY ENTRY'!$D$7:$D$1203,"Connection request sent"))</f>
        <v/>
      </c>
      <c r="F331" s="107" t="str">
        <f aca="false">IF($A331="","",SUMIFS('DAILY ENTRY'!$F$7:$F$1203,'DAILY ENTRY'!$A$7:$A$1203,$A331,'DAILY ENTRY'!$B$7:$B$1203,$B331,'DAILY ENTRY'!$D$7:$D$1203,"First message sent"))</f>
        <v/>
      </c>
      <c r="G331" s="107" t="str">
        <f aca="false">IF($A331="","",SUMIFS('DAILY ENTRY'!$F$7:$F$1203,'DAILY ENTRY'!$A$7:$A$1203,$A331,'DAILY ENTRY'!$B$7:$B$1203,$B331,'DAILY ENTRY'!$D$7:$D$1203,"Follow-up message sent"))</f>
        <v/>
      </c>
      <c r="H331" s="107" t="str">
        <f aca="false">IF($A331="","",SUMIFS('DAILY ENTRY'!$F$7:$F$1203,'DAILY ENTRY'!$A$7:$A$1203,$A331,'DAILY ENTRY'!$B$7:$B$1203,$B331,'DAILY ENTRY'!$D$7:$D$1203,"Post / content published"))</f>
        <v/>
      </c>
      <c r="I331" s="107" t="str">
        <f aca="false">IF($A331="","",SUMIFS('DAILY ENTRY'!$F$7:$F$1203,'DAILY ENTRY'!$A$7:$A$1203,$A331,'DAILY ENTRY'!$B$7:$B$1203,$B331,'DAILY ENTRY'!$D$7:$D$1203,"Community answer or comment"))</f>
        <v/>
      </c>
      <c r="J331" s="107" t="str">
        <f aca="false">IF($A331="","",SUMIFS('DAILY ENTRY'!$F$7:$F$1203,'DAILY ENTRY'!$A$7:$A$1203,$A331,'DAILY ENTRY'!$B$7:$B$1203,$B331,'DAILY ENTRY'!$D$7:$D$1203,"Partnership / PR contact"))</f>
        <v/>
      </c>
      <c r="K331" s="107" t="str">
        <f aca="false">IF($A331="","",SUMIFS('DAILY ENTRY'!$F$7:$F$1203,'DAILY ENTRY'!$A$7:$A$1203,$A331,'DAILY ENTRY'!$B$7:$B$1203,$B331,'DAILY ENTRY'!$D$7:$D$1203,"Engagement (commented on someone else)"))</f>
        <v/>
      </c>
      <c r="L331" s="107" t="str">
        <f aca="false">IF($A331="","",SUMIFS('DAILY ENTRY'!$F$7:$F$1203,'DAILY ENTRY'!$A$7:$A$1203,$A331,'DAILY ENTRY'!$B$7:$B$1203,$B331,'DAILY ENTRY'!$D$7:$D$1203,"Account created / profile completed"))</f>
        <v/>
      </c>
      <c r="M331" s="108" t="str">
        <f aca="false">IF($A331="","",IFERROR(INDEX('DAILY ENTRY'!$E$7:$E$1203,MATCH(1,INDEX(('DAILY ENTRY'!$A$7:$A$1203=$A331)*('DAILY ENTRY'!$B$7:$B$1203=$B331)*('DAILY ENTRY'!$I$7:$I$1203="Meeting booked"),0),0)),IFERROR(INDEX('DAILY ENTRY'!$E$7:$E$1203,MATCH(1,INDEX(('DAILY ENTRY'!$A$7:$A$1203=$A331)*('DAILY ENTRY'!$B$7:$B$1203=$B331)*('DAILY ENTRY'!$I$7:$I$1203="Positive reply"),0),0)),"")))</f>
        <v/>
      </c>
      <c r="N331" s="108" t="str">
        <f aca="false">IF($A331="","",IFERROR(INDEX('DAILY ENTRY'!$J$7:$J$1203,MATCH(1,INDEX(('DAILY ENTRY'!$A$7:$A$1203=$A331)*('DAILY ENTRY'!$B$7:$B$1203=$B331)*('DAILY ENTRY'!$I$7:$I$1203="Blocked"),0),0)),""))</f>
        <v/>
      </c>
      <c r="O331" s="65" t="str">
        <f aca="false">IF($A331="","",(D331&gt;='START HERE'!$B$25)+(E331&gt;='START HERE'!$B$26)+(F331&gt;='START HERE'!$B$27)+(G331&gt;='START HERE'!$B$28)+(H331&gt;='START HERE'!$B$29)+(I331&gt;='START HERE'!$B$30)+(J331&gt;='START HERE'!$B$31)+(K331&gt;='START HERE'!$B$32))</f>
        <v/>
      </c>
      <c r="P331" s="46" t="str">
        <f aca="false">IF($A331="","",IF(O331&gt;=7,"Full day",IF(O331&gt;=5,"Most targets met",IF(O331&gt;=3,"Half day","Below plan - explain in the blocker column"))))</f>
        <v/>
      </c>
    </row>
    <row r="332" customFormat="false" ht="24" hidden="false" customHeight="true" outlineLevel="0" collapsed="false">
      <c r="A332" s="36"/>
      <c r="B332" s="37"/>
      <c r="C332" s="107" t="str">
        <f aca="false">IF($A332="","",ROUND(SUMIFS('DAILY ENTRY'!$G$7:$G$1203,'DAILY ENTRY'!$A$7:$A$1203,$A332,'DAILY ENTRY'!$B$7:$B$1203,$B332)/60,1))</f>
        <v/>
      </c>
      <c r="D332" s="107" t="str">
        <f aca="false">IF($A332="","",SUMIFS('DAILY ENTRY'!$F$7:$F$1203,'DAILY ENTRY'!$A$7:$A$1203,$A332,'DAILY ENTRY'!$B$7:$B$1203,$B332,'DAILY ENTRY'!$D$7:$D$1203,"Lead researched (Sales Navigator)"))</f>
        <v/>
      </c>
      <c r="E332" s="107" t="str">
        <f aca="false">IF($A332="","",SUMIFS('DAILY ENTRY'!$F$7:$F$1203,'DAILY ENTRY'!$A$7:$A$1203,$A332,'DAILY ENTRY'!$B$7:$B$1203,$B332,'DAILY ENTRY'!$D$7:$D$1203,"Connection request sent"))</f>
        <v/>
      </c>
      <c r="F332" s="107" t="str">
        <f aca="false">IF($A332="","",SUMIFS('DAILY ENTRY'!$F$7:$F$1203,'DAILY ENTRY'!$A$7:$A$1203,$A332,'DAILY ENTRY'!$B$7:$B$1203,$B332,'DAILY ENTRY'!$D$7:$D$1203,"First message sent"))</f>
        <v/>
      </c>
      <c r="G332" s="107" t="str">
        <f aca="false">IF($A332="","",SUMIFS('DAILY ENTRY'!$F$7:$F$1203,'DAILY ENTRY'!$A$7:$A$1203,$A332,'DAILY ENTRY'!$B$7:$B$1203,$B332,'DAILY ENTRY'!$D$7:$D$1203,"Follow-up message sent"))</f>
        <v/>
      </c>
      <c r="H332" s="107" t="str">
        <f aca="false">IF($A332="","",SUMIFS('DAILY ENTRY'!$F$7:$F$1203,'DAILY ENTRY'!$A$7:$A$1203,$A332,'DAILY ENTRY'!$B$7:$B$1203,$B332,'DAILY ENTRY'!$D$7:$D$1203,"Post / content published"))</f>
        <v/>
      </c>
      <c r="I332" s="107" t="str">
        <f aca="false">IF($A332="","",SUMIFS('DAILY ENTRY'!$F$7:$F$1203,'DAILY ENTRY'!$A$7:$A$1203,$A332,'DAILY ENTRY'!$B$7:$B$1203,$B332,'DAILY ENTRY'!$D$7:$D$1203,"Community answer or comment"))</f>
        <v/>
      </c>
      <c r="J332" s="107" t="str">
        <f aca="false">IF($A332="","",SUMIFS('DAILY ENTRY'!$F$7:$F$1203,'DAILY ENTRY'!$A$7:$A$1203,$A332,'DAILY ENTRY'!$B$7:$B$1203,$B332,'DAILY ENTRY'!$D$7:$D$1203,"Partnership / PR contact"))</f>
        <v/>
      </c>
      <c r="K332" s="107" t="str">
        <f aca="false">IF($A332="","",SUMIFS('DAILY ENTRY'!$F$7:$F$1203,'DAILY ENTRY'!$A$7:$A$1203,$A332,'DAILY ENTRY'!$B$7:$B$1203,$B332,'DAILY ENTRY'!$D$7:$D$1203,"Engagement (commented on someone else)"))</f>
        <v/>
      </c>
      <c r="L332" s="107" t="str">
        <f aca="false">IF($A332="","",SUMIFS('DAILY ENTRY'!$F$7:$F$1203,'DAILY ENTRY'!$A$7:$A$1203,$A332,'DAILY ENTRY'!$B$7:$B$1203,$B332,'DAILY ENTRY'!$D$7:$D$1203,"Account created / profile completed"))</f>
        <v/>
      </c>
      <c r="M332" s="108" t="str">
        <f aca="false">IF($A332="","",IFERROR(INDEX('DAILY ENTRY'!$E$7:$E$1203,MATCH(1,INDEX(('DAILY ENTRY'!$A$7:$A$1203=$A332)*('DAILY ENTRY'!$B$7:$B$1203=$B332)*('DAILY ENTRY'!$I$7:$I$1203="Meeting booked"),0),0)),IFERROR(INDEX('DAILY ENTRY'!$E$7:$E$1203,MATCH(1,INDEX(('DAILY ENTRY'!$A$7:$A$1203=$A332)*('DAILY ENTRY'!$B$7:$B$1203=$B332)*('DAILY ENTRY'!$I$7:$I$1203="Positive reply"),0),0)),"")))</f>
        <v/>
      </c>
      <c r="N332" s="108" t="str">
        <f aca="false">IF($A332="","",IFERROR(INDEX('DAILY ENTRY'!$J$7:$J$1203,MATCH(1,INDEX(('DAILY ENTRY'!$A$7:$A$1203=$A332)*('DAILY ENTRY'!$B$7:$B$1203=$B332)*('DAILY ENTRY'!$I$7:$I$1203="Blocked"),0),0)),""))</f>
        <v/>
      </c>
      <c r="O332" s="65" t="str">
        <f aca="false">IF($A332="","",(D332&gt;='START HERE'!$B$25)+(E332&gt;='START HERE'!$B$26)+(F332&gt;='START HERE'!$B$27)+(G332&gt;='START HERE'!$B$28)+(H332&gt;='START HERE'!$B$29)+(I332&gt;='START HERE'!$B$30)+(J332&gt;='START HERE'!$B$31)+(K332&gt;='START HERE'!$B$32))</f>
        <v/>
      </c>
      <c r="P332" s="46" t="str">
        <f aca="false">IF($A332="","",IF(O332&gt;=7,"Full day",IF(O332&gt;=5,"Most targets met",IF(O332&gt;=3,"Half day","Below plan - explain in the blocker column"))))</f>
        <v/>
      </c>
    </row>
    <row r="333" customFormat="false" ht="24" hidden="false" customHeight="true" outlineLevel="0" collapsed="false">
      <c r="A333" s="36"/>
      <c r="B333" s="37"/>
      <c r="C333" s="107" t="str">
        <f aca="false">IF($A333="","",ROUND(SUMIFS('DAILY ENTRY'!$G$7:$G$1203,'DAILY ENTRY'!$A$7:$A$1203,$A333,'DAILY ENTRY'!$B$7:$B$1203,$B333)/60,1))</f>
        <v/>
      </c>
      <c r="D333" s="107" t="str">
        <f aca="false">IF($A333="","",SUMIFS('DAILY ENTRY'!$F$7:$F$1203,'DAILY ENTRY'!$A$7:$A$1203,$A333,'DAILY ENTRY'!$B$7:$B$1203,$B333,'DAILY ENTRY'!$D$7:$D$1203,"Lead researched (Sales Navigator)"))</f>
        <v/>
      </c>
      <c r="E333" s="107" t="str">
        <f aca="false">IF($A333="","",SUMIFS('DAILY ENTRY'!$F$7:$F$1203,'DAILY ENTRY'!$A$7:$A$1203,$A333,'DAILY ENTRY'!$B$7:$B$1203,$B333,'DAILY ENTRY'!$D$7:$D$1203,"Connection request sent"))</f>
        <v/>
      </c>
      <c r="F333" s="107" t="str">
        <f aca="false">IF($A333="","",SUMIFS('DAILY ENTRY'!$F$7:$F$1203,'DAILY ENTRY'!$A$7:$A$1203,$A333,'DAILY ENTRY'!$B$7:$B$1203,$B333,'DAILY ENTRY'!$D$7:$D$1203,"First message sent"))</f>
        <v/>
      </c>
      <c r="G333" s="107" t="str">
        <f aca="false">IF($A333="","",SUMIFS('DAILY ENTRY'!$F$7:$F$1203,'DAILY ENTRY'!$A$7:$A$1203,$A333,'DAILY ENTRY'!$B$7:$B$1203,$B333,'DAILY ENTRY'!$D$7:$D$1203,"Follow-up message sent"))</f>
        <v/>
      </c>
      <c r="H333" s="107" t="str">
        <f aca="false">IF($A333="","",SUMIFS('DAILY ENTRY'!$F$7:$F$1203,'DAILY ENTRY'!$A$7:$A$1203,$A333,'DAILY ENTRY'!$B$7:$B$1203,$B333,'DAILY ENTRY'!$D$7:$D$1203,"Post / content published"))</f>
        <v/>
      </c>
      <c r="I333" s="107" t="str">
        <f aca="false">IF($A333="","",SUMIFS('DAILY ENTRY'!$F$7:$F$1203,'DAILY ENTRY'!$A$7:$A$1203,$A333,'DAILY ENTRY'!$B$7:$B$1203,$B333,'DAILY ENTRY'!$D$7:$D$1203,"Community answer or comment"))</f>
        <v/>
      </c>
      <c r="J333" s="107" t="str">
        <f aca="false">IF($A333="","",SUMIFS('DAILY ENTRY'!$F$7:$F$1203,'DAILY ENTRY'!$A$7:$A$1203,$A333,'DAILY ENTRY'!$B$7:$B$1203,$B333,'DAILY ENTRY'!$D$7:$D$1203,"Partnership / PR contact"))</f>
        <v/>
      </c>
      <c r="K333" s="107" t="str">
        <f aca="false">IF($A333="","",SUMIFS('DAILY ENTRY'!$F$7:$F$1203,'DAILY ENTRY'!$A$7:$A$1203,$A333,'DAILY ENTRY'!$B$7:$B$1203,$B333,'DAILY ENTRY'!$D$7:$D$1203,"Engagement (commented on someone else)"))</f>
        <v/>
      </c>
      <c r="L333" s="107" t="str">
        <f aca="false">IF($A333="","",SUMIFS('DAILY ENTRY'!$F$7:$F$1203,'DAILY ENTRY'!$A$7:$A$1203,$A333,'DAILY ENTRY'!$B$7:$B$1203,$B333,'DAILY ENTRY'!$D$7:$D$1203,"Account created / profile completed"))</f>
        <v/>
      </c>
      <c r="M333" s="108" t="str">
        <f aca="false">IF($A333="","",IFERROR(INDEX('DAILY ENTRY'!$E$7:$E$1203,MATCH(1,INDEX(('DAILY ENTRY'!$A$7:$A$1203=$A333)*('DAILY ENTRY'!$B$7:$B$1203=$B333)*('DAILY ENTRY'!$I$7:$I$1203="Meeting booked"),0),0)),IFERROR(INDEX('DAILY ENTRY'!$E$7:$E$1203,MATCH(1,INDEX(('DAILY ENTRY'!$A$7:$A$1203=$A333)*('DAILY ENTRY'!$B$7:$B$1203=$B333)*('DAILY ENTRY'!$I$7:$I$1203="Positive reply"),0),0)),"")))</f>
        <v/>
      </c>
      <c r="N333" s="108" t="str">
        <f aca="false">IF($A333="","",IFERROR(INDEX('DAILY ENTRY'!$J$7:$J$1203,MATCH(1,INDEX(('DAILY ENTRY'!$A$7:$A$1203=$A333)*('DAILY ENTRY'!$B$7:$B$1203=$B333)*('DAILY ENTRY'!$I$7:$I$1203="Blocked"),0),0)),""))</f>
        <v/>
      </c>
      <c r="O333" s="65" t="str">
        <f aca="false">IF($A333="","",(D333&gt;='START HERE'!$B$25)+(E333&gt;='START HERE'!$B$26)+(F333&gt;='START HERE'!$B$27)+(G333&gt;='START HERE'!$B$28)+(H333&gt;='START HERE'!$B$29)+(I333&gt;='START HERE'!$B$30)+(J333&gt;='START HERE'!$B$31)+(K333&gt;='START HERE'!$B$32))</f>
        <v/>
      </c>
      <c r="P333" s="46" t="str">
        <f aca="false">IF($A333="","",IF(O333&gt;=7,"Full day",IF(O333&gt;=5,"Most targets met",IF(O333&gt;=3,"Half day","Below plan - explain in the blocker column"))))</f>
        <v/>
      </c>
    </row>
    <row r="334" customFormat="false" ht="24" hidden="false" customHeight="true" outlineLevel="0" collapsed="false">
      <c r="A334" s="36"/>
      <c r="B334" s="37"/>
      <c r="C334" s="107" t="str">
        <f aca="false">IF($A334="","",ROUND(SUMIFS('DAILY ENTRY'!$G$7:$G$1203,'DAILY ENTRY'!$A$7:$A$1203,$A334,'DAILY ENTRY'!$B$7:$B$1203,$B334)/60,1))</f>
        <v/>
      </c>
      <c r="D334" s="107" t="str">
        <f aca="false">IF($A334="","",SUMIFS('DAILY ENTRY'!$F$7:$F$1203,'DAILY ENTRY'!$A$7:$A$1203,$A334,'DAILY ENTRY'!$B$7:$B$1203,$B334,'DAILY ENTRY'!$D$7:$D$1203,"Lead researched (Sales Navigator)"))</f>
        <v/>
      </c>
      <c r="E334" s="107" t="str">
        <f aca="false">IF($A334="","",SUMIFS('DAILY ENTRY'!$F$7:$F$1203,'DAILY ENTRY'!$A$7:$A$1203,$A334,'DAILY ENTRY'!$B$7:$B$1203,$B334,'DAILY ENTRY'!$D$7:$D$1203,"Connection request sent"))</f>
        <v/>
      </c>
      <c r="F334" s="107" t="str">
        <f aca="false">IF($A334="","",SUMIFS('DAILY ENTRY'!$F$7:$F$1203,'DAILY ENTRY'!$A$7:$A$1203,$A334,'DAILY ENTRY'!$B$7:$B$1203,$B334,'DAILY ENTRY'!$D$7:$D$1203,"First message sent"))</f>
        <v/>
      </c>
      <c r="G334" s="107" t="str">
        <f aca="false">IF($A334="","",SUMIFS('DAILY ENTRY'!$F$7:$F$1203,'DAILY ENTRY'!$A$7:$A$1203,$A334,'DAILY ENTRY'!$B$7:$B$1203,$B334,'DAILY ENTRY'!$D$7:$D$1203,"Follow-up message sent"))</f>
        <v/>
      </c>
      <c r="H334" s="107" t="str">
        <f aca="false">IF($A334="","",SUMIFS('DAILY ENTRY'!$F$7:$F$1203,'DAILY ENTRY'!$A$7:$A$1203,$A334,'DAILY ENTRY'!$B$7:$B$1203,$B334,'DAILY ENTRY'!$D$7:$D$1203,"Post / content published"))</f>
        <v/>
      </c>
      <c r="I334" s="107" t="str">
        <f aca="false">IF($A334="","",SUMIFS('DAILY ENTRY'!$F$7:$F$1203,'DAILY ENTRY'!$A$7:$A$1203,$A334,'DAILY ENTRY'!$B$7:$B$1203,$B334,'DAILY ENTRY'!$D$7:$D$1203,"Community answer or comment"))</f>
        <v/>
      </c>
      <c r="J334" s="107" t="str">
        <f aca="false">IF($A334="","",SUMIFS('DAILY ENTRY'!$F$7:$F$1203,'DAILY ENTRY'!$A$7:$A$1203,$A334,'DAILY ENTRY'!$B$7:$B$1203,$B334,'DAILY ENTRY'!$D$7:$D$1203,"Partnership / PR contact"))</f>
        <v/>
      </c>
      <c r="K334" s="107" t="str">
        <f aca="false">IF($A334="","",SUMIFS('DAILY ENTRY'!$F$7:$F$1203,'DAILY ENTRY'!$A$7:$A$1203,$A334,'DAILY ENTRY'!$B$7:$B$1203,$B334,'DAILY ENTRY'!$D$7:$D$1203,"Engagement (commented on someone else)"))</f>
        <v/>
      </c>
      <c r="L334" s="107" t="str">
        <f aca="false">IF($A334="","",SUMIFS('DAILY ENTRY'!$F$7:$F$1203,'DAILY ENTRY'!$A$7:$A$1203,$A334,'DAILY ENTRY'!$B$7:$B$1203,$B334,'DAILY ENTRY'!$D$7:$D$1203,"Account created / profile completed"))</f>
        <v/>
      </c>
      <c r="M334" s="108" t="str">
        <f aca="false">IF($A334="","",IFERROR(INDEX('DAILY ENTRY'!$E$7:$E$1203,MATCH(1,INDEX(('DAILY ENTRY'!$A$7:$A$1203=$A334)*('DAILY ENTRY'!$B$7:$B$1203=$B334)*('DAILY ENTRY'!$I$7:$I$1203="Meeting booked"),0),0)),IFERROR(INDEX('DAILY ENTRY'!$E$7:$E$1203,MATCH(1,INDEX(('DAILY ENTRY'!$A$7:$A$1203=$A334)*('DAILY ENTRY'!$B$7:$B$1203=$B334)*('DAILY ENTRY'!$I$7:$I$1203="Positive reply"),0),0)),"")))</f>
        <v/>
      </c>
      <c r="N334" s="108" t="str">
        <f aca="false">IF($A334="","",IFERROR(INDEX('DAILY ENTRY'!$J$7:$J$1203,MATCH(1,INDEX(('DAILY ENTRY'!$A$7:$A$1203=$A334)*('DAILY ENTRY'!$B$7:$B$1203=$B334)*('DAILY ENTRY'!$I$7:$I$1203="Blocked"),0),0)),""))</f>
        <v/>
      </c>
      <c r="O334" s="65" t="str">
        <f aca="false">IF($A334="","",(D334&gt;='START HERE'!$B$25)+(E334&gt;='START HERE'!$B$26)+(F334&gt;='START HERE'!$B$27)+(G334&gt;='START HERE'!$B$28)+(H334&gt;='START HERE'!$B$29)+(I334&gt;='START HERE'!$B$30)+(J334&gt;='START HERE'!$B$31)+(K334&gt;='START HERE'!$B$32))</f>
        <v/>
      </c>
      <c r="P334" s="46" t="str">
        <f aca="false">IF($A334="","",IF(O334&gt;=7,"Full day",IF(O334&gt;=5,"Most targets met",IF(O334&gt;=3,"Half day","Below plan - explain in the blocker column"))))</f>
        <v/>
      </c>
    </row>
    <row r="335" customFormat="false" ht="24" hidden="false" customHeight="true" outlineLevel="0" collapsed="false">
      <c r="A335" s="36"/>
      <c r="B335" s="37"/>
      <c r="C335" s="107" t="str">
        <f aca="false">IF($A335="","",ROUND(SUMIFS('DAILY ENTRY'!$G$7:$G$1203,'DAILY ENTRY'!$A$7:$A$1203,$A335,'DAILY ENTRY'!$B$7:$B$1203,$B335)/60,1))</f>
        <v/>
      </c>
      <c r="D335" s="107" t="str">
        <f aca="false">IF($A335="","",SUMIFS('DAILY ENTRY'!$F$7:$F$1203,'DAILY ENTRY'!$A$7:$A$1203,$A335,'DAILY ENTRY'!$B$7:$B$1203,$B335,'DAILY ENTRY'!$D$7:$D$1203,"Lead researched (Sales Navigator)"))</f>
        <v/>
      </c>
      <c r="E335" s="107" t="str">
        <f aca="false">IF($A335="","",SUMIFS('DAILY ENTRY'!$F$7:$F$1203,'DAILY ENTRY'!$A$7:$A$1203,$A335,'DAILY ENTRY'!$B$7:$B$1203,$B335,'DAILY ENTRY'!$D$7:$D$1203,"Connection request sent"))</f>
        <v/>
      </c>
      <c r="F335" s="107" t="str">
        <f aca="false">IF($A335="","",SUMIFS('DAILY ENTRY'!$F$7:$F$1203,'DAILY ENTRY'!$A$7:$A$1203,$A335,'DAILY ENTRY'!$B$7:$B$1203,$B335,'DAILY ENTRY'!$D$7:$D$1203,"First message sent"))</f>
        <v/>
      </c>
      <c r="G335" s="107" t="str">
        <f aca="false">IF($A335="","",SUMIFS('DAILY ENTRY'!$F$7:$F$1203,'DAILY ENTRY'!$A$7:$A$1203,$A335,'DAILY ENTRY'!$B$7:$B$1203,$B335,'DAILY ENTRY'!$D$7:$D$1203,"Follow-up message sent"))</f>
        <v/>
      </c>
      <c r="H335" s="107" t="str">
        <f aca="false">IF($A335="","",SUMIFS('DAILY ENTRY'!$F$7:$F$1203,'DAILY ENTRY'!$A$7:$A$1203,$A335,'DAILY ENTRY'!$B$7:$B$1203,$B335,'DAILY ENTRY'!$D$7:$D$1203,"Post / content published"))</f>
        <v/>
      </c>
      <c r="I335" s="107" t="str">
        <f aca="false">IF($A335="","",SUMIFS('DAILY ENTRY'!$F$7:$F$1203,'DAILY ENTRY'!$A$7:$A$1203,$A335,'DAILY ENTRY'!$B$7:$B$1203,$B335,'DAILY ENTRY'!$D$7:$D$1203,"Community answer or comment"))</f>
        <v/>
      </c>
      <c r="J335" s="107" t="str">
        <f aca="false">IF($A335="","",SUMIFS('DAILY ENTRY'!$F$7:$F$1203,'DAILY ENTRY'!$A$7:$A$1203,$A335,'DAILY ENTRY'!$B$7:$B$1203,$B335,'DAILY ENTRY'!$D$7:$D$1203,"Partnership / PR contact"))</f>
        <v/>
      </c>
      <c r="K335" s="107" t="str">
        <f aca="false">IF($A335="","",SUMIFS('DAILY ENTRY'!$F$7:$F$1203,'DAILY ENTRY'!$A$7:$A$1203,$A335,'DAILY ENTRY'!$B$7:$B$1203,$B335,'DAILY ENTRY'!$D$7:$D$1203,"Engagement (commented on someone else)"))</f>
        <v/>
      </c>
      <c r="L335" s="107" t="str">
        <f aca="false">IF($A335="","",SUMIFS('DAILY ENTRY'!$F$7:$F$1203,'DAILY ENTRY'!$A$7:$A$1203,$A335,'DAILY ENTRY'!$B$7:$B$1203,$B335,'DAILY ENTRY'!$D$7:$D$1203,"Account created / profile completed"))</f>
        <v/>
      </c>
      <c r="M335" s="108" t="str">
        <f aca="false">IF($A335="","",IFERROR(INDEX('DAILY ENTRY'!$E$7:$E$1203,MATCH(1,INDEX(('DAILY ENTRY'!$A$7:$A$1203=$A335)*('DAILY ENTRY'!$B$7:$B$1203=$B335)*('DAILY ENTRY'!$I$7:$I$1203="Meeting booked"),0),0)),IFERROR(INDEX('DAILY ENTRY'!$E$7:$E$1203,MATCH(1,INDEX(('DAILY ENTRY'!$A$7:$A$1203=$A335)*('DAILY ENTRY'!$B$7:$B$1203=$B335)*('DAILY ENTRY'!$I$7:$I$1203="Positive reply"),0),0)),"")))</f>
        <v/>
      </c>
      <c r="N335" s="108" t="str">
        <f aca="false">IF($A335="","",IFERROR(INDEX('DAILY ENTRY'!$J$7:$J$1203,MATCH(1,INDEX(('DAILY ENTRY'!$A$7:$A$1203=$A335)*('DAILY ENTRY'!$B$7:$B$1203=$B335)*('DAILY ENTRY'!$I$7:$I$1203="Blocked"),0),0)),""))</f>
        <v/>
      </c>
      <c r="O335" s="65" t="str">
        <f aca="false">IF($A335="","",(D335&gt;='START HERE'!$B$25)+(E335&gt;='START HERE'!$B$26)+(F335&gt;='START HERE'!$B$27)+(G335&gt;='START HERE'!$B$28)+(H335&gt;='START HERE'!$B$29)+(I335&gt;='START HERE'!$B$30)+(J335&gt;='START HERE'!$B$31)+(K335&gt;='START HERE'!$B$32))</f>
        <v/>
      </c>
      <c r="P335" s="46" t="str">
        <f aca="false">IF($A335="","",IF(O335&gt;=7,"Full day",IF(O335&gt;=5,"Most targets met",IF(O335&gt;=3,"Half day","Below plan - explain in the blocker column"))))</f>
        <v/>
      </c>
    </row>
    <row r="336" customFormat="false" ht="24" hidden="false" customHeight="true" outlineLevel="0" collapsed="false">
      <c r="A336" s="36"/>
      <c r="B336" s="37"/>
      <c r="C336" s="107" t="str">
        <f aca="false">IF($A336="","",ROUND(SUMIFS('DAILY ENTRY'!$G$7:$G$1203,'DAILY ENTRY'!$A$7:$A$1203,$A336,'DAILY ENTRY'!$B$7:$B$1203,$B336)/60,1))</f>
        <v/>
      </c>
      <c r="D336" s="107" t="str">
        <f aca="false">IF($A336="","",SUMIFS('DAILY ENTRY'!$F$7:$F$1203,'DAILY ENTRY'!$A$7:$A$1203,$A336,'DAILY ENTRY'!$B$7:$B$1203,$B336,'DAILY ENTRY'!$D$7:$D$1203,"Lead researched (Sales Navigator)"))</f>
        <v/>
      </c>
      <c r="E336" s="107" t="str">
        <f aca="false">IF($A336="","",SUMIFS('DAILY ENTRY'!$F$7:$F$1203,'DAILY ENTRY'!$A$7:$A$1203,$A336,'DAILY ENTRY'!$B$7:$B$1203,$B336,'DAILY ENTRY'!$D$7:$D$1203,"Connection request sent"))</f>
        <v/>
      </c>
      <c r="F336" s="107" t="str">
        <f aca="false">IF($A336="","",SUMIFS('DAILY ENTRY'!$F$7:$F$1203,'DAILY ENTRY'!$A$7:$A$1203,$A336,'DAILY ENTRY'!$B$7:$B$1203,$B336,'DAILY ENTRY'!$D$7:$D$1203,"First message sent"))</f>
        <v/>
      </c>
      <c r="G336" s="107" t="str">
        <f aca="false">IF($A336="","",SUMIFS('DAILY ENTRY'!$F$7:$F$1203,'DAILY ENTRY'!$A$7:$A$1203,$A336,'DAILY ENTRY'!$B$7:$B$1203,$B336,'DAILY ENTRY'!$D$7:$D$1203,"Follow-up message sent"))</f>
        <v/>
      </c>
      <c r="H336" s="107" t="str">
        <f aca="false">IF($A336="","",SUMIFS('DAILY ENTRY'!$F$7:$F$1203,'DAILY ENTRY'!$A$7:$A$1203,$A336,'DAILY ENTRY'!$B$7:$B$1203,$B336,'DAILY ENTRY'!$D$7:$D$1203,"Post / content published"))</f>
        <v/>
      </c>
      <c r="I336" s="107" t="str">
        <f aca="false">IF($A336="","",SUMIFS('DAILY ENTRY'!$F$7:$F$1203,'DAILY ENTRY'!$A$7:$A$1203,$A336,'DAILY ENTRY'!$B$7:$B$1203,$B336,'DAILY ENTRY'!$D$7:$D$1203,"Community answer or comment"))</f>
        <v/>
      </c>
      <c r="J336" s="107" t="str">
        <f aca="false">IF($A336="","",SUMIFS('DAILY ENTRY'!$F$7:$F$1203,'DAILY ENTRY'!$A$7:$A$1203,$A336,'DAILY ENTRY'!$B$7:$B$1203,$B336,'DAILY ENTRY'!$D$7:$D$1203,"Partnership / PR contact"))</f>
        <v/>
      </c>
      <c r="K336" s="107" t="str">
        <f aca="false">IF($A336="","",SUMIFS('DAILY ENTRY'!$F$7:$F$1203,'DAILY ENTRY'!$A$7:$A$1203,$A336,'DAILY ENTRY'!$B$7:$B$1203,$B336,'DAILY ENTRY'!$D$7:$D$1203,"Engagement (commented on someone else)"))</f>
        <v/>
      </c>
      <c r="L336" s="107" t="str">
        <f aca="false">IF($A336="","",SUMIFS('DAILY ENTRY'!$F$7:$F$1203,'DAILY ENTRY'!$A$7:$A$1203,$A336,'DAILY ENTRY'!$B$7:$B$1203,$B336,'DAILY ENTRY'!$D$7:$D$1203,"Account created / profile completed"))</f>
        <v/>
      </c>
      <c r="M336" s="108" t="str">
        <f aca="false">IF($A336="","",IFERROR(INDEX('DAILY ENTRY'!$E$7:$E$1203,MATCH(1,INDEX(('DAILY ENTRY'!$A$7:$A$1203=$A336)*('DAILY ENTRY'!$B$7:$B$1203=$B336)*('DAILY ENTRY'!$I$7:$I$1203="Meeting booked"),0),0)),IFERROR(INDEX('DAILY ENTRY'!$E$7:$E$1203,MATCH(1,INDEX(('DAILY ENTRY'!$A$7:$A$1203=$A336)*('DAILY ENTRY'!$B$7:$B$1203=$B336)*('DAILY ENTRY'!$I$7:$I$1203="Positive reply"),0),0)),"")))</f>
        <v/>
      </c>
      <c r="N336" s="108" t="str">
        <f aca="false">IF($A336="","",IFERROR(INDEX('DAILY ENTRY'!$J$7:$J$1203,MATCH(1,INDEX(('DAILY ENTRY'!$A$7:$A$1203=$A336)*('DAILY ENTRY'!$B$7:$B$1203=$B336)*('DAILY ENTRY'!$I$7:$I$1203="Blocked"),0),0)),""))</f>
        <v/>
      </c>
      <c r="O336" s="65" t="str">
        <f aca="false">IF($A336="","",(D336&gt;='START HERE'!$B$25)+(E336&gt;='START HERE'!$B$26)+(F336&gt;='START HERE'!$B$27)+(G336&gt;='START HERE'!$B$28)+(H336&gt;='START HERE'!$B$29)+(I336&gt;='START HERE'!$B$30)+(J336&gt;='START HERE'!$B$31)+(K336&gt;='START HERE'!$B$32))</f>
        <v/>
      </c>
      <c r="P336" s="46" t="str">
        <f aca="false">IF($A336="","",IF(O336&gt;=7,"Full day",IF(O336&gt;=5,"Most targets met",IF(O336&gt;=3,"Half day","Below plan - explain in the blocker column"))))</f>
        <v/>
      </c>
    </row>
    <row r="337" customFormat="false" ht="24" hidden="false" customHeight="true" outlineLevel="0" collapsed="false">
      <c r="A337" s="36"/>
      <c r="B337" s="37"/>
      <c r="C337" s="107" t="str">
        <f aca="false">IF($A337="","",ROUND(SUMIFS('DAILY ENTRY'!$G$7:$G$1203,'DAILY ENTRY'!$A$7:$A$1203,$A337,'DAILY ENTRY'!$B$7:$B$1203,$B337)/60,1))</f>
        <v/>
      </c>
      <c r="D337" s="107" t="str">
        <f aca="false">IF($A337="","",SUMIFS('DAILY ENTRY'!$F$7:$F$1203,'DAILY ENTRY'!$A$7:$A$1203,$A337,'DAILY ENTRY'!$B$7:$B$1203,$B337,'DAILY ENTRY'!$D$7:$D$1203,"Lead researched (Sales Navigator)"))</f>
        <v/>
      </c>
      <c r="E337" s="107" t="str">
        <f aca="false">IF($A337="","",SUMIFS('DAILY ENTRY'!$F$7:$F$1203,'DAILY ENTRY'!$A$7:$A$1203,$A337,'DAILY ENTRY'!$B$7:$B$1203,$B337,'DAILY ENTRY'!$D$7:$D$1203,"Connection request sent"))</f>
        <v/>
      </c>
      <c r="F337" s="107" t="str">
        <f aca="false">IF($A337="","",SUMIFS('DAILY ENTRY'!$F$7:$F$1203,'DAILY ENTRY'!$A$7:$A$1203,$A337,'DAILY ENTRY'!$B$7:$B$1203,$B337,'DAILY ENTRY'!$D$7:$D$1203,"First message sent"))</f>
        <v/>
      </c>
      <c r="G337" s="107" t="str">
        <f aca="false">IF($A337="","",SUMIFS('DAILY ENTRY'!$F$7:$F$1203,'DAILY ENTRY'!$A$7:$A$1203,$A337,'DAILY ENTRY'!$B$7:$B$1203,$B337,'DAILY ENTRY'!$D$7:$D$1203,"Follow-up message sent"))</f>
        <v/>
      </c>
      <c r="H337" s="107" t="str">
        <f aca="false">IF($A337="","",SUMIFS('DAILY ENTRY'!$F$7:$F$1203,'DAILY ENTRY'!$A$7:$A$1203,$A337,'DAILY ENTRY'!$B$7:$B$1203,$B337,'DAILY ENTRY'!$D$7:$D$1203,"Post / content published"))</f>
        <v/>
      </c>
      <c r="I337" s="107" t="str">
        <f aca="false">IF($A337="","",SUMIFS('DAILY ENTRY'!$F$7:$F$1203,'DAILY ENTRY'!$A$7:$A$1203,$A337,'DAILY ENTRY'!$B$7:$B$1203,$B337,'DAILY ENTRY'!$D$7:$D$1203,"Community answer or comment"))</f>
        <v/>
      </c>
      <c r="J337" s="107" t="str">
        <f aca="false">IF($A337="","",SUMIFS('DAILY ENTRY'!$F$7:$F$1203,'DAILY ENTRY'!$A$7:$A$1203,$A337,'DAILY ENTRY'!$B$7:$B$1203,$B337,'DAILY ENTRY'!$D$7:$D$1203,"Partnership / PR contact"))</f>
        <v/>
      </c>
      <c r="K337" s="107" t="str">
        <f aca="false">IF($A337="","",SUMIFS('DAILY ENTRY'!$F$7:$F$1203,'DAILY ENTRY'!$A$7:$A$1203,$A337,'DAILY ENTRY'!$B$7:$B$1203,$B337,'DAILY ENTRY'!$D$7:$D$1203,"Engagement (commented on someone else)"))</f>
        <v/>
      </c>
      <c r="L337" s="107" t="str">
        <f aca="false">IF($A337="","",SUMIFS('DAILY ENTRY'!$F$7:$F$1203,'DAILY ENTRY'!$A$7:$A$1203,$A337,'DAILY ENTRY'!$B$7:$B$1203,$B337,'DAILY ENTRY'!$D$7:$D$1203,"Account created / profile completed"))</f>
        <v/>
      </c>
      <c r="M337" s="108" t="str">
        <f aca="false">IF($A337="","",IFERROR(INDEX('DAILY ENTRY'!$E$7:$E$1203,MATCH(1,INDEX(('DAILY ENTRY'!$A$7:$A$1203=$A337)*('DAILY ENTRY'!$B$7:$B$1203=$B337)*('DAILY ENTRY'!$I$7:$I$1203="Meeting booked"),0),0)),IFERROR(INDEX('DAILY ENTRY'!$E$7:$E$1203,MATCH(1,INDEX(('DAILY ENTRY'!$A$7:$A$1203=$A337)*('DAILY ENTRY'!$B$7:$B$1203=$B337)*('DAILY ENTRY'!$I$7:$I$1203="Positive reply"),0),0)),"")))</f>
        <v/>
      </c>
      <c r="N337" s="108" t="str">
        <f aca="false">IF($A337="","",IFERROR(INDEX('DAILY ENTRY'!$J$7:$J$1203,MATCH(1,INDEX(('DAILY ENTRY'!$A$7:$A$1203=$A337)*('DAILY ENTRY'!$B$7:$B$1203=$B337)*('DAILY ENTRY'!$I$7:$I$1203="Blocked"),0),0)),""))</f>
        <v/>
      </c>
      <c r="O337" s="65" t="str">
        <f aca="false">IF($A337="","",(D337&gt;='START HERE'!$B$25)+(E337&gt;='START HERE'!$B$26)+(F337&gt;='START HERE'!$B$27)+(G337&gt;='START HERE'!$B$28)+(H337&gt;='START HERE'!$B$29)+(I337&gt;='START HERE'!$B$30)+(J337&gt;='START HERE'!$B$31)+(K337&gt;='START HERE'!$B$32))</f>
        <v/>
      </c>
      <c r="P337" s="46" t="str">
        <f aca="false">IF($A337="","",IF(O337&gt;=7,"Full day",IF(O337&gt;=5,"Most targets met",IF(O337&gt;=3,"Half day","Below plan - explain in the blocker column"))))</f>
        <v/>
      </c>
    </row>
    <row r="338" customFormat="false" ht="24" hidden="false" customHeight="true" outlineLevel="0" collapsed="false">
      <c r="A338" s="36"/>
      <c r="B338" s="37"/>
      <c r="C338" s="107" t="str">
        <f aca="false">IF($A338="","",ROUND(SUMIFS('DAILY ENTRY'!$G$7:$G$1203,'DAILY ENTRY'!$A$7:$A$1203,$A338,'DAILY ENTRY'!$B$7:$B$1203,$B338)/60,1))</f>
        <v/>
      </c>
      <c r="D338" s="107" t="str">
        <f aca="false">IF($A338="","",SUMIFS('DAILY ENTRY'!$F$7:$F$1203,'DAILY ENTRY'!$A$7:$A$1203,$A338,'DAILY ENTRY'!$B$7:$B$1203,$B338,'DAILY ENTRY'!$D$7:$D$1203,"Lead researched (Sales Navigator)"))</f>
        <v/>
      </c>
      <c r="E338" s="107" t="str">
        <f aca="false">IF($A338="","",SUMIFS('DAILY ENTRY'!$F$7:$F$1203,'DAILY ENTRY'!$A$7:$A$1203,$A338,'DAILY ENTRY'!$B$7:$B$1203,$B338,'DAILY ENTRY'!$D$7:$D$1203,"Connection request sent"))</f>
        <v/>
      </c>
      <c r="F338" s="107" t="str">
        <f aca="false">IF($A338="","",SUMIFS('DAILY ENTRY'!$F$7:$F$1203,'DAILY ENTRY'!$A$7:$A$1203,$A338,'DAILY ENTRY'!$B$7:$B$1203,$B338,'DAILY ENTRY'!$D$7:$D$1203,"First message sent"))</f>
        <v/>
      </c>
      <c r="G338" s="107" t="str">
        <f aca="false">IF($A338="","",SUMIFS('DAILY ENTRY'!$F$7:$F$1203,'DAILY ENTRY'!$A$7:$A$1203,$A338,'DAILY ENTRY'!$B$7:$B$1203,$B338,'DAILY ENTRY'!$D$7:$D$1203,"Follow-up message sent"))</f>
        <v/>
      </c>
      <c r="H338" s="107" t="str">
        <f aca="false">IF($A338="","",SUMIFS('DAILY ENTRY'!$F$7:$F$1203,'DAILY ENTRY'!$A$7:$A$1203,$A338,'DAILY ENTRY'!$B$7:$B$1203,$B338,'DAILY ENTRY'!$D$7:$D$1203,"Post / content published"))</f>
        <v/>
      </c>
      <c r="I338" s="107" t="str">
        <f aca="false">IF($A338="","",SUMIFS('DAILY ENTRY'!$F$7:$F$1203,'DAILY ENTRY'!$A$7:$A$1203,$A338,'DAILY ENTRY'!$B$7:$B$1203,$B338,'DAILY ENTRY'!$D$7:$D$1203,"Community answer or comment"))</f>
        <v/>
      </c>
      <c r="J338" s="107" t="str">
        <f aca="false">IF($A338="","",SUMIFS('DAILY ENTRY'!$F$7:$F$1203,'DAILY ENTRY'!$A$7:$A$1203,$A338,'DAILY ENTRY'!$B$7:$B$1203,$B338,'DAILY ENTRY'!$D$7:$D$1203,"Partnership / PR contact"))</f>
        <v/>
      </c>
      <c r="K338" s="107" t="str">
        <f aca="false">IF($A338="","",SUMIFS('DAILY ENTRY'!$F$7:$F$1203,'DAILY ENTRY'!$A$7:$A$1203,$A338,'DAILY ENTRY'!$B$7:$B$1203,$B338,'DAILY ENTRY'!$D$7:$D$1203,"Engagement (commented on someone else)"))</f>
        <v/>
      </c>
      <c r="L338" s="107" t="str">
        <f aca="false">IF($A338="","",SUMIFS('DAILY ENTRY'!$F$7:$F$1203,'DAILY ENTRY'!$A$7:$A$1203,$A338,'DAILY ENTRY'!$B$7:$B$1203,$B338,'DAILY ENTRY'!$D$7:$D$1203,"Account created / profile completed"))</f>
        <v/>
      </c>
      <c r="M338" s="108" t="str">
        <f aca="false">IF($A338="","",IFERROR(INDEX('DAILY ENTRY'!$E$7:$E$1203,MATCH(1,INDEX(('DAILY ENTRY'!$A$7:$A$1203=$A338)*('DAILY ENTRY'!$B$7:$B$1203=$B338)*('DAILY ENTRY'!$I$7:$I$1203="Meeting booked"),0),0)),IFERROR(INDEX('DAILY ENTRY'!$E$7:$E$1203,MATCH(1,INDEX(('DAILY ENTRY'!$A$7:$A$1203=$A338)*('DAILY ENTRY'!$B$7:$B$1203=$B338)*('DAILY ENTRY'!$I$7:$I$1203="Positive reply"),0),0)),"")))</f>
        <v/>
      </c>
      <c r="N338" s="108" t="str">
        <f aca="false">IF($A338="","",IFERROR(INDEX('DAILY ENTRY'!$J$7:$J$1203,MATCH(1,INDEX(('DAILY ENTRY'!$A$7:$A$1203=$A338)*('DAILY ENTRY'!$B$7:$B$1203=$B338)*('DAILY ENTRY'!$I$7:$I$1203="Blocked"),0),0)),""))</f>
        <v/>
      </c>
      <c r="O338" s="65" t="str">
        <f aca="false">IF($A338="","",(D338&gt;='START HERE'!$B$25)+(E338&gt;='START HERE'!$B$26)+(F338&gt;='START HERE'!$B$27)+(G338&gt;='START HERE'!$B$28)+(H338&gt;='START HERE'!$B$29)+(I338&gt;='START HERE'!$B$30)+(J338&gt;='START HERE'!$B$31)+(K338&gt;='START HERE'!$B$32))</f>
        <v/>
      </c>
      <c r="P338" s="46" t="str">
        <f aca="false">IF($A338="","",IF(O338&gt;=7,"Full day",IF(O338&gt;=5,"Most targets met",IF(O338&gt;=3,"Half day","Below plan - explain in the blocker column"))))</f>
        <v/>
      </c>
    </row>
    <row r="339" customFormat="false" ht="24" hidden="false" customHeight="true" outlineLevel="0" collapsed="false">
      <c r="A339" s="36"/>
      <c r="B339" s="37"/>
      <c r="C339" s="107" t="str">
        <f aca="false">IF($A339="","",ROUND(SUMIFS('DAILY ENTRY'!$G$7:$G$1203,'DAILY ENTRY'!$A$7:$A$1203,$A339,'DAILY ENTRY'!$B$7:$B$1203,$B339)/60,1))</f>
        <v/>
      </c>
      <c r="D339" s="107" t="str">
        <f aca="false">IF($A339="","",SUMIFS('DAILY ENTRY'!$F$7:$F$1203,'DAILY ENTRY'!$A$7:$A$1203,$A339,'DAILY ENTRY'!$B$7:$B$1203,$B339,'DAILY ENTRY'!$D$7:$D$1203,"Lead researched (Sales Navigator)"))</f>
        <v/>
      </c>
      <c r="E339" s="107" t="str">
        <f aca="false">IF($A339="","",SUMIFS('DAILY ENTRY'!$F$7:$F$1203,'DAILY ENTRY'!$A$7:$A$1203,$A339,'DAILY ENTRY'!$B$7:$B$1203,$B339,'DAILY ENTRY'!$D$7:$D$1203,"Connection request sent"))</f>
        <v/>
      </c>
      <c r="F339" s="107" t="str">
        <f aca="false">IF($A339="","",SUMIFS('DAILY ENTRY'!$F$7:$F$1203,'DAILY ENTRY'!$A$7:$A$1203,$A339,'DAILY ENTRY'!$B$7:$B$1203,$B339,'DAILY ENTRY'!$D$7:$D$1203,"First message sent"))</f>
        <v/>
      </c>
      <c r="G339" s="107" t="str">
        <f aca="false">IF($A339="","",SUMIFS('DAILY ENTRY'!$F$7:$F$1203,'DAILY ENTRY'!$A$7:$A$1203,$A339,'DAILY ENTRY'!$B$7:$B$1203,$B339,'DAILY ENTRY'!$D$7:$D$1203,"Follow-up message sent"))</f>
        <v/>
      </c>
      <c r="H339" s="107" t="str">
        <f aca="false">IF($A339="","",SUMIFS('DAILY ENTRY'!$F$7:$F$1203,'DAILY ENTRY'!$A$7:$A$1203,$A339,'DAILY ENTRY'!$B$7:$B$1203,$B339,'DAILY ENTRY'!$D$7:$D$1203,"Post / content published"))</f>
        <v/>
      </c>
      <c r="I339" s="107" t="str">
        <f aca="false">IF($A339="","",SUMIFS('DAILY ENTRY'!$F$7:$F$1203,'DAILY ENTRY'!$A$7:$A$1203,$A339,'DAILY ENTRY'!$B$7:$B$1203,$B339,'DAILY ENTRY'!$D$7:$D$1203,"Community answer or comment"))</f>
        <v/>
      </c>
      <c r="J339" s="107" t="str">
        <f aca="false">IF($A339="","",SUMIFS('DAILY ENTRY'!$F$7:$F$1203,'DAILY ENTRY'!$A$7:$A$1203,$A339,'DAILY ENTRY'!$B$7:$B$1203,$B339,'DAILY ENTRY'!$D$7:$D$1203,"Partnership / PR contact"))</f>
        <v/>
      </c>
      <c r="K339" s="107" t="str">
        <f aca="false">IF($A339="","",SUMIFS('DAILY ENTRY'!$F$7:$F$1203,'DAILY ENTRY'!$A$7:$A$1203,$A339,'DAILY ENTRY'!$B$7:$B$1203,$B339,'DAILY ENTRY'!$D$7:$D$1203,"Engagement (commented on someone else)"))</f>
        <v/>
      </c>
      <c r="L339" s="107" t="str">
        <f aca="false">IF($A339="","",SUMIFS('DAILY ENTRY'!$F$7:$F$1203,'DAILY ENTRY'!$A$7:$A$1203,$A339,'DAILY ENTRY'!$B$7:$B$1203,$B339,'DAILY ENTRY'!$D$7:$D$1203,"Account created / profile completed"))</f>
        <v/>
      </c>
      <c r="M339" s="108" t="str">
        <f aca="false">IF($A339="","",IFERROR(INDEX('DAILY ENTRY'!$E$7:$E$1203,MATCH(1,INDEX(('DAILY ENTRY'!$A$7:$A$1203=$A339)*('DAILY ENTRY'!$B$7:$B$1203=$B339)*('DAILY ENTRY'!$I$7:$I$1203="Meeting booked"),0),0)),IFERROR(INDEX('DAILY ENTRY'!$E$7:$E$1203,MATCH(1,INDEX(('DAILY ENTRY'!$A$7:$A$1203=$A339)*('DAILY ENTRY'!$B$7:$B$1203=$B339)*('DAILY ENTRY'!$I$7:$I$1203="Positive reply"),0),0)),"")))</f>
        <v/>
      </c>
      <c r="N339" s="108" t="str">
        <f aca="false">IF($A339="","",IFERROR(INDEX('DAILY ENTRY'!$J$7:$J$1203,MATCH(1,INDEX(('DAILY ENTRY'!$A$7:$A$1203=$A339)*('DAILY ENTRY'!$B$7:$B$1203=$B339)*('DAILY ENTRY'!$I$7:$I$1203="Blocked"),0),0)),""))</f>
        <v/>
      </c>
      <c r="O339" s="65" t="str">
        <f aca="false">IF($A339="","",(D339&gt;='START HERE'!$B$25)+(E339&gt;='START HERE'!$B$26)+(F339&gt;='START HERE'!$B$27)+(G339&gt;='START HERE'!$B$28)+(H339&gt;='START HERE'!$B$29)+(I339&gt;='START HERE'!$B$30)+(J339&gt;='START HERE'!$B$31)+(K339&gt;='START HERE'!$B$32))</f>
        <v/>
      </c>
      <c r="P339" s="46" t="str">
        <f aca="false">IF($A339="","",IF(O339&gt;=7,"Full day",IF(O339&gt;=5,"Most targets met",IF(O339&gt;=3,"Half day","Below plan - explain in the blocker column"))))</f>
        <v/>
      </c>
    </row>
    <row r="340" customFormat="false" ht="24" hidden="false" customHeight="true" outlineLevel="0" collapsed="false">
      <c r="A340" s="36"/>
      <c r="B340" s="37"/>
      <c r="C340" s="107" t="str">
        <f aca="false">IF($A340="","",ROUND(SUMIFS('DAILY ENTRY'!$G$7:$G$1203,'DAILY ENTRY'!$A$7:$A$1203,$A340,'DAILY ENTRY'!$B$7:$B$1203,$B340)/60,1))</f>
        <v/>
      </c>
      <c r="D340" s="107" t="str">
        <f aca="false">IF($A340="","",SUMIFS('DAILY ENTRY'!$F$7:$F$1203,'DAILY ENTRY'!$A$7:$A$1203,$A340,'DAILY ENTRY'!$B$7:$B$1203,$B340,'DAILY ENTRY'!$D$7:$D$1203,"Lead researched (Sales Navigator)"))</f>
        <v/>
      </c>
      <c r="E340" s="107" t="str">
        <f aca="false">IF($A340="","",SUMIFS('DAILY ENTRY'!$F$7:$F$1203,'DAILY ENTRY'!$A$7:$A$1203,$A340,'DAILY ENTRY'!$B$7:$B$1203,$B340,'DAILY ENTRY'!$D$7:$D$1203,"Connection request sent"))</f>
        <v/>
      </c>
      <c r="F340" s="107" t="str">
        <f aca="false">IF($A340="","",SUMIFS('DAILY ENTRY'!$F$7:$F$1203,'DAILY ENTRY'!$A$7:$A$1203,$A340,'DAILY ENTRY'!$B$7:$B$1203,$B340,'DAILY ENTRY'!$D$7:$D$1203,"First message sent"))</f>
        <v/>
      </c>
      <c r="G340" s="107" t="str">
        <f aca="false">IF($A340="","",SUMIFS('DAILY ENTRY'!$F$7:$F$1203,'DAILY ENTRY'!$A$7:$A$1203,$A340,'DAILY ENTRY'!$B$7:$B$1203,$B340,'DAILY ENTRY'!$D$7:$D$1203,"Follow-up message sent"))</f>
        <v/>
      </c>
      <c r="H340" s="107" t="str">
        <f aca="false">IF($A340="","",SUMIFS('DAILY ENTRY'!$F$7:$F$1203,'DAILY ENTRY'!$A$7:$A$1203,$A340,'DAILY ENTRY'!$B$7:$B$1203,$B340,'DAILY ENTRY'!$D$7:$D$1203,"Post / content published"))</f>
        <v/>
      </c>
      <c r="I340" s="107" t="str">
        <f aca="false">IF($A340="","",SUMIFS('DAILY ENTRY'!$F$7:$F$1203,'DAILY ENTRY'!$A$7:$A$1203,$A340,'DAILY ENTRY'!$B$7:$B$1203,$B340,'DAILY ENTRY'!$D$7:$D$1203,"Community answer or comment"))</f>
        <v/>
      </c>
      <c r="J340" s="107" t="str">
        <f aca="false">IF($A340="","",SUMIFS('DAILY ENTRY'!$F$7:$F$1203,'DAILY ENTRY'!$A$7:$A$1203,$A340,'DAILY ENTRY'!$B$7:$B$1203,$B340,'DAILY ENTRY'!$D$7:$D$1203,"Partnership / PR contact"))</f>
        <v/>
      </c>
      <c r="K340" s="107" t="str">
        <f aca="false">IF($A340="","",SUMIFS('DAILY ENTRY'!$F$7:$F$1203,'DAILY ENTRY'!$A$7:$A$1203,$A340,'DAILY ENTRY'!$B$7:$B$1203,$B340,'DAILY ENTRY'!$D$7:$D$1203,"Engagement (commented on someone else)"))</f>
        <v/>
      </c>
      <c r="L340" s="107" t="str">
        <f aca="false">IF($A340="","",SUMIFS('DAILY ENTRY'!$F$7:$F$1203,'DAILY ENTRY'!$A$7:$A$1203,$A340,'DAILY ENTRY'!$B$7:$B$1203,$B340,'DAILY ENTRY'!$D$7:$D$1203,"Account created / profile completed"))</f>
        <v/>
      </c>
      <c r="M340" s="108" t="str">
        <f aca="false">IF($A340="","",IFERROR(INDEX('DAILY ENTRY'!$E$7:$E$1203,MATCH(1,INDEX(('DAILY ENTRY'!$A$7:$A$1203=$A340)*('DAILY ENTRY'!$B$7:$B$1203=$B340)*('DAILY ENTRY'!$I$7:$I$1203="Meeting booked"),0),0)),IFERROR(INDEX('DAILY ENTRY'!$E$7:$E$1203,MATCH(1,INDEX(('DAILY ENTRY'!$A$7:$A$1203=$A340)*('DAILY ENTRY'!$B$7:$B$1203=$B340)*('DAILY ENTRY'!$I$7:$I$1203="Positive reply"),0),0)),"")))</f>
        <v/>
      </c>
      <c r="N340" s="108" t="str">
        <f aca="false">IF($A340="","",IFERROR(INDEX('DAILY ENTRY'!$J$7:$J$1203,MATCH(1,INDEX(('DAILY ENTRY'!$A$7:$A$1203=$A340)*('DAILY ENTRY'!$B$7:$B$1203=$B340)*('DAILY ENTRY'!$I$7:$I$1203="Blocked"),0),0)),""))</f>
        <v/>
      </c>
      <c r="O340" s="65" t="str">
        <f aca="false">IF($A340="","",(D340&gt;='START HERE'!$B$25)+(E340&gt;='START HERE'!$B$26)+(F340&gt;='START HERE'!$B$27)+(G340&gt;='START HERE'!$B$28)+(H340&gt;='START HERE'!$B$29)+(I340&gt;='START HERE'!$B$30)+(J340&gt;='START HERE'!$B$31)+(K340&gt;='START HERE'!$B$32))</f>
        <v/>
      </c>
      <c r="P340" s="46" t="str">
        <f aca="false">IF($A340="","",IF(O340&gt;=7,"Full day",IF(O340&gt;=5,"Most targets met",IF(O340&gt;=3,"Half day","Below plan - explain in the blocker column"))))</f>
        <v/>
      </c>
    </row>
    <row r="341" customFormat="false" ht="24" hidden="false" customHeight="true" outlineLevel="0" collapsed="false">
      <c r="A341" s="36"/>
      <c r="B341" s="37"/>
      <c r="C341" s="107" t="str">
        <f aca="false">IF($A341="","",ROUND(SUMIFS('DAILY ENTRY'!$G$7:$G$1203,'DAILY ENTRY'!$A$7:$A$1203,$A341,'DAILY ENTRY'!$B$7:$B$1203,$B341)/60,1))</f>
        <v/>
      </c>
      <c r="D341" s="107" t="str">
        <f aca="false">IF($A341="","",SUMIFS('DAILY ENTRY'!$F$7:$F$1203,'DAILY ENTRY'!$A$7:$A$1203,$A341,'DAILY ENTRY'!$B$7:$B$1203,$B341,'DAILY ENTRY'!$D$7:$D$1203,"Lead researched (Sales Navigator)"))</f>
        <v/>
      </c>
      <c r="E341" s="107" t="str">
        <f aca="false">IF($A341="","",SUMIFS('DAILY ENTRY'!$F$7:$F$1203,'DAILY ENTRY'!$A$7:$A$1203,$A341,'DAILY ENTRY'!$B$7:$B$1203,$B341,'DAILY ENTRY'!$D$7:$D$1203,"Connection request sent"))</f>
        <v/>
      </c>
      <c r="F341" s="107" t="str">
        <f aca="false">IF($A341="","",SUMIFS('DAILY ENTRY'!$F$7:$F$1203,'DAILY ENTRY'!$A$7:$A$1203,$A341,'DAILY ENTRY'!$B$7:$B$1203,$B341,'DAILY ENTRY'!$D$7:$D$1203,"First message sent"))</f>
        <v/>
      </c>
      <c r="G341" s="107" t="str">
        <f aca="false">IF($A341="","",SUMIFS('DAILY ENTRY'!$F$7:$F$1203,'DAILY ENTRY'!$A$7:$A$1203,$A341,'DAILY ENTRY'!$B$7:$B$1203,$B341,'DAILY ENTRY'!$D$7:$D$1203,"Follow-up message sent"))</f>
        <v/>
      </c>
      <c r="H341" s="107" t="str">
        <f aca="false">IF($A341="","",SUMIFS('DAILY ENTRY'!$F$7:$F$1203,'DAILY ENTRY'!$A$7:$A$1203,$A341,'DAILY ENTRY'!$B$7:$B$1203,$B341,'DAILY ENTRY'!$D$7:$D$1203,"Post / content published"))</f>
        <v/>
      </c>
      <c r="I341" s="107" t="str">
        <f aca="false">IF($A341="","",SUMIFS('DAILY ENTRY'!$F$7:$F$1203,'DAILY ENTRY'!$A$7:$A$1203,$A341,'DAILY ENTRY'!$B$7:$B$1203,$B341,'DAILY ENTRY'!$D$7:$D$1203,"Community answer or comment"))</f>
        <v/>
      </c>
      <c r="J341" s="107" t="str">
        <f aca="false">IF($A341="","",SUMIFS('DAILY ENTRY'!$F$7:$F$1203,'DAILY ENTRY'!$A$7:$A$1203,$A341,'DAILY ENTRY'!$B$7:$B$1203,$B341,'DAILY ENTRY'!$D$7:$D$1203,"Partnership / PR contact"))</f>
        <v/>
      </c>
      <c r="K341" s="107" t="str">
        <f aca="false">IF($A341="","",SUMIFS('DAILY ENTRY'!$F$7:$F$1203,'DAILY ENTRY'!$A$7:$A$1203,$A341,'DAILY ENTRY'!$B$7:$B$1203,$B341,'DAILY ENTRY'!$D$7:$D$1203,"Engagement (commented on someone else)"))</f>
        <v/>
      </c>
      <c r="L341" s="107" t="str">
        <f aca="false">IF($A341="","",SUMIFS('DAILY ENTRY'!$F$7:$F$1203,'DAILY ENTRY'!$A$7:$A$1203,$A341,'DAILY ENTRY'!$B$7:$B$1203,$B341,'DAILY ENTRY'!$D$7:$D$1203,"Account created / profile completed"))</f>
        <v/>
      </c>
      <c r="M341" s="108" t="str">
        <f aca="false">IF($A341="","",IFERROR(INDEX('DAILY ENTRY'!$E$7:$E$1203,MATCH(1,INDEX(('DAILY ENTRY'!$A$7:$A$1203=$A341)*('DAILY ENTRY'!$B$7:$B$1203=$B341)*('DAILY ENTRY'!$I$7:$I$1203="Meeting booked"),0),0)),IFERROR(INDEX('DAILY ENTRY'!$E$7:$E$1203,MATCH(1,INDEX(('DAILY ENTRY'!$A$7:$A$1203=$A341)*('DAILY ENTRY'!$B$7:$B$1203=$B341)*('DAILY ENTRY'!$I$7:$I$1203="Positive reply"),0),0)),"")))</f>
        <v/>
      </c>
      <c r="N341" s="108" t="str">
        <f aca="false">IF($A341="","",IFERROR(INDEX('DAILY ENTRY'!$J$7:$J$1203,MATCH(1,INDEX(('DAILY ENTRY'!$A$7:$A$1203=$A341)*('DAILY ENTRY'!$B$7:$B$1203=$B341)*('DAILY ENTRY'!$I$7:$I$1203="Blocked"),0),0)),""))</f>
        <v/>
      </c>
      <c r="O341" s="65" t="str">
        <f aca="false">IF($A341="","",(D341&gt;='START HERE'!$B$25)+(E341&gt;='START HERE'!$B$26)+(F341&gt;='START HERE'!$B$27)+(G341&gt;='START HERE'!$B$28)+(H341&gt;='START HERE'!$B$29)+(I341&gt;='START HERE'!$B$30)+(J341&gt;='START HERE'!$B$31)+(K341&gt;='START HERE'!$B$32))</f>
        <v/>
      </c>
      <c r="P341" s="46" t="str">
        <f aca="false">IF($A341="","",IF(O341&gt;=7,"Full day",IF(O341&gt;=5,"Most targets met",IF(O341&gt;=3,"Half day","Below plan - explain in the blocker column"))))</f>
        <v/>
      </c>
    </row>
    <row r="342" customFormat="false" ht="24" hidden="false" customHeight="true" outlineLevel="0" collapsed="false">
      <c r="A342" s="36"/>
      <c r="B342" s="37"/>
      <c r="C342" s="107" t="str">
        <f aca="false">IF($A342="","",ROUND(SUMIFS('DAILY ENTRY'!$G$7:$G$1203,'DAILY ENTRY'!$A$7:$A$1203,$A342,'DAILY ENTRY'!$B$7:$B$1203,$B342)/60,1))</f>
        <v/>
      </c>
      <c r="D342" s="107" t="str">
        <f aca="false">IF($A342="","",SUMIFS('DAILY ENTRY'!$F$7:$F$1203,'DAILY ENTRY'!$A$7:$A$1203,$A342,'DAILY ENTRY'!$B$7:$B$1203,$B342,'DAILY ENTRY'!$D$7:$D$1203,"Lead researched (Sales Navigator)"))</f>
        <v/>
      </c>
      <c r="E342" s="107" t="str">
        <f aca="false">IF($A342="","",SUMIFS('DAILY ENTRY'!$F$7:$F$1203,'DAILY ENTRY'!$A$7:$A$1203,$A342,'DAILY ENTRY'!$B$7:$B$1203,$B342,'DAILY ENTRY'!$D$7:$D$1203,"Connection request sent"))</f>
        <v/>
      </c>
      <c r="F342" s="107" t="str">
        <f aca="false">IF($A342="","",SUMIFS('DAILY ENTRY'!$F$7:$F$1203,'DAILY ENTRY'!$A$7:$A$1203,$A342,'DAILY ENTRY'!$B$7:$B$1203,$B342,'DAILY ENTRY'!$D$7:$D$1203,"First message sent"))</f>
        <v/>
      </c>
      <c r="G342" s="107" t="str">
        <f aca="false">IF($A342="","",SUMIFS('DAILY ENTRY'!$F$7:$F$1203,'DAILY ENTRY'!$A$7:$A$1203,$A342,'DAILY ENTRY'!$B$7:$B$1203,$B342,'DAILY ENTRY'!$D$7:$D$1203,"Follow-up message sent"))</f>
        <v/>
      </c>
      <c r="H342" s="107" t="str">
        <f aca="false">IF($A342="","",SUMIFS('DAILY ENTRY'!$F$7:$F$1203,'DAILY ENTRY'!$A$7:$A$1203,$A342,'DAILY ENTRY'!$B$7:$B$1203,$B342,'DAILY ENTRY'!$D$7:$D$1203,"Post / content published"))</f>
        <v/>
      </c>
      <c r="I342" s="107" t="str">
        <f aca="false">IF($A342="","",SUMIFS('DAILY ENTRY'!$F$7:$F$1203,'DAILY ENTRY'!$A$7:$A$1203,$A342,'DAILY ENTRY'!$B$7:$B$1203,$B342,'DAILY ENTRY'!$D$7:$D$1203,"Community answer or comment"))</f>
        <v/>
      </c>
      <c r="J342" s="107" t="str">
        <f aca="false">IF($A342="","",SUMIFS('DAILY ENTRY'!$F$7:$F$1203,'DAILY ENTRY'!$A$7:$A$1203,$A342,'DAILY ENTRY'!$B$7:$B$1203,$B342,'DAILY ENTRY'!$D$7:$D$1203,"Partnership / PR contact"))</f>
        <v/>
      </c>
      <c r="K342" s="107" t="str">
        <f aca="false">IF($A342="","",SUMIFS('DAILY ENTRY'!$F$7:$F$1203,'DAILY ENTRY'!$A$7:$A$1203,$A342,'DAILY ENTRY'!$B$7:$B$1203,$B342,'DAILY ENTRY'!$D$7:$D$1203,"Engagement (commented on someone else)"))</f>
        <v/>
      </c>
      <c r="L342" s="107" t="str">
        <f aca="false">IF($A342="","",SUMIFS('DAILY ENTRY'!$F$7:$F$1203,'DAILY ENTRY'!$A$7:$A$1203,$A342,'DAILY ENTRY'!$B$7:$B$1203,$B342,'DAILY ENTRY'!$D$7:$D$1203,"Account created / profile completed"))</f>
        <v/>
      </c>
      <c r="M342" s="108" t="str">
        <f aca="false">IF($A342="","",IFERROR(INDEX('DAILY ENTRY'!$E$7:$E$1203,MATCH(1,INDEX(('DAILY ENTRY'!$A$7:$A$1203=$A342)*('DAILY ENTRY'!$B$7:$B$1203=$B342)*('DAILY ENTRY'!$I$7:$I$1203="Meeting booked"),0),0)),IFERROR(INDEX('DAILY ENTRY'!$E$7:$E$1203,MATCH(1,INDEX(('DAILY ENTRY'!$A$7:$A$1203=$A342)*('DAILY ENTRY'!$B$7:$B$1203=$B342)*('DAILY ENTRY'!$I$7:$I$1203="Positive reply"),0),0)),"")))</f>
        <v/>
      </c>
      <c r="N342" s="108" t="str">
        <f aca="false">IF($A342="","",IFERROR(INDEX('DAILY ENTRY'!$J$7:$J$1203,MATCH(1,INDEX(('DAILY ENTRY'!$A$7:$A$1203=$A342)*('DAILY ENTRY'!$B$7:$B$1203=$B342)*('DAILY ENTRY'!$I$7:$I$1203="Blocked"),0),0)),""))</f>
        <v/>
      </c>
      <c r="O342" s="65" t="str">
        <f aca="false">IF($A342="","",(D342&gt;='START HERE'!$B$25)+(E342&gt;='START HERE'!$B$26)+(F342&gt;='START HERE'!$B$27)+(G342&gt;='START HERE'!$B$28)+(H342&gt;='START HERE'!$B$29)+(I342&gt;='START HERE'!$B$30)+(J342&gt;='START HERE'!$B$31)+(K342&gt;='START HERE'!$B$32))</f>
        <v/>
      </c>
      <c r="P342" s="46" t="str">
        <f aca="false">IF($A342="","",IF(O342&gt;=7,"Full day",IF(O342&gt;=5,"Most targets met",IF(O342&gt;=3,"Half day","Below plan - explain in the blocker column"))))</f>
        <v/>
      </c>
    </row>
    <row r="343" customFormat="false" ht="24" hidden="false" customHeight="true" outlineLevel="0" collapsed="false">
      <c r="A343" s="36"/>
      <c r="B343" s="37"/>
      <c r="C343" s="107" t="str">
        <f aca="false">IF($A343="","",ROUND(SUMIFS('DAILY ENTRY'!$G$7:$G$1203,'DAILY ENTRY'!$A$7:$A$1203,$A343,'DAILY ENTRY'!$B$7:$B$1203,$B343)/60,1))</f>
        <v/>
      </c>
      <c r="D343" s="107" t="str">
        <f aca="false">IF($A343="","",SUMIFS('DAILY ENTRY'!$F$7:$F$1203,'DAILY ENTRY'!$A$7:$A$1203,$A343,'DAILY ENTRY'!$B$7:$B$1203,$B343,'DAILY ENTRY'!$D$7:$D$1203,"Lead researched (Sales Navigator)"))</f>
        <v/>
      </c>
      <c r="E343" s="107" t="str">
        <f aca="false">IF($A343="","",SUMIFS('DAILY ENTRY'!$F$7:$F$1203,'DAILY ENTRY'!$A$7:$A$1203,$A343,'DAILY ENTRY'!$B$7:$B$1203,$B343,'DAILY ENTRY'!$D$7:$D$1203,"Connection request sent"))</f>
        <v/>
      </c>
      <c r="F343" s="107" t="str">
        <f aca="false">IF($A343="","",SUMIFS('DAILY ENTRY'!$F$7:$F$1203,'DAILY ENTRY'!$A$7:$A$1203,$A343,'DAILY ENTRY'!$B$7:$B$1203,$B343,'DAILY ENTRY'!$D$7:$D$1203,"First message sent"))</f>
        <v/>
      </c>
      <c r="G343" s="107" t="str">
        <f aca="false">IF($A343="","",SUMIFS('DAILY ENTRY'!$F$7:$F$1203,'DAILY ENTRY'!$A$7:$A$1203,$A343,'DAILY ENTRY'!$B$7:$B$1203,$B343,'DAILY ENTRY'!$D$7:$D$1203,"Follow-up message sent"))</f>
        <v/>
      </c>
      <c r="H343" s="107" t="str">
        <f aca="false">IF($A343="","",SUMIFS('DAILY ENTRY'!$F$7:$F$1203,'DAILY ENTRY'!$A$7:$A$1203,$A343,'DAILY ENTRY'!$B$7:$B$1203,$B343,'DAILY ENTRY'!$D$7:$D$1203,"Post / content published"))</f>
        <v/>
      </c>
      <c r="I343" s="107" t="str">
        <f aca="false">IF($A343="","",SUMIFS('DAILY ENTRY'!$F$7:$F$1203,'DAILY ENTRY'!$A$7:$A$1203,$A343,'DAILY ENTRY'!$B$7:$B$1203,$B343,'DAILY ENTRY'!$D$7:$D$1203,"Community answer or comment"))</f>
        <v/>
      </c>
      <c r="J343" s="107" t="str">
        <f aca="false">IF($A343="","",SUMIFS('DAILY ENTRY'!$F$7:$F$1203,'DAILY ENTRY'!$A$7:$A$1203,$A343,'DAILY ENTRY'!$B$7:$B$1203,$B343,'DAILY ENTRY'!$D$7:$D$1203,"Partnership / PR contact"))</f>
        <v/>
      </c>
      <c r="K343" s="107" t="str">
        <f aca="false">IF($A343="","",SUMIFS('DAILY ENTRY'!$F$7:$F$1203,'DAILY ENTRY'!$A$7:$A$1203,$A343,'DAILY ENTRY'!$B$7:$B$1203,$B343,'DAILY ENTRY'!$D$7:$D$1203,"Engagement (commented on someone else)"))</f>
        <v/>
      </c>
      <c r="L343" s="107" t="str">
        <f aca="false">IF($A343="","",SUMIFS('DAILY ENTRY'!$F$7:$F$1203,'DAILY ENTRY'!$A$7:$A$1203,$A343,'DAILY ENTRY'!$B$7:$B$1203,$B343,'DAILY ENTRY'!$D$7:$D$1203,"Account created / profile completed"))</f>
        <v/>
      </c>
      <c r="M343" s="108" t="str">
        <f aca="false">IF($A343="","",IFERROR(INDEX('DAILY ENTRY'!$E$7:$E$1203,MATCH(1,INDEX(('DAILY ENTRY'!$A$7:$A$1203=$A343)*('DAILY ENTRY'!$B$7:$B$1203=$B343)*('DAILY ENTRY'!$I$7:$I$1203="Meeting booked"),0),0)),IFERROR(INDEX('DAILY ENTRY'!$E$7:$E$1203,MATCH(1,INDEX(('DAILY ENTRY'!$A$7:$A$1203=$A343)*('DAILY ENTRY'!$B$7:$B$1203=$B343)*('DAILY ENTRY'!$I$7:$I$1203="Positive reply"),0),0)),"")))</f>
        <v/>
      </c>
      <c r="N343" s="108" t="str">
        <f aca="false">IF($A343="","",IFERROR(INDEX('DAILY ENTRY'!$J$7:$J$1203,MATCH(1,INDEX(('DAILY ENTRY'!$A$7:$A$1203=$A343)*('DAILY ENTRY'!$B$7:$B$1203=$B343)*('DAILY ENTRY'!$I$7:$I$1203="Blocked"),0),0)),""))</f>
        <v/>
      </c>
      <c r="O343" s="65" t="str">
        <f aca="false">IF($A343="","",(D343&gt;='START HERE'!$B$25)+(E343&gt;='START HERE'!$B$26)+(F343&gt;='START HERE'!$B$27)+(G343&gt;='START HERE'!$B$28)+(H343&gt;='START HERE'!$B$29)+(I343&gt;='START HERE'!$B$30)+(J343&gt;='START HERE'!$B$31)+(K343&gt;='START HERE'!$B$32))</f>
        <v/>
      </c>
      <c r="P343" s="46" t="str">
        <f aca="false">IF($A343="","",IF(O343&gt;=7,"Full day",IF(O343&gt;=5,"Most targets met",IF(O343&gt;=3,"Half day","Below plan - explain in the blocker column"))))</f>
        <v/>
      </c>
    </row>
    <row r="344" customFormat="false" ht="24" hidden="false" customHeight="true" outlineLevel="0" collapsed="false">
      <c r="A344" s="36"/>
      <c r="B344" s="37"/>
      <c r="C344" s="107" t="str">
        <f aca="false">IF($A344="","",ROUND(SUMIFS('DAILY ENTRY'!$G$7:$G$1203,'DAILY ENTRY'!$A$7:$A$1203,$A344,'DAILY ENTRY'!$B$7:$B$1203,$B344)/60,1))</f>
        <v/>
      </c>
      <c r="D344" s="107" t="str">
        <f aca="false">IF($A344="","",SUMIFS('DAILY ENTRY'!$F$7:$F$1203,'DAILY ENTRY'!$A$7:$A$1203,$A344,'DAILY ENTRY'!$B$7:$B$1203,$B344,'DAILY ENTRY'!$D$7:$D$1203,"Lead researched (Sales Navigator)"))</f>
        <v/>
      </c>
      <c r="E344" s="107" t="str">
        <f aca="false">IF($A344="","",SUMIFS('DAILY ENTRY'!$F$7:$F$1203,'DAILY ENTRY'!$A$7:$A$1203,$A344,'DAILY ENTRY'!$B$7:$B$1203,$B344,'DAILY ENTRY'!$D$7:$D$1203,"Connection request sent"))</f>
        <v/>
      </c>
      <c r="F344" s="107" t="str">
        <f aca="false">IF($A344="","",SUMIFS('DAILY ENTRY'!$F$7:$F$1203,'DAILY ENTRY'!$A$7:$A$1203,$A344,'DAILY ENTRY'!$B$7:$B$1203,$B344,'DAILY ENTRY'!$D$7:$D$1203,"First message sent"))</f>
        <v/>
      </c>
      <c r="G344" s="107" t="str">
        <f aca="false">IF($A344="","",SUMIFS('DAILY ENTRY'!$F$7:$F$1203,'DAILY ENTRY'!$A$7:$A$1203,$A344,'DAILY ENTRY'!$B$7:$B$1203,$B344,'DAILY ENTRY'!$D$7:$D$1203,"Follow-up message sent"))</f>
        <v/>
      </c>
      <c r="H344" s="107" t="str">
        <f aca="false">IF($A344="","",SUMIFS('DAILY ENTRY'!$F$7:$F$1203,'DAILY ENTRY'!$A$7:$A$1203,$A344,'DAILY ENTRY'!$B$7:$B$1203,$B344,'DAILY ENTRY'!$D$7:$D$1203,"Post / content published"))</f>
        <v/>
      </c>
      <c r="I344" s="107" t="str">
        <f aca="false">IF($A344="","",SUMIFS('DAILY ENTRY'!$F$7:$F$1203,'DAILY ENTRY'!$A$7:$A$1203,$A344,'DAILY ENTRY'!$B$7:$B$1203,$B344,'DAILY ENTRY'!$D$7:$D$1203,"Community answer or comment"))</f>
        <v/>
      </c>
      <c r="J344" s="107" t="str">
        <f aca="false">IF($A344="","",SUMIFS('DAILY ENTRY'!$F$7:$F$1203,'DAILY ENTRY'!$A$7:$A$1203,$A344,'DAILY ENTRY'!$B$7:$B$1203,$B344,'DAILY ENTRY'!$D$7:$D$1203,"Partnership / PR contact"))</f>
        <v/>
      </c>
      <c r="K344" s="107" t="str">
        <f aca="false">IF($A344="","",SUMIFS('DAILY ENTRY'!$F$7:$F$1203,'DAILY ENTRY'!$A$7:$A$1203,$A344,'DAILY ENTRY'!$B$7:$B$1203,$B344,'DAILY ENTRY'!$D$7:$D$1203,"Engagement (commented on someone else)"))</f>
        <v/>
      </c>
      <c r="L344" s="107" t="str">
        <f aca="false">IF($A344="","",SUMIFS('DAILY ENTRY'!$F$7:$F$1203,'DAILY ENTRY'!$A$7:$A$1203,$A344,'DAILY ENTRY'!$B$7:$B$1203,$B344,'DAILY ENTRY'!$D$7:$D$1203,"Account created / profile completed"))</f>
        <v/>
      </c>
      <c r="M344" s="108" t="str">
        <f aca="false">IF($A344="","",IFERROR(INDEX('DAILY ENTRY'!$E$7:$E$1203,MATCH(1,INDEX(('DAILY ENTRY'!$A$7:$A$1203=$A344)*('DAILY ENTRY'!$B$7:$B$1203=$B344)*('DAILY ENTRY'!$I$7:$I$1203="Meeting booked"),0),0)),IFERROR(INDEX('DAILY ENTRY'!$E$7:$E$1203,MATCH(1,INDEX(('DAILY ENTRY'!$A$7:$A$1203=$A344)*('DAILY ENTRY'!$B$7:$B$1203=$B344)*('DAILY ENTRY'!$I$7:$I$1203="Positive reply"),0),0)),"")))</f>
        <v/>
      </c>
      <c r="N344" s="108" t="str">
        <f aca="false">IF($A344="","",IFERROR(INDEX('DAILY ENTRY'!$J$7:$J$1203,MATCH(1,INDEX(('DAILY ENTRY'!$A$7:$A$1203=$A344)*('DAILY ENTRY'!$B$7:$B$1203=$B344)*('DAILY ENTRY'!$I$7:$I$1203="Blocked"),0),0)),""))</f>
        <v/>
      </c>
      <c r="O344" s="65" t="str">
        <f aca="false">IF($A344="","",(D344&gt;='START HERE'!$B$25)+(E344&gt;='START HERE'!$B$26)+(F344&gt;='START HERE'!$B$27)+(G344&gt;='START HERE'!$B$28)+(H344&gt;='START HERE'!$B$29)+(I344&gt;='START HERE'!$B$30)+(J344&gt;='START HERE'!$B$31)+(K344&gt;='START HERE'!$B$32))</f>
        <v/>
      </c>
      <c r="P344" s="46" t="str">
        <f aca="false">IF($A344="","",IF(O344&gt;=7,"Full day",IF(O344&gt;=5,"Most targets met",IF(O344&gt;=3,"Half day","Below plan - explain in the blocker column"))))</f>
        <v/>
      </c>
    </row>
    <row r="345" customFormat="false" ht="24" hidden="false" customHeight="true" outlineLevel="0" collapsed="false">
      <c r="A345" s="36"/>
      <c r="B345" s="37"/>
      <c r="C345" s="107" t="str">
        <f aca="false">IF($A345="","",ROUND(SUMIFS('DAILY ENTRY'!$G$7:$G$1203,'DAILY ENTRY'!$A$7:$A$1203,$A345,'DAILY ENTRY'!$B$7:$B$1203,$B345)/60,1))</f>
        <v/>
      </c>
      <c r="D345" s="107" t="str">
        <f aca="false">IF($A345="","",SUMIFS('DAILY ENTRY'!$F$7:$F$1203,'DAILY ENTRY'!$A$7:$A$1203,$A345,'DAILY ENTRY'!$B$7:$B$1203,$B345,'DAILY ENTRY'!$D$7:$D$1203,"Lead researched (Sales Navigator)"))</f>
        <v/>
      </c>
      <c r="E345" s="107" t="str">
        <f aca="false">IF($A345="","",SUMIFS('DAILY ENTRY'!$F$7:$F$1203,'DAILY ENTRY'!$A$7:$A$1203,$A345,'DAILY ENTRY'!$B$7:$B$1203,$B345,'DAILY ENTRY'!$D$7:$D$1203,"Connection request sent"))</f>
        <v/>
      </c>
      <c r="F345" s="107" t="str">
        <f aca="false">IF($A345="","",SUMIFS('DAILY ENTRY'!$F$7:$F$1203,'DAILY ENTRY'!$A$7:$A$1203,$A345,'DAILY ENTRY'!$B$7:$B$1203,$B345,'DAILY ENTRY'!$D$7:$D$1203,"First message sent"))</f>
        <v/>
      </c>
      <c r="G345" s="107" t="str">
        <f aca="false">IF($A345="","",SUMIFS('DAILY ENTRY'!$F$7:$F$1203,'DAILY ENTRY'!$A$7:$A$1203,$A345,'DAILY ENTRY'!$B$7:$B$1203,$B345,'DAILY ENTRY'!$D$7:$D$1203,"Follow-up message sent"))</f>
        <v/>
      </c>
      <c r="H345" s="107" t="str">
        <f aca="false">IF($A345="","",SUMIFS('DAILY ENTRY'!$F$7:$F$1203,'DAILY ENTRY'!$A$7:$A$1203,$A345,'DAILY ENTRY'!$B$7:$B$1203,$B345,'DAILY ENTRY'!$D$7:$D$1203,"Post / content published"))</f>
        <v/>
      </c>
      <c r="I345" s="107" t="str">
        <f aca="false">IF($A345="","",SUMIFS('DAILY ENTRY'!$F$7:$F$1203,'DAILY ENTRY'!$A$7:$A$1203,$A345,'DAILY ENTRY'!$B$7:$B$1203,$B345,'DAILY ENTRY'!$D$7:$D$1203,"Community answer or comment"))</f>
        <v/>
      </c>
      <c r="J345" s="107" t="str">
        <f aca="false">IF($A345="","",SUMIFS('DAILY ENTRY'!$F$7:$F$1203,'DAILY ENTRY'!$A$7:$A$1203,$A345,'DAILY ENTRY'!$B$7:$B$1203,$B345,'DAILY ENTRY'!$D$7:$D$1203,"Partnership / PR contact"))</f>
        <v/>
      </c>
      <c r="K345" s="107" t="str">
        <f aca="false">IF($A345="","",SUMIFS('DAILY ENTRY'!$F$7:$F$1203,'DAILY ENTRY'!$A$7:$A$1203,$A345,'DAILY ENTRY'!$B$7:$B$1203,$B345,'DAILY ENTRY'!$D$7:$D$1203,"Engagement (commented on someone else)"))</f>
        <v/>
      </c>
      <c r="L345" s="107" t="str">
        <f aca="false">IF($A345="","",SUMIFS('DAILY ENTRY'!$F$7:$F$1203,'DAILY ENTRY'!$A$7:$A$1203,$A345,'DAILY ENTRY'!$B$7:$B$1203,$B345,'DAILY ENTRY'!$D$7:$D$1203,"Account created / profile completed"))</f>
        <v/>
      </c>
      <c r="M345" s="108" t="str">
        <f aca="false">IF($A345="","",IFERROR(INDEX('DAILY ENTRY'!$E$7:$E$1203,MATCH(1,INDEX(('DAILY ENTRY'!$A$7:$A$1203=$A345)*('DAILY ENTRY'!$B$7:$B$1203=$B345)*('DAILY ENTRY'!$I$7:$I$1203="Meeting booked"),0),0)),IFERROR(INDEX('DAILY ENTRY'!$E$7:$E$1203,MATCH(1,INDEX(('DAILY ENTRY'!$A$7:$A$1203=$A345)*('DAILY ENTRY'!$B$7:$B$1203=$B345)*('DAILY ENTRY'!$I$7:$I$1203="Positive reply"),0),0)),"")))</f>
        <v/>
      </c>
      <c r="N345" s="108" t="str">
        <f aca="false">IF($A345="","",IFERROR(INDEX('DAILY ENTRY'!$J$7:$J$1203,MATCH(1,INDEX(('DAILY ENTRY'!$A$7:$A$1203=$A345)*('DAILY ENTRY'!$B$7:$B$1203=$B345)*('DAILY ENTRY'!$I$7:$I$1203="Blocked"),0),0)),""))</f>
        <v/>
      </c>
      <c r="O345" s="65" t="str">
        <f aca="false">IF($A345="","",(D345&gt;='START HERE'!$B$25)+(E345&gt;='START HERE'!$B$26)+(F345&gt;='START HERE'!$B$27)+(G345&gt;='START HERE'!$B$28)+(H345&gt;='START HERE'!$B$29)+(I345&gt;='START HERE'!$B$30)+(J345&gt;='START HERE'!$B$31)+(K345&gt;='START HERE'!$B$32))</f>
        <v/>
      </c>
      <c r="P345" s="46" t="str">
        <f aca="false">IF($A345="","",IF(O345&gt;=7,"Full day",IF(O345&gt;=5,"Most targets met",IF(O345&gt;=3,"Half day","Below plan - explain in the blocker column"))))</f>
        <v/>
      </c>
    </row>
    <row r="346" customFormat="false" ht="24" hidden="false" customHeight="true" outlineLevel="0" collapsed="false">
      <c r="A346" s="36"/>
      <c r="B346" s="37"/>
      <c r="C346" s="107" t="str">
        <f aca="false">IF($A346="","",ROUND(SUMIFS('DAILY ENTRY'!$G$7:$G$1203,'DAILY ENTRY'!$A$7:$A$1203,$A346,'DAILY ENTRY'!$B$7:$B$1203,$B346)/60,1))</f>
        <v/>
      </c>
      <c r="D346" s="107" t="str">
        <f aca="false">IF($A346="","",SUMIFS('DAILY ENTRY'!$F$7:$F$1203,'DAILY ENTRY'!$A$7:$A$1203,$A346,'DAILY ENTRY'!$B$7:$B$1203,$B346,'DAILY ENTRY'!$D$7:$D$1203,"Lead researched (Sales Navigator)"))</f>
        <v/>
      </c>
      <c r="E346" s="107" t="str">
        <f aca="false">IF($A346="","",SUMIFS('DAILY ENTRY'!$F$7:$F$1203,'DAILY ENTRY'!$A$7:$A$1203,$A346,'DAILY ENTRY'!$B$7:$B$1203,$B346,'DAILY ENTRY'!$D$7:$D$1203,"Connection request sent"))</f>
        <v/>
      </c>
      <c r="F346" s="107" t="str">
        <f aca="false">IF($A346="","",SUMIFS('DAILY ENTRY'!$F$7:$F$1203,'DAILY ENTRY'!$A$7:$A$1203,$A346,'DAILY ENTRY'!$B$7:$B$1203,$B346,'DAILY ENTRY'!$D$7:$D$1203,"First message sent"))</f>
        <v/>
      </c>
      <c r="G346" s="107" t="str">
        <f aca="false">IF($A346="","",SUMIFS('DAILY ENTRY'!$F$7:$F$1203,'DAILY ENTRY'!$A$7:$A$1203,$A346,'DAILY ENTRY'!$B$7:$B$1203,$B346,'DAILY ENTRY'!$D$7:$D$1203,"Follow-up message sent"))</f>
        <v/>
      </c>
      <c r="H346" s="107" t="str">
        <f aca="false">IF($A346="","",SUMIFS('DAILY ENTRY'!$F$7:$F$1203,'DAILY ENTRY'!$A$7:$A$1203,$A346,'DAILY ENTRY'!$B$7:$B$1203,$B346,'DAILY ENTRY'!$D$7:$D$1203,"Post / content published"))</f>
        <v/>
      </c>
      <c r="I346" s="107" t="str">
        <f aca="false">IF($A346="","",SUMIFS('DAILY ENTRY'!$F$7:$F$1203,'DAILY ENTRY'!$A$7:$A$1203,$A346,'DAILY ENTRY'!$B$7:$B$1203,$B346,'DAILY ENTRY'!$D$7:$D$1203,"Community answer or comment"))</f>
        <v/>
      </c>
      <c r="J346" s="107" t="str">
        <f aca="false">IF($A346="","",SUMIFS('DAILY ENTRY'!$F$7:$F$1203,'DAILY ENTRY'!$A$7:$A$1203,$A346,'DAILY ENTRY'!$B$7:$B$1203,$B346,'DAILY ENTRY'!$D$7:$D$1203,"Partnership / PR contact"))</f>
        <v/>
      </c>
      <c r="K346" s="107" t="str">
        <f aca="false">IF($A346="","",SUMIFS('DAILY ENTRY'!$F$7:$F$1203,'DAILY ENTRY'!$A$7:$A$1203,$A346,'DAILY ENTRY'!$B$7:$B$1203,$B346,'DAILY ENTRY'!$D$7:$D$1203,"Engagement (commented on someone else)"))</f>
        <v/>
      </c>
      <c r="L346" s="107" t="str">
        <f aca="false">IF($A346="","",SUMIFS('DAILY ENTRY'!$F$7:$F$1203,'DAILY ENTRY'!$A$7:$A$1203,$A346,'DAILY ENTRY'!$B$7:$B$1203,$B346,'DAILY ENTRY'!$D$7:$D$1203,"Account created / profile completed"))</f>
        <v/>
      </c>
      <c r="M346" s="108" t="str">
        <f aca="false">IF($A346="","",IFERROR(INDEX('DAILY ENTRY'!$E$7:$E$1203,MATCH(1,INDEX(('DAILY ENTRY'!$A$7:$A$1203=$A346)*('DAILY ENTRY'!$B$7:$B$1203=$B346)*('DAILY ENTRY'!$I$7:$I$1203="Meeting booked"),0),0)),IFERROR(INDEX('DAILY ENTRY'!$E$7:$E$1203,MATCH(1,INDEX(('DAILY ENTRY'!$A$7:$A$1203=$A346)*('DAILY ENTRY'!$B$7:$B$1203=$B346)*('DAILY ENTRY'!$I$7:$I$1203="Positive reply"),0),0)),"")))</f>
        <v/>
      </c>
      <c r="N346" s="108" t="str">
        <f aca="false">IF($A346="","",IFERROR(INDEX('DAILY ENTRY'!$J$7:$J$1203,MATCH(1,INDEX(('DAILY ENTRY'!$A$7:$A$1203=$A346)*('DAILY ENTRY'!$B$7:$B$1203=$B346)*('DAILY ENTRY'!$I$7:$I$1203="Blocked"),0),0)),""))</f>
        <v/>
      </c>
      <c r="O346" s="65" t="str">
        <f aca="false">IF($A346="","",(D346&gt;='START HERE'!$B$25)+(E346&gt;='START HERE'!$B$26)+(F346&gt;='START HERE'!$B$27)+(G346&gt;='START HERE'!$B$28)+(H346&gt;='START HERE'!$B$29)+(I346&gt;='START HERE'!$B$30)+(J346&gt;='START HERE'!$B$31)+(K346&gt;='START HERE'!$B$32))</f>
        <v/>
      </c>
      <c r="P346" s="46" t="str">
        <f aca="false">IF($A346="","",IF(O346&gt;=7,"Full day",IF(O346&gt;=5,"Most targets met",IF(O346&gt;=3,"Half day","Below plan - explain in the blocker column"))))</f>
        <v/>
      </c>
    </row>
    <row r="347" customFormat="false" ht="24" hidden="false" customHeight="true" outlineLevel="0" collapsed="false">
      <c r="A347" s="36"/>
      <c r="B347" s="37"/>
      <c r="C347" s="107" t="str">
        <f aca="false">IF($A347="","",ROUND(SUMIFS('DAILY ENTRY'!$G$7:$G$1203,'DAILY ENTRY'!$A$7:$A$1203,$A347,'DAILY ENTRY'!$B$7:$B$1203,$B347)/60,1))</f>
        <v/>
      </c>
      <c r="D347" s="107" t="str">
        <f aca="false">IF($A347="","",SUMIFS('DAILY ENTRY'!$F$7:$F$1203,'DAILY ENTRY'!$A$7:$A$1203,$A347,'DAILY ENTRY'!$B$7:$B$1203,$B347,'DAILY ENTRY'!$D$7:$D$1203,"Lead researched (Sales Navigator)"))</f>
        <v/>
      </c>
      <c r="E347" s="107" t="str">
        <f aca="false">IF($A347="","",SUMIFS('DAILY ENTRY'!$F$7:$F$1203,'DAILY ENTRY'!$A$7:$A$1203,$A347,'DAILY ENTRY'!$B$7:$B$1203,$B347,'DAILY ENTRY'!$D$7:$D$1203,"Connection request sent"))</f>
        <v/>
      </c>
      <c r="F347" s="107" t="str">
        <f aca="false">IF($A347="","",SUMIFS('DAILY ENTRY'!$F$7:$F$1203,'DAILY ENTRY'!$A$7:$A$1203,$A347,'DAILY ENTRY'!$B$7:$B$1203,$B347,'DAILY ENTRY'!$D$7:$D$1203,"First message sent"))</f>
        <v/>
      </c>
      <c r="G347" s="107" t="str">
        <f aca="false">IF($A347="","",SUMIFS('DAILY ENTRY'!$F$7:$F$1203,'DAILY ENTRY'!$A$7:$A$1203,$A347,'DAILY ENTRY'!$B$7:$B$1203,$B347,'DAILY ENTRY'!$D$7:$D$1203,"Follow-up message sent"))</f>
        <v/>
      </c>
      <c r="H347" s="107" t="str">
        <f aca="false">IF($A347="","",SUMIFS('DAILY ENTRY'!$F$7:$F$1203,'DAILY ENTRY'!$A$7:$A$1203,$A347,'DAILY ENTRY'!$B$7:$B$1203,$B347,'DAILY ENTRY'!$D$7:$D$1203,"Post / content published"))</f>
        <v/>
      </c>
      <c r="I347" s="107" t="str">
        <f aca="false">IF($A347="","",SUMIFS('DAILY ENTRY'!$F$7:$F$1203,'DAILY ENTRY'!$A$7:$A$1203,$A347,'DAILY ENTRY'!$B$7:$B$1203,$B347,'DAILY ENTRY'!$D$7:$D$1203,"Community answer or comment"))</f>
        <v/>
      </c>
      <c r="J347" s="107" t="str">
        <f aca="false">IF($A347="","",SUMIFS('DAILY ENTRY'!$F$7:$F$1203,'DAILY ENTRY'!$A$7:$A$1203,$A347,'DAILY ENTRY'!$B$7:$B$1203,$B347,'DAILY ENTRY'!$D$7:$D$1203,"Partnership / PR contact"))</f>
        <v/>
      </c>
      <c r="K347" s="107" t="str">
        <f aca="false">IF($A347="","",SUMIFS('DAILY ENTRY'!$F$7:$F$1203,'DAILY ENTRY'!$A$7:$A$1203,$A347,'DAILY ENTRY'!$B$7:$B$1203,$B347,'DAILY ENTRY'!$D$7:$D$1203,"Engagement (commented on someone else)"))</f>
        <v/>
      </c>
      <c r="L347" s="107" t="str">
        <f aca="false">IF($A347="","",SUMIFS('DAILY ENTRY'!$F$7:$F$1203,'DAILY ENTRY'!$A$7:$A$1203,$A347,'DAILY ENTRY'!$B$7:$B$1203,$B347,'DAILY ENTRY'!$D$7:$D$1203,"Account created / profile completed"))</f>
        <v/>
      </c>
      <c r="M347" s="108" t="str">
        <f aca="false">IF($A347="","",IFERROR(INDEX('DAILY ENTRY'!$E$7:$E$1203,MATCH(1,INDEX(('DAILY ENTRY'!$A$7:$A$1203=$A347)*('DAILY ENTRY'!$B$7:$B$1203=$B347)*('DAILY ENTRY'!$I$7:$I$1203="Meeting booked"),0),0)),IFERROR(INDEX('DAILY ENTRY'!$E$7:$E$1203,MATCH(1,INDEX(('DAILY ENTRY'!$A$7:$A$1203=$A347)*('DAILY ENTRY'!$B$7:$B$1203=$B347)*('DAILY ENTRY'!$I$7:$I$1203="Positive reply"),0),0)),"")))</f>
        <v/>
      </c>
      <c r="N347" s="108" t="str">
        <f aca="false">IF($A347="","",IFERROR(INDEX('DAILY ENTRY'!$J$7:$J$1203,MATCH(1,INDEX(('DAILY ENTRY'!$A$7:$A$1203=$A347)*('DAILY ENTRY'!$B$7:$B$1203=$B347)*('DAILY ENTRY'!$I$7:$I$1203="Blocked"),0),0)),""))</f>
        <v/>
      </c>
      <c r="O347" s="65" t="str">
        <f aca="false">IF($A347="","",(D347&gt;='START HERE'!$B$25)+(E347&gt;='START HERE'!$B$26)+(F347&gt;='START HERE'!$B$27)+(G347&gt;='START HERE'!$B$28)+(H347&gt;='START HERE'!$B$29)+(I347&gt;='START HERE'!$B$30)+(J347&gt;='START HERE'!$B$31)+(K347&gt;='START HERE'!$B$32))</f>
        <v/>
      </c>
      <c r="P347" s="46" t="str">
        <f aca="false">IF($A347="","",IF(O347&gt;=7,"Full day",IF(O347&gt;=5,"Most targets met",IF(O347&gt;=3,"Half day","Below plan - explain in the blocker column"))))</f>
        <v/>
      </c>
    </row>
    <row r="348" customFormat="false" ht="24" hidden="false" customHeight="true" outlineLevel="0" collapsed="false">
      <c r="A348" s="36"/>
      <c r="B348" s="37"/>
      <c r="C348" s="107" t="str">
        <f aca="false">IF($A348="","",ROUND(SUMIFS('DAILY ENTRY'!$G$7:$G$1203,'DAILY ENTRY'!$A$7:$A$1203,$A348,'DAILY ENTRY'!$B$7:$B$1203,$B348)/60,1))</f>
        <v/>
      </c>
      <c r="D348" s="107" t="str">
        <f aca="false">IF($A348="","",SUMIFS('DAILY ENTRY'!$F$7:$F$1203,'DAILY ENTRY'!$A$7:$A$1203,$A348,'DAILY ENTRY'!$B$7:$B$1203,$B348,'DAILY ENTRY'!$D$7:$D$1203,"Lead researched (Sales Navigator)"))</f>
        <v/>
      </c>
      <c r="E348" s="107" t="str">
        <f aca="false">IF($A348="","",SUMIFS('DAILY ENTRY'!$F$7:$F$1203,'DAILY ENTRY'!$A$7:$A$1203,$A348,'DAILY ENTRY'!$B$7:$B$1203,$B348,'DAILY ENTRY'!$D$7:$D$1203,"Connection request sent"))</f>
        <v/>
      </c>
      <c r="F348" s="107" t="str">
        <f aca="false">IF($A348="","",SUMIFS('DAILY ENTRY'!$F$7:$F$1203,'DAILY ENTRY'!$A$7:$A$1203,$A348,'DAILY ENTRY'!$B$7:$B$1203,$B348,'DAILY ENTRY'!$D$7:$D$1203,"First message sent"))</f>
        <v/>
      </c>
      <c r="G348" s="107" t="str">
        <f aca="false">IF($A348="","",SUMIFS('DAILY ENTRY'!$F$7:$F$1203,'DAILY ENTRY'!$A$7:$A$1203,$A348,'DAILY ENTRY'!$B$7:$B$1203,$B348,'DAILY ENTRY'!$D$7:$D$1203,"Follow-up message sent"))</f>
        <v/>
      </c>
      <c r="H348" s="107" t="str">
        <f aca="false">IF($A348="","",SUMIFS('DAILY ENTRY'!$F$7:$F$1203,'DAILY ENTRY'!$A$7:$A$1203,$A348,'DAILY ENTRY'!$B$7:$B$1203,$B348,'DAILY ENTRY'!$D$7:$D$1203,"Post / content published"))</f>
        <v/>
      </c>
      <c r="I348" s="107" t="str">
        <f aca="false">IF($A348="","",SUMIFS('DAILY ENTRY'!$F$7:$F$1203,'DAILY ENTRY'!$A$7:$A$1203,$A348,'DAILY ENTRY'!$B$7:$B$1203,$B348,'DAILY ENTRY'!$D$7:$D$1203,"Community answer or comment"))</f>
        <v/>
      </c>
      <c r="J348" s="107" t="str">
        <f aca="false">IF($A348="","",SUMIFS('DAILY ENTRY'!$F$7:$F$1203,'DAILY ENTRY'!$A$7:$A$1203,$A348,'DAILY ENTRY'!$B$7:$B$1203,$B348,'DAILY ENTRY'!$D$7:$D$1203,"Partnership / PR contact"))</f>
        <v/>
      </c>
      <c r="K348" s="107" t="str">
        <f aca="false">IF($A348="","",SUMIFS('DAILY ENTRY'!$F$7:$F$1203,'DAILY ENTRY'!$A$7:$A$1203,$A348,'DAILY ENTRY'!$B$7:$B$1203,$B348,'DAILY ENTRY'!$D$7:$D$1203,"Engagement (commented on someone else)"))</f>
        <v/>
      </c>
      <c r="L348" s="107" t="str">
        <f aca="false">IF($A348="","",SUMIFS('DAILY ENTRY'!$F$7:$F$1203,'DAILY ENTRY'!$A$7:$A$1203,$A348,'DAILY ENTRY'!$B$7:$B$1203,$B348,'DAILY ENTRY'!$D$7:$D$1203,"Account created / profile completed"))</f>
        <v/>
      </c>
      <c r="M348" s="108" t="str">
        <f aca="false">IF($A348="","",IFERROR(INDEX('DAILY ENTRY'!$E$7:$E$1203,MATCH(1,INDEX(('DAILY ENTRY'!$A$7:$A$1203=$A348)*('DAILY ENTRY'!$B$7:$B$1203=$B348)*('DAILY ENTRY'!$I$7:$I$1203="Meeting booked"),0),0)),IFERROR(INDEX('DAILY ENTRY'!$E$7:$E$1203,MATCH(1,INDEX(('DAILY ENTRY'!$A$7:$A$1203=$A348)*('DAILY ENTRY'!$B$7:$B$1203=$B348)*('DAILY ENTRY'!$I$7:$I$1203="Positive reply"),0),0)),"")))</f>
        <v/>
      </c>
      <c r="N348" s="108" t="str">
        <f aca="false">IF($A348="","",IFERROR(INDEX('DAILY ENTRY'!$J$7:$J$1203,MATCH(1,INDEX(('DAILY ENTRY'!$A$7:$A$1203=$A348)*('DAILY ENTRY'!$B$7:$B$1203=$B348)*('DAILY ENTRY'!$I$7:$I$1203="Blocked"),0),0)),""))</f>
        <v/>
      </c>
      <c r="O348" s="65" t="str">
        <f aca="false">IF($A348="","",(D348&gt;='START HERE'!$B$25)+(E348&gt;='START HERE'!$B$26)+(F348&gt;='START HERE'!$B$27)+(G348&gt;='START HERE'!$B$28)+(H348&gt;='START HERE'!$B$29)+(I348&gt;='START HERE'!$B$30)+(J348&gt;='START HERE'!$B$31)+(K348&gt;='START HERE'!$B$32))</f>
        <v/>
      </c>
      <c r="P348" s="46" t="str">
        <f aca="false">IF($A348="","",IF(O348&gt;=7,"Full day",IF(O348&gt;=5,"Most targets met",IF(O348&gt;=3,"Half day","Below plan - explain in the blocker column"))))</f>
        <v/>
      </c>
    </row>
    <row r="349" customFormat="false" ht="24" hidden="false" customHeight="true" outlineLevel="0" collapsed="false">
      <c r="A349" s="36"/>
      <c r="B349" s="37"/>
      <c r="C349" s="107" t="str">
        <f aca="false">IF($A349="","",ROUND(SUMIFS('DAILY ENTRY'!$G$7:$G$1203,'DAILY ENTRY'!$A$7:$A$1203,$A349,'DAILY ENTRY'!$B$7:$B$1203,$B349)/60,1))</f>
        <v/>
      </c>
      <c r="D349" s="107" t="str">
        <f aca="false">IF($A349="","",SUMIFS('DAILY ENTRY'!$F$7:$F$1203,'DAILY ENTRY'!$A$7:$A$1203,$A349,'DAILY ENTRY'!$B$7:$B$1203,$B349,'DAILY ENTRY'!$D$7:$D$1203,"Lead researched (Sales Navigator)"))</f>
        <v/>
      </c>
      <c r="E349" s="107" t="str">
        <f aca="false">IF($A349="","",SUMIFS('DAILY ENTRY'!$F$7:$F$1203,'DAILY ENTRY'!$A$7:$A$1203,$A349,'DAILY ENTRY'!$B$7:$B$1203,$B349,'DAILY ENTRY'!$D$7:$D$1203,"Connection request sent"))</f>
        <v/>
      </c>
      <c r="F349" s="107" t="str">
        <f aca="false">IF($A349="","",SUMIFS('DAILY ENTRY'!$F$7:$F$1203,'DAILY ENTRY'!$A$7:$A$1203,$A349,'DAILY ENTRY'!$B$7:$B$1203,$B349,'DAILY ENTRY'!$D$7:$D$1203,"First message sent"))</f>
        <v/>
      </c>
      <c r="G349" s="107" t="str">
        <f aca="false">IF($A349="","",SUMIFS('DAILY ENTRY'!$F$7:$F$1203,'DAILY ENTRY'!$A$7:$A$1203,$A349,'DAILY ENTRY'!$B$7:$B$1203,$B349,'DAILY ENTRY'!$D$7:$D$1203,"Follow-up message sent"))</f>
        <v/>
      </c>
      <c r="H349" s="107" t="str">
        <f aca="false">IF($A349="","",SUMIFS('DAILY ENTRY'!$F$7:$F$1203,'DAILY ENTRY'!$A$7:$A$1203,$A349,'DAILY ENTRY'!$B$7:$B$1203,$B349,'DAILY ENTRY'!$D$7:$D$1203,"Post / content published"))</f>
        <v/>
      </c>
      <c r="I349" s="107" t="str">
        <f aca="false">IF($A349="","",SUMIFS('DAILY ENTRY'!$F$7:$F$1203,'DAILY ENTRY'!$A$7:$A$1203,$A349,'DAILY ENTRY'!$B$7:$B$1203,$B349,'DAILY ENTRY'!$D$7:$D$1203,"Community answer or comment"))</f>
        <v/>
      </c>
      <c r="J349" s="107" t="str">
        <f aca="false">IF($A349="","",SUMIFS('DAILY ENTRY'!$F$7:$F$1203,'DAILY ENTRY'!$A$7:$A$1203,$A349,'DAILY ENTRY'!$B$7:$B$1203,$B349,'DAILY ENTRY'!$D$7:$D$1203,"Partnership / PR contact"))</f>
        <v/>
      </c>
      <c r="K349" s="107" t="str">
        <f aca="false">IF($A349="","",SUMIFS('DAILY ENTRY'!$F$7:$F$1203,'DAILY ENTRY'!$A$7:$A$1203,$A349,'DAILY ENTRY'!$B$7:$B$1203,$B349,'DAILY ENTRY'!$D$7:$D$1203,"Engagement (commented on someone else)"))</f>
        <v/>
      </c>
      <c r="L349" s="107" t="str">
        <f aca="false">IF($A349="","",SUMIFS('DAILY ENTRY'!$F$7:$F$1203,'DAILY ENTRY'!$A$7:$A$1203,$A349,'DAILY ENTRY'!$B$7:$B$1203,$B349,'DAILY ENTRY'!$D$7:$D$1203,"Account created / profile completed"))</f>
        <v/>
      </c>
      <c r="M349" s="108" t="str">
        <f aca="false">IF($A349="","",IFERROR(INDEX('DAILY ENTRY'!$E$7:$E$1203,MATCH(1,INDEX(('DAILY ENTRY'!$A$7:$A$1203=$A349)*('DAILY ENTRY'!$B$7:$B$1203=$B349)*('DAILY ENTRY'!$I$7:$I$1203="Meeting booked"),0),0)),IFERROR(INDEX('DAILY ENTRY'!$E$7:$E$1203,MATCH(1,INDEX(('DAILY ENTRY'!$A$7:$A$1203=$A349)*('DAILY ENTRY'!$B$7:$B$1203=$B349)*('DAILY ENTRY'!$I$7:$I$1203="Positive reply"),0),0)),"")))</f>
        <v/>
      </c>
      <c r="N349" s="108" t="str">
        <f aca="false">IF($A349="","",IFERROR(INDEX('DAILY ENTRY'!$J$7:$J$1203,MATCH(1,INDEX(('DAILY ENTRY'!$A$7:$A$1203=$A349)*('DAILY ENTRY'!$B$7:$B$1203=$B349)*('DAILY ENTRY'!$I$7:$I$1203="Blocked"),0),0)),""))</f>
        <v/>
      </c>
      <c r="O349" s="65" t="str">
        <f aca="false">IF($A349="","",(D349&gt;='START HERE'!$B$25)+(E349&gt;='START HERE'!$B$26)+(F349&gt;='START HERE'!$B$27)+(G349&gt;='START HERE'!$B$28)+(H349&gt;='START HERE'!$B$29)+(I349&gt;='START HERE'!$B$30)+(J349&gt;='START HERE'!$B$31)+(K349&gt;='START HERE'!$B$32))</f>
        <v/>
      </c>
      <c r="P349" s="46" t="str">
        <f aca="false">IF($A349="","",IF(O349&gt;=7,"Full day",IF(O349&gt;=5,"Most targets met",IF(O349&gt;=3,"Half day","Below plan - explain in the blocker column"))))</f>
        <v/>
      </c>
    </row>
    <row r="350" customFormat="false" ht="24" hidden="false" customHeight="true" outlineLevel="0" collapsed="false">
      <c r="A350" s="36"/>
      <c r="B350" s="37"/>
      <c r="C350" s="107" t="str">
        <f aca="false">IF($A350="","",ROUND(SUMIFS('DAILY ENTRY'!$G$7:$G$1203,'DAILY ENTRY'!$A$7:$A$1203,$A350,'DAILY ENTRY'!$B$7:$B$1203,$B350)/60,1))</f>
        <v/>
      </c>
      <c r="D350" s="107" t="str">
        <f aca="false">IF($A350="","",SUMIFS('DAILY ENTRY'!$F$7:$F$1203,'DAILY ENTRY'!$A$7:$A$1203,$A350,'DAILY ENTRY'!$B$7:$B$1203,$B350,'DAILY ENTRY'!$D$7:$D$1203,"Lead researched (Sales Navigator)"))</f>
        <v/>
      </c>
      <c r="E350" s="107" t="str">
        <f aca="false">IF($A350="","",SUMIFS('DAILY ENTRY'!$F$7:$F$1203,'DAILY ENTRY'!$A$7:$A$1203,$A350,'DAILY ENTRY'!$B$7:$B$1203,$B350,'DAILY ENTRY'!$D$7:$D$1203,"Connection request sent"))</f>
        <v/>
      </c>
      <c r="F350" s="107" t="str">
        <f aca="false">IF($A350="","",SUMIFS('DAILY ENTRY'!$F$7:$F$1203,'DAILY ENTRY'!$A$7:$A$1203,$A350,'DAILY ENTRY'!$B$7:$B$1203,$B350,'DAILY ENTRY'!$D$7:$D$1203,"First message sent"))</f>
        <v/>
      </c>
      <c r="G350" s="107" t="str">
        <f aca="false">IF($A350="","",SUMIFS('DAILY ENTRY'!$F$7:$F$1203,'DAILY ENTRY'!$A$7:$A$1203,$A350,'DAILY ENTRY'!$B$7:$B$1203,$B350,'DAILY ENTRY'!$D$7:$D$1203,"Follow-up message sent"))</f>
        <v/>
      </c>
      <c r="H350" s="107" t="str">
        <f aca="false">IF($A350="","",SUMIFS('DAILY ENTRY'!$F$7:$F$1203,'DAILY ENTRY'!$A$7:$A$1203,$A350,'DAILY ENTRY'!$B$7:$B$1203,$B350,'DAILY ENTRY'!$D$7:$D$1203,"Post / content published"))</f>
        <v/>
      </c>
      <c r="I350" s="107" t="str">
        <f aca="false">IF($A350="","",SUMIFS('DAILY ENTRY'!$F$7:$F$1203,'DAILY ENTRY'!$A$7:$A$1203,$A350,'DAILY ENTRY'!$B$7:$B$1203,$B350,'DAILY ENTRY'!$D$7:$D$1203,"Community answer or comment"))</f>
        <v/>
      </c>
      <c r="J350" s="107" t="str">
        <f aca="false">IF($A350="","",SUMIFS('DAILY ENTRY'!$F$7:$F$1203,'DAILY ENTRY'!$A$7:$A$1203,$A350,'DAILY ENTRY'!$B$7:$B$1203,$B350,'DAILY ENTRY'!$D$7:$D$1203,"Partnership / PR contact"))</f>
        <v/>
      </c>
      <c r="K350" s="107" t="str">
        <f aca="false">IF($A350="","",SUMIFS('DAILY ENTRY'!$F$7:$F$1203,'DAILY ENTRY'!$A$7:$A$1203,$A350,'DAILY ENTRY'!$B$7:$B$1203,$B350,'DAILY ENTRY'!$D$7:$D$1203,"Engagement (commented on someone else)"))</f>
        <v/>
      </c>
      <c r="L350" s="107" t="str">
        <f aca="false">IF($A350="","",SUMIFS('DAILY ENTRY'!$F$7:$F$1203,'DAILY ENTRY'!$A$7:$A$1203,$A350,'DAILY ENTRY'!$B$7:$B$1203,$B350,'DAILY ENTRY'!$D$7:$D$1203,"Account created / profile completed"))</f>
        <v/>
      </c>
      <c r="M350" s="108" t="str">
        <f aca="false">IF($A350="","",IFERROR(INDEX('DAILY ENTRY'!$E$7:$E$1203,MATCH(1,INDEX(('DAILY ENTRY'!$A$7:$A$1203=$A350)*('DAILY ENTRY'!$B$7:$B$1203=$B350)*('DAILY ENTRY'!$I$7:$I$1203="Meeting booked"),0),0)),IFERROR(INDEX('DAILY ENTRY'!$E$7:$E$1203,MATCH(1,INDEX(('DAILY ENTRY'!$A$7:$A$1203=$A350)*('DAILY ENTRY'!$B$7:$B$1203=$B350)*('DAILY ENTRY'!$I$7:$I$1203="Positive reply"),0),0)),"")))</f>
        <v/>
      </c>
      <c r="N350" s="108" t="str">
        <f aca="false">IF($A350="","",IFERROR(INDEX('DAILY ENTRY'!$J$7:$J$1203,MATCH(1,INDEX(('DAILY ENTRY'!$A$7:$A$1203=$A350)*('DAILY ENTRY'!$B$7:$B$1203=$B350)*('DAILY ENTRY'!$I$7:$I$1203="Blocked"),0),0)),""))</f>
        <v/>
      </c>
      <c r="O350" s="65" t="str">
        <f aca="false">IF($A350="","",(D350&gt;='START HERE'!$B$25)+(E350&gt;='START HERE'!$B$26)+(F350&gt;='START HERE'!$B$27)+(G350&gt;='START HERE'!$B$28)+(H350&gt;='START HERE'!$B$29)+(I350&gt;='START HERE'!$B$30)+(J350&gt;='START HERE'!$B$31)+(K350&gt;='START HERE'!$B$32))</f>
        <v/>
      </c>
      <c r="P350" s="46" t="str">
        <f aca="false">IF($A350="","",IF(O350&gt;=7,"Full day",IF(O350&gt;=5,"Most targets met",IF(O350&gt;=3,"Half day","Below plan - explain in the blocker column"))))</f>
        <v/>
      </c>
    </row>
    <row r="351" customFormat="false" ht="24" hidden="false" customHeight="true" outlineLevel="0" collapsed="false">
      <c r="A351" s="36"/>
      <c r="B351" s="37"/>
      <c r="C351" s="107" t="str">
        <f aca="false">IF($A351="","",ROUND(SUMIFS('DAILY ENTRY'!$G$7:$G$1203,'DAILY ENTRY'!$A$7:$A$1203,$A351,'DAILY ENTRY'!$B$7:$B$1203,$B351)/60,1))</f>
        <v/>
      </c>
      <c r="D351" s="107" t="str">
        <f aca="false">IF($A351="","",SUMIFS('DAILY ENTRY'!$F$7:$F$1203,'DAILY ENTRY'!$A$7:$A$1203,$A351,'DAILY ENTRY'!$B$7:$B$1203,$B351,'DAILY ENTRY'!$D$7:$D$1203,"Lead researched (Sales Navigator)"))</f>
        <v/>
      </c>
      <c r="E351" s="107" t="str">
        <f aca="false">IF($A351="","",SUMIFS('DAILY ENTRY'!$F$7:$F$1203,'DAILY ENTRY'!$A$7:$A$1203,$A351,'DAILY ENTRY'!$B$7:$B$1203,$B351,'DAILY ENTRY'!$D$7:$D$1203,"Connection request sent"))</f>
        <v/>
      </c>
      <c r="F351" s="107" t="str">
        <f aca="false">IF($A351="","",SUMIFS('DAILY ENTRY'!$F$7:$F$1203,'DAILY ENTRY'!$A$7:$A$1203,$A351,'DAILY ENTRY'!$B$7:$B$1203,$B351,'DAILY ENTRY'!$D$7:$D$1203,"First message sent"))</f>
        <v/>
      </c>
      <c r="G351" s="107" t="str">
        <f aca="false">IF($A351="","",SUMIFS('DAILY ENTRY'!$F$7:$F$1203,'DAILY ENTRY'!$A$7:$A$1203,$A351,'DAILY ENTRY'!$B$7:$B$1203,$B351,'DAILY ENTRY'!$D$7:$D$1203,"Follow-up message sent"))</f>
        <v/>
      </c>
      <c r="H351" s="107" t="str">
        <f aca="false">IF($A351="","",SUMIFS('DAILY ENTRY'!$F$7:$F$1203,'DAILY ENTRY'!$A$7:$A$1203,$A351,'DAILY ENTRY'!$B$7:$B$1203,$B351,'DAILY ENTRY'!$D$7:$D$1203,"Post / content published"))</f>
        <v/>
      </c>
      <c r="I351" s="107" t="str">
        <f aca="false">IF($A351="","",SUMIFS('DAILY ENTRY'!$F$7:$F$1203,'DAILY ENTRY'!$A$7:$A$1203,$A351,'DAILY ENTRY'!$B$7:$B$1203,$B351,'DAILY ENTRY'!$D$7:$D$1203,"Community answer or comment"))</f>
        <v/>
      </c>
      <c r="J351" s="107" t="str">
        <f aca="false">IF($A351="","",SUMIFS('DAILY ENTRY'!$F$7:$F$1203,'DAILY ENTRY'!$A$7:$A$1203,$A351,'DAILY ENTRY'!$B$7:$B$1203,$B351,'DAILY ENTRY'!$D$7:$D$1203,"Partnership / PR contact"))</f>
        <v/>
      </c>
      <c r="K351" s="107" t="str">
        <f aca="false">IF($A351="","",SUMIFS('DAILY ENTRY'!$F$7:$F$1203,'DAILY ENTRY'!$A$7:$A$1203,$A351,'DAILY ENTRY'!$B$7:$B$1203,$B351,'DAILY ENTRY'!$D$7:$D$1203,"Engagement (commented on someone else)"))</f>
        <v/>
      </c>
      <c r="L351" s="107" t="str">
        <f aca="false">IF($A351="","",SUMIFS('DAILY ENTRY'!$F$7:$F$1203,'DAILY ENTRY'!$A$7:$A$1203,$A351,'DAILY ENTRY'!$B$7:$B$1203,$B351,'DAILY ENTRY'!$D$7:$D$1203,"Account created / profile completed"))</f>
        <v/>
      </c>
      <c r="M351" s="108" t="str">
        <f aca="false">IF($A351="","",IFERROR(INDEX('DAILY ENTRY'!$E$7:$E$1203,MATCH(1,INDEX(('DAILY ENTRY'!$A$7:$A$1203=$A351)*('DAILY ENTRY'!$B$7:$B$1203=$B351)*('DAILY ENTRY'!$I$7:$I$1203="Meeting booked"),0),0)),IFERROR(INDEX('DAILY ENTRY'!$E$7:$E$1203,MATCH(1,INDEX(('DAILY ENTRY'!$A$7:$A$1203=$A351)*('DAILY ENTRY'!$B$7:$B$1203=$B351)*('DAILY ENTRY'!$I$7:$I$1203="Positive reply"),0),0)),"")))</f>
        <v/>
      </c>
      <c r="N351" s="108" t="str">
        <f aca="false">IF($A351="","",IFERROR(INDEX('DAILY ENTRY'!$J$7:$J$1203,MATCH(1,INDEX(('DAILY ENTRY'!$A$7:$A$1203=$A351)*('DAILY ENTRY'!$B$7:$B$1203=$B351)*('DAILY ENTRY'!$I$7:$I$1203="Blocked"),0),0)),""))</f>
        <v/>
      </c>
      <c r="O351" s="65" t="str">
        <f aca="false">IF($A351="","",(D351&gt;='START HERE'!$B$25)+(E351&gt;='START HERE'!$B$26)+(F351&gt;='START HERE'!$B$27)+(G351&gt;='START HERE'!$B$28)+(H351&gt;='START HERE'!$B$29)+(I351&gt;='START HERE'!$B$30)+(J351&gt;='START HERE'!$B$31)+(K351&gt;='START HERE'!$B$32))</f>
        <v/>
      </c>
      <c r="P351" s="46" t="str">
        <f aca="false">IF($A351="","",IF(O351&gt;=7,"Full day",IF(O351&gt;=5,"Most targets met",IF(O351&gt;=3,"Half day","Below plan - explain in the blocker column"))))</f>
        <v/>
      </c>
    </row>
    <row r="352" customFormat="false" ht="24" hidden="false" customHeight="true" outlineLevel="0" collapsed="false">
      <c r="A352" s="36"/>
      <c r="B352" s="37"/>
      <c r="C352" s="107" t="str">
        <f aca="false">IF($A352="","",ROUND(SUMIFS('DAILY ENTRY'!$G$7:$G$1203,'DAILY ENTRY'!$A$7:$A$1203,$A352,'DAILY ENTRY'!$B$7:$B$1203,$B352)/60,1))</f>
        <v/>
      </c>
      <c r="D352" s="107" t="str">
        <f aca="false">IF($A352="","",SUMIFS('DAILY ENTRY'!$F$7:$F$1203,'DAILY ENTRY'!$A$7:$A$1203,$A352,'DAILY ENTRY'!$B$7:$B$1203,$B352,'DAILY ENTRY'!$D$7:$D$1203,"Lead researched (Sales Navigator)"))</f>
        <v/>
      </c>
      <c r="E352" s="107" t="str">
        <f aca="false">IF($A352="","",SUMIFS('DAILY ENTRY'!$F$7:$F$1203,'DAILY ENTRY'!$A$7:$A$1203,$A352,'DAILY ENTRY'!$B$7:$B$1203,$B352,'DAILY ENTRY'!$D$7:$D$1203,"Connection request sent"))</f>
        <v/>
      </c>
      <c r="F352" s="107" t="str">
        <f aca="false">IF($A352="","",SUMIFS('DAILY ENTRY'!$F$7:$F$1203,'DAILY ENTRY'!$A$7:$A$1203,$A352,'DAILY ENTRY'!$B$7:$B$1203,$B352,'DAILY ENTRY'!$D$7:$D$1203,"First message sent"))</f>
        <v/>
      </c>
      <c r="G352" s="107" t="str">
        <f aca="false">IF($A352="","",SUMIFS('DAILY ENTRY'!$F$7:$F$1203,'DAILY ENTRY'!$A$7:$A$1203,$A352,'DAILY ENTRY'!$B$7:$B$1203,$B352,'DAILY ENTRY'!$D$7:$D$1203,"Follow-up message sent"))</f>
        <v/>
      </c>
      <c r="H352" s="107" t="str">
        <f aca="false">IF($A352="","",SUMIFS('DAILY ENTRY'!$F$7:$F$1203,'DAILY ENTRY'!$A$7:$A$1203,$A352,'DAILY ENTRY'!$B$7:$B$1203,$B352,'DAILY ENTRY'!$D$7:$D$1203,"Post / content published"))</f>
        <v/>
      </c>
      <c r="I352" s="107" t="str">
        <f aca="false">IF($A352="","",SUMIFS('DAILY ENTRY'!$F$7:$F$1203,'DAILY ENTRY'!$A$7:$A$1203,$A352,'DAILY ENTRY'!$B$7:$B$1203,$B352,'DAILY ENTRY'!$D$7:$D$1203,"Community answer or comment"))</f>
        <v/>
      </c>
      <c r="J352" s="107" t="str">
        <f aca="false">IF($A352="","",SUMIFS('DAILY ENTRY'!$F$7:$F$1203,'DAILY ENTRY'!$A$7:$A$1203,$A352,'DAILY ENTRY'!$B$7:$B$1203,$B352,'DAILY ENTRY'!$D$7:$D$1203,"Partnership / PR contact"))</f>
        <v/>
      </c>
      <c r="K352" s="107" t="str">
        <f aca="false">IF($A352="","",SUMIFS('DAILY ENTRY'!$F$7:$F$1203,'DAILY ENTRY'!$A$7:$A$1203,$A352,'DAILY ENTRY'!$B$7:$B$1203,$B352,'DAILY ENTRY'!$D$7:$D$1203,"Engagement (commented on someone else)"))</f>
        <v/>
      </c>
      <c r="L352" s="107" t="str">
        <f aca="false">IF($A352="","",SUMIFS('DAILY ENTRY'!$F$7:$F$1203,'DAILY ENTRY'!$A$7:$A$1203,$A352,'DAILY ENTRY'!$B$7:$B$1203,$B352,'DAILY ENTRY'!$D$7:$D$1203,"Account created / profile completed"))</f>
        <v/>
      </c>
      <c r="M352" s="108" t="str">
        <f aca="false">IF($A352="","",IFERROR(INDEX('DAILY ENTRY'!$E$7:$E$1203,MATCH(1,INDEX(('DAILY ENTRY'!$A$7:$A$1203=$A352)*('DAILY ENTRY'!$B$7:$B$1203=$B352)*('DAILY ENTRY'!$I$7:$I$1203="Meeting booked"),0),0)),IFERROR(INDEX('DAILY ENTRY'!$E$7:$E$1203,MATCH(1,INDEX(('DAILY ENTRY'!$A$7:$A$1203=$A352)*('DAILY ENTRY'!$B$7:$B$1203=$B352)*('DAILY ENTRY'!$I$7:$I$1203="Positive reply"),0),0)),"")))</f>
        <v/>
      </c>
      <c r="N352" s="108" t="str">
        <f aca="false">IF($A352="","",IFERROR(INDEX('DAILY ENTRY'!$J$7:$J$1203,MATCH(1,INDEX(('DAILY ENTRY'!$A$7:$A$1203=$A352)*('DAILY ENTRY'!$B$7:$B$1203=$B352)*('DAILY ENTRY'!$I$7:$I$1203="Blocked"),0),0)),""))</f>
        <v/>
      </c>
      <c r="O352" s="65" t="str">
        <f aca="false">IF($A352="","",(D352&gt;='START HERE'!$B$25)+(E352&gt;='START HERE'!$B$26)+(F352&gt;='START HERE'!$B$27)+(G352&gt;='START HERE'!$B$28)+(H352&gt;='START HERE'!$B$29)+(I352&gt;='START HERE'!$B$30)+(J352&gt;='START HERE'!$B$31)+(K352&gt;='START HERE'!$B$32))</f>
        <v/>
      </c>
      <c r="P352" s="46" t="str">
        <f aca="false">IF($A352="","",IF(O352&gt;=7,"Full day",IF(O352&gt;=5,"Most targets met",IF(O352&gt;=3,"Half day","Below plan - explain in the blocker column"))))</f>
        <v/>
      </c>
    </row>
    <row r="353" customFormat="false" ht="24" hidden="false" customHeight="true" outlineLevel="0" collapsed="false">
      <c r="A353" s="36"/>
      <c r="B353" s="37"/>
      <c r="C353" s="107" t="str">
        <f aca="false">IF($A353="","",ROUND(SUMIFS('DAILY ENTRY'!$G$7:$G$1203,'DAILY ENTRY'!$A$7:$A$1203,$A353,'DAILY ENTRY'!$B$7:$B$1203,$B353)/60,1))</f>
        <v/>
      </c>
      <c r="D353" s="107" t="str">
        <f aca="false">IF($A353="","",SUMIFS('DAILY ENTRY'!$F$7:$F$1203,'DAILY ENTRY'!$A$7:$A$1203,$A353,'DAILY ENTRY'!$B$7:$B$1203,$B353,'DAILY ENTRY'!$D$7:$D$1203,"Lead researched (Sales Navigator)"))</f>
        <v/>
      </c>
      <c r="E353" s="107" t="str">
        <f aca="false">IF($A353="","",SUMIFS('DAILY ENTRY'!$F$7:$F$1203,'DAILY ENTRY'!$A$7:$A$1203,$A353,'DAILY ENTRY'!$B$7:$B$1203,$B353,'DAILY ENTRY'!$D$7:$D$1203,"Connection request sent"))</f>
        <v/>
      </c>
      <c r="F353" s="107" t="str">
        <f aca="false">IF($A353="","",SUMIFS('DAILY ENTRY'!$F$7:$F$1203,'DAILY ENTRY'!$A$7:$A$1203,$A353,'DAILY ENTRY'!$B$7:$B$1203,$B353,'DAILY ENTRY'!$D$7:$D$1203,"First message sent"))</f>
        <v/>
      </c>
      <c r="G353" s="107" t="str">
        <f aca="false">IF($A353="","",SUMIFS('DAILY ENTRY'!$F$7:$F$1203,'DAILY ENTRY'!$A$7:$A$1203,$A353,'DAILY ENTRY'!$B$7:$B$1203,$B353,'DAILY ENTRY'!$D$7:$D$1203,"Follow-up message sent"))</f>
        <v/>
      </c>
      <c r="H353" s="107" t="str">
        <f aca="false">IF($A353="","",SUMIFS('DAILY ENTRY'!$F$7:$F$1203,'DAILY ENTRY'!$A$7:$A$1203,$A353,'DAILY ENTRY'!$B$7:$B$1203,$B353,'DAILY ENTRY'!$D$7:$D$1203,"Post / content published"))</f>
        <v/>
      </c>
      <c r="I353" s="107" t="str">
        <f aca="false">IF($A353="","",SUMIFS('DAILY ENTRY'!$F$7:$F$1203,'DAILY ENTRY'!$A$7:$A$1203,$A353,'DAILY ENTRY'!$B$7:$B$1203,$B353,'DAILY ENTRY'!$D$7:$D$1203,"Community answer or comment"))</f>
        <v/>
      </c>
      <c r="J353" s="107" t="str">
        <f aca="false">IF($A353="","",SUMIFS('DAILY ENTRY'!$F$7:$F$1203,'DAILY ENTRY'!$A$7:$A$1203,$A353,'DAILY ENTRY'!$B$7:$B$1203,$B353,'DAILY ENTRY'!$D$7:$D$1203,"Partnership / PR contact"))</f>
        <v/>
      </c>
      <c r="K353" s="107" t="str">
        <f aca="false">IF($A353="","",SUMIFS('DAILY ENTRY'!$F$7:$F$1203,'DAILY ENTRY'!$A$7:$A$1203,$A353,'DAILY ENTRY'!$B$7:$B$1203,$B353,'DAILY ENTRY'!$D$7:$D$1203,"Engagement (commented on someone else)"))</f>
        <v/>
      </c>
      <c r="L353" s="107" t="str">
        <f aca="false">IF($A353="","",SUMIFS('DAILY ENTRY'!$F$7:$F$1203,'DAILY ENTRY'!$A$7:$A$1203,$A353,'DAILY ENTRY'!$B$7:$B$1203,$B353,'DAILY ENTRY'!$D$7:$D$1203,"Account created / profile completed"))</f>
        <v/>
      </c>
      <c r="M353" s="108" t="str">
        <f aca="false">IF($A353="","",IFERROR(INDEX('DAILY ENTRY'!$E$7:$E$1203,MATCH(1,INDEX(('DAILY ENTRY'!$A$7:$A$1203=$A353)*('DAILY ENTRY'!$B$7:$B$1203=$B353)*('DAILY ENTRY'!$I$7:$I$1203="Meeting booked"),0),0)),IFERROR(INDEX('DAILY ENTRY'!$E$7:$E$1203,MATCH(1,INDEX(('DAILY ENTRY'!$A$7:$A$1203=$A353)*('DAILY ENTRY'!$B$7:$B$1203=$B353)*('DAILY ENTRY'!$I$7:$I$1203="Positive reply"),0),0)),"")))</f>
        <v/>
      </c>
      <c r="N353" s="108" t="str">
        <f aca="false">IF($A353="","",IFERROR(INDEX('DAILY ENTRY'!$J$7:$J$1203,MATCH(1,INDEX(('DAILY ENTRY'!$A$7:$A$1203=$A353)*('DAILY ENTRY'!$B$7:$B$1203=$B353)*('DAILY ENTRY'!$I$7:$I$1203="Blocked"),0),0)),""))</f>
        <v/>
      </c>
      <c r="O353" s="65" t="str">
        <f aca="false">IF($A353="","",(D353&gt;='START HERE'!$B$25)+(E353&gt;='START HERE'!$B$26)+(F353&gt;='START HERE'!$B$27)+(G353&gt;='START HERE'!$B$28)+(H353&gt;='START HERE'!$B$29)+(I353&gt;='START HERE'!$B$30)+(J353&gt;='START HERE'!$B$31)+(K353&gt;='START HERE'!$B$32))</f>
        <v/>
      </c>
      <c r="P353" s="46" t="str">
        <f aca="false">IF($A353="","",IF(O353&gt;=7,"Full day",IF(O353&gt;=5,"Most targets met",IF(O353&gt;=3,"Half day","Below plan - explain in the blocker column"))))</f>
        <v/>
      </c>
    </row>
    <row r="354" customFormat="false" ht="24" hidden="false" customHeight="true" outlineLevel="0" collapsed="false">
      <c r="A354" s="36"/>
      <c r="B354" s="37"/>
      <c r="C354" s="107" t="str">
        <f aca="false">IF($A354="","",ROUND(SUMIFS('DAILY ENTRY'!$G$7:$G$1203,'DAILY ENTRY'!$A$7:$A$1203,$A354,'DAILY ENTRY'!$B$7:$B$1203,$B354)/60,1))</f>
        <v/>
      </c>
      <c r="D354" s="107" t="str">
        <f aca="false">IF($A354="","",SUMIFS('DAILY ENTRY'!$F$7:$F$1203,'DAILY ENTRY'!$A$7:$A$1203,$A354,'DAILY ENTRY'!$B$7:$B$1203,$B354,'DAILY ENTRY'!$D$7:$D$1203,"Lead researched (Sales Navigator)"))</f>
        <v/>
      </c>
      <c r="E354" s="107" t="str">
        <f aca="false">IF($A354="","",SUMIFS('DAILY ENTRY'!$F$7:$F$1203,'DAILY ENTRY'!$A$7:$A$1203,$A354,'DAILY ENTRY'!$B$7:$B$1203,$B354,'DAILY ENTRY'!$D$7:$D$1203,"Connection request sent"))</f>
        <v/>
      </c>
      <c r="F354" s="107" t="str">
        <f aca="false">IF($A354="","",SUMIFS('DAILY ENTRY'!$F$7:$F$1203,'DAILY ENTRY'!$A$7:$A$1203,$A354,'DAILY ENTRY'!$B$7:$B$1203,$B354,'DAILY ENTRY'!$D$7:$D$1203,"First message sent"))</f>
        <v/>
      </c>
      <c r="G354" s="107" t="str">
        <f aca="false">IF($A354="","",SUMIFS('DAILY ENTRY'!$F$7:$F$1203,'DAILY ENTRY'!$A$7:$A$1203,$A354,'DAILY ENTRY'!$B$7:$B$1203,$B354,'DAILY ENTRY'!$D$7:$D$1203,"Follow-up message sent"))</f>
        <v/>
      </c>
      <c r="H354" s="107" t="str">
        <f aca="false">IF($A354="","",SUMIFS('DAILY ENTRY'!$F$7:$F$1203,'DAILY ENTRY'!$A$7:$A$1203,$A354,'DAILY ENTRY'!$B$7:$B$1203,$B354,'DAILY ENTRY'!$D$7:$D$1203,"Post / content published"))</f>
        <v/>
      </c>
      <c r="I354" s="107" t="str">
        <f aca="false">IF($A354="","",SUMIFS('DAILY ENTRY'!$F$7:$F$1203,'DAILY ENTRY'!$A$7:$A$1203,$A354,'DAILY ENTRY'!$B$7:$B$1203,$B354,'DAILY ENTRY'!$D$7:$D$1203,"Community answer or comment"))</f>
        <v/>
      </c>
      <c r="J354" s="107" t="str">
        <f aca="false">IF($A354="","",SUMIFS('DAILY ENTRY'!$F$7:$F$1203,'DAILY ENTRY'!$A$7:$A$1203,$A354,'DAILY ENTRY'!$B$7:$B$1203,$B354,'DAILY ENTRY'!$D$7:$D$1203,"Partnership / PR contact"))</f>
        <v/>
      </c>
      <c r="K354" s="107" t="str">
        <f aca="false">IF($A354="","",SUMIFS('DAILY ENTRY'!$F$7:$F$1203,'DAILY ENTRY'!$A$7:$A$1203,$A354,'DAILY ENTRY'!$B$7:$B$1203,$B354,'DAILY ENTRY'!$D$7:$D$1203,"Engagement (commented on someone else)"))</f>
        <v/>
      </c>
      <c r="L354" s="107" t="str">
        <f aca="false">IF($A354="","",SUMIFS('DAILY ENTRY'!$F$7:$F$1203,'DAILY ENTRY'!$A$7:$A$1203,$A354,'DAILY ENTRY'!$B$7:$B$1203,$B354,'DAILY ENTRY'!$D$7:$D$1203,"Account created / profile completed"))</f>
        <v/>
      </c>
      <c r="M354" s="108" t="str">
        <f aca="false">IF($A354="","",IFERROR(INDEX('DAILY ENTRY'!$E$7:$E$1203,MATCH(1,INDEX(('DAILY ENTRY'!$A$7:$A$1203=$A354)*('DAILY ENTRY'!$B$7:$B$1203=$B354)*('DAILY ENTRY'!$I$7:$I$1203="Meeting booked"),0),0)),IFERROR(INDEX('DAILY ENTRY'!$E$7:$E$1203,MATCH(1,INDEX(('DAILY ENTRY'!$A$7:$A$1203=$A354)*('DAILY ENTRY'!$B$7:$B$1203=$B354)*('DAILY ENTRY'!$I$7:$I$1203="Positive reply"),0),0)),"")))</f>
        <v/>
      </c>
      <c r="N354" s="108" t="str">
        <f aca="false">IF($A354="","",IFERROR(INDEX('DAILY ENTRY'!$J$7:$J$1203,MATCH(1,INDEX(('DAILY ENTRY'!$A$7:$A$1203=$A354)*('DAILY ENTRY'!$B$7:$B$1203=$B354)*('DAILY ENTRY'!$I$7:$I$1203="Blocked"),0),0)),""))</f>
        <v/>
      </c>
      <c r="O354" s="65" t="str">
        <f aca="false">IF($A354="","",(D354&gt;='START HERE'!$B$25)+(E354&gt;='START HERE'!$B$26)+(F354&gt;='START HERE'!$B$27)+(G354&gt;='START HERE'!$B$28)+(H354&gt;='START HERE'!$B$29)+(I354&gt;='START HERE'!$B$30)+(J354&gt;='START HERE'!$B$31)+(K354&gt;='START HERE'!$B$32))</f>
        <v/>
      </c>
      <c r="P354" s="46" t="str">
        <f aca="false">IF($A354="","",IF(O354&gt;=7,"Full day",IF(O354&gt;=5,"Most targets met",IF(O354&gt;=3,"Half day","Below plan - explain in the blocker column"))))</f>
        <v/>
      </c>
    </row>
    <row r="355" customFormat="false" ht="24" hidden="false" customHeight="true" outlineLevel="0" collapsed="false">
      <c r="A355" s="36"/>
      <c r="B355" s="37"/>
      <c r="C355" s="107" t="str">
        <f aca="false">IF($A355="","",ROUND(SUMIFS('DAILY ENTRY'!$G$7:$G$1203,'DAILY ENTRY'!$A$7:$A$1203,$A355,'DAILY ENTRY'!$B$7:$B$1203,$B355)/60,1))</f>
        <v/>
      </c>
      <c r="D355" s="107" t="str">
        <f aca="false">IF($A355="","",SUMIFS('DAILY ENTRY'!$F$7:$F$1203,'DAILY ENTRY'!$A$7:$A$1203,$A355,'DAILY ENTRY'!$B$7:$B$1203,$B355,'DAILY ENTRY'!$D$7:$D$1203,"Lead researched (Sales Navigator)"))</f>
        <v/>
      </c>
      <c r="E355" s="107" t="str">
        <f aca="false">IF($A355="","",SUMIFS('DAILY ENTRY'!$F$7:$F$1203,'DAILY ENTRY'!$A$7:$A$1203,$A355,'DAILY ENTRY'!$B$7:$B$1203,$B355,'DAILY ENTRY'!$D$7:$D$1203,"Connection request sent"))</f>
        <v/>
      </c>
      <c r="F355" s="107" t="str">
        <f aca="false">IF($A355="","",SUMIFS('DAILY ENTRY'!$F$7:$F$1203,'DAILY ENTRY'!$A$7:$A$1203,$A355,'DAILY ENTRY'!$B$7:$B$1203,$B355,'DAILY ENTRY'!$D$7:$D$1203,"First message sent"))</f>
        <v/>
      </c>
      <c r="G355" s="107" t="str">
        <f aca="false">IF($A355="","",SUMIFS('DAILY ENTRY'!$F$7:$F$1203,'DAILY ENTRY'!$A$7:$A$1203,$A355,'DAILY ENTRY'!$B$7:$B$1203,$B355,'DAILY ENTRY'!$D$7:$D$1203,"Follow-up message sent"))</f>
        <v/>
      </c>
      <c r="H355" s="107" t="str">
        <f aca="false">IF($A355="","",SUMIFS('DAILY ENTRY'!$F$7:$F$1203,'DAILY ENTRY'!$A$7:$A$1203,$A355,'DAILY ENTRY'!$B$7:$B$1203,$B355,'DAILY ENTRY'!$D$7:$D$1203,"Post / content published"))</f>
        <v/>
      </c>
      <c r="I355" s="107" t="str">
        <f aca="false">IF($A355="","",SUMIFS('DAILY ENTRY'!$F$7:$F$1203,'DAILY ENTRY'!$A$7:$A$1203,$A355,'DAILY ENTRY'!$B$7:$B$1203,$B355,'DAILY ENTRY'!$D$7:$D$1203,"Community answer or comment"))</f>
        <v/>
      </c>
      <c r="J355" s="107" t="str">
        <f aca="false">IF($A355="","",SUMIFS('DAILY ENTRY'!$F$7:$F$1203,'DAILY ENTRY'!$A$7:$A$1203,$A355,'DAILY ENTRY'!$B$7:$B$1203,$B355,'DAILY ENTRY'!$D$7:$D$1203,"Partnership / PR contact"))</f>
        <v/>
      </c>
      <c r="K355" s="107" t="str">
        <f aca="false">IF($A355="","",SUMIFS('DAILY ENTRY'!$F$7:$F$1203,'DAILY ENTRY'!$A$7:$A$1203,$A355,'DAILY ENTRY'!$B$7:$B$1203,$B355,'DAILY ENTRY'!$D$7:$D$1203,"Engagement (commented on someone else)"))</f>
        <v/>
      </c>
      <c r="L355" s="107" t="str">
        <f aca="false">IF($A355="","",SUMIFS('DAILY ENTRY'!$F$7:$F$1203,'DAILY ENTRY'!$A$7:$A$1203,$A355,'DAILY ENTRY'!$B$7:$B$1203,$B355,'DAILY ENTRY'!$D$7:$D$1203,"Account created / profile completed"))</f>
        <v/>
      </c>
      <c r="M355" s="108" t="str">
        <f aca="false">IF($A355="","",IFERROR(INDEX('DAILY ENTRY'!$E$7:$E$1203,MATCH(1,INDEX(('DAILY ENTRY'!$A$7:$A$1203=$A355)*('DAILY ENTRY'!$B$7:$B$1203=$B355)*('DAILY ENTRY'!$I$7:$I$1203="Meeting booked"),0),0)),IFERROR(INDEX('DAILY ENTRY'!$E$7:$E$1203,MATCH(1,INDEX(('DAILY ENTRY'!$A$7:$A$1203=$A355)*('DAILY ENTRY'!$B$7:$B$1203=$B355)*('DAILY ENTRY'!$I$7:$I$1203="Positive reply"),0),0)),"")))</f>
        <v/>
      </c>
      <c r="N355" s="108" t="str">
        <f aca="false">IF($A355="","",IFERROR(INDEX('DAILY ENTRY'!$J$7:$J$1203,MATCH(1,INDEX(('DAILY ENTRY'!$A$7:$A$1203=$A355)*('DAILY ENTRY'!$B$7:$B$1203=$B355)*('DAILY ENTRY'!$I$7:$I$1203="Blocked"),0),0)),""))</f>
        <v/>
      </c>
      <c r="O355" s="65" t="str">
        <f aca="false">IF($A355="","",(D355&gt;='START HERE'!$B$25)+(E355&gt;='START HERE'!$B$26)+(F355&gt;='START HERE'!$B$27)+(G355&gt;='START HERE'!$B$28)+(H355&gt;='START HERE'!$B$29)+(I355&gt;='START HERE'!$B$30)+(J355&gt;='START HERE'!$B$31)+(K355&gt;='START HERE'!$B$32))</f>
        <v/>
      </c>
      <c r="P355" s="46" t="str">
        <f aca="false">IF($A355="","",IF(O355&gt;=7,"Full day",IF(O355&gt;=5,"Most targets met",IF(O355&gt;=3,"Half day","Below plan - explain in the blocker column"))))</f>
        <v/>
      </c>
    </row>
    <row r="356" customFormat="false" ht="24" hidden="false" customHeight="true" outlineLevel="0" collapsed="false">
      <c r="A356" s="36"/>
      <c r="B356" s="37"/>
      <c r="C356" s="107" t="str">
        <f aca="false">IF($A356="","",ROUND(SUMIFS('DAILY ENTRY'!$G$7:$G$1203,'DAILY ENTRY'!$A$7:$A$1203,$A356,'DAILY ENTRY'!$B$7:$B$1203,$B356)/60,1))</f>
        <v/>
      </c>
      <c r="D356" s="107" t="str">
        <f aca="false">IF($A356="","",SUMIFS('DAILY ENTRY'!$F$7:$F$1203,'DAILY ENTRY'!$A$7:$A$1203,$A356,'DAILY ENTRY'!$B$7:$B$1203,$B356,'DAILY ENTRY'!$D$7:$D$1203,"Lead researched (Sales Navigator)"))</f>
        <v/>
      </c>
      <c r="E356" s="107" t="str">
        <f aca="false">IF($A356="","",SUMIFS('DAILY ENTRY'!$F$7:$F$1203,'DAILY ENTRY'!$A$7:$A$1203,$A356,'DAILY ENTRY'!$B$7:$B$1203,$B356,'DAILY ENTRY'!$D$7:$D$1203,"Connection request sent"))</f>
        <v/>
      </c>
      <c r="F356" s="107" t="str">
        <f aca="false">IF($A356="","",SUMIFS('DAILY ENTRY'!$F$7:$F$1203,'DAILY ENTRY'!$A$7:$A$1203,$A356,'DAILY ENTRY'!$B$7:$B$1203,$B356,'DAILY ENTRY'!$D$7:$D$1203,"First message sent"))</f>
        <v/>
      </c>
      <c r="G356" s="107" t="str">
        <f aca="false">IF($A356="","",SUMIFS('DAILY ENTRY'!$F$7:$F$1203,'DAILY ENTRY'!$A$7:$A$1203,$A356,'DAILY ENTRY'!$B$7:$B$1203,$B356,'DAILY ENTRY'!$D$7:$D$1203,"Follow-up message sent"))</f>
        <v/>
      </c>
      <c r="H356" s="107" t="str">
        <f aca="false">IF($A356="","",SUMIFS('DAILY ENTRY'!$F$7:$F$1203,'DAILY ENTRY'!$A$7:$A$1203,$A356,'DAILY ENTRY'!$B$7:$B$1203,$B356,'DAILY ENTRY'!$D$7:$D$1203,"Post / content published"))</f>
        <v/>
      </c>
      <c r="I356" s="107" t="str">
        <f aca="false">IF($A356="","",SUMIFS('DAILY ENTRY'!$F$7:$F$1203,'DAILY ENTRY'!$A$7:$A$1203,$A356,'DAILY ENTRY'!$B$7:$B$1203,$B356,'DAILY ENTRY'!$D$7:$D$1203,"Community answer or comment"))</f>
        <v/>
      </c>
      <c r="J356" s="107" t="str">
        <f aca="false">IF($A356="","",SUMIFS('DAILY ENTRY'!$F$7:$F$1203,'DAILY ENTRY'!$A$7:$A$1203,$A356,'DAILY ENTRY'!$B$7:$B$1203,$B356,'DAILY ENTRY'!$D$7:$D$1203,"Partnership / PR contact"))</f>
        <v/>
      </c>
      <c r="K356" s="107" t="str">
        <f aca="false">IF($A356="","",SUMIFS('DAILY ENTRY'!$F$7:$F$1203,'DAILY ENTRY'!$A$7:$A$1203,$A356,'DAILY ENTRY'!$B$7:$B$1203,$B356,'DAILY ENTRY'!$D$7:$D$1203,"Engagement (commented on someone else)"))</f>
        <v/>
      </c>
      <c r="L356" s="107" t="str">
        <f aca="false">IF($A356="","",SUMIFS('DAILY ENTRY'!$F$7:$F$1203,'DAILY ENTRY'!$A$7:$A$1203,$A356,'DAILY ENTRY'!$B$7:$B$1203,$B356,'DAILY ENTRY'!$D$7:$D$1203,"Account created / profile completed"))</f>
        <v/>
      </c>
      <c r="M356" s="108" t="str">
        <f aca="false">IF($A356="","",IFERROR(INDEX('DAILY ENTRY'!$E$7:$E$1203,MATCH(1,INDEX(('DAILY ENTRY'!$A$7:$A$1203=$A356)*('DAILY ENTRY'!$B$7:$B$1203=$B356)*('DAILY ENTRY'!$I$7:$I$1203="Meeting booked"),0),0)),IFERROR(INDEX('DAILY ENTRY'!$E$7:$E$1203,MATCH(1,INDEX(('DAILY ENTRY'!$A$7:$A$1203=$A356)*('DAILY ENTRY'!$B$7:$B$1203=$B356)*('DAILY ENTRY'!$I$7:$I$1203="Positive reply"),0),0)),"")))</f>
        <v/>
      </c>
      <c r="N356" s="108" t="str">
        <f aca="false">IF($A356="","",IFERROR(INDEX('DAILY ENTRY'!$J$7:$J$1203,MATCH(1,INDEX(('DAILY ENTRY'!$A$7:$A$1203=$A356)*('DAILY ENTRY'!$B$7:$B$1203=$B356)*('DAILY ENTRY'!$I$7:$I$1203="Blocked"),0),0)),""))</f>
        <v/>
      </c>
      <c r="O356" s="65" t="str">
        <f aca="false">IF($A356="","",(D356&gt;='START HERE'!$B$25)+(E356&gt;='START HERE'!$B$26)+(F356&gt;='START HERE'!$B$27)+(G356&gt;='START HERE'!$B$28)+(H356&gt;='START HERE'!$B$29)+(I356&gt;='START HERE'!$B$30)+(J356&gt;='START HERE'!$B$31)+(K356&gt;='START HERE'!$B$32))</f>
        <v/>
      </c>
      <c r="P356" s="46" t="str">
        <f aca="false">IF($A356="","",IF(O356&gt;=7,"Full day",IF(O356&gt;=5,"Most targets met",IF(O356&gt;=3,"Half day","Below plan - explain in the blocker column"))))</f>
        <v/>
      </c>
    </row>
    <row r="357" customFormat="false" ht="24" hidden="false" customHeight="true" outlineLevel="0" collapsed="false">
      <c r="A357" s="36"/>
      <c r="B357" s="37"/>
      <c r="C357" s="107" t="str">
        <f aca="false">IF($A357="","",ROUND(SUMIFS('DAILY ENTRY'!$G$7:$G$1203,'DAILY ENTRY'!$A$7:$A$1203,$A357,'DAILY ENTRY'!$B$7:$B$1203,$B357)/60,1))</f>
        <v/>
      </c>
      <c r="D357" s="107" t="str">
        <f aca="false">IF($A357="","",SUMIFS('DAILY ENTRY'!$F$7:$F$1203,'DAILY ENTRY'!$A$7:$A$1203,$A357,'DAILY ENTRY'!$B$7:$B$1203,$B357,'DAILY ENTRY'!$D$7:$D$1203,"Lead researched (Sales Navigator)"))</f>
        <v/>
      </c>
      <c r="E357" s="107" t="str">
        <f aca="false">IF($A357="","",SUMIFS('DAILY ENTRY'!$F$7:$F$1203,'DAILY ENTRY'!$A$7:$A$1203,$A357,'DAILY ENTRY'!$B$7:$B$1203,$B357,'DAILY ENTRY'!$D$7:$D$1203,"Connection request sent"))</f>
        <v/>
      </c>
      <c r="F357" s="107" t="str">
        <f aca="false">IF($A357="","",SUMIFS('DAILY ENTRY'!$F$7:$F$1203,'DAILY ENTRY'!$A$7:$A$1203,$A357,'DAILY ENTRY'!$B$7:$B$1203,$B357,'DAILY ENTRY'!$D$7:$D$1203,"First message sent"))</f>
        <v/>
      </c>
      <c r="G357" s="107" t="str">
        <f aca="false">IF($A357="","",SUMIFS('DAILY ENTRY'!$F$7:$F$1203,'DAILY ENTRY'!$A$7:$A$1203,$A357,'DAILY ENTRY'!$B$7:$B$1203,$B357,'DAILY ENTRY'!$D$7:$D$1203,"Follow-up message sent"))</f>
        <v/>
      </c>
      <c r="H357" s="107" t="str">
        <f aca="false">IF($A357="","",SUMIFS('DAILY ENTRY'!$F$7:$F$1203,'DAILY ENTRY'!$A$7:$A$1203,$A357,'DAILY ENTRY'!$B$7:$B$1203,$B357,'DAILY ENTRY'!$D$7:$D$1203,"Post / content published"))</f>
        <v/>
      </c>
      <c r="I357" s="107" t="str">
        <f aca="false">IF($A357="","",SUMIFS('DAILY ENTRY'!$F$7:$F$1203,'DAILY ENTRY'!$A$7:$A$1203,$A357,'DAILY ENTRY'!$B$7:$B$1203,$B357,'DAILY ENTRY'!$D$7:$D$1203,"Community answer or comment"))</f>
        <v/>
      </c>
      <c r="J357" s="107" t="str">
        <f aca="false">IF($A357="","",SUMIFS('DAILY ENTRY'!$F$7:$F$1203,'DAILY ENTRY'!$A$7:$A$1203,$A357,'DAILY ENTRY'!$B$7:$B$1203,$B357,'DAILY ENTRY'!$D$7:$D$1203,"Partnership / PR contact"))</f>
        <v/>
      </c>
      <c r="K357" s="107" t="str">
        <f aca="false">IF($A357="","",SUMIFS('DAILY ENTRY'!$F$7:$F$1203,'DAILY ENTRY'!$A$7:$A$1203,$A357,'DAILY ENTRY'!$B$7:$B$1203,$B357,'DAILY ENTRY'!$D$7:$D$1203,"Engagement (commented on someone else)"))</f>
        <v/>
      </c>
      <c r="L357" s="107" t="str">
        <f aca="false">IF($A357="","",SUMIFS('DAILY ENTRY'!$F$7:$F$1203,'DAILY ENTRY'!$A$7:$A$1203,$A357,'DAILY ENTRY'!$B$7:$B$1203,$B357,'DAILY ENTRY'!$D$7:$D$1203,"Account created / profile completed"))</f>
        <v/>
      </c>
      <c r="M357" s="108" t="str">
        <f aca="false">IF($A357="","",IFERROR(INDEX('DAILY ENTRY'!$E$7:$E$1203,MATCH(1,INDEX(('DAILY ENTRY'!$A$7:$A$1203=$A357)*('DAILY ENTRY'!$B$7:$B$1203=$B357)*('DAILY ENTRY'!$I$7:$I$1203="Meeting booked"),0),0)),IFERROR(INDEX('DAILY ENTRY'!$E$7:$E$1203,MATCH(1,INDEX(('DAILY ENTRY'!$A$7:$A$1203=$A357)*('DAILY ENTRY'!$B$7:$B$1203=$B357)*('DAILY ENTRY'!$I$7:$I$1203="Positive reply"),0),0)),"")))</f>
        <v/>
      </c>
      <c r="N357" s="108" t="str">
        <f aca="false">IF($A357="","",IFERROR(INDEX('DAILY ENTRY'!$J$7:$J$1203,MATCH(1,INDEX(('DAILY ENTRY'!$A$7:$A$1203=$A357)*('DAILY ENTRY'!$B$7:$B$1203=$B357)*('DAILY ENTRY'!$I$7:$I$1203="Blocked"),0),0)),""))</f>
        <v/>
      </c>
      <c r="O357" s="65" t="str">
        <f aca="false">IF($A357="","",(D357&gt;='START HERE'!$B$25)+(E357&gt;='START HERE'!$B$26)+(F357&gt;='START HERE'!$B$27)+(G357&gt;='START HERE'!$B$28)+(H357&gt;='START HERE'!$B$29)+(I357&gt;='START HERE'!$B$30)+(J357&gt;='START HERE'!$B$31)+(K357&gt;='START HERE'!$B$32))</f>
        <v/>
      </c>
      <c r="P357" s="46" t="str">
        <f aca="false">IF($A357="","",IF(O357&gt;=7,"Full day",IF(O357&gt;=5,"Most targets met",IF(O357&gt;=3,"Half day","Below plan - explain in the blocker column"))))</f>
        <v/>
      </c>
    </row>
    <row r="358" customFormat="false" ht="24" hidden="false" customHeight="true" outlineLevel="0" collapsed="false">
      <c r="A358" s="36"/>
      <c r="B358" s="37"/>
      <c r="C358" s="107" t="str">
        <f aca="false">IF($A358="","",ROUND(SUMIFS('DAILY ENTRY'!$G$7:$G$1203,'DAILY ENTRY'!$A$7:$A$1203,$A358,'DAILY ENTRY'!$B$7:$B$1203,$B358)/60,1))</f>
        <v/>
      </c>
      <c r="D358" s="107" t="str">
        <f aca="false">IF($A358="","",SUMIFS('DAILY ENTRY'!$F$7:$F$1203,'DAILY ENTRY'!$A$7:$A$1203,$A358,'DAILY ENTRY'!$B$7:$B$1203,$B358,'DAILY ENTRY'!$D$7:$D$1203,"Lead researched (Sales Navigator)"))</f>
        <v/>
      </c>
      <c r="E358" s="107" t="str">
        <f aca="false">IF($A358="","",SUMIFS('DAILY ENTRY'!$F$7:$F$1203,'DAILY ENTRY'!$A$7:$A$1203,$A358,'DAILY ENTRY'!$B$7:$B$1203,$B358,'DAILY ENTRY'!$D$7:$D$1203,"Connection request sent"))</f>
        <v/>
      </c>
      <c r="F358" s="107" t="str">
        <f aca="false">IF($A358="","",SUMIFS('DAILY ENTRY'!$F$7:$F$1203,'DAILY ENTRY'!$A$7:$A$1203,$A358,'DAILY ENTRY'!$B$7:$B$1203,$B358,'DAILY ENTRY'!$D$7:$D$1203,"First message sent"))</f>
        <v/>
      </c>
      <c r="G358" s="107" t="str">
        <f aca="false">IF($A358="","",SUMIFS('DAILY ENTRY'!$F$7:$F$1203,'DAILY ENTRY'!$A$7:$A$1203,$A358,'DAILY ENTRY'!$B$7:$B$1203,$B358,'DAILY ENTRY'!$D$7:$D$1203,"Follow-up message sent"))</f>
        <v/>
      </c>
      <c r="H358" s="107" t="str">
        <f aca="false">IF($A358="","",SUMIFS('DAILY ENTRY'!$F$7:$F$1203,'DAILY ENTRY'!$A$7:$A$1203,$A358,'DAILY ENTRY'!$B$7:$B$1203,$B358,'DAILY ENTRY'!$D$7:$D$1203,"Post / content published"))</f>
        <v/>
      </c>
      <c r="I358" s="107" t="str">
        <f aca="false">IF($A358="","",SUMIFS('DAILY ENTRY'!$F$7:$F$1203,'DAILY ENTRY'!$A$7:$A$1203,$A358,'DAILY ENTRY'!$B$7:$B$1203,$B358,'DAILY ENTRY'!$D$7:$D$1203,"Community answer or comment"))</f>
        <v/>
      </c>
      <c r="J358" s="107" t="str">
        <f aca="false">IF($A358="","",SUMIFS('DAILY ENTRY'!$F$7:$F$1203,'DAILY ENTRY'!$A$7:$A$1203,$A358,'DAILY ENTRY'!$B$7:$B$1203,$B358,'DAILY ENTRY'!$D$7:$D$1203,"Partnership / PR contact"))</f>
        <v/>
      </c>
      <c r="K358" s="107" t="str">
        <f aca="false">IF($A358="","",SUMIFS('DAILY ENTRY'!$F$7:$F$1203,'DAILY ENTRY'!$A$7:$A$1203,$A358,'DAILY ENTRY'!$B$7:$B$1203,$B358,'DAILY ENTRY'!$D$7:$D$1203,"Engagement (commented on someone else)"))</f>
        <v/>
      </c>
      <c r="L358" s="107" t="str">
        <f aca="false">IF($A358="","",SUMIFS('DAILY ENTRY'!$F$7:$F$1203,'DAILY ENTRY'!$A$7:$A$1203,$A358,'DAILY ENTRY'!$B$7:$B$1203,$B358,'DAILY ENTRY'!$D$7:$D$1203,"Account created / profile completed"))</f>
        <v/>
      </c>
      <c r="M358" s="108" t="str">
        <f aca="false">IF($A358="","",IFERROR(INDEX('DAILY ENTRY'!$E$7:$E$1203,MATCH(1,INDEX(('DAILY ENTRY'!$A$7:$A$1203=$A358)*('DAILY ENTRY'!$B$7:$B$1203=$B358)*('DAILY ENTRY'!$I$7:$I$1203="Meeting booked"),0),0)),IFERROR(INDEX('DAILY ENTRY'!$E$7:$E$1203,MATCH(1,INDEX(('DAILY ENTRY'!$A$7:$A$1203=$A358)*('DAILY ENTRY'!$B$7:$B$1203=$B358)*('DAILY ENTRY'!$I$7:$I$1203="Positive reply"),0),0)),"")))</f>
        <v/>
      </c>
      <c r="N358" s="108" t="str">
        <f aca="false">IF($A358="","",IFERROR(INDEX('DAILY ENTRY'!$J$7:$J$1203,MATCH(1,INDEX(('DAILY ENTRY'!$A$7:$A$1203=$A358)*('DAILY ENTRY'!$B$7:$B$1203=$B358)*('DAILY ENTRY'!$I$7:$I$1203="Blocked"),0),0)),""))</f>
        <v/>
      </c>
      <c r="O358" s="65" t="str">
        <f aca="false">IF($A358="","",(D358&gt;='START HERE'!$B$25)+(E358&gt;='START HERE'!$B$26)+(F358&gt;='START HERE'!$B$27)+(G358&gt;='START HERE'!$B$28)+(H358&gt;='START HERE'!$B$29)+(I358&gt;='START HERE'!$B$30)+(J358&gt;='START HERE'!$B$31)+(K358&gt;='START HERE'!$B$32))</f>
        <v/>
      </c>
      <c r="P358" s="46" t="str">
        <f aca="false">IF($A358="","",IF(O358&gt;=7,"Full day",IF(O358&gt;=5,"Most targets met",IF(O358&gt;=3,"Half day","Below plan - explain in the blocker column"))))</f>
        <v/>
      </c>
    </row>
    <row r="359" customFormat="false" ht="24" hidden="false" customHeight="true" outlineLevel="0" collapsed="false">
      <c r="A359" s="36"/>
      <c r="B359" s="37"/>
      <c r="C359" s="107" t="str">
        <f aca="false">IF($A359="","",ROUND(SUMIFS('DAILY ENTRY'!$G$7:$G$1203,'DAILY ENTRY'!$A$7:$A$1203,$A359,'DAILY ENTRY'!$B$7:$B$1203,$B359)/60,1))</f>
        <v/>
      </c>
      <c r="D359" s="107" t="str">
        <f aca="false">IF($A359="","",SUMIFS('DAILY ENTRY'!$F$7:$F$1203,'DAILY ENTRY'!$A$7:$A$1203,$A359,'DAILY ENTRY'!$B$7:$B$1203,$B359,'DAILY ENTRY'!$D$7:$D$1203,"Lead researched (Sales Navigator)"))</f>
        <v/>
      </c>
      <c r="E359" s="107" t="str">
        <f aca="false">IF($A359="","",SUMIFS('DAILY ENTRY'!$F$7:$F$1203,'DAILY ENTRY'!$A$7:$A$1203,$A359,'DAILY ENTRY'!$B$7:$B$1203,$B359,'DAILY ENTRY'!$D$7:$D$1203,"Connection request sent"))</f>
        <v/>
      </c>
      <c r="F359" s="107" t="str">
        <f aca="false">IF($A359="","",SUMIFS('DAILY ENTRY'!$F$7:$F$1203,'DAILY ENTRY'!$A$7:$A$1203,$A359,'DAILY ENTRY'!$B$7:$B$1203,$B359,'DAILY ENTRY'!$D$7:$D$1203,"First message sent"))</f>
        <v/>
      </c>
      <c r="G359" s="107" t="str">
        <f aca="false">IF($A359="","",SUMIFS('DAILY ENTRY'!$F$7:$F$1203,'DAILY ENTRY'!$A$7:$A$1203,$A359,'DAILY ENTRY'!$B$7:$B$1203,$B359,'DAILY ENTRY'!$D$7:$D$1203,"Follow-up message sent"))</f>
        <v/>
      </c>
      <c r="H359" s="107" t="str">
        <f aca="false">IF($A359="","",SUMIFS('DAILY ENTRY'!$F$7:$F$1203,'DAILY ENTRY'!$A$7:$A$1203,$A359,'DAILY ENTRY'!$B$7:$B$1203,$B359,'DAILY ENTRY'!$D$7:$D$1203,"Post / content published"))</f>
        <v/>
      </c>
      <c r="I359" s="107" t="str">
        <f aca="false">IF($A359="","",SUMIFS('DAILY ENTRY'!$F$7:$F$1203,'DAILY ENTRY'!$A$7:$A$1203,$A359,'DAILY ENTRY'!$B$7:$B$1203,$B359,'DAILY ENTRY'!$D$7:$D$1203,"Community answer or comment"))</f>
        <v/>
      </c>
      <c r="J359" s="107" t="str">
        <f aca="false">IF($A359="","",SUMIFS('DAILY ENTRY'!$F$7:$F$1203,'DAILY ENTRY'!$A$7:$A$1203,$A359,'DAILY ENTRY'!$B$7:$B$1203,$B359,'DAILY ENTRY'!$D$7:$D$1203,"Partnership / PR contact"))</f>
        <v/>
      </c>
      <c r="K359" s="107" t="str">
        <f aca="false">IF($A359="","",SUMIFS('DAILY ENTRY'!$F$7:$F$1203,'DAILY ENTRY'!$A$7:$A$1203,$A359,'DAILY ENTRY'!$B$7:$B$1203,$B359,'DAILY ENTRY'!$D$7:$D$1203,"Engagement (commented on someone else)"))</f>
        <v/>
      </c>
      <c r="L359" s="107" t="str">
        <f aca="false">IF($A359="","",SUMIFS('DAILY ENTRY'!$F$7:$F$1203,'DAILY ENTRY'!$A$7:$A$1203,$A359,'DAILY ENTRY'!$B$7:$B$1203,$B359,'DAILY ENTRY'!$D$7:$D$1203,"Account created / profile completed"))</f>
        <v/>
      </c>
      <c r="M359" s="108" t="str">
        <f aca="false">IF($A359="","",IFERROR(INDEX('DAILY ENTRY'!$E$7:$E$1203,MATCH(1,INDEX(('DAILY ENTRY'!$A$7:$A$1203=$A359)*('DAILY ENTRY'!$B$7:$B$1203=$B359)*('DAILY ENTRY'!$I$7:$I$1203="Meeting booked"),0),0)),IFERROR(INDEX('DAILY ENTRY'!$E$7:$E$1203,MATCH(1,INDEX(('DAILY ENTRY'!$A$7:$A$1203=$A359)*('DAILY ENTRY'!$B$7:$B$1203=$B359)*('DAILY ENTRY'!$I$7:$I$1203="Positive reply"),0),0)),"")))</f>
        <v/>
      </c>
      <c r="N359" s="108" t="str">
        <f aca="false">IF($A359="","",IFERROR(INDEX('DAILY ENTRY'!$J$7:$J$1203,MATCH(1,INDEX(('DAILY ENTRY'!$A$7:$A$1203=$A359)*('DAILY ENTRY'!$B$7:$B$1203=$B359)*('DAILY ENTRY'!$I$7:$I$1203="Blocked"),0),0)),""))</f>
        <v/>
      </c>
      <c r="O359" s="65" t="str">
        <f aca="false">IF($A359="","",(D359&gt;='START HERE'!$B$25)+(E359&gt;='START HERE'!$B$26)+(F359&gt;='START HERE'!$B$27)+(G359&gt;='START HERE'!$B$28)+(H359&gt;='START HERE'!$B$29)+(I359&gt;='START HERE'!$B$30)+(J359&gt;='START HERE'!$B$31)+(K359&gt;='START HERE'!$B$32))</f>
        <v/>
      </c>
      <c r="P359" s="46" t="str">
        <f aca="false">IF($A359="","",IF(O359&gt;=7,"Full day",IF(O359&gt;=5,"Most targets met",IF(O359&gt;=3,"Half day","Below plan - explain in the blocker column"))))</f>
        <v/>
      </c>
    </row>
    <row r="360" customFormat="false" ht="24" hidden="false" customHeight="true" outlineLevel="0" collapsed="false">
      <c r="A360" s="36"/>
      <c r="B360" s="37"/>
      <c r="C360" s="107" t="str">
        <f aca="false">IF($A360="","",ROUND(SUMIFS('DAILY ENTRY'!$G$7:$G$1203,'DAILY ENTRY'!$A$7:$A$1203,$A360,'DAILY ENTRY'!$B$7:$B$1203,$B360)/60,1))</f>
        <v/>
      </c>
      <c r="D360" s="107" t="str">
        <f aca="false">IF($A360="","",SUMIFS('DAILY ENTRY'!$F$7:$F$1203,'DAILY ENTRY'!$A$7:$A$1203,$A360,'DAILY ENTRY'!$B$7:$B$1203,$B360,'DAILY ENTRY'!$D$7:$D$1203,"Lead researched (Sales Navigator)"))</f>
        <v/>
      </c>
      <c r="E360" s="107" t="str">
        <f aca="false">IF($A360="","",SUMIFS('DAILY ENTRY'!$F$7:$F$1203,'DAILY ENTRY'!$A$7:$A$1203,$A360,'DAILY ENTRY'!$B$7:$B$1203,$B360,'DAILY ENTRY'!$D$7:$D$1203,"Connection request sent"))</f>
        <v/>
      </c>
      <c r="F360" s="107" t="str">
        <f aca="false">IF($A360="","",SUMIFS('DAILY ENTRY'!$F$7:$F$1203,'DAILY ENTRY'!$A$7:$A$1203,$A360,'DAILY ENTRY'!$B$7:$B$1203,$B360,'DAILY ENTRY'!$D$7:$D$1203,"First message sent"))</f>
        <v/>
      </c>
      <c r="G360" s="107" t="str">
        <f aca="false">IF($A360="","",SUMIFS('DAILY ENTRY'!$F$7:$F$1203,'DAILY ENTRY'!$A$7:$A$1203,$A360,'DAILY ENTRY'!$B$7:$B$1203,$B360,'DAILY ENTRY'!$D$7:$D$1203,"Follow-up message sent"))</f>
        <v/>
      </c>
      <c r="H360" s="107" t="str">
        <f aca="false">IF($A360="","",SUMIFS('DAILY ENTRY'!$F$7:$F$1203,'DAILY ENTRY'!$A$7:$A$1203,$A360,'DAILY ENTRY'!$B$7:$B$1203,$B360,'DAILY ENTRY'!$D$7:$D$1203,"Post / content published"))</f>
        <v/>
      </c>
      <c r="I360" s="107" t="str">
        <f aca="false">IF($A360="","",SUMIFS('DAILY ENTRY'!$F$7:$F$1203,'DAILY ENTRY'!$A$7:$A$1203,$A360,'DAILY ENTRY'!$B$7:$B$1203,$B360,'DAILY ENTRY'!$D$7:$D$1203,"Community answer or comment"))</f>
        <v/>
      </c>
      <c r="J360" s="107" t="str">
        <f aca="false">IF($A360="","",SUMIFS('DAILY ENTRY'!$F$7:$F$1203,'DAILY ENTRY'!$A$7:$A$1203,$A360,'DAILY ENTRY'!$B$7:$B$1203,$B360,'DAILY ENTRY'!$D$7:$D$1203,"Partnership / PR contact"))</f>
        <v/>
      </c>
      <c r="K360" s="107" t="str">
        <f aca="false">IF($A360="","",SUMIFS('DAILY ENTRY'!$F$7:$F$1203,'DAILY ENTRY'!$A$7:$A$1203,$A360,'DAILY ENTRY'!$B$7:$B$1203,$B360,'DAILY ENTRY'!$D$7:$D$1203,"Engagement (commented on someone else)"))</f>
        <v/>
      </c>
      <c r="L360" s="107" t="str">
        <f aca="false">IF($A360="","",SUMIFS('DAILY ENTRY'!$F$7:$F$1203,'DAILY ENTRY'!$A$7:$A$1203,$A360,'DAILY ENTRY'!$B$7:$B$1203,$B360,'DAILY ENTRY'!$D$7:$D$1203,"Account created / profile completed"))</f>
        <v/>
      </c>
      <c r="M360" s="108" t="str">
        <f aca="false">IF($A360="","",IFERROR(INDEX('DAILY ENTRY'!$E$7:$E$1203,MATCH(1,INDEX(('DAILY ENTRY'!$A$7:$A$1203=$A360)*('DAILY ENTRY'!$B$7:$B$1203=$B360)*('DAILY ENTRY'!$I$7:$I$1203="Meeting booked"),0),0)),IFERROR(INDEX('DAILY ENTRY'!$E$7:$E$1203,MATCH(1,INDEX(('DAILY ENTRY'!$A$7:$A$1203=$A360)*('DAILY ENTRY'!$B$7:$B$1203=$B360)*('DAILY ENTRY'!$I$7:$I$1203="Positive reply"),0),0)),"")))</f>
        <v/>
      </c>
      <c r="N360" s="108" t="str">
        <f aca="false">IF($A360="","",IFERROR(INDEX('DAILY ENTRY'!$J$7:$J$1203,MATCH(1,INDEX(('DAILY ENTRY'!$A$7:$A$1203=$A360)*('DAILY ENTRY'!$B$7:$B$1203=$B360)*('DAILY ENTRY'!$I$7:$I$1203="Blocked"),0),0)),""))</f>
        <v/>
      </c>
      <c r="O360" s="65" t="str">
        <f aca="false">IF($A360="","",(D360&gt;='START HERE'!$B$25)+(E360&gt;='START HERE'!$B$26)+(F360&gt;='START HERE'!$B$27)+(G360&gt;='START HERE'!$B$28)+(H360&gt;='START HERE'!$B$29)+(I360&gt;='START HERE'!$B$30)+(J360&gt;='START HERE'!$B$31)+(K360&gt;='START HERE'!$B$32))</f>
        <v/>
      </c>
      <c r="P360" s="46" t="str">
        <f aca="false">IF($A360="","",IF(O360&gt;=7,"Full day",IF(O360&gt;=5,"Most targets met",IF(O360&gt;=3,"Half day","Below plan - explain in the blocker column"))))</f>
        <v/>
      </c>
    </row>
    <row r="361" customFormat="false" ht="24" hidden="false" customHeight="true" outlineLevel="0" collapsed="false">
      <c r="A361" s="36"/>
      <c r="B361" s="37"/>
      <c r="C361" s="107" t="str">
        <f aca="false">IF($A361="","",ROUND(SUMIFS('DAILY ENTRY'!$G$7:$G$1203,'DAILY ENTRY'!$A$7:$A$1203,$A361,'DAILY ENTRY'!$B$7:$B$1203,$B361)/60,1))</f>
        <v/>
      </c>
      <c r="D361" s="107" t="str">
        <f aca="false">IF($A361="","",SUMIFS('DAILY ENTRY'!$F$7:$F$1203,'DAILY ENTRY'!$A$7:$A$1203,$A361,'DAILY ENTRY'!$B$7:$B$1203,$B361,'DAILY ENTRY'!$D$7:$D$1203,"Lead researched (Sales Navigator)"))</f>
        <v/>
      </c>
      <c r="E361" s="107" t="str">
        <f aca="false">IF($A361="","",SUMIFS('DAILY ENTRY'!$F$7:$F$1203,'DAILY ENTRY'!$A$7:$A$1203,$A361,'DAILY ENTRY'!$B$7:$B$1203,$B361,'DAILY ENTRY'!$D$7:$D$1203,"Connection request sent"))</f>
        <v/>
      </c>
      <c r="F361" s="107" t="str">
        <f aca="false">IF($A361="","",SUMIFS('DAILY ENTRY'!$F$7:$F$1203,'DAILY ENTRY'!$A$7:$A$1203,$A361,'DAILY ENTRY'!$B$7:$B$1203,$B361,'DAILY ENTRY'!$D$7:$D$1203,"First message sent"))</f>
        <v/>
      </c>
      <c r="G361" s="107" t="str">
        <f aca="false">IF($A361="","",SUMIFS('DAILY ENTRY'!$F$7:$F$1203,'DAILY ENTRY'!$A$7:$A$1203,$A361,'DAILY ENTRY'!$B$7:$B$1203,$B361,'DAILY ENTRY'!$D$7:$D$1203,"Follow-up message sent"))</f>
        <v/>
      </c>
      <c r="H361" s="107" t="str">
        <f aca="false">IF($A361="","",SUMIFS('DAILY ENTRY'!$F$7:$F$1203,'DAILY ENTRY'!$A$7:$A$1203,$A361,'DAILY ENTRY'!$B$7:$B$1203,$B361,'DAILY ENTRY'!$D$7:$D$1203,"Post / content published"))</f>
        <v/>
      </c>
      <c r="I361" s="107" t="str">
        <f aca="false">IF($A361="","",SUMIFS('DAILY ENTRY'!$F$7:$F$1203,'DAILY ENTRY'!$A$7:$A$1203,$A361,'DAILY ENTRY'!$B$7:$B$1203,$B361,'DAILY ENTRY'!$D$7:$D$1203,"Community answer or comment"))</f>
        <v/>
      </c>
      <c r="J361" s="107" t="str">
        <f aca="false">IF($A361="","",SUMIFS('DAILY ENTRY'!$F$7:$F$1203,'DAILY ENTRY'!$A$7:$A$1203,$A361,'DAILY ENTRY'!$B$7:$B$1203,$B361,'DAILY ENTRY'!$D$7:$D$1203,"Partnership / PR contact"))</f>
        <v/>
      </c>
      <c r="K361" s="107" t="str">
        <f aca="false">IF($A361="","",SUMIFS('DAILY ENTRY'!$F$7:$F$1203,'DAILY ENTRY'!$A$7:$A$1203,$A361,'DAILY ENTRY'!$B$7:$B$1203,$B361,'DAILY ENTRY'!$D$7:$D$1203,"Engagement (commented on someone else)"))</f>
        <v/>
      </c>
      <c r="L361" s="107" t="str">
        <f aca="false">IF($A361="","",SUMIFS('DAILY ENTRY'!$F$7:$F$1203,'DAILY ENTRY'!$A$7:$A$1203,$A361,'DAILY ENTRY'!$B$7:$B$1203,$B361,'DAILY ENTRY'!$D$7:$D$1203,"Account created / profile completed"))</f>
        <v/>
      </c>
      <c r="M361" s="108" t="str">
        <f aca="false">IF($A361="","",IFERROR(INDEX('DAILY ENTRY'!$E$7:$E$1203,MATCH(1,INDEX(('DAILY ENTRY'!$A$7:$A$1203=$A361)*('DAILY ENTRY'!$B$7:$B$1203=$B361)*('DAILY ENTRY'!$I$7:$I$1203="Meeting booked"),0),0)),IFERROR(INDEX('DAILY ENTRY'!$E$7:$E$1203,MATCH(1,INDEX(('DAILY ENTRY'!$A$7:$A$1203=$A361)*('DAILY ENTRY'!$B$7:$B$1203=$B361)*('DAILY ENTRY'!$I$7:$I$1203="Positive reply"),0),0)),"")))</f>
        <v/>
      </c>
      <c r="N361" s="108" t="str">
        <f aca="false">IF($A361="","",IFERROR(INDEX('DAILY ENTRY'!$J$7:$J$1203,MATCH(1,INDEX(('DAILY ENTRY'!$A$7:$A$1203=$A361)*('DAILY ENTRY'!$B$7:$B$1203=$B361)*('DAILY ENTRY'!$I$7:$I$1203="Blocked"),0),0)),""))</f>
        <v/>
      </c>
      <c r="O361" s="65" t="str">
        <f aca="false">IF($A361="","",(D361&gt;='START HERE'!$B$25)+(E361&gt;='START HERE'!$B$26)+(F361&gt;='START HERE'!$B$27)+(G361&gt;='START HERE'!$B$28)+(H361&gt;='START HERE'!$B$29)+(I361&gt;='START HERE'!$B$30)+(J361&gt;='START HERE'!$B$31)+(K361&gt;='START HERE'!$B$32))</f>
        <v/>
      </c>
      <c r="P361" s="46" t="str">
        <f aca="false">IF($A361="","",IF(O361&gt;=7,"Full day",IF(O361&gt;=5,"Most targets met",IF(O361&gt;=3,"Half day","Below plan - explain in the blocker column"))))</f>
        <v/>
      </c>
    </row>
    <row r="362" customFormat="false" ht="24" hidden="false" customHeight="true" outlineLevel="0" collapsed="false">
      <c r="A362" s="36"/>
      <c r="B362" s="37"/>
      <c r="C362" s="107" t="str">
        <f aca="false">IF($A362="","",ROUND(SUMIFS('DAILY ENTRY'!$G$7:$G$1203,'DAILY ENTRY'!$A$7:$A$1203,$A362,'DAILY ENTRY'!$B$7:$B$1203,$B362)/60,1))</f>
        <v/>
      </c>
      <c r="D362" s="107" t="str">
        <f aca="false">IF($A362="","",SUMIFS('DAILY ENTRY'!$F$7:$F$1203,'DAILY ENTRY'!$A$7:$A$1203,$A362,'DAILY ENTRY'!$B$7:$B$1203,$B362,'DAILY ENTRY'!$D$7:$D$1203,"Lead researched (Sales Navigator)"))</f>
        <v/>
      </c>
      <c r="E362" s="107" t="str">
        <f aca="false">IF($A362="","",SUMIFS('DAILY ENTRY'!$F$7:$F$1203,'DAILY ENTRY'!$A$7:$A$1203,$A362,'DAILY ENTRY'!$B$7:$B$1203,$B362,'DAILY ENTRY'!$D$7:$D$1203,"Connection request sent"))</f>
        <v/>
      </c>
      <c r="F362" s="107" t="str">
        <f aca="false">IF($A362="","",SUMIFS('DAILY ENTRY'!$F$7:$F$1203,'DAILY ENTRY'!$A$7:$A$1203,$A362,'DAILY ENTRY'!$B$7:$B$1203,$B362,'DAILY ENTRY'!$D$7:$D$1203,"First message sent"))</f>
        <v/>
      </c>
      <c r="G362" s="107" t="str">
        <f aca="false">IF($A362="","",SUMIFS('DAILY ENTRY'!$F$7:$F$1203,'DAILY ENTRY'!$A$7:$A$1203,$A362,'DAILY ENTRY'!$B$7:$B$1203,$B362,'DAILY ENTRY'!$D$7:$D$1203,"Follow-up message sent"))</f>
        <v/>
      </c>
      <c r="H362" s="107" t="str">
        <f aca="false">IF($A362="","",SUMIFS('DAILY ENTRY'!$F$7:$F$1203,'DAILY ENTRY'!$A$7:$A$1203,$A362,'DAILY ENTRY'!$B$7:$B$1203,$B362,'DAILY ENTRY'!$D$7:$D$1203,"Post / content published"))</f>
        <v/>
      </c>
      <c r="I362" s="107" t="str">
        <f aca="false">IF($A362="","",SUMIFS('DAILY ENTRY'!$F$7:$F$1203,'DAILY ENTRY'!$A$7:$A$1203,$A362,'DAILY ENTRY'!$B$7:$B$1203,$B362,'DAILY ENTRY'!$D$7:$D$1203,"Community answer or comment"))</f>
        <v/>
      </c>
      <c r="J362" s="107" t="str">
        <f aca="false">IF($A362="","",SUMIFS('DAILY ENTRY'!$F$7:$F$1203,'DAILY ENTRY'!$A$7:$A$1203,$A362,'DAILY ENTRY'!$B$7:$B$1203,$B362,'DAILY ENTRY'!$D$7:$D$1203,"Partnership / PR contact"))</f>
        <v/>
      </c>
      <c r="K362" s="107" t="str">
        <f aca="false">IF($A362="","",SUMIFS('DAILY ENTRY'!$F$7:$F$1203,'DAILY ENTRY'!$A$7:$A$1203,$A362,'DAILY ENTRY'!$B$7:$B$1203,$B362,'DAILY ENTRY'!$D$7:$D$1203,"Engagement (commented on someone else)"))</f>
        <v/>
      </c>
      <c r="L362" s="107" t="str">
        <f aca="false">IF($A362="","",SUMIFS('DAILY ENTRY'!$F$7:$F$1203,'DAILY ENTRY'!$A$7:$A$1203,$A362,'DAILY ENTRY'!$B$7:$B$1203,$B362,'DAILY ENTRY'!$D$7:$D$1203,"Account created / profile completed"))</f>
        <v/>
      </c>
      <c r="M362" s="108" t="str">
        <f aca="false">IF($A362="","",IFERROR(INDEX('DAILY ENTRY'!$E$7:$E$1203,MATCH(1,INDEX(('DAILY ENTRY'!$A$7:$A$1203=$A362)*('DAILY ENTRY'!$B$7:$B$1203=$B362)*('DAILY ENTRY'!$I$7:$I$1203="Meeting booked"),0),0)),IFERROR(INDEX('DAILY ENTRY'!$E$7:$E$1203,MATCH(1,INDEX(('DAILY ENTRY'!$A$7:$A$1203=$A362)*('DAILY ENTRY'!$B$7:$B$1203=$B362)*('DAILY ENTRY'!$I$7:$I$1203="Positive reply"),0),0)),"")))</f>
        <v/>
      </c>
      <c r="N362" s="108" t="str">
        <f aca="false">IF($A362="","",IFERROR(INDEX('DAILY ENTRY'!$J$7:$J$1203,MATCH(1,INDEX(('DAILY ENTRY'!$A$7:$A$1203=$A362)*('DAILY ENTRY'!$B$7:$B$1203=$B362)*('DAILY ENTRY'!$I$7:$I$1203="Blocked"),0),0)),""))</f>
        <v/>
      </c>
      <c r="O362" s="65" t="str">
        <f aca="false">IF($A362="","",(D362&gt;='START HERE'!$B$25)+(E362&gt;='START HERE'!$B$26)+(F362&gt;='START HERE'!$B$27)+(G362&gt;='START HERE'!$B$28)+(H362&gt;='START HERE'!$B$29)+(I362&gt;='START HERE'!$B$30)+(J362&gt;='START HERE'!$B$31)+(K362&gt;='START HERE'!$B$32))</f>
        <v/>
      </c>
      <c r="P362" s="46" t="str">
        <f aca="false">IF($A362="","",IF(O362&gt;=7,"Full day",IF(O362&gt;=5,"Most targets met",IF(O362&gt;=3,"Half day","Below plan - explain in the blocker column"))))</f>
        <v/>
      </c>
    </row>
    <row r="363" customFormat="false" ht="24" hidden="false" customHeight="true" outlineLevel="0" collapsed="false">
      <c r="A363" s="36"/>
      <c r="B363" s="37"/>
      <c r="C363" s="107" t="str">
        <f aca="false">IF($A363="","",ROUND(SUMIFS('DAILY ENTRY'!$G$7:$G$1203,'DAILY ENTRY'!$A$7:$A$1203,$A363,'DAILY ENTRY'!$B$7:$B$1203,$B363)/60,1))</f>
        <v/>
      </c>
      <c r="D363" s="107" t="str">
        <f aca="false">IF($A363="","",SUMIFS('DAILY ENTRY'!$F$7:$F$1203,'DAILY ENTRY'!$A$7:$A$1203,$A363,'DAILY ENTRY'!$B$7:$B$1203,$B363,'DAILY ENTRY'!$D$7:$D$1203,"Lead researched (Sales Navigator)"))</f>
        <v/>
      </c>
      <c r="E363" s="107" t="str">
        <f aca="false">IF($A363="","",SUMIFS('DAILY ENTRY'!$F$7:$F$1203,'DAILY ENTRY'!$A$7:$A$1203,$A363,'DAILY ENTRY'!$B$7:$B$1203,$B363,'DAILY ENTRY'!$D$7:$D$1203,"Connection request sent"))</f>
        <v/>
      </c>
      <c r="F363" s="107" t="str">
        <f aca="false">IF($A363="","",SUMIFS('DAILY ENTRY'!$F$7:$F$1203,'DAILY ENTRY'!$A$7:$A$1203,$A363,'DAILY ENTRY'!$B$7:$B$1203,$B363,'DAILY ENTRY'!$D$7:$D$1203,"First message sent"))</f>
        <v/>
      </c>
      <c r="G363" s="107" t="str">
        <f aca="false">IF($A363="","",SUMIFS('DAILY ENTRY'!$F$7:$F$1203,'DAILY ENTRY'!$A$7:$A$1203,$A363,'DAILY ENTRY'!$B$7:$B$1203,$B363,'DAILY ENTRY'!$D$7:$D$1203,"Follow-up message sent"))</f>
        <v/>
      </c>
      <c r="H363" s="107" t="str">
        <f aca="false">IF($A363="","",SUMIFS('DAILY ENTRY'!$F$7:$F$1203,'DAILY ENTRY'!$A$7:$A$1203,$A363,'DAILY ENTRY'!$B$7:$B$1203,$B363,'DAILY ENTRY'!$D$7:$D$1203,"Post / content published"))</f>
        <v/>
      </c>
      <c r="I363" s="107" t="str">
        <f aca="false">IF($A363="","",SUMIFS('DAILY ENTRY'!$F$7:$F$1203,'DAILY ENTRY'!$A$7:$A$1203,$A363,'DAILY ENTRY'!$B$7:$B$1203,$B363,'DAILY ENTRY'!$D$7:$D$1203,"Community answer or comment"))</f>
        <v/>
      </c>
      <c r="J363" s="107" t="str">
        <f aca="false">IF($A363="","",SUMIFS('DAILY ENTRY'!$F$7:$F$1203,'DAILY ENTRY'!$A$7:$A$1203,$A363,'DAILY ENTRY'!$B$7:$B$1203,$B363,'DAILY ENTRY'!$D$7:$D$1203,"Partnership / PR contact"))</f>
        <v/>
      </c>
      <c r="K363" s="107" t="str">
        <f aca="false">IF($A363="","",SUMIFS('DAILY ENTRY'!$F$7:$F$1203,'DAILY ENTRY'!$A$7:$A$1203,$A363,'DAILY ENTRY'!$B$7:$B$1203,$B363,'DAILY ENTRY'!$D$7:$D$1203,"Engagement (commented on someone else)"))</f>
        <v/>
      </c>
      <c r="L363" s="107" t="str">
        <f aca="false">IF($A363="","",SUMIFS('DAILY ENTRY'!$F$7:$F$1203,'DAILY ENTRY'!$A$7:$A$1203,$A363,'DAILY ENTRY'!$B$7:$B$1203,$B363,'DAILY ENTRY'!$D$7:$D$1203,"Account created / profile completed"))</f>
        <v/>
      </c>
      <c r="M363" s="108" t="str">
        <f aca="false">IF($A363="","",IFERROR(INDEX('DAILY ENTRY'!$E$7:$E$1203,MATCH(1,INDEX(('DAILY ENTRY'!$A$7:$A$1203=$A363)*('DAILY ENTRY'!$B$7:$B$1203=$B363)*('DAILY ENTRY'!$I$7:$I$1203="Meeting booked"),0),0)),IFERROR(INDEX('DAILY ENTRY'!$E$7:$E$1203,MATCH(1,INDEX(('DAILY ENTRY'!$A$7:$A$1203=$A363)*('DAILY ENTRY'!$B$7:$B$1203=$B363)*('DAILY ENTRY'!$I$7:$I$1203="Positive reply"),0),0)),"")))</f>
        <v/>
      </c>
      <c r="N363" s="108" t="str">
        <f aca="false">IF($A363="","",IFERROR(INDEX('DAILY ENTRY'!$J$7:$J$1203,MATCH(1,INDEX(('DAILY ENTRY'!$A$7:$A$1203=$A363)*('DAILY ENTRY'!$B$7:$B$1203=$B363)*('DAILY ENTRY'!$I$7:$I$1203="Blocked"),0),0)),""))</f>
        <v/>
      </c>
      <c r="O363" s="65" t="str">
        <f aca="false">IF($A363="","",(D363&gt;='START HERE'!$B$25)+(E363&gt;='START HERE'!$B$26)+(F363&gt;='START HERE'!$B$27)+(G363&gt;='START HERE'!$B$28)+(H363&gt;='START HERE'!$B$29)+(I363&gt;='START HERE'!$B$30)+(J363&gt;='START HERE'!$B$31)+(K363&gt;='START HERE'!$B$32))</f>
        <v/>
      </c>
      <c r="P363" s="46" t="str">
        <f aca="false">IF($A363="","",IF(O363&gt;=7,"Full day",IF(O363&gt;=5,"Most targets met",IF(O363&gt;=3,"Half day","Below plan - explain in the blocker column"))))</f>
        <v/>
      </c>
    </row>
    <row r="364" customFormat="false" ht="24" hidden="false" customHeight="true" outlineLevel="0" collapsed="false">
      <c r="A364" s="36"/>
      <c r="B364" s="37"/>
      <c r="C364" s="107" t="str">
        <f aca="false">IF($A364="","",ROUND(SUMIFS('DAILY ENTRY'!$G$7:$G$1203,'DAILY ENTRY'!$A$7:$A$1203,$A364,'DAILY ENTRY'!$B$7:$B$1203,$B364)/60,1))</f>
        <v/>
      </c>
      <c r="D364" s="107" t="str">
        <f aca="false">IF($A364="","",SUMIFS('DAILY ENTRY'!$F$7:$F$1203,'DAILY ENTRY'!$A$7:$A$1203,$A364,'DAILY ENTRY'!$B$7:$B$1203,$B364,'DAILY ENTRY'!$D$7:$D$1203,"Lead researched (Sales Navigator)"))</f>
        <v/>
      </c>
      <c r="E364" s="107" t="str">
        <f aca="false">IF($A364="","",SUMIFS('DAILY ENTRY'!$F$7:$F$1203,'DAILY ENTRY'!$A$7:$A$1203,$A364,'DAILY ENTRY'!$B$7:$B$1203,$B364,'DAILY ENTRY'!$D$7:$D$1203,"Connection request sent"))</f>
        <v/>
      </c>
      <c r="F364" s="107" t="str">
        <f aca="false">IF($A364="","",SUMIFS('DAILY ENTRY'!$F$7:$F$1203,'DAILY ENTRY'!$A$7:$A$1203,$A364,'DAILY ENTRY'!$B$7:$B$1203,$B364,'DAILY ENTRY'!$D$7:$D$1203,"First message sent"))</f>
        <v/>
      </c>
      <c r="G364" s="107" t="str">
        <f aca="false">IF($A364="","",SUMIFS('DAILY ENTRY'!$F$7:$F$1203,'DAILY ENTRY'!$A$7:$A$1203,$A364,'DAILY ENTRY'!$B$7:$B$1203,$B364,'DAILY ENTRY'!$D$7:$D$1203,"Follow-up message sent"))</f>
        <v/>
      </c>
      <c r="H364" s="107" t="str">
        <f aca="false">IF($A364="","",SUMIFS('DAILY ENTRY'!$F$7:$F$1203,'DAILY ENTRY'!$A$7:$A$1203,$A364,'DAILY ENTRY'!$B$7:$B$1203,$B364,'DAILY ENTRY'!$D$7:$D$1203,"Post / content published"))</f>
        <v/>
      </c>
      <c r="I364" s="107" t="str">
        <f aca="false">IF($A364="","",SUMIFS('DAILY ENTRY'!$F$7:$F$1203,'DAILY ENTRY'!$A$7:$A$1203,$A364,'DAILY ENTRY'!$B$7:$B$1203,$B364,'DAILY ENTRY'!$D$7:$D$1203,"Community answer or comment"))</f>
        <v/>
      </c>
      <c r="J364" s="107" t="str">
        <f aca="false">IF($A364="","",SUMIFS('DAILY ENTRY'!$F$7:$F$1203,'DAILY ENTRY'!$A$7:$A$1203,$A364,'DAILY ENTRY'!$B$7:$B$1203,$B364,'DAILY ENTRY'!$D$7:$D$1203,"Partnership / PR contact"))</f>
        <v/>
      </c>
      <c r="K364" s="107" t="str">
        <f aca="false">IF($A364="","",SUMIFS('DAILY ENTRY'!$F$7:$F$1203,'DAILY ENTRY'!$A$7:$A$1203,$A364,'DAILY ENTRY'!$B$7:$B$1203,$B364,'DAILY ENTRY'!$D$7:$D$1203,"Engagement (commented on someone else)"))</f>
        <v/>
      </c>
      <c r="L364" s="107" t="str">
        <f aca="false">IF($A364="","",SUMIFS('DAILY ENTRY'!$F$7:$F$1203,'DAILY ENTRY'!$A$7:$A$1203,$A364,'DAILY ENTRY'!$B$7:$B$1203,$B364,'DAILY ENTRY'!$D$7:$D$1203,"Account created / profile completed"))</f>
        <v/>
      </c>
      <c r="M364" s="108" t="str">
        <f aca="false">IF($A364="","",IFERROR(INDEX('DAILY ENTRY'!$E$7:$E$1203,MATCH(1,INDEX(('DAILY ENTRY'!$A$7:$A$1203=$A364)*('DAILY ENTRY'!$B$7:$B$1203=$B364)*('DAILY ENTRY'!$I$7:$I$1203="Meeting booked"),0),0)),IFERROR(INDEX('DAILY ENTRY'!$E$7:$E$1203,MATCH(1,INDEX(('DAILY ENTRY'!$A$7:$A$1203=$A364)*('DAILY ENTRY'!$B$7:$B$1203=$B364)*('DAILY ENTRY'!$I$7:$I$1203="Positive reply"),0),0)),"")))</f>
        <v/>
      </c>
      <c r="N364" s="108" t="str">
        <f aca="false">IF($A364="","",IFERROR(INDEX('DAILY ENTRY'!$J$7:$J$1203,MATCH(1,INDEX(('DAILY ENTRY'!$A$7:$A$1203=$A364)*('DAILY ENTRY'!$B$7:$B$1203=$B364)*('DAILY ENTRY'!$I$7:$I$1203="Blocked"),0),0)),""))</f>
        <v/>
      </c>
      <c r="O364" s="65" t="str">
        <f aca="false">IF($A364="","",(D364&gt;='START HERE'!$B$25)+(E364&gt;='START HERE'!$B$26)+(F364&gt;='START HERE'!$B$27)+(G364&gt;='START HERE'!$B$28)+(H364&gt;='START HERE'!$B$29)+(I364&gt;='START HERE'!$B$30)+(J364&gt;='START HERE'!$B$31)+(K364&gt;='START HERE'!$B$32))</f>
        <v/>
      </c>
      <c r="P364" s="46" t="str">
        <f aca="false">IF($A364="","",IF(O364&gt;=7,"Full day",IF(O364&gt;=5,"Most targets met",IF(O364&gt;=3,"Half day","Below plan - explain in the blocker column"))))</f>
        <v/>
      </c>
    </row>
    <row r="365" customFormat="false" ht="24" hidden="false" customHeight="true" outlineLevel="0" collapsed="false">
      <c r="A365" s="36"/>
      <c r="B365" s="37"/>
      <c r="C365" s="107" t="str">
        <f aca="false">IF($A365="","",ROUND(SUMIFS('DAILY ENTRY'!$G$7:$G$1203,'DAILY ENTRY'!$A$7:$A$1203,$A365,'DAILY ENTRY'!$B$7:$B$1203,$B365)/60,1))</f>
        <v/>
      </c>
      <c r="D365" s="107" t="str">
        <f aca="false">IF($A365="","",SUMIFS('DAILY ENTRY'!$F$7:$F$1203,'DAILY ENTRY'!$A$7:$A$1203,$A365,'DAILY ENTRY'!$B$7:$B$1203,$B365,'DAILY ENTRY'!$D$7:$D$1203,"Lead researched (Sales Navigator)"))</f>
        <v/>
      </c>
      <c r="E365" s="107" t="str">
        <f aca="false">IF($A365="","",SUMIFS('DAILY ENTRY'!$F$7:$F$1203,'DAILY ENTRY'!$A$7:$A$1203,$A365,'DAILY ENTRY'!$B$7:$B$1203,$B365,'DAILY ENTRY'!$D$7:$D$1203,"Connection request sent"))</f>
        <v/>
      </c>
      <c r="F365" s="107" t="str">
        <f aca="false">IF($A365="","",SUMIFS('DAILY ENTRY'!$F$7:$F$1203,'DAILY ENTRY'!$A$7:$A$1203,$A365,'DAILY ENTRY'!$B$7:$B$1203,$B365,'DAILY ENTRY'!$D$7:$D$1203,"First message sent"))</f>
        <v/>
      </c>
      <c r="G365" s="107" t="str">
        <f aca="false">IF($A365="","",SUMIFS('DAILY ENTRY'!$F$7:$F$1203,'DAILY ENTRY'!$A$7:$A$1203,$A365,'DAILY ENTRY'!$B$7:$B$1203,$B365,'DAILY ENTRY'!$D$7:$D$1203,"Follow-up message sent"))</f>
        <v/>
      </c>
      <c r="H365" s="107" t="str">
        <f aca="false">IF($A365="","",SUMIFS('DAILY ENTRY'!$F$7:$F$1203,'DAILY ENTRY'!$A$7:$A$1203,$A365,'DAILY ENTRY'!$B$7:$B$1203,$B365,'DAILY ENTRY'!$D$7:$D$1203,"Post / content published"))</f>
        <v/>
      </c>
      <c r="I365" s="107" t="str">
        <f aca="false">IF($A365="","",SUMIFS('DAILY ENTRY'!$F$7:$F$1203,'DAILY ENTRY'!$A$7:$A$1203,$A365,'DAILY ENTRY'!$B$7:$B$1203,$B365,'DAILY ENTRY'!$D$7:$D$1203,"Community answer or comment"))</f>
        <v/>
      </c>
      <c r="J365" s="107" t="str">
        <f aca="false">IF($A365="","",SUMIFS('DAILY ENTRY'!$F$7:$F$1203,'DAILY ENTRY'!$A$7:$A$1203,$A365,'DAILY ENTRY'!$B$7:$B$1203,$B365,'DAILY ENTRY'!$D$7:$D$1203,"Partnership / PR contact"))</f>
        <v/>
      </c>
      <c r="K365" s="107" t="str">
        <f aca="false">IF($A365="","",SUMIFS('DAILY ENTRY'!$F$7:$F$1203,'DAILY ENTRY'!$A$7:$A$1203,$A365,'DAILY ENTRY'!$B$7:$B$1203,$B365,'DAILY ENTRY'!$D$7:$D$1203,"Engagement (commented on someone else)"))</f>
        <v/>
      </c>
      <c r="L365" s="107" t="str">
        <f aca="false">IF($A365="","",SUMIFS('DAILY ENTRY'!$F$7:$F$1203,'DAILY ENTRY'!$A$7:$A$1203,$A365,'DAILY ENTRY'!$B$7:$B$1203,$B365,'DAILY ENTRY'!$D$7:$D$1203,"Account created / profile completed"))</f>
        <v/>
      </c>
      <c r="M365" s="108" t="str">
        <f aca="false">IF($A365="","",IFERROR(INDEX('DAILY ENTRY'!$E$7:$E$1203,MATCH(1,INDEX(('DAILY ENTRY'!$A$7:$A$1203=$A365)*('DAILY ENTRY'!$B$7:$B$1203=$B365)*('DAILY ENTRY'!$I$7:$I$1203="Meeting booked"),0),0)),IFERROR(INDEX('DAILY ENTRY'!$E$7:$E$1203,MATCH(1,INDEX(('DAILY ENTRY'!$A$7:$A$1203=$A365)*('DAILY ENTRY'!$B$7:$B$1203=$B365)*('DAILY ENTRY'!$I$7:$I$1203="Positive reply"),0),0)),"")))</f>
        <v/>
      </c>
      <c r="N365" s="108" t="str">
        <f aca="false">IF($A365="","",IFERROR(INDEX('DAILY ENTRY'!$J$7:$J$1203,MATCH(1,INDEX(('DAILY ENTRY'!$A$7:$A$1203=$A365)*('DAILY ENTRY'!$B$7:$B$1203=$B365)*('DAILY ENTRY'!$I$7:$I$1203="Blocked"),0),0)),""))</f>
        <v/>
      </c>
      <c r="O365" s="65" t="str">
        <f aca="false">IF($A365="","",(D365&gt;='START HERE'!$B$25)+(E365&gt;='START HERE'!$B$26)+(F365&gt;='START HERE'!$B$27)+(G365&gt;='START HERE'!$B$28)+(H365&gt;='START HERE'!$B$29)+(I365&gt;='START HERE'!$B$30)+(J365&gt;='START HERE'!$B$31)+(K365&gt;='START HERE'!$B$32))</f>
        <v/>
      </c>
      <c r="P365" s="46" t="str">
        <f aca="false">IF($A365="","",IF(O365&gt;=7,"Full day",IF(O365&gt;=5,"Most targets met",IF(O365&gt;=3,"Half day","Below plan - explain in the blocker column"))))</f>
        <v/>
      </c>
    </row>
    <row r="366" customFormat="false" ht="24" hidden="false" customHeight="true" outlineLevel="0" collapsed="false">
      <c r="A366" s="36"/>
      <c r="B366" s="37"/>
      <c r="C366" s="107" t="str">
        <f aca="false">IF($A366="","",ROUND(SUMIFS('DAILY ENTRY'!$G$7:$G$1203,'DAILY ENTRY'!$A$7:$A$1203,$A366,'DAILY ENTRY'!$B$7:$B$1203,$B366)/60,1))</f>
        <v/>
      </c>
      <c r="D366" s="107" t="str">
        <f aca="false">IF($A366="","",SUMIFS('DAILY ENTRY'!$F$7:$F$1203,'DAILY ENTRY'!$A$7:$A$1203,$A366,'DAILY ENTRY'!$B$7:$B$1203,$B366,'DAILY ENTRY'!$D$7:$D$1203,"Lead researched (Sales Navigator)"))</f>
        <v/>
      </c>
      <c r="E366" s="107" t="str">
        <f aca="false">IF($A366="","",SUMIFS('DAILY ENTRY'!$F$7:$F$1203,'DAILY ENTRY'!$A$7:$A$1203,$A366,'DAILY ENTRY'!$B$7:$B$1203,$B366,'DAILY ENTRY'!$D$7:$D$1203,"Connection request sent"))</f>
        <v/>
      </c>
      <c r="F366" s="107" t="str">
        <f aca="false">IF($A366="","",SUMIFS('DAILY ENTRY'!$F$7:$F$1203,'DAILY ENTRY'!$A$7:$A$1203,$A366,'DAILY ENTRY'!$B$7:$B$1203,$B366,'DAILY ENTRY'!$D$7:$D$1203,"First message sent"))</f>
        <v/>
      </c>
      <c r="G366" s="107" t="str">
        <f aca="false">IF($A366="","",SUMIFS('DAILY ENTRY'!$F$7:$F$1203,'DAILY ENTRY'!$A$7:$A$1203,$A366,'DAILY ENTRY'!$B$7:$B$1203,$B366,'DAILY ENTRY'!$D$7:$D$1203,"Follow-up message sent"))</f>
        <v/>
      </c>
      <c r="H366" s="107" t="str">
        <f aca="false">IF($A366="","",SUMIFS('DAILY ENTRY'!$F$7:$F$1203,'DAILY ENTRY'!$A$7:$A$1203,$A366,'DAILY ENTRY'!$B$7:$B$1203,$B366,'DAILY ENTRY'!$D$7:$D$1203,"Post / content published"))</f>
        <v/>
      </c>
      <c r="I366" s="107" t="str">
        <f aca="false">IF($A366="","",SUMIFS('DAILY ENTRY'!$F$7:$F$1203,'DAILY ENTRY'!$A$7:$A$1203,$A366,'DAILY ENTRY'!$B$7:$B$1203,$B366,'DAILY ENTRY'!$D$7:$D$1203,"Community answer or comment"))</f>
        <v/>
      </c>
      <c r="J366" s="107" t="str">
        <f aca="false">IF($A366="","",SUMIFS('DAILY ENTRY'!$F$7:$F$1203,'DAILY ENTRY'!$A$7:$A$1203,$A366,'DAILY ENTRY'!$B$7:$B$1203,$B366,'DAILY ENTRY'!$D$7:$D$1203,"Partnership / PR contact"))</f>
        <v/>
      </c>
      <c r="K366" s="107" t="str">
        <f aca="false">IF($A366="","",SUMIFS('DAILY ENTRY'!$F$7:$F$1203,'DAILY ENTRY'!$A$7:$A$1203,$A366,'DAILY ENTRY'!$B$7:$B$1203,$B366,'DAILY ENTRY'!$D$7:$D$1203,"Engagement (commented on someone else)"))</f>
        <v/>
      </c>
      <c r="L366" s="107" t="str">
        <f aca="false">IF($A366="","",SUMIFS('DAILY ENTRY'!$F$7:$F$1203,'DAILY ENTRY'!$A$7:$A$1203,$A366,'DAILY ENTRY'!$B$7:$B$1203,$B366,'DAILY ENTRY'!$D$7:$D$1203,"Account created / profile completed"))</f>
        <v/>
      </c>
      <c r="M366" s="108" t="str">
        <f aca="false">IF($A366="","",IFERROR(INDEX('DAILY ENTRY'!$E$7:$E$1203,MATCH(1,INDEX(('DAILY ENTRY'!$A$7:$A$1203=$A366)*('DAILY ENTRY'!$B$7:$B$1203=$B366)*('DAILY ENTRY'!$I$7:$I$1203="Meeting booked"),0),0)),IFERROR(INDEX('DAILY ENTRY'!$E$7:$E$1203,MATCH(1,INDEX(('DAILY ENTRY'!$A$7:$A$1203=$A366)*('DAILY ENTRY'!$B$7:$B$1203=$B366)*('DAILY ENTRY'!$I$7:$I$1203="Positive reply"),0),0)),"")))</f>
        <v/>
      </c>
      <c r="N366" s="108" t="str">
        <f aca="false">IF($A366="","",IFERROR(INDEX('DAILY ENTRY'!$J$7:$J$1203,MATCH(1,INDEX(('DAILY ENTRY'!$A$7:$A$1203=$A366)*('DAILY ENTRY'!$B$7:$B$1203=$B366)*('DAILY ENTRY'!$I$7:$I$1203="Blocked"),0),0)),""))</f>
        <v/>
      </c>
      <c r="O366" s="65" t="str">
        <f aca="false">IF($A366="","",(D366&gt;='START HERE'!$B$25)+(E366&gt;='START HERE'!$B$26)+(F366&gt;='START HERE'!$B$27)+(G366&gt;='START HERE'!$B$28)+(H366&gt;='START HERE'!$B$29)+(I366&gt;='START HERE'!$B$30)+(J366&gt;='START HERE'!$B$31)+(K366&gt;='START HERE'!$B$32))</f>
        <v/>
      </c>
      <c r="P366" s="46" t="str">
        <f aca="false">IF($A366="","",IF(O366&gt;=7,"Full day",IF(O366&gt;=5,"Most targets met",IF(O366&gt;=3,"Half day","Below plan - explain in the blocker column"))))</f>
        <v/>
      </c>
    </row>
    <row r="367" customFormat="false" ht="24" hidden="false" customHeight="true" outlineLevel="0" collapsed="false">
      <c r="A367" s="36"/>
      <c r="B367" s="37"/>
      <c r="C367" s="107" t="str">
        <f aca="false">IF($A367="","",ROUND(SUMIFS('DAILY ENTRY'!$G$7:$G$1203,'DAILY ENTRY'!$A$7:$A$1203,$A367,'DAILY ENTRY'!$B$7:$B$1203,$B367)/60,1))</f>
        <v/>
      </c>
      <c r="D367" s="107" t="str">
        <f aca="false">IF($A367="","",SUMIFS('DAILY ENTRY'!$F$7:$F$1203,'DAILY ENTRY'!$A$7:$A$1203,$A367,'DAILY ENTRY'!$B$7:$B$1203,$B367,'DAILY ENTRY'!$D$7:$D$1203,"Lead researched (Sales Navigator)"))</f>
        <v/>
      </c>
      <c r="E367" s="107" t="str">
        <f aca="false">IF($A367="","",SUMIFS('DAILY ENTRY'!$F$7:$F$1203,'DAILY ENTRY'!$A$7:$A$1203,$A367,'DAILY ENTRY'!$B$7:$B$1203,$B367,'DAILY ENTRY'!$D$7:$D$1203,"Connection request sent"))</f>
        <v/>
      </c>
      <c r="F367" s="107" t="str">
        <f aca="false">IF($A367="","",SUMIFS('DAILY ENTRY'!$F$7:$F$1203,'DAILY ENTRY'!$A$7:$A$1203,$A367,'DAILY ENTRY'!$B$7:$B$1203,$B367,'DAILY ENTRY'!$D$7:$D$1203,"First message sent"))</f>
        <v/>
      </c>
      <c r="G367" s="107" t="str">
        <f aca="false">IF($A367="","",SUMIFS('DAILY ENTRY'!$F$7:$F$1203,'DAILY ENTRY'!$A$7:$A$1203,$A367,'DAILY ENTRY'!$B$7:$B$1203,$B367,'DAILY ENTRY'!$D$7:$D$1203,"Follow-up message sent"))</f>
        <v/>
      </c>
      <c r="H367" s="107" t="str">
        <f aca="false">IF($A367="","",SUMIFS('DAILY ENTRY'!$F$7:$F$1203,'DAILY ENTRY'!$A$7:$A$1203,$A367,'DAILY ENTRY'!$B$7:$B$1203,$B367,'DAILY ENTRY'!$D$7:$D$1203,"Post / content published"))</f>
        <v/>
      </c>
      <c r="I367" s="107" t="str">
        <f aca="false">IF($A367="","",SUMIFS('DAILY ENTRY'!$F$7:$F$1203,'DAILY ENTRY'!$A$7:$A$1203,$A367,'DAILY ENTRY'!$B$7:$B$1203,$B367,'DAILY ENTRY'!$D$7:$D$1203,"Community answer or comment"))</f>
        <v/>
      </c>
      <c r="J367" s="107" t="str">
        <f aca="false">IF($A367="","",SUMIFS('DAILY ENTRY'!$F$7:$F$1203,'DAILY ENTRY'!$A$7:$A$1203,$A367,'DAILY ENTRY'!$B$7:$B$1203,$B367,'DAILY ENTRY'!$D$7:$D$1203,"Partnership / PR contact"))</f>
        <v/>
      </c>
      <c r="K367" s="107" t="str">
        <f aca="false">IF($A367="","",SUMIFS('DAILY ENTRY'!$F$7:$F$1203,'DAILY ENTRY'!$A$7:$A$1203,$A367,'DAILY ENTRY'!$B$7:$B$1203,$B367,'DAILY ENTRY'!$D$7:$D$1203,"Engagement (commented on someone else)"))</f>
        <v/>
      </c>
      <c r="L367" s="107" t="str">
        <f aca="false">IF($A367="","",SUMIFS('DAILY ENTRY'!$F$7:$F$1203,'DAILY ENTRY'!$A$7:$A$1203,$A367,'DAILY ENTRY'!$B$7:$B$1203,$B367,'DAILY ENTRY'!$D$7:$D$1203,"Account created / profile completed"))</f>
        <v/>
      </c>
      <c r="M367" s="108" t="str">
        <f aca="false">IF($A367="","",IFERROR(INDEX('DAILY ENTRY'!$E$7:$E$1203,MATCH(1,INDEX(('DAILY ENTRY'!$A$7:$A$1203=$A367)*('DAILY ENTRY'!$B$7:$B$1203=$B367)*('DAILY ENTRY'!$I$7:$I$1203="Meeting booked"),0),0)),IFERROR(INDEX('DAILY ENTRY'!$E$7:$E$1203,MATCH(1,INDEX(('DAILY ENTRY'!$A$7:$A$1203=$A367)*('DAILY ENTRY'!$B$7:$B$1203=$B367)*('DAILY ENTRY'!$I$7:$I$1203="Positive reply"),0),0)),"")))</f>
        <v/>
      </c>
      <c r="N367" s="108" t="str">
        <f aca="false">IF($A367="","",IFERROR(INDEX('DAILY ENTRY'!$J$7:$J$1203,MATCH(1,INDEX(('DAILY ENTRY'!$A$7:$A$1203=$A367)*('DAILY ENTRY'!$B$7:$B$1203=$B367)*('DAILY ENTRY'!$I$7:$I$1203="Blocked"),0),0)),""))</f>
        <v/>
      </c>
      <c r="O367" s="65" t="str">
        <f aca="false">IF($A367="","",(D367&gt;='START HERE'!$B$25)+(E367&gt;='START HERE'!$B$26)+(F367&gt;='START HERE'!$B$27)+(G367&gt;='START HERE'!$B$28)+(H367&gt;='START HERE'!$B$29)+(I367&gt;='START HERE'!$B$30)+(J367&gt;='START HERE'!$B$31)+(K367&gt;='START HERE'!$B$32))</f>
        <v/>
      </c>
      <c r="P367" s="46" t="str">
        <f aca="false">IF($A367="","",IF(O367&gt;=7,"Full day",IF(O367&gt;=5,"Most targets met",IF(O367&gt;=3,"Half day","Below plan - explain in the blocker column"))))</f>
        <v/>
      </c>
    </row>
    <row r="368" customFormat="false" ht="24" hidden="false" customHeight="true" outlineLevel="0" collapsed="false">
      <c r="A368" s="36"/>
      <c r="B368" s="37"/>
      <c r="C368" s="107" t="str">
        <f aca="false">IF($A368="","",ROUND(SUMIFS('DAILY ENTRY'!$G$7:$G$1203,'DAILY ENTRY'!$A$7:$A$1203,$A368,'DAILY ENTRY'!$B$7:$B$1203,$B368)/60,1))</f>
        <v/>
      </c>
      <c r="D368" s="107" t="str">
        <f aca="false">IF($A368="","",SUMIFS('DAILY ENTRY'!$F$7:$F$1203,'DAILY ENTRY'!$A$7:$A$1203,$A368,'DAILY ENTRY'!$B$7:$B$1203,$B368,'DAILY ENTRY'!$D$7:$D$1203,"Lead researched (Sales Navigator)"))</f>
        <v/>
      </c>
      <c r="E368" s="107" t="str">
        <f aca="false">IF($A368="","",SUMIFS('DAILY ENTRY'!$F$7:$F$1203,'DAILY ENTRY'!$A$7:$A$1203,$A368,'DAILY ENTRY'!$B$7:$B$1203,$B368,'DAILY ENTRY'!$D$7:$D$1203,"Connection request sent"))</f>
        <v/>
      </c>
      <c r="F368" s="107" t="str">
        <f aca="false">IF($A368="","",SUMIFS('DAILY ENTRY'!$F$7:$F$1203,'DAILY ENTRY'!$A$7:$A$1203,$A368,'DAILY ENTRY'!$B$7:$B$1203,$B368,'DAILY ENTRY'!$D$7:$D$1203,"First message sent"))</f>
        <v/>
      </c>
      <c r="G368" s="107" t="str">
        <f aca="false">IF($A368="","",SUMIFS('DAILY ENTRY'!$F$7:$F$1203,'DAILY ENTRY'!$A$7:$A$1203,$A368,'DAILY ENTRY'!$B$7:$B$1203,$B368,'DAILY ENTRY'!$D$7:$D$1203,"Follow-up message sent"))</f>
        <v/>
      </c>
      <c r="H368" s="107" t="str">
        <f aca="false">IF($A368="","",SUMIFS('DAILY ENTRY'!$F$7:$F$1203,'DAILY ENTRY'!$A$7:$A$1203,$A368,'DAILY ENTRY'!$B$7:$B$1203,$B368,'DAILY ENTRY'!$D$7:$D$1203,"Post / content published"))</f>
        <v/>
      </c>
      <c r="I368" s="107" t="str">
        <f aca="false">IF($A368="","",SUMIFS('DAILY ENTRY'!$F$7:$F$1203,'DAILY ENTRY'!$A$7:$A$1203,$A368,'DAILY ENTRY'!$B$7:$B$1203,$B368,'DAILY ENTRY'!$D$7:$D$1203,"Community answer or comment"))</f>
        <v/>
      </c>
      <c r="J368" s="107" t="str">
        <f aca="false">IF($A368="","",SUMIFS('DAILY ENTRY'!$F$7:$F$1203,'DAILY ENTRY'!$A$7:$A$1203,$A368,'DAILY ENTRY'!$B$7:$B$1203,$B368,'DAILY ENTRY'!$D$7:$D$1203,"Partnership / PR contact"))</f>
        <v/>
      </c>
      <c r="K368" s="107" t="str">
        <f aca="false">IF($A368="","",SUMIFS('DAILY ENTRY'!$F$7:$F$1203,'DAILY ENTRY'!$A$7:$A$1203,$A368,'DAILY ENTRY'!$B$7:$B$1203,$B368,'DAILY ENTRY'!$D$7:$D$1203,"Engagement (commented on someone else)"))</f>
        <v/>
      </c>
      <c r="L368" s="107" t="str">
        <f aca="false">IF($A368="","",SUMIFS('DAILY ENTRY'!$F$7:$F$1203,'DAILY ENTRY'!$A$7:$A$1203,$A368,'DAILY ENTRY'!$B$7:$B$1203,$B368,'DAILY ENTRY'!$D$7:$D$1203,"Account created / profile completed"))</f>
        <v/>
      </c>
      <c r="M368" s="108" t="str">
        <f aca="false">IF($A368="","",IFERROR(INDEX('DAILY ENTRY'!$E$7:$E$1203,MATCH(1,INDEX(('DAILY ENTRY'!$A$7:$A$1203=$A368)*('DAILY ENTRY'!$B$7:$B$1203=$B368)*('DAILY ENTRY'!$I$7:$I$1203="Meeting booked"),0),0)),IFERROR(INDEX('DAILY ENTRY'!$E$7:$E$1203,MATCH(1,INDEX(('DAILY ENTRY'!$A$7:$A$1203=$A368)*('DAILY ENTRY'!$B$7:$B$1203=$B368)*('DAILY ENTRY'!$I$7:$I$1203="Positive reply"),0),0)),"")))</f>
        <v/>
      </c>
      <c r="N368" s="108" t="str">
        <f aca="false">IF($A368="","",IFERROR(INDEX('DAILY ENTRY'!$J$7:$J$1203,MATCH(1,INDEX(('DAILY ENTRY'!$A$7:$A$1203=$A368)*('DAILY ENTRY'!$B$7:$B$1203=$B368)*('DAILY ENTRY'!$I$7:$I$1203="Blocked"),0),0)),""))</f>
        <v/>
      </c>
      <c r="O368" s="65" t="str">
        <f aca="false">IF($A368="","",(D368&gt;='START HERE'!$B$25)+(E368&gt;='START HERE'!$B$26)+(F368&gt;='START HERE'!$B$27)+(G368&gt;='START HERE'!$B$28)+(H368&gt;='START HERE'!$B$29)+(I368&gt;='START HERE'!$B$30)+(J368&gt;='START HERE'!$B$31)+(K368&gt;='START HERE'!$B$32))</f>
        <v/>
      </c>
      <c r="P368" s="46" t="str">
        <f aca="false">IF($A368="","",IF(O368&gt;=7,"Full day",IF(O368&gt;=5,"Most targets met",IF(O368&gt;=3,"Half day","Below plan - explain in the blocker column"))))</f>
        <v/>
      </c>
    </row>
    <row r="369" customFormat="false" ht="24" hidden="false" customHeight="true" outlineLevel="0" collapsed="false">
      <c r="A369" s="36"/>
      <c r="B369" s="37"/>
      <c r="C369" s="107" t="str">
        <f aca="false">IF($A369="","",ROUND(SUMIFS('DAILY ENTRY'!$G$7:$G$1203,'DAILY ENTRY'!$A$7:$A$1203,$A369,'DAILY ENTRY'!$B$7:$B$1203,$B369)/60,1))</f>
        <v/>
      </c>
      <c r="D369" s="107" t="str">
        <f aca="false">IF($A369="","",SUMIFS('DAILY ENTRY'!$F$7:$F$1203,'DAILY ENTRY'!$A$7:$A$1203,$A369,'DAILY ENTRY'!$B$7:$B$1203,$B369,'DAILY ENTRY'!$D$7:$D$1203,"Lead researched (Sales Navigator)"))</f>
        <v/>
      </c>
      <c r="E369" s="107" t="str">
        <f aca="false">IF($A369="","",SUMIFS('DAILY ENTRY'!$F$7:$F$1203,'DAILY ENTRY'!$A$7:$A$1203,$A369,'DAILY ENTRY'!$B$7:$B$1203,$B369,'DAILY ENTRY'!$D$7:$D$1203,"Connection request sent"))</f>
        <v/>
      </c>
      <c r="F369" s="107" t="str">
        <f aca="false">IF($A369="","",SUMIFS('DAILY ENTRY'!$F$7:$F$1203,'DAILY ENTRY'!$A$7:$A$1203,$A369,'DAILY ENTRY'!$B$7:$B$1203,$B369,'DAILY ENTRY'!$D$7:$D$1203,"First message sent"))</f>
        <v/>
      </c>
      <c r="G369" s="107" t="str">
        <f aca="false">IF($A369="","",SUMIFS('DAILY ENTRY'!$F$7:$F$1203,'DAILY ENTRY'!$A$7:$A$1203,$A369,'DAILY ENTRY'!$B$7:$B$1203,$B369,'DAILY ENTRY'!$D$7:$D$1203,"Follow-up message sent"))</f>
        <v/>
      </c>
      <c r="H369" s="107" t="str">
        <f aca="false">IF($A369="","",SUMIFS('DAILY ENTRY'!$F$7:$F$1203,'DAILY ENTRY'!$A$7:$A$1203,$A369,'DAILY ENTRY'!$B$7:$B$1203,$B369,'DAILY ENTRY'!$D$7:$D$1203,"Post / content published"))</f>
        <v/>
      </c>
      <c r="I369" s="107" t="str">
        <f aca="false">IF($A369="","",SUMIFS('DAILY ENTRY'!$F$7:$F$1203,'DAILY ENTRY'!$A$7:$A$1203,$A369,'DAILY ENTRY'!$B$7:$B$1203,$B369,'DAILY ENTRY'!$D$7:$D$1203,"Community answer or comment"))</f>
        <v/>
      </c>
      <c r="J369" s="107" t="str">
        <f aca="false">IF($A369="","",SUMIFS('DAILY ENTRY'!$F$7:$F$1203,'DAILY ENTRY'!$A$7:$A$1203,$A369,'DAILY ENTRY'!$B$7:$B$1203,$B369,'DAILY ENTRY'!$D$7:$D$1203,"Partnership / PR contact"))</f>
        <v/>
      </c>
      <c r="K369" s="107" t="str">
        <f aca="false">IF($A369="","",SUMIFS('DAILY ENTRY'!$F$7:$F$1203,'DAILY ENTRY'!$A$7:$A$1203,$A369,'DAILY ENTRY'!$B$7:$B$1203,$B369,'DAILY ENTRY'!$D$7:$D$1203,"Engagement (commented on someone else)"))</f>
        <v/>
      </c>
      <c r="L369" s="107" t="str">
        <f aca="false">IF($A369="","",SUMIFS('DAILY ENTRY'!$F$7:$F$1203,'DAILY ENTRY'!$A$7:$A$1203,$A369,'DAILY ENTRY'!$B$7:$B$1203,$B369,'DAILY ENTRY'!$D$7:$D$1203,"Account created / profile completed"))</f>
        <v/>
      </c>
      <c r="M369" s="108" t="str">
        <f aca="false">IF($A369="","",IFERROR(INDEX('DAILY ENTRY'!$E$7:$E$1203,MATCH(1,INDEX(('DAILY ENTRY'!$A$7:$A$1203=$A369)*('DAILY ENTRY'!$B$7:$B$1203=$B369)*('DAILY ENTRY'!$I$7:$I$1203="Meeting booked"),0),0)),IFERROR(INDEX('DAILY ENTRY'!$E$7:$E$1203,MATCH(1,INDEX(('DAILY ENTRY'!$A$7:$A$1203=$A369)*('DAILY ENTRY'!$B$7:$B$1203=$B369)*('DAILY ENTRY'!$I$7:$I$1203="Positive reply"),0),0)),"")))</f>
        <v/>
      </c>
      <c r="N369" s="108" t="str">
        <f aca="false">IF($A369="","",IFERROR(INDEX('DAILY ENTRY'!$J$7:$J$1203,MATCH(1,INDEX(('DAILY ENTRY'!$A$7:$A$1203=$A369)*('DAILY ENTRY'!$B$7:$B$1203=$B369)*('DAILY ENTRY'!$I$7:$I$1203="Blocked"),0),0)),""))</f>
        <v/>
      </c>
      <c r="O369" s="65" t="str">
        <f aca="false">IF($A369="","",(D369&gt;='START HERE'!$B$25)+(E369&gt;='START HERE'!$B$26)+(F369&gt;='START HERE'!$B$27)+(G369&gt;='START HERE'!$B$28)+(H369&gt;='START HERE'!$B$29)+(I369&gt;='START HERE'!$B$30)+(J369&gt;='START HERE'!$B$31)+(K369&gt;='START HERE'!$B$32))</f>
        <v/>
      </c>
      <c r="P369" s="46" t="str">
        <f aca="false">IF($A369="","",IF(O369&gt;=7,"Full day",IF(O369&gt;=5,"Most targets met",IF(O369&gt;=3,"Half day","Below plan - explain in the blocker column"))))</f>
        <v/>
      </c>
    </row>
    <row r="370" customFormat="false" ht="24" hidden="false" customHeight="true" outlineLevel="0" collapsed="false">
      <c r="A370" s="36"/>
      <c r="B370" s="37"/>
      <c r="C370" s="107" t="str">
        <f aca="false">IF($A370="","",ROUND(SUMIFS('DAILY ENTRY'!$G$7:$G$1203,'DAILY ENTRY'!$A$7:$A$1203,$A370,'DAILY ENTRY'!$B$7:$B$1203,$B370)/60,1))</f>
        <v/>
      </c>
      <c r="D370" s="107" t="str">
        <f aca="false">IF($A370="","",SUMIFS('DAILY ENTRY'!$F$7:$F$1203,'DAILY ENTRY'!$A$7:$A$1203,$A370,'DAILY ENTRY'!$B$7:$B$1203,$B370,'DAILY ENTRY'!$D$7:$D$1203,"Lead researched (Sales Navigator)"))</f>
        <v/>
      </c>
      <c r="E370" s="107" t="str">
        <f aca="false">IF($A370="","",SUMIFS('DAILY ENTRY'!$F$7:$F$1203,'DAILY ENTRY'!$A$7:$A$1203,$A370,'DAILY ENTRY'!$B$7:$B$1203,$B370,'DAILY ENTRY'!$D$7:$D$1203,"Connection request sent"))</f>
        <v/>
      </c>
      <c r="F370" s="107" t="str">
        <f aca="false">IF($A370="","",SUMIFS('DAILY ENTRY'!$F$7:$F$1203,'DAILY ENTRY'!$A$7:$A$1203,$A370,'DAILY ENTRY'!$B$7:$B$1203,$B370,'DAILY ENTRY'!$D$7:$D$1203,"First message sent"))</f>
        <v/>
      </c>
      <c r="G370" s="107" t="str">
        <f aca="false">IF($A370="","",SUMIFS('DAILY ENTRY'!$F$7:$F$1203,'DAILY ENTRY'!$A$7:$A$1203,$A370,'DAILY ENTRY'!$B$7:$B$1203,$B370,'DAILY ENTRY'!$D$7:$D$1203,"Follow-up message sent"))</f>
        <v/>
      </c>
      <c r="H370" s="107" t="str">
        <f aca="false">IF($A370="","",SUMIFS('DAILY ENTRY'!$F$7:$F$1203,'DAILY ENTRY'!$A$7:$A$1203,$A370,'DAILY ENTRY'!$B$7:$B$1203,$B370,'DAILY ENTRY'!$D$7:$D$1203,"Post / content published"))</f>
        <v/>
      </c>
      <c r="I370" s="107" t="str">
        <f aca="false">IF($A370="","",SUMIFS('DAILY ENTRY'!$F$7:$F$1203,'DAILY ENTRY'!$A$7:$A$1203,$A370,'DAILY ENTRY'!$B$7:$B$1203,$B370,'DAILY ENTRY'!$D$7:$D$1203,"Community answer or comment"))</f>
        <v/>
      </c>
      <c r="J370" s="107" t="str">
        <f aca="false">IF($A370="","",SUMIFS('DAILY ENTRY'!$F$7:$F$1203,'DAILY ENTRY'!$A$7:$A$1203,$A370,'DAILY ENTRY'!$B$7:$B$1203,$B370,'DAILY ENTRY'!$D$7:$D$1203,"Partnership / PR contact"))</f>
        <v/>
      </c>
      <c r="K370" s="107" t="str">
        <f aca="false">IF($A370="","",SUMIFS('DAILY ENTRY'!$F$7:$F$1203,'DAILY ENTRY'!$A$7:$A$1203,$A370,'DAILY ENTRY'!$B$7:$B$1203,$B370,'DAILY ENTRY'!$D$7:$D$1203,"Engagement (commented on someone else)"))</f>
        <v/>
      </c>
      <c r="L370" s="107" t="str">
        <f aca="false">IF($A370="","",SUMIFS('DAILY ENTRY'!$F$7:$F$1203,'DAILY ENTRY'!$A$7:$A$1203,$A370,'DAILY ENTRY'!$B$7:$B$1203,$B370,'DAILY ENTRY'!$D$7:$D$1203,"Account created / profile completed"))</f>
        <v/>
      </c>
      <c r="M370" s="108" t="str">
        <f aca="false">IF($A370="","",IFERROR(INDEX('DAILY ENTRY'!$E$7:$E$1203,MATCH(1,INDEX(('DAILY ENTRY'!$A$7:$A$1203=$A370)*('DAILY ENTRY'!$B$7:$B$1203=$B370)*('DAILY ENTRY'!$I$7:$I$1203="Meeting booked"),0),0)),IFERROR(INDEX('DAILY ENTRY'!$E$7:$E$1203,MATCH(1,INDEX(('DAILY ENTRY'!$A$7:$A$1203=$A370)*('DAILY ENTRY'!$B$7:$B$1203=$B370)*('DAILY ENTRY'!$I$7:$I$1203="Positive reply"),0),0)),"")))</f>
        <v/>
      </c>
      <c r="N370" s="108" t="str">
        <f aca="false">IF($A370="","",IFERROR(INDEX('DAILY ENTRY'!$J$7:$J$1203,MATCH(1,INDEX(('DAILY ENTRY'!$A$7:$A$1203=$A370)*('DAILY ENTRY'!$B$7:$B$1203=$B370)*('DAILY ENTRY'!$I$7:$I$1203="Blocked"),0),0)),""))</f>
        <v/>
      </c>
      <c r="O370" s="65" t="str">
        <f aca="false">IF($A370="","",(D370&gt;='START HERE'!$B$25)+(E370&gt;='START HERE'!$B$26)+(F370&gt;='START HERE'!$B$27)+(G370&gt;='START HERE'!$B$28)+(H370&gt;='START HERE'!$B$29)+(I370&gt;='START HERE'!$B$30)+(J370&gt;='START HERE'!$B$31)+(K370&gt;='START HERE'!$B$32))</f>
        <v/>
      </c>
      <c r="P370" s="46" t="str">
        <f aca="false">IF($A370="","",IF(O370&gt;=7,"Full day",IF(O370&gt;=5,"Most targets met",IF(O370&gt;=3,"Half day","Below plan - explain in the blocker column"))))</f>
        <v/>
      </c>
    </row>
    <row r="371" customFormat="false" ht="24" hidden="false" customHeight="true" outlineLevel="0" collapsed="false">
      <c r="A371" s="36"/>
      <c r="B371" s="37"/>
      <c r="C371" s="107" t="str">
        <f aca="false">IF($A371="","",ROUND(SUMIFS('DAILY ENTRY'!$G$7:$G$1203,'DAILY ENTRY'!$A$7:$A$1203,$A371,'DAILY ENTRY'!$B$7:$B$1203,$B371)/60,1))</f>
        <v/>
      </c>
      <c r="D371" s="107" t="str">
        <f aca="false">IF($A371="","",SUMIFS('DAILY ENTRY'!$F$7:$F$1203,'DAILY ENTRY'!$A$7:$A$1203,$A371,'DAILY ENTRY'!$B$7:$B$1203,$B371,'DAILY ENTRY'!$D$7:$D$1203,"Lead researched (Sales Navigator)"))</f>
        <v/>
      </c>
      <c r="E371" s="107" t="str">
        <f aca="false">IF($A371="","",SUMIFS('DAILY ENTRY'!$F$7:$F$1203,'DAILY ENTRY'!$A$7:$A$1203,$A371,'DAILY ENTRY'!$B$7:$B$1203,$B371,'DAILY ENTRY'!$D$7:$D$1203,"Connection request sent"))</f>
        <v/>
      </c>
      <c r="F371" s="107" t="str">
        <f aca="false">IF($A371="","",SUMIFS('DAILY ENTRY'!$F$7:$F$1203,'DAILY ENTRY'!$A$7:$A$1203,$A371,'DAILY ENTRY'!$B$7:$B$1203,$B371,'DAILY ENTRY'!$D$7:$D$1203,"First message sent"))</f>
        <v/>
      </c>
      <c r="G371" s="107" t="str">
        <f aca="false">IF($A371="","",SUMIFS('DAILY ENTRY'!$F$7:$F$1203,'DAILY ENTRY'!$A$7:$A$1203,$A371,'DAILY ENTRY'!$B$7:$B$1203,$B371,'DAILY ENTRY'!$D$7:$D$1203,"Follow-up message sent"))</f>
        <v/>
      </c>
      <c r="H371" s="107" t="str">
        <f aca="false">IF($A371="","",SUMIFS('DAILY ENTRY'!$F$7:$F$1203,'DAILY ENTRY'!$A$7:$A$1203,$A371,'DAILY ENTRY'!$B$7:$B$1203,$B371,'DAILY ENTRY'!$D$7:$D$1203,"Post / content published"))</f>
        <v/>
      </c>
      <c r="I371" s="107" t="str">
        <f aca="false">IF($A371="","",SUMIFS('DAILY ENTRY'!$F$7:$F$1203,'DAILY ENTRY'!$A$7:$A$1203,$A371,'DAILY ENTRY'!$B$7:$B$1203,$B371,'DAILY ENTRY'!$D$7:$D$1203,"Community answer or comment"))</f>
        <v/>
      </c>
      <c r="J371" s="107" t="str">
        <f aca="false">IF($A371="","",SUMIFS('DAILY ENTRY'!$F$7:$F$1203,'DAILY ENTRY'!$A$7:$A$1203,$A371,'DAILY ENTRY'!$B$7:$B$1203,$B371,'DAILY ENTRY'!$D$7:$D$1203,"Partnership / PR contact"))</f>
        <v/>
      </c>
      <c r="K371" s="107" t="str">
        <f aca="false">IF($A371="","",SUMIFS('DAILY ENTRY'!$F$7:$F$1203,'DAILY ENTRY'!$A$7:$A$1203,$A371,'DAILY ENTRY'!$B$7:$B$1203,$B371,'DAILY ENTRY'!$D$7:$D$1203,"Engagement (commented on someone else)"))</f>
        <v/>
      </c>
      <c r="L371" s="107" t="str">
        <f aca="false">IF($A371="","",SUMIFS('DAILY ENTRY'!$F$7:$F$1203,'DAILY ENTRY'!$A$7:$A$1203,$A371,'DAILY ENTRY'!$B$7:$B$1203,$B371,'DAILY ENTRY'!$D$7:$D$1203,"Account created / profile completed"))</f>
        <v/>
      </c>
      <c r="M371" s="108" t="str">
        <f aca="false">IF($A371="","",IFERROR(INDEX('DAILY ENTRY'!$E$7:$E$1203,MATCH(1,INDEX(('DAILY ENTRY'!$A$7:$A$1203=$A371)*('DAILY ENTRY'!$B$7:$B$1203=$B371)*('DAILY ENTRY'!$I$7:$I$1203="Meeting booked"),0),0)),IFERROR(INDEX('DAILY ENTRY'!$E$7:$E$1203,MATCH(1,INDEX(('DAILY ENTRY'!$A$7:$A$1203=$A371)*('DAILY ENTRY'!$B$7:$B$1203=$B371)*('DAILY ENTRY'!$I$7:$I$1203="Positive reply"),0),0)),"")))</f>
        <v/>
      </c>
      <c r="N371" s="108" t="str">
        <f aca="false">IF($A371="","",IFERROR(INDEX('DAILY ENTRY'!$J$7:$J$1203,MATCH(1,INDEX(('DAILY ENTRY'!$A$7:$A$1203=$A371)*('DAILY ENTRY'!$B$7:$B$1203=$B371)*('DAILY ENTRY'!$I$7:$I$1203="Blocked"),0),0)),""))</f>
        <v/>
      </c>
      <c r="O371" s="65" t="str">
        <f aca="false">IF($A371="","",(D371&gt;='START HERE'!$B$25)+(E371&gt;='START HERE'!$B$26)+(F371&gt;='START HERE'!$B$27)+(G371&gt;='START HERE'!$B$28)+(H371&gt;='START HERE'!$B$29)+(I371&gt;='START HERE'!$B$30)+(J371&gt;='START HERE'!$B$31)+(K371&gt;='START HERE'!$B$32))</f>
        <v/>
      </c>
      <c r="P371" s="46" t="str">
        <f aca="false">IF($A371="","",IF(O371&gt;=7,"Full day",IF(O371&gt;=5,"Most targets met",IF(O371&gt;=3,"Half day","Below plan - explain in the blocker column"))))</f>
        <v/>
      </c>
    </row>
    <row r="372" customFormat="false" ht="24" hidden="false" customHeight="true" outlineLevel="0" collapsed="false">
      <c r="A372" s="36"/>
      <c r="B372" s="37"/>
      <c r="C372" s="107" t="str">
        <f aca="false">IF($A372="","",ROUND(SUMIFS('DAILY ENTRY'!$G$7:$G$1203,'DAILY ENTRY'!$A$7:$A$1203,$A372,'DAILY ENTRY'!$B$7:$B$1203,$B372)/60,1))</f>
        <v/>
      </c>
      <c r="D372" s="107" t="str">
        <f aca="false">IF($A372="","",SUMIFS('DAILY ENTRY'!$F$7:$F$1203,'DAILY ENTRY'!$A$7:$A$1203,$A372,'DAILY ENTRY'!$B$7:$B$1203,$B372,'DAILY ENTRY'!$D$7:$D$1203,"Lead researched (Sales Navigator)"))</f>
        <v/>
      </c>
      <c r="E372" s="107" t="str">
        <f aca="false">IF($A372="","",SUMIFS('DAILY ENTRY'!$F$7:$F$1203,'DAILY ENTRY'!$A$7:$A$1203,$A372,'DAILY ENTRY'!$B$7:$B$1203,$B372,'DAILY ENTRY'!$D$7:$D$1203,"Connection request sent"))</f>
        <v/>
      </c>
      <c r="F372" s="107" t="str">
        <f aca="false">IF($A372="","",SUMIFS('DAILY ENTRY'!$F$7:$F$1203,'DAILY ENTRY'!$A$7:$A$1203,$A372,'DAILY ENTRY'!$B$7:$B$1203,$B372,'DAILY ENTRY'!$D$7:$D$1203,"First message sent"))</f>
        <v/>
      </c>
      <c r="G372" s="107" t="str">
        <f aca="false">IF($A372="","",SUMIFS('DAILY ENTRY'!$F$7:$F$1203,'DAILY ENTRY'!$A$7:$A$1203,$A372,'DAILY ENTRY'!$B$7:$B$1203,$B372,'DAILY ENTRY'!$D$7:$D$1203,"Follow-up message sent"))</f>
        <v/>
      </c>
      <c r="H372" s="107" t="str">
        <f aca="false">IF($A372="","",SUMIFS('DAILY ENTRY'!$F$7:$F$1203,'DAILY ENTRY'!$A$7:$A$1203,$A372,'DAILY ENTRY'!$B$7:$B$1203,$B372,'DAILY ENTRY'!$D$7:$D$1203,"Post / content published"))</f>
        <v/>
      </c>
      <c r="I372" s="107" t="str">
        <f aca="false">IF($A372="","",SUMIFS('DAILY ENTRY'!$F$7:$F$1203,'DAILY ENTRY'!$A$7:$A$1203,$A372,'DAILY ENTRY'!$B$7:$B$1203,$B372,'DAILY ENTRY'!$D$7:$D$1203,"Community answer or comment"))</f>
        <v/>
      </c>
      <c r="J372" s="107" t="str">
        <f aca="false">IF($A372="","",SUMIFS('DAILY ENTRY'!$F$7:$F$1203,'DAILY ENTRY'!$A$7:$A$1203,$A372,'DAILY ENTRY'!$B$7:$B$1203,$B372,'DAILY ENTRY'!$D$7:$D$1203,"Partnership / PR contact"))</f>
        <v/>
      </c>
      <c r="K372" s="107" t="str">
        <f aca="false">IF($A372="","",SUMIFS('DAILY ENTRY'!$F$7:$F$1203,'DAILY ENTRY'!$A$7:$A$1203,$A372,'DAILY ENTRY'!$B$7:$B$1203,$B372,'DAILY ENTRY'!$D$7:$D$1203,"Engagement (commented on someone else)"))</f>
        <v/>
      </c>
      <c r="L372" s="107" t="str">
        <f aca="false">IF($A372="","",SUMIFS('DAILY ENTRY'!$F$7:$F$1203,'DAILY ENTRY'!$A$7:$A$1203,$A372,'DAILY ENTRY'!$B$7:$B$1203,$B372,'DAILY ENTRY'!$D$7:$D$1203,"Account created / profile completed"))</f>
        <v/>
      </c>
      <c r="M372" s="108" t="str">
        <f aca="false">IF($A372="","",IFERROR(INDEX('DAILY ENTRY'!$E$7:$E$1203,MATCH(1,INDEX(('DAILY ENTRY'!$A$7:$A$1203=$A372)*('DAILY ENTRY'!$B$7:$B$1203=$B372)*('DAILY ENTRY'!$I$7:$I$1203="Meeting booked"),0),0)),IFERROR(INDEX('DAILY ENTRY'!$E$7:$E$1203,MATCH(1,INDEX(('DAILY ENTRY'!$A$7:$A$1203=$A372)*('DAILY ENTRY'!$B$7:$B$1203=$B372)*('DAILY ENTRY'!$I$7:$I$1203="Positive reply"),0),0)),"")))</f>
        <v/>
      </c>
      <c r="N372" s="108" t="str">
        <f aca="false">IF($A372="","",IFERROR(INDEX('DAILY ENTRY'!$J$7:$J$1203,MATCH(1,INDEX(('DAILY ENTRY'!$A$7:$A$1203=$A372)*('DAILY ENTRY'!$B$7:$B$1203=$B372)*('DAILY ENTRY'!$I$7:$I$1203="Blocked"),0),0)),""))</f>
        <v/>
      </c>
      <c r="O372" s="65" t="str">
        <f aca="false">IF($A372="","",(D372&gt;='START HERE'!$B$25)+(E372&gt;='START HERE'!$B$26)+(F372&gt;='START HERE'!$B$27)+(G372&gt;='START HERE'!$B$28)+(H372&gt;='START HERE'!$B$29)+(I372&gt;='START HERE'!$B$30)+(J372&gt;='START HERE'!$B$31)+(K372&gt;='START HERE'!$B$32))</f>
        <v/>
      </c>
      <c r="P372" s="46" t="str">
        <f aca="false">IF($A372="","",IF(O372&gt;=7,"Full day",IF(O372&gt;=5,"Most targets met",IF(O372&gt;=3,"Half day","Below plan - explain in the blocker column"))))</f>
        <v/>
      </c>
    </row>
    <row r="373" customFormat="false" ht="24" hidden="false" customHeight="true" outlineLevel="0" collapsed="false">
      <c r="A373" s="36"/>
      <c r="B373" s="37"/>
      <c r="C373" s="107" t="str">
        <f aca="false">IF($A373="","",ROUND(SUMIFS('DAILY ENTRY'!$G$7:$G$1203,'DAILY ENTRY'!$A$7:$A$1203,$A373,'DAILY ENTRY'!$B$7:$B$1203,$B373)/60,1))</f>
        <v/>
      </c>
      <c r="D373" s="107" t="str">
        <f aca="false">IF($A373="","",SUMIFS('DAILY ENTRY'!$F$7:$F$1203,'DAILY ENTRY'!$A$7:$A$1203,$A373,'DAILY ENTRY'!$B$7:$B$1203,$B373,'DAILY ENTRY'!$D$7:$D$1203,"Lead researched (Sales Navigator)"))</f>
        <v/>
      </c>
      <c r="E373" s="107" t="str">
        <f aca="false">IF($A373="","",SUMIFS('DAILY ENTRY'!$F$7:$F$1203,'DAILY ENTRY'!$A$7:$A$1203,$A373,'DAILY ENTRY'!$B$7:$B$1203,$B373,'DAILY ENTRY'!$D$7:$D$1203,"Connection request sent"))</f>
        <v/>
      </c>
      <c r="F373" s="107" t="str">
        <f aca="false">IF($A373="","",SUMIFS('DAILY ENTRY'!$F$7:$F$1203,'DAILY ENTRY'!$A$7:$A$1203,$A373,'DAILY ENTRY'!$B$7:$B$1203,$B373,'DAILY ENTRY'!$D$7:$D$1203,"First message sent"))</f>
        <v/>
      </c>
      <c r="G373" s="107" t="str">
        <f aca="false">IF($A373="","",SUMIFS('DAILY ENTRY'!$F$7:$F$1203,'DAILY ENTRY'!$A$7:$A$1203,$A373,'DAILY ENTRY'!$B$7:$B$1203,$B373,'DAILY ENTRY'!$D$7:$D$1203,"Follow-up message sent"))</f>
        <v/>
      </c>
      <c r="H373" s="107" t="str">
        <f aca="false">IF($A373="","",SUMIFS('DAILY ENTRY'!$F$7:$F$1203,'DAILY ENTRY'!$A$7:$A$1203,$A373,'DAILY ENTRY'!$B$7:$B$1203,$B373,'DAILY ENTRY'!$D$7:$D$1203,"Post / content published"))</f>
        <v/>
      </c>
      <c r="I373" s="107" t="str">
        <f aca="false">IF($A373="","",SUMIFS('DAILY ENTRY'!$F$7:$F$1203,'DAILY ENTRY'!$A$7:$A$1203,$A373,'DAILY ENTRY'!$B$7:$B$1203,$B373,'DAILY ENTRY'!$D$7:$D$1203,"Community answer or comment"))</f>
        <v/>
      </c>
      <c r="J373" s="107" t="str">
        <f aca="false">IF($A373="","",SUMIFS('DAILY ENTRY'!$F$7:$F$1203,'DAILY ENTRY'!$A$7:$A$1203,$A373,'DAILY ENTRY'!$B$7:$B$1203,$B373,'DAILY ENTRY'!$D$7:$D$1203,"Partnership / PR contact"))</f>
        <v/>
      </c>
      <c r="K373" s="107" t="str">
        <f aca="false">IF($A373="","",SUMIFS('DAILY ENTRY'!$F$7:$F$1203,'DAILY ENTRY'!$A$7:$A$1203,$A373,'DAILY ENTRY'!$B$7:$B$1203,$B373,'DAILY ENTRY'!$D$7:$D$1203,"Engagement (commented on someone else)"))</f>
        <v/>
      </c>
      <c r="L373" s="107" t="str">
        <f aca="false">IF($A373="","",SUMIFS('DAILY ENTRY'!$F$7:$F$1203,'DAILY ENTRY'!$A$7:$A$1203,$A373,'DAILY ENTRY'!$B$7:$B$1203,$B373,'DAILY ENTRY'!$D$7:$D$1203,"Account created / profile completed"))</f>
        <v/>
      </c>
      <c r="M373" s="108" t="str">
        <f aca="false">IF($A373="","",IFERROR(INDEX('DAILY ENTRY'!$E$7:$E$1203,MATCH(1,INDEX(('DAILY ENTRY'!$A$7:$A$1203=$A373)*('DAILY ENTRY'!$B$7:$B$1203=$B373)*('DAILY ENTRY'!$I$7:$I$1203="Meeting booked"),0),0)),IFERROR(INDEX('DAILY ENTRY'!$E$7:$E$1203,MATCH(1,INDEX(('DAILY ENTRY'!$A$7:$A$1203=$A373)*('DAILY ENTRY'!$B$7:$B$1203=$B373)*('DAILY ENTRY'!$I$7:$I$1203="Positive reply"),0),0)),"")))</f>
        <v/>
      </c>
      <c r="N373" s="108" t="str">
        <f aca="false">IF($A373="","",IFERROR(INDEX('DAILY ENTRY'!$J$7:$J$1203,MATCH(1,INDEX(('DAILY ENTRY'!$A$7:$A$1203=$A373)*('DAILY ENTRY'!$B$7:$B$1203=$B373)*('DAILY ENTRY'!$I$7:$I$1203="Blocked"),0),0)),""))</f>
        <v/>
      </c>
      <c r="O373" s="65" t="str">
        <f aca="false">IF($A373="","",(D373&gt;='START HERE'!$B$25)+(E373&gt;='START HERE'!$B$26)+(F373&gt;='START HERE'!$B$27)+(G373&gt;='START HERE'!$B$28)+(H373&gt;='START HERE'!$B$29)+(I373&gt;='START HERE'!$B$30)+(J373&gt;='START HERE'!$B$31)+(K373&gt;='START HERE'!$B$32))</f>
        <v/>
      </c>
      <c r="P373" s="46" t="str">
        <f aca="false">IF($A373="","",IF(O373&gt;=7,"Full day",IF(O373&gt;=5,"Most targets met",IF(O373&gt;=3,"Half day","Below plan - explain in the blocker column"))))</f>
        <v/>
      </c>
    </row>
    <row r="374" customFormat="false" ht="24" hidden="false" customHeight="true" outlineLevel="0" collapsed="false">
      <c r="A374" s="36"/>
      <c r="B374" s="37"/>
      <c r="C374" s="107" t="str">
        <f aca="false">IF($A374="","",ROUND(SUMIFS('DAILY ENTRY'!$G$7:$G$1203,'DAILY ENTRY'!$A$7:$A$1203,$A374,'DAILY ENTRY'!$B$7:$B$1203,$B374)/60,1))</f>
        <v/>
      </c>
      <c r="D374" s="107" t="str">
        <f aca="false">IF($A374="","",SUMIFS('DAILY ENTRY'!$F$7:$F$1203,'DAILY ENTRY'!$A$7:$A$1203,$A374,'DAILY ENTRY'!$B$7:$B$1203,$B374,'DAILY ENTRY'!$D$7:$D$1203,"Lead researched (Sales Navigator)"))</f>
        <v/>
      </c>
      <c r="E374" s="107" t="str">
        <f aca="false">IF($A374="","",SUMIFS('DAILY ENTRY'!$F$7:$F$1203,'DAILY ENTRY'!$A$7:$A$1203,$A374,'DAILY ENTRY'!$B$7:$B$1203,$B374,'DAILY ENTRY'!$D$7:$D$1203,"Connection request sent"))</f>
        <v/>
      </c>
      <c r="F374" s="107" t="str">
        <f aca="false">IF($A374="","",SUMIFS('DAILY ENTRY'!$F$7:$F$1203,'DAILY ENTRY'!$A$7:$A$1203,$A374,'DAILY ENTRY'!$B$7:$B$1203,$B374,'DAILY ENTRY'!$D$7:$D$1203,"First message sent"))</f>
        <v/>
      </c>
      <c r="G374" s="107" t="str">
        <f aca="false">IF($A374="","",SUMIFS('DAILY ENTRY'!$F$7:$F$1203,'DAILY ENTRY'!$A$7:$A$1203,$A374,'DAILY ENTRY'!$B$7:$B$1203,$B374,'DAILY ENTRY'!$D$7:$D$1203,"Follow-up message sent"))</f>
        <v/>
      </c>
      <c r="H374" s="107" t="str">
        <f aca="false">IF($A374="","",SUMIFS('DAILY ENTRY'!$F$7:$F$1203,'DAILY ENTRY'!$A$7:$A$1203,$A374,'DAILY ENTRY'!$B$7:$B$1203,$B374,'DAILY ENTRY'!$D$7:$D$1203,"Post / content published"))</f>
        <v/>
      </c>
      <c r="I374" s="107" t="str">
        <f aca="false">IF($A374="","",SUMIFS('DAILY ENTRY'!$F$7:$F$1203,'DAILY ENTRY'!$A$7:$A$1203,$A374,'DAILY ENTRY'!$B$7:$B$1203,$B374,'DAILY ENTRY'!$D$7:$D$1203,"Community answer or comment"))</f>
        <v/>
      </c>
      <c r="J374" s="107" t="str">
        <f aca="false">IF($A374="","",SUMIFS('DAILY ENTRY'!$F$7:$F$1203,'DAILY ENTRY'!$A$7:$A$1203,$A374,'DAILY ENTRY'!$B$7:$B$1203,$B374,'DAILY ENTRY'!$D$7:$D$1203,"Partnership / PR contact"))</f>
        <v/>
      </c>
      <c r="K374" s="107" t="str">
        <f aca="false">IF($A374="","",SUMIFS('DAILY ENTRY'!$F$7:$F$1203,'DAILY ENTRY'!$A$7:$A$1203,$A374,'DAILY ENTRY'!$B$7:$B$1203,$B374,'DAILY ENTRY'!$D$7:$D$1203,"Engagement (commented on someone else)"))</f>
        <v/>
      </c>
      <c r="L374" s="107" t="str">
        <f aca="false">IF($A374="","",SUMIFS('DAILY ENTRY'!$F$7:$F$1203,'DAILY ENTRY'!$A$7:$A$1203,$A374,'DAILY ENTRY'!$B$7:$B$1203,$B374,'DAILY ENTRY'!$D$7:$D$1203,"Account created / profile completed"))</f>
        <v/>
      </c>
      <c r="M374" s="108" t="str">
        <f aca="false">IF($A374="","",IFERROR(INDEX('DAILY ENTRY'!$E$7:$E$1203,MATCH(1,INDEX(('DAILY ENTRY'!$A$7:$A$1203=$A374)*('DAILY ENTRY'!$B$7:$B$1203=$B374)*('DAILY ENTRY'!$I$7:$I$1203="Meeting booked"),0),0)),IFERROR(INDEX('DAILY ENTRY'!$E$7:$E$1203,MATCH(1,INDEX(('DAILY ENTRY'!$A$7:$A$1203=$A374)*('DAILY ENTRY'!$B$7:$B$1203=$B374)*('DAILY ENTRY'!$I$7:$I$1203="Positive reply"),0),0)),"")))</f>
        <v/>
      </c>
      <c r="N374" s="108" t="str">
        <f aca="false">IF($A374="","",IFERROR(INDEX('DAILY ENTRY'!$J$7:$J$1203,MATCH(1,INDEX(('DAILY ENTRY'!$A$7:$A$1203=$A374)*('DAILY ENTRY'!$B$7:$B$1203=$B374)*('DAILY ENTRY'!$I$7:$I$1203="Blocked"),0),0)),""))</f>
        <v/>
      </c>
      <c r="O374" s="65" t="str">
        <f aca="false">IF($A374="","",(D374&gt;='START HERE'!$B$25)+(E374&gt;='START HERE'!$B$26)+(F374&gt;='START HERE'!$B$27)+(G374&gt;='START HERE'!$B$28)+(H374&gt;='START HERE'!$B$29)+(I374&gt;='START HERE'!$B$30)+(J374&gt;='START HERE'!$B$31)+(K374&gt;='START HERE'!$B$32))</f>
        <v/>
      </c>
      <c r="P374" s="46" t="str">
        <f aca="false">IF($A374="","",IF(O374&gt;=7,"Full day",IF(O374&gt;=5,"Most targets met",IF(O374&gt;=3,"Half day","Below plan - explain in the blocker column"))))</f>
        <v/>
      </c>
    </row>
    <row r="375" customFormat="false" ht="24" hidden="false" customHeight="true" outlineLevel="0" collapsed="false">
      <c r="A375" s="36"/>
      <c r="B375" s="37"/>
      <c r="C375" s="107" t="str">
        <f aca="false">IF($A375="","",ROUND(SUMIFS('DAILY ENTRY'!$G$7:$G$1203,'DAILY ENTRY'!$A$7:$A$1203,$A375,'DAILY ENTRY'!$B$7:$B$1203,$B375)/60,1))</f>
        <v/>
      </c>
      <c r="D375" s="107" t="str">
        <f aca="false">IF($A375="","",SUMIFS('DAILY ENTRY'!$F$7:$F$1203,'DAILY ENTRY'!$A$7:$A$1203,$A375,'DAILY ENTRY'!$B$7:$B$1203,$B375,'DAILY ENTRY'!$D$7:$D$1203,"Lead researched (Sales Navigator)"))</f>
        <v/>
      </c>
      <c r="E375" s="107" t="str">
        <f aca="false">IF($A375="","",SUMIFS('DAILY ENTRY'!$F$7:$F$1203,'DAILY ENTRY'!$A$7:$A$1203,$A375,'DAILY ENTRY'!$B$7:$B$1203,$B375,'DAILY ENTRY'!$D$7:$D$1203,"Connection request sent"))</f>
        <v/>
      </c>
      <c r="F375" s="107" t="str">
        <f aca="false">IF($A375="","",SUMIFS('DAILY ENTRY'!$F$7:$F$1203,'DAILY ENTRY'!$A$7:$A$1203,$A375,'DAILY ENTRY'!$B$7:$B$1203,$B375,'DAILY ENTRY'!$D$7:$D$1203,"First message sent"))</f>
        <v/>
      </c>
      <c r="G375" s="107" t="str">
        <f aca="false">IF($A375="","",SUMIFS('DAILY ENTRY'!$F$7:$F$1203,'DAILY ENTRY'!$A$7:$A$1203,$A375,'DAILY ENTRY'!$B$7:$B$1203,$B375,'DAILY ENTRY'!$D$7:$D$1203,"Follow-up message sent"))</f>
        <v/>
      </c>
      <c r="H375" s="107" t="str">
        <f aca="false">IF($A375="","",SUMIFS('DAILY ENTRY'!$F$7:$F$1203,'DAILY ENTRY'!$A$7:$A$1203,$A375,'DAILY ENTRY'!$B$7:$B$1203,$B375,'DAILY ENTRY'!$D$7:$D$1203,"Post / content published"))</f>
        <v/>
      </c>
      <c r="I375" s="107" t="str">
        <f aca="false">IF($A375="","",SUMIFS('DAILY ENTRY'!$F$7:$F$1203,'DAILY ENTRY'!$A$7:$A$1203,$A375,'DAILY ENTRY'!$B$7:$B$1203,$B375,'DAILY ENTRY'!$D$7:$D$1203,"Community answer or comment"))</f>
        <v/>
      </c>
      <c r="J375" s="107" t="str">
        <f aca="false">IF($A375="","",SUMIFS('DAILY ENTRY'!$F$7:$F$1203,'DAILY ENTRY'!$A$7:$A$1203,$A375,'DAILY ENTRY'!$B$7:$B$1203,$B375,'DAILY ENTRY'!$D$7:$D$1203,"Partnership / PR contact"))</f>
        <v/>
      </c>
      <c r="K375" s="107" t="str">
        <f aca="false">IF($A375="","",SUMIFS('DAILY ENTRY'!$F$7:$F$1203,'DAILY ENTRY'!$A$7:$A$1203,$A375,'DAILY ENTRY'!$B$7:$B$1203,$B375,'DAILY ENTRY'!$D$7:$D$1203,"Engagement (commented on someone else)"))</f>
        <v/>
      </c>
      <c r="L375" s="107" t="str">
        <f aca="false">IF($A375="","",SUMIFS('DAILY ENTRY'!$F$7:$F$1203,'DAILY ENTRY'!$A$7:$A$1203,$A375,'DAILY ENTRY'!$B$7:$B$1203,$B375,'DAILY ENTRY'!$D$7:$D$1203,"Account created / profile completed"))</f>
        <v/>
      </c>
      <c r="M375" s="108" t="str">
        <f aca="false">IF($A375="","",IFERROR(INDEX('DAILY ENTRY'!$E$7:$E$1203,MATCH(1,INDEX(('DAILY ENTRY'!$A$7:$A$1203=$A375)*('DAILY ENTRY'!$B$7:$B$1203=$B375)*('DAILY ENTRY'!$I$7:$I$1203="Meeting booked"),0),0)),IFERROR(INDEX('DAILY ENTRY'!$E$7:$E$1203,MATCH(1,INDEX(('DAILY ENTRY'!$A$7:$A$1203=$A375)*('DAILY ENTRY'!$B$7:$B$1203=$B375)*('DAILY ENTRY'!$I$7:$I$1203="Positive reply"),0),0)),"")))</f>
        <v/>
      </c>
      <c r="N375" s="108" t="str">
        <f aca="false">IF($A375="","",IFERROR(INDEX('DAILY ENTRY'!$J$7:$J$1203,MATCH(1,INDEX(('DAILY ENTRY'!$A$7:$A$1203=$A375)*('DAILY ENTRY'!$B$7:$B$1203=$B375)*('DAILY ENTRY'!$I$7:$I$1203="Blocked"),0),0)),""))</f>
        <v/>
      </c>
      <c r="O375" s="65" t="str">
        <f aca="false">IF($A375="","",(D375&gt;='START HERE'!$B$25)+(E375&gt;='START HERE'!$B$26)+(F375&gt;='START HERE'!$B$27)+(G375&gt;='START HERE'!$B$28)+(H375&gt;='START HERE'!$B$29)+(I375&gt;='START HERE'!$B$30)+(J375&gt;='START HERE'!$B$31)+(K375&gt;='START HERE'!$B$32))</f>
        <v/>
      </c>
      <c r="P375" s="46" t="str">
        <f aca="false">IF($A375="","",IF(O375&gt;=7,"Full day",IF(O375&gt;=5,"Most targets met",IF(O375&gt;=3,"Half day","Below plan - explain in the blocker column"))))</f>
        <v/>
      </c>
    </row>
    <row r="376" customFormat="false" ht="24" hidden="false" customHeight="true" outlineLevel="0" collapsed="false">
      <c r="A376" s="36"/>
      <c r="B376" s="37"/>
      <c r="C376" s="107" t="str">
        <f aca="false">IF($A376="","",ROUND(SUMIFS('DAILY ENTRY'!$G$7:$G$1203,'DAILY ENTRY'!$A$7:$A$1203,$A376,'DAILY ENTRY'!$B$7:$B$1203,$B376)/60,1))</f>
        <v/>
      </c>
      <c r="D376" s="107" t="str">
        <f aca="false">IF($A376="","",SUMIFS('DAILY ENTRY'!$F$7:$F$1203,'DAILY ENTRY'!$A$7:$A$1203,$A376,'DAILY ENTRY'!$B$7:$B$1203,$B376,'DAILY ENTRY'!$D$7:$D$1203,"Lead researched (Sales Navigator)"))</f>
        <v/>
      </c>
      <c r="E376" s="107" t="str">
        <f aca="false">IF($A376="","",SUMIFS('DAILY ENTRY'!$F$7:$F$1203,'DAILY ENTRY'!$A$7:$A$1203,$A376,'DAILY ENTRY'!$B$7:$B$1203,$B376,'DAILY ENTRY'!$D$7:$D$1203,"Connection request sent"))</f>
        <v/>
      </c>
      <c r="F376" s="107" t="str">
        <f aca="false">IF($A376="","",SUMIFS('DAILY ENTRY'!$F$7:$F$1203,'DAILY ENTRY'!$A$7:$A$1203,$A376,'DAILY ENTRY'!$B$7:$B$1203,$B376,'DAILY ENTRY'!$D$7:$D$1203,"First message sent"))</f>
        <v/>
      </c>
      <c r="G376" s="107" t="str">
        <f aca="false">IF($A376="","",SUMIFS('DAILY ENTRY'!$F$7:$F$1203,'DAILY ENTRY'!$A$7:$A$1203,$A376,'DAILY ENTRY'!$B$7:$B$1203,$B376,'DAILY ENTRY'!$D$7:$D$1203,"Follow-up message sent"))</f>
        <v/>
      </c>
      <c r="H376" s="107" t="str">
        <f aca="false">IF($A376="","",SUMIFS('DAILY ENTRY'!$F$7:$F$1203,'DAILY ENTRY'!$A$7:$A$1203,$A376,'DAILY ENTRY'!$B$7:$B$1203,$B376,'DAILY ENTRY'!$D$7:$D$1203,"Post / content published"))</f>
        <v/>
      </c>
      <c r="I376" s="107" t="str">
        <f aca="false">IF($A376="","",SUMIFS('DAILY ENTRY'!$F$7:$F$1203,'DAILY ENTRY'!$A$7:$A$1203,$A376,'DAILY ENTRY'!$B$7:$B$1203,$B376,'DAILY ENTRY'!$D$7:$D$1203,"Community answer or comment"))</f>
        <v/>
      </c>
      <c r="J376" s="107" t="str">
        <f aca="false">IF($A376="","",SUMIFS('DAILY ENTRY'!$F$7:$F$1203,'DAILY ENTRY'!$A$7:$A$1203,$A376,'DAILY ENTRY'!$B$7:$B$1203,$B376,'DAILY ENTRY'!$D$7:$D$1203,"Partnership / PR contact"))</f>
        <v/>
      </c>
      <c r="K376" s="107" t="str">
        <f aca="false">IF($A376="","",SUMIFS('DAILY ENTRY'!$F$7:$F$1203,'DAILY ENTRY'!$A$7:$A$1203,$A376,'DAILY ENTRY'!$B$7:$B$1203,$B376,'DAILY ENTRY'!$D$7:$D$1203,"Engagement (commented on someone else)"))</f>
        <v/>
      </c>
      <c r="L376" s="107" t="str">
        <f aca="false">IF($A376="","",SUMIFS('DAILY ENTRY'!$F$7:$F$1203,'DAILY ENTRY'!$A$7:$A$1203,$A376,'DAILY ENTRY'!$B$7:$B$1203,$B376,'DAILY ENTRY'!$D$7:$D$1203,"Account created / profile completed"))</f>
        <v/>
      </c>
      <c r="M376" s="108" t="str">
        <f aca="false">IF($A376="","",IFERROR(INDEX('DAILY ENTRY'!$E$7:$E$1203,MATCH(1,INDEX(('DAILY ENTRY'!$A$7:$A$1203=$A376)*('DAILY ENTRY'!$B$7:$B$1203=$B376)*('DAILY ENTRY'!$I$7:$I$1203="Meeting booked"),0),0)),IFERROR(INDEX('DAILY ENTRY'!$E$7:$E$1203,MATCH(1,INDEX(('DAILY ENTRY'!$A$7:$A$1203=$A376)*('DAILY ENTRY'!$B$7:$B$1203=$B376)*('DAILY ENTRY'!$I$7:$I$1203="Positive reply"),0),0)),"")))</f>
        <v/>
      </c>
      <c r="N376" s="108" t="str">
        <f aca="false">IF($A376="","",IFERROR(INDEX('DAILY ENTRY'!$J$7:$J$1203,MATCH(1,INDEX(('DAILY ENTRY'!$A$7:$A$1203=$A376)*('DAILY ENTRY'!$B$7:$B$1203=$B376)*('DAILY ENTRY'!$I$7:$I$1203="Blocked"),0),0)),""))</f>
        <v/>
      </c>
      <c r="O376" s="65" t="str">
        <f aca="false">IF($A376="","",(D376&gt;='START HERE'!$B$25)+(E376&gt;='START HERE'!$B$26)+(F376&gt;='START HERE'!$B$27)+(G376&gt;='START HERE'!$B$28)+(H376&gt;='START HERE'!$B$29)+(I376&gt;='START HERE'!$B$30)+(J376&gt;='START HERE'!$B$31)+(K376&gt;='START HERE'!$B$32))</f>
        <v/>
      </c>
      <c r="P376" s="46" t="str">
        <f aca="false">IF($A376="","",IF(O376&gt;=7,"Full day",IF(O376&gt;=5,"Most targets met",IF(O376&gt;=3,"Half day","Below plan - explain in the blocker column"))))</f>
        <v/>
      </c>
    </row>
    <row r="377" customFormat="false" ht="24" hidden="false" customHeight="true" outlineLevel="0" collapsed="false">
      <c r="A377" s="36"/>
      <c r="B377" s="37"/>
      <c r="C377" s="107" t="str">
        <f aca="false">IF($A377="","",ROUND(SUMIFS('DAILY ENTRY'!$G$7:$G$1203,'DAILY ENTRY'!$A$7:$A$1203,$A377,'DAILY ENTRY'!$B$7:$B$1203,$B377)/60,1))</f>
        <v/>
      </c>
      <c r="D377" s="107" t="str">
        <f aca="false">IF($A377="","",SUMIFS('DAILY ENTRY'!$F$7:$F$1203,'DAILY ENTRY'!$A$7:$A$1203,$A377,'DAILY ENTRY'!$B$7:$B$1203,$B377,'DAILY ENTRY'!$D$7:$D$1203,"Lead researched (Sales Navigator)"))</f>
        <v/>
      </c>
      <c r="E377" s="107" t="str">
        <f aca="false">IF($A377="","",SUMIFS('DAILY ENTRY'!$F$7:$F$1203,'DAILY ENTRY'!$A$7:$A$1203,$A377,'DAILY ENTRY'!$B$7:$B$1203,$B377,'DAILY ENTRY'!$D$7:$D$1203,"Connection request sent"))</f>
        <v/>
      </c>
      <c r="F377" s="107" t="str">
        <f aca="false">IF($A377="","",SUMIFS('DAILY ENTRY'!$F$7:$F$1203,'DAILY ENTRY'!$A$7:$A$1203,$A377,'DAILY ENTRY'!$B$7:$B$1203,$B377,'DAILY ENTRY'!$D$7:$D$1203,"First message sent"))</f>
        <v/>
      </c>
      <c r="G377" s="107" t="str">
        <f aca="false">IF($A377="","",SUMIFS('DAILY ENTRY'!$F$7:$F$1203,'DAILY ENTRY'!$A$7:$A$1203,$A377,'DAILY ENTRY'!$B$7:$B$1203,$B377,'DAILY ENTRY'!$D$7:$D$1203,"Follow-up message sent"))</f>
        <v/>
      </c>
      <c r="H377" s="107" t="str">
        <f aca="false">IF($A377="","",SUMIFS('DAILY ENTRY'!$F$7:$F$1203,'DAILY ENTRY'!$A$7:$A$1203,$A377,'DAILY ENTRY'!$B$7:$B$1203,$B377,'DAILY ENTRY'!$D$7:$D$1203,"Post / content published"))</f>
        <v/>
      </c>
      <c r="I377" s="107" t="str">
        <f aca="false">IF($A377="","",SUMIFS('DAILY ENTRY'!$F$7:$F$1203,'DAILY ENTRY'!$A$7:$A$1203,$A377,'DAILY ENTRY'!$B$7:$B$1203,$B377,'DAILY ENTRY'!$D$7:$D$1203,"Community answer or comment"))</f>
        <v/>
      </c>
      <c r="J377" s="107" t="str">
        <f aca="false">IF($A377="","",SUMIFS('DAILY ENTRY'!$F$7:$F$1203,'DAILY ENTRY'!$A$7:$A$1203,$A377,'DAILY ENTRY'!$B$7:$B$1203,$B377,'DAILY ENTRY'!$D$7:$D$1203,"Partnership / PR contact"))</f>
        <v/>
      </c>
      <c r="K377" s="107" t="str">
        <f aca="false">IF($A377="","",SUMIFS('DAILY ENTRY'!$F$7:$F$1203,'DAILY ENTRY'!$A$7:$A$1203,$A377,'DAILY ENTRY'!$B$7:$B$1203,$B377,'DAILY ENTRY'!$D$7:$D$1203,"Engagement (commented on someone else)"))</f>
        <v/>
      </c>
      <c r="L377" s="107" t="str">
        <f aca="false">IF($A377="","",SUMIFS('DAILY ENTRY'!$F$7:$F$1203,'DAILY ENTRY'!$A$7:$A$1203,$A377,'DAILY ENTRY'!$B$7:$B$1203,$B377,'DAILY ENTRY'!$D$7:$D$1203,"Account created / profile completed"))</f>
        <v/>
      </c>
      <c r="M377" s="108" t="str">
        <f aca="false">IF($A377="","",IFERROR(INDEX('DAILY ENTRY'!$E$7:$E$1203,MATCH(1,INDEX(('DAILY ENTRY'!$A$7:$A$1203=$A377)*('DAILY ENTRY'!$B$7:$B$1203=$B377)*('DAILY ENTRY'!$I$7:$I$1203="Meeting booked"),0),0)),IFERROR(INDEX('DAILY ENTRY'!$E$7:$E$1203,MATCH(1,INDEX(('DAILY ENTRY'!$A$7:$A$1203=$A377)*('DAILY ENTRY'!$B$7:$B$1203=$B377)*('DAILY ENTRY'!$I$7:$I$1203="Positive reply"),0),0)),"")))</f>
        <v/>
      </c>
      <c r="N377" s="108" t="str">
        <f aca="false">IF($A377="","",IFERROR(INDEX('DAILY ENTRY'!$J$7:$J$1203,MATCH(1,INDEX(('DAILY ENTRY'!$A$7:$A$1203=$A377)*('DAILY ENTRY'!$B$7:$B$1203=$B377)*('DAILY ENTRY'!$I$7:$I$1203="Blocked"),0),0)),""))</f>
        <v/>
      </c>
      <c r="O377" s="65" t="str">
        <f aca="false">IF($A377="","",(D377&gt;='START HERE'!$B$25)+(E377&gt;='START HERE'!$B$26)+(F377&gt;='START HERE'!$B$27)+(G377&gt;='START HERE'!$B$28)+(H377&gt;='START HERE'!$B$29)+(I377&gt;='START HERE'!$B$30)+(J377&gt;='START HERE'!$B$31)+(K377&gt;='START HERE'!$B$32))</f>
        <v/>
      </c>
      <c r="P377" s="46" t="str">
        <f aca="false">IF($A377="","",IF(O377&gt;=7,"Full day",IF(O377&gt;=5,"Most targets met",IF(O377&gt;=3,"Half day","Below plan - explain in the blocker column"))))</f>
        <v/>
      </c>
    </row>
    <row r="378" customFormat="false" ht="24" hidden="false" customHeight="true" outlineLevel="0" collapsed="false">
      <c r="A378" s="36"/>
      <c r="B378" s="37"/>
      <c r="C378" s="107" t="str">
        <f aca="false">IF($A378="","",ROUND(SUMIFS('DAILY ENTRY'!$G$7:$G$1203,'DAILY ENTRY'!$A$7:$A$1203,$A378,'DAILY ENTRY'!$B$7:$B$1203,$B378)/60,1))</f>
        <v/>
      </c>
      <c r="D378" s="107" t="str">
        <f aca="false">IF($A378="","",SUMIFS('DAILY ENTRY'!$F$7:$F$1203,'DAILY ENTRY'!$A$7:$A$1203,$A378,'DAILY ENTRY'!$B$7:$B$1203,$B378,'DAILY ENTRY'!$D$7:$D$1203,"Lead researched (Sales Navigator)"))</f>
        <v/>
      </c>
      <c r="E378" s="107" t="str">
        <f aca="false">IF($A378="","",SUMIFS('DAILY ENTRY'!$F$7:$F$1203,'DAILY ENTRY'!$A$7:$A$1203,$A378,'DAILY ENTRY'!$B$7:$B$1203,$B378,'DAILY ENTRY'!$D$7:$D$1203,"Connection request sent"))</f>
        <v/>
      </c>
      <c r="F378" s="107" t="str">
        <f aca="false">IF($A378="","",SUMIFS('DAILY ENTRY'!$F$7:$F$1203,'DAILY ENTRY'!$A$7:$A$1203,$A378,'DAILY ENTRY'!$B$7:$B$1203,$B378,'DAILY ENTRY'!$D$7:$D$1203,"First message sent"))</f>
        <v/>
      </c>
      <c r="G378" s="107" t="str">
        <f aca="false">IF($A378="","",SUMIFS('DAILY ENTRY'!$F$7:$F$1203,'DAILY ENTRY'!$A$7:$A$1203,$A378,'DAILY ENTRY'!$B$7:$B$1203,$B378,'DAILY ENTRY'!$D$7:$D$1203,"Follow-up message sent"))</f>
        <v/>
      </c>
      <c r="H378" s="107" t="str">
        <f aca="false">IF($A378="","",SUMIFS('DAILY ENTRY'!$F$7:$F$1203,'DAILY ENTRY'!$A$7:$A$1203,$A378,'DAILY ENTRY'!$B$7:$B$1203,$B378,'DAILY ENTRY'!$D$7:$D$1203,"Post / content published"))</f>
        <v/>
      </c>
      <c r="I378" s="107" t="str">
        <f aca="false">IF($A378="","",SUMIFS('DAILY ENTRY'!$F$7:$F$1203,'DAILY ENTRY'!$A$7:$A$1203,$A378,'DAILY ENTRY'!$B$7:$B$1203,$B378,'DAILY ENTRY'!$D$7:$D$1203,"Community answer or comment"))</f>
        <v/>
      </c>
      <c r="J378" s="107" t="str">
        <f aca="false">IF($A378="","",SUMIFS('DAILY ENTRY'!$F$7:$F$1203,'DAILY ENTRY'!$A$7:$A$1203,$A378,'DAILY ENTRY'!$B$7:$B$1203,$B378,'DAILY ENTRY'!$D$7:$D$1203,"Partnership / PR contact"))</f>
        <v/>
      </c>
      <c r="K378" s="107" t="str">
        <f aca="false">IF($A378="","",SUMIFS('DAILY ENTRY'!$F$7:$F$1203,'DAILY ENTRY'!$A$7:$A$1203,$A378,'DAILY ENTRY'!$B$7:$B$1203,$B378,'DAILY ENTRY'!$D$7:$D$1203,"Engagement (commented on someone else)"))</f>
        <v/>
      </c>
      <c r="L378" s="107" t="str">
        <f aca="false">IF($A378="","",SUMIFS('DAILY ENTRY'!$F$7:$F$1203,'DAILY ENTRY'!$A$7:$A$1203,$A378,'DAILY ENTRY'!$B$7:$B$1203,$B378,'DAILY ENTRY'!$D$7:$D$1203,"Account created / profile completed"))</f>
        <v/>
      </c>
      <c r="M378" s="108" t="str">
        <f aca="false">IF($A378="","",IFERROR(INDEX('DAILY ENTRY'!$E$7:$E$1203,MATCH(1,INDEX(('DAILY ENTRY'!$A$7:$A$1203=$A378)*('DAILY ENTRY'!$B$7:$B$1203=$B378)*('DAILY ENTRY'!$I$7:$I$1203="Meeting booked"),0),0)),IFERROR(INDEX('DAILY ENTRY'!$E$7:$E$1203,MATCH(1,INDEX(('DAILY ENTRY'!$A$7:$A$1203=$A378)*('DAILY ENTRY'!$B$7:$B$1203=$B378)*('DAILY ENTRY'!$I$7:$I$1203="Positive reply"),0),0)),"")))</f>
        <v/>
      </c>
      <c r="N378" s="108" t="str">
        <f aca="false">IF($A378="","",IFERROR(INDEX('DAILY ENTRY'!$J$7:$J$1203,MATCH(1,INDEX(('DAILY ENTRY'!$A$7:$A$1203=$A378)*('DAILY ENTRY'!$B$7:$B$1203=$B378)*('DAILY ENTRY'!$I$7:$I$1203="Blocked"),0),0)),""))</f>
        <v/>
      </c>
      <c r="O378" s="65" t="str">
        <f aca="false">IF($A378="","",(D378&gt;='START HERE'!$B$25)+(E378&gt;='START HERE'!$B$26)+(F378&gt;='START HERE'!$B$27)+(G378&gt;='START HERE'!$B$28)+(H378&gt;='START HERE'!$B$29)+(I378&gt;='START HERE'!$B$30)+(J378&gt;='START HERE'!$B$31)+(K378&gt;='START HERE'!$B$32))</f>
        <v/>
      </c>
      <c r="P378" s="46" t="str">
        <f aca="false">IF($A378="","",IF(O378&gt;=7,"Full day",IF(O378&gt;=5,"Most targets met",IF(O378&gt;=3,"Half day","Below plan - explain in the blocker column"))))</f>
        <v/>
      </c>
    </row>
    <row r="379" customFormat="false" ht="24" hidden="false" customHeight="true" outlineLevel="0" collapsed="false">
      <c r="A379" s="36"/>
      <c r="B379" s="37"/>
      <c r="C379" s="107" t="str">
        <f aca="false">IF($A379="","",ROUND(SUMIFS('DAILY ENTRY'!$G$7:$G$1203,'DAILY ENTRY'!$A$7:$A$1203,$A379,'DAILY ENTRY'!$B$7:$B$1203,$B379)/60,1))</f>
        <v/>
      </c>
      <c r="D379" s="107" t="str">
        <f aca="false">IF($A379="","",SUMIFS('DAILY ENTRY'!$F$7:$F$1203,'DAILY ENTRY'!$A$7:$A$1203,$A379,'DAILY ENTRY'!$B$7:$B$1203,$B379,'DAILY ENTRY'!$D$7:$D$1203,"Lead researched (Sales Navigator)"))</f>
        <v/>
      </c>
      <c r="E379" s="107" t="str">
        <f aca="false">IF($A379="","",SUMIFS('DAILY ENTRY'!$F$7:$F$1203,'DAILY ENTRY'!$A$7:$A$1203,$A379,'DAILY ENTRY'!$B$7:$B$1203,$B379,'DAILY ENTRY'!$D$7:$D$1203,"Connection request sent"))</f>
        <v/>
      </c>
      <c r="F379" s="107" t="str">
        <f aca="false">IF($A379="","",SUMIFS('DAILY ENTRY'!$F$7:$F$1203,'DAILY ENTRY'!$A$7:$A$1203,$A379,'DAILY ENTRY'!$B$7:$B$1203,$B379,'DAILY ENTRY'!$D$7:$D$1203,"First message sent"))</f>
        <v/>
      </c>
      <c r="G379" s="107" t="str">
        <f aca="false">IF($A379="","",SUMIFS('DAILY ENTRY'!$F$7:$F$1203,'DAILY ENTRY'!$A$7:$A$1203,$A379,'DAILY ENTRY'!$B$7:$B$1203,$B379,'DAILY ENTRY'!$D$7:$D$1203,"Follow-up message sent"))</f>
        <v/>
      </c>
      <c r="H379" s="107" t="str">
        <f aca="false">IF($A379="","",SUMIFS('DAILY ENTRY'!$F$7:$F$1203,'DAILY ENTRY'!$A$7:$A$1203,$A379,'DAILY ENTRY'!$B$7:$B$1203,$B379,'DAILY ENTRY'!$D$7:$D$1203,"Post / content published"))</f>
        <v/>
      </c>
      <c r="I379" s="107" t="str">
        <f aca="false">IF($A379="","",SUMIFS('DAILY ENTRY'!$F$7:$F$1203,'DAILY ENTRY'!$A$7:$A$1203,$A379,'DAILY ENTRY'!$B$7:$B$1203,$B379,'DAILY ENTRY'!$D$7:$D$1203,"Community answer or comment"))</f>
        <v/>
      </c>
      <c r="J379" s="107" t="str">
        <f aca="false">IF($A379="","",SUMIFS('DAILY ENTRY'!$F$7:$F$1203,'DAILY ENTRY'!$A$7:$A$1203,$A379,'DAILY ENTRY'!$B$7:$B$1203,$B379,'DAILY ENTRY'!$D$7:$D$1203,"Partnership / PR contact"))</f>
        <v/>
      </c>
      <c r="K379" s="107" t="str">
        <f aca="false">IF($A379="","",SUMIFS('DAILY ENTRY'!$F$7:$F$1203,'DAILY ENTRY'!$A$7:$A$1203,$A379,'DAILY ENTRY'!$B$7:$B$1203,$B379,'DAILY ENTRY'!$D$7:$D$1203,"Engagement (commented on someone else)"))</f>
        <v/>
      </c>
      <c r="L379" s="107" t="str">
        <f aca="false">IF($A379="","",SUMIFS('DAILY ENTRY'!$F$7:$F$1203,'DAILY ENTRY'!$A$7:$A$1203,$A379,'DAILY ENTRY'!$B$7:$B$1203,$B379,'DAILY ENTRY'!$D$7:$D$1203,"Account created / profile completed"))</f>
        <v/>
      </c>
      <c r="M379" s="108" t="str">
        <f aca="false">IF($A379="","",IFERROR(INDEX('DAILY ENTRY'!$E$7:$E$1203,MATCH(1,INDEX(('DAILY ENTRY'!$A$7:$A$1203=$A379)*('DAILY ENTRY'!$B$7:$B$1203=$B379)*('DAILY ENTRY'!$I$7:$I$1203="Meeting booked"),0),0)),IFERROR(INDEX('DAILY ENTRY'!$E$7:$E$1203,MATCH(1,INDEX(('DAILY ENTRY'!$A$7:$A$1203=$A379)*('DAILY ENTRY'!$B$7:$B$1203=$B379)*('DAILY ENTRY'!$I$7:$I$1203="Positive reply"),0),0)),"")))</f>
        <v/>
      </c>
      <c r="N379" s="108" t="str">
        <f aca="false">IF($A379="","",IFERROR(INDEX('DAILY ENTRY'!$J$7:$J$1203,MATCH(1,INDEX(('DAILY ENTRY'!$A$7:$A$1203=$A379)*('DAILY ENTRY'!$B$7:$B$1203=$B379)*('DAILY ENTRY'!$I$7:$I$1203="Blocked"),0),0)),""))</f>
        <v/>
      </c>
      <c r="O379" s="65" t="str">
        <f aca="false">IF($A379="","",(D379&gt;='START HERE'!$B$25)+(E379&gt;='START HERE'!$B$26)+(F379&gt;='START HERE'!$B$27)+(G379&gt;='START HERE'!$B$28)+(H379&gt;='START HERE'!$B$29)+(I379&gt;='START HERE'!$B$30)+(J379&gt;='START HERE'!$B$31)+(K379&gt;='START HERE'!$B$32))</f>
        <v/>
      </c>
      <c r="P379" s="46" t="str">
        <f aca="false">IF($A379="","",IF(O379&gt;=7,"Full day",IF(O379&gt;=5,"Most targets met",IF(O379&gt;=3,"Half day","Below plan - explain in the blocker column"))))</f>
        <v/>
      </c>
    </row>
    <row r="380" customFormat="false" ht="24" hidden="false" customHeight="true" outlineLevel="0" collapsed="false">
      <c r="A380" s="36"/>
      <c r="B380" s="37"/>
      <c r="C380" s="107" t="str">
        <f aca="false">IF($A380="","",ROUND(SUMIFS('DAILY ENTRY'!$G$7:$G$1203,'DAILY ENTRY'!$A$7:$A$1203,$A380,'DAILY ENTRY'!$B$7:$B$1203,$B380)/60,1))</f>
        <v/>
      </c>
      <c r="D380" s="107" t="str">
        <f aca="false">IF($A380="","",SUMIFS('DAILY ENTRY'!$F$7:$F$1203,'DAILY ENTRY'!$A$7:$A$1203,$A380,'DAILY ENTRY'!$B$7:$B$1203,$B380,'DAILY ENTRY'!$D$7:$D$1203,"Lead researched (Sales Navigator)"))</f>
        <v/>
      </c>
      <c r="E380" s="107" t="str">
        <f aca="false">IF($A380="","",SUMIFS('DAILY ENTRY'!$F$7:$F$1203,'DAILY ENTRY'!$A$7:$A$1203,$A380,'DAILY ENTRY'!$B$7:$B$1203,$B380,'DAILY ENTRY'!$D$7:$D$1203,"Connection request sent"))</f>
        <v/>
      </c>
      <c r="F380" s="107" t="str">
        <f aca="false">IF($A380="","",SUMIFS('DAILY ENTRY'!$F$7:$F$1203,'DAILY ENTRY'!$A$7:$A$1203,$A380,'DAILY ENTRY'!$B$7:$B$1203,$B380,'DAILY ENTRY'!$D$7:$D$1203,"First message sent"))</f>
        <v/>
      </c>
      <c r="G380" s="107" t="str">
        <f aca="false">IF($A380="","",SUMIFS('DAILY ENTRY'!$F$7:$F$1203,'DAILY ENTRY'!$A$7:$A$1203,$A380,'DAILY ENTRY'!$B$7:$B$1203,$B380,'DAILY ENTRY'!$D$7:$D$1203,"Follow-up message sent"))</f>
        <v/>
      </c>
      <c r="H380" s="107" t="str">
        <f aca="false">IF($A380="","",SUMIFS('DAILY ENTRY'!$F$7:$F$1203,'DAILY ENTRY'!$A$7:$A$1203,$A380,'DAILY ENTRY'!$B$7:$B$1203,$B380,'DAILY ENTRY'!$D$7:$D$1203,"Post / content published"))</f>
        <v/>
      </c>
      <c r="I380" s="107" t="str">
        <f aca="false">IF($A380="","",SUMIFS('DAILY ENTRY'!$F$7:$F$1203,'DAILY ENTRY'!$A$7:$A$1203,$A380,'DAILY ENTRY'!$B$7:$B$1203,$B380,'DAILY ENTRY'!$D$7:$D$1203,"Community answer or comment"))</f>
        <v/>
      </c>
      <c r="J380" s="107" t="str">
        <f aca="false">IF($A380="","",SUMIFS('DAILY ENTRY'!$F$7:$F$1203,'DAILY ENTRY'!$A$7:$A$1203,$A380,'DAILY ENTRY'!$B$7:$B$1203,$B380,'DAILY ENTRY'!$D$7:$D$1203,"Partnership / PR contact"))</f>
        <v/>
      </c>
      <c r="K380" s="107" t="str">
        <f aca="false">IF($A380="","",SUMIFS('DAILY ENTRY'!$F$7:$F$1203,'DAILY ENTRY'!$A$7:$A$1203,$A380,'DAILY ENTRY'!$B$7:$B$1203,$B380,'DAILY ENTRY'!$D$7:$D$1203,"Engagement (commented on someone else)"))</f>
        <v/>
      </c>
      <c r="L380" s="107" t="str">
        <f aca="false">IF($A380="","",SUMIFS('DAILY ENTRY'!$F$7:$F$1203,'DAILY ENTRY'!$A$7:$A$1203,$A380,'DAILY ENTRY'!$B$7:$B$1203,$B380,'DAILY ENTRY'!$D$7:$D$1203,"Account created / profile completed"))</f>
        <v/>
      </c>
      <c r="M380" s="108" t="str">
        <f aca="false">IF($A380="","",IFERROR(INDEX('DAILY ENTRY'!$E$7:$E$1203,MATCH(1,INDEX(('DAILY ENTRY'!$A$7:$A$1203=$A380)*('DAILY ENTRY'!$B$7:$B$1203=$B380)*('DAILY ENTRY'!$I$7:$I$1203="Meeting booked"),0),0)),IFERROR(INDEX('DAILY ENTRY'!$E$7:$E$1203,MATCH(1,INDEX(('DAILY ENTRY'!$A$7:$A$1203=$A380)*('DAILY ENTRY'!$B$7:$B$1203=$B380)*('DAILY ENTRY'!$I$7:$I$1203="Positive reply"),0),0)),"")))</f>
        <v/>
      </c>
      <c r="N380" s="108" t="str">
        <f aca="false">IF($A380="","",IFERROR(INDEX('DAILY ENTRY'!$J$7:$J$1203,MATCH(1,INDEX(('DAILY ENTRY'!$A$7:$A$1203=$A380)*('DAILY ENTRY'!$B$7:$B$1203=$B380)*('DAILY ENTRY'!$I$7:$I$1203="Blocked"),0),0)),""))</f>
        <v/>
      </c>
      <c r="O380" s="65" t="str">
        <f aca="false">IF($A380="","",(D380&gt;='START HERE'!$B$25)+(E380&gt;='START HERE'!$B$26)+(F380&gt;='START HERE'!$B$27)+(G380&gt;='START HERE'!$B$28)+(H380&gt;='START HERE'!$B$29)+(I380&gt;='START HERE'!$B$30)+(J380&gt;='START HERE'!$B$31)+(K380&gt;='START HERE'!$B$32))</f>
        <v/>
      </c>
      <c r="P380" s="46" t="str">
        <f aca="false">IF($A380="","",IF(O380&gt;=7,"Full day",IF(O380&gt;=5,"Most targets met",IF(O380&gt;=3,"Half day","Below plan - explain in the blocker column"))))</f>
        <v/>
      </c>
    </row>
    <row r="381" customFormat="false" ht="24" hidden="false" customHeight="true" outlineLevel="0" collapsed="false">
      <c r="A381" s="36"/>
      <c r="B381" s="37"/>
      <c r="C381" s="107" t="str">
        <f aca="false">IF($A381="","",ROUND(SUMIFS('DAILY ENTRY'!$G$7:$G$1203,'DAILY ENTRY'!$A$7:$A$1203,$A381,'DAILY ENTRY'!$B$7:$B$1203,$B381)/60,1))</f>
        <v/>
      </c>
      <c r="D381" s="107" t="str">
        <f aca="false">IF($A381="","",SUMIFS('DAILY ENTRY'!$F$7:$F$1203,'DAILY ENTRY'!$A$7:$A$1203,$A381,'DAILY ENTRY'!$B$7:$B$1203,$B381,'DAILY ENTRY'!$D$7:$D$1203,"Lead researched (Sales Navigator)"))</f>
        <v/>
      </c>
      <c r="E381" s="107" t="str">
        <f aca="false">IF($A381="","",SUMIFS('DAILY ENTRY'!$F$7:$F$1203,'DAILY ENTRY'!$A$7:$A$1203,$A381,'DAILY ENTRY'!$B$7:$B$1203,$B381,'DAILY ENTRY'!$D$7:$D$1203,"Connection request sent"))</f>
        <v/>
      </c>
      <c r="F381" s="107" t="str">
        <f aca="false">IF($A381="","",SUMIFS('DAILY ENTRY'!$F$7:$F$1203,'DAILY ENTRY'!$A$7:$A$1203,$A381,'DAILY ENTRY'!$B$7:$B$1203,$B381,'DAILY ENTRY'!$D$7:$D$1203,"First message sent"))</f>
        <v/>
      </c>
      <c r="G381" s="107" t="str">
        <f aca="false">IF($A381="","",SUMIFS('DAILY ENTRY'!$F$7:$F$1203,'DAILY ENTRY'!$A$7:$A$1203,$A381,'DAILY ENTRY'!$B$7:$B$1203,$B381,'DAILY ENTRY'!$D$7:$D$1203,"Follow-up message sent"))</f>
        <v/>
      </c>
      <c r="H381" s="107" t="str">
        <f aca="false">IF($A381="","",SUMIFS('DAILY ENTRY'!$F$7:$F$1203,'DAILY ENTRY'!$A$7:$A$1203,$A381,'DAILY ENTRY'!$B$7:$B$1203,$B381,'DAILY ENTRY'!$D$7:$D$1203,"Post / content published"))</f>
        <v/>
      </c>
      <c r="I381" s="107" t="str">
        <f aca="false">IF($A381="","",SUMIFS('DAILY ENTRY'!$F$7:$F$1203,'DAILY ENTRY'!$A$7:$A$1203,$A381,'DAILY ENTRY'!$B$7:$B$1203,$B381,'DAILY ENTRY'!$D$7:$D$1203,"Community answer or comment"))</f>
        <v/>
      </c>
      <c r="J381" s="107" t="str">
        <f aca="false">IF($A381="","",SUMIFS('DAILY ENTRY'!$F$7:$F$1203,'DAILY ENTRY'!$A$7:$A$1203,$A381,'DAILY ENTRY'!$B$7:$B$1203,$B381,'DAILY ENTRY'!$D$7:$D$1203,"Partnership / PR contact"))</f>
        <v/>
      </c>
      <c r="K381" s="107" t="str">
        <f aca="false">IF($A381="","",SUMIFS('DAILY ENTRY'!$F$7:$F$1203,'DAILY ENTRY'!$A$7:$A$1203,$A381,'DAILY ENTRY'!$B$7:$B$1203,$B381,'DAILY ENTRY'!$D$7:$D$1203,"Engagement (commented on someone else)"))</f>
        <v/>
      </c>
      <c r="L381" s="107" t="str">
        <f aca="false">IF($A381="","",SUMIFS('DAILY ENTRY'!$F$7:$F$1203,'DAILY ENTRY'!$A$7:$A$1203,$A381,'DAILY ENTRY'!$B$7:$B$1203,$B381,'DAILY ENTRY'!$D$7:$D$1203,"Account created / profile completed"))</f>
        <v/>
      </c>
      <c r="M381" s="108" t="str">
        <f aca="false">IF($A381="","",IFERROR(INDEX('DAILY ENTRY'!$E$7:$E$1203,MATCH(1,INDEX(('DAILY ENTRY'!$A$7:$A$1203=$A381)*('DAILY ENTRY'!$B$7:$B$1203=$B381)*('DAILY ENTRY'!$I$7:$I$1203="Meeting booked"),0),0)),IFERROR(INDEX('DAILY ENTRY'!$E$7:$E$1203,MATCH(1,INDEX(('DAILY ENTRY'!$A$7:$A$1203=$A381)*('DAILY ENTRY'!$B$7:$B$1203=$B381)*('DAILY ENTRY'!$I$7:$I$1203="Positive reply"),0),0)),"")))</f>
        <v/>
      </c>
      <c r="N381" s="108" t="str">
        <f aca="false">IF($A381="","",IFERROR(INDEX('DAILY ENTRY'!$J$7:$J$1203,MATCH(1,INDEX(('DAILY ENTRY'!$A$7:$A$1203=$A381)*('DAILY ENTRY'!$B$7:$B$1203=$B381)*('DAILY ENTRY'!$I$7:$I$1203="Blocked"),0),0)),""))</f>
        <v/>
      </c>
      <c r="O381" s="65" t="str">
        <f aca="false">IF($A381="","",(D381&gt;='START HERE'!$B$25)+(E381&gt;='START HERE'!$B$26)+(F381&gt;='START HERE'!$B$27)+(G381&gt;='START HERE'!$B$28)+(H381&gt;='START HERE'!$B$29)+(I381&gt;='START HERE'!$B$30)+(J381&gt;='START HERE'!$B$31)+(K381&gt;='START HERE'!$B$32))</f>
        <v/>
      </c>
      <c r="P381" s="46" t="str">
        <f aca="false">IF($A381="","",IF(O381&gt;=7,"Full day",IF(O381&gt;=5,"Most targets met",IF(O381&gt;=3,"Half day","Below plan - explain in the blocker column"))))</f>
        <v/>
      </c>
    </row>
    <row r="382" customFormat="false" ht="24" hidden="false" customHeight="true" outlineLevel="0" collapsed="false">
      <c r="A382" s="36"/>
      <c r="B382" s="37"/>
      <c r="C382" s="107" t="str">
        <f aca="false">IF($A382="","",ROUND(SUMIFS('DAILY ENTRY'!$G$7:$G$1203,'DAILY ENTRY'!$A$7:$A$1203,$A382,'DAILY ENTRY'!$B$7:$B$1203,$B382)/60,1))</f>
        <v/>
      </c>
      <c r="D382" s="107" t="str">
        <f aca="false">IF($A382="","",SUMIFS('DAILY ENTRY'!$F$7:$F$1203,'DAILY ENTRY'!$A$7:$A$1203,$A382,'DAILY ENTRY'!$B$7:$B$1203,$B382,'DAILY ENTRY'!$D$7:$D$1203,"Lead researched (Sales Navigator)"))</f>
        <v/>
      </c>
      <c r="E382" s="107" t="str">
        <f aca="false">IF($A382="","",SUMIFS('DAILY ENTRY'!$F$7:$F$1203,'DAILY ENTRY'!$A$7:$A$1203,$A382,'DAILY ENTRY'!$B$7:$B$1203,$B382,'DAILY ENTRY'!$D$7:$D$1203,"Connection request sent"))</f>
        <v/>
      </c>
      <c r="F382" s="107" t="str">
        <f aca="false">IF($A382="","",SUMIFS('DAILY ENTRY'!$F$7:$F$1203,'DAILY ENTRY'!$A$7:$A$1203,$A382,'DAILY ENTRY'!$B$7:$B$1203,$B382,'DAILY ENTRY'!$D$7:$D$1203,"First message sent"))</f>
        <v/>
      </c>
      <c r="G382" s="107" t="str">
        <f aca="false">IF($A382="","",SUMIFS('DAILY ENTRY'!$F$7:$F$1203,'DAILY ENTRY'!$A$7:$A$1203,$A382,'DAILY ENTRY'!$B$7:$B$1203,$B382,'DAILY ENTRY'!$D$7:$D$1203,"Follow-up message sent"))</f>
        <v/>
      </c>
      <c r="H382" s="107" t="str">
        <f aca="false">IF($A382="","",SUMIFS('DAILY ENTRY'!$F$7:$F$1203,'DAILY ENTRY'!$A$7:$A$1203,$A382,'DAILY ENTRY'!$B$7:$B$1203,$B382,'DAILY ENTRY'!$D$7:$D$1203,"Post / content published"))</f>
        <v/>
      </c>
      <c r="I382" s="107" t="str">
        <f aca="false">IF($A382="","",SUMIFS('DAILY ENTRY'!$F$7:$F$1203,'DAILY ENTRY'!$A$7:$A$1203,$A382,'DAILY ENTRY'!$B$7:$B$1203,$B382,'DAILY ENTRY'!$D$7:$D$1203,"Community answer or comment"))</f>
        <v/>
      </c>
      <c r="J382" s="107" t="str">
        <f aca="false">IF($A382="","",SUMIFS('DAILY ENTRY'!$F$7:$F$1203,'DAILY ENTRY'!$A$7:$A$1203,$A382,'DAILY ENTRY'!$B$7:$B$1203,$B382,'DAILY ENTRY'!$D$7:$D$1203,"Partnership / PR contact"))</f>
        <v/>
      </c>
      <c r="K382" s="107" t="str">
        <f aca="false">IF($A382="","",SUMIFS('DAILY ENTRY'!$F$7:$F$1203,'DAILY ENTRY'!$A$7:$A$1203,$A382,'DAILY ENTRY'!$B$7:$B$1203,$B382,'DAILY ENTRY'!$D$7:$D$1203,"Engagement (commented on someone else)"))</f>
        <v/>
      </c>
      <c r="L382" s="107" t="str">
        <f aca="false">IF($A382="","",SUMIFS('DAILY ENTRY'!$F$7:$F$1203,'DAILY ENTRY'!$A$7:$A$1203,$A382,'DAILY ENTRY'!$B$7:$B$1203,$B382,'DAILY ENTRY'!$D$7:$D$1203,"Account created / profile completed"))</f>
        <v/>
      </c>
      <c r="M382" s="108" t="str">
        <f aca="false">IF($A382="","",IFERROR(INDEX('DAILY ENTRY'!$E$7:$E$1203,MATCH(1,INDEX(('DAILY ENTRY'!$A$7:$A$1203=$A382)*('DAILY ENTRY'!$B$7:$B$1203=$B382)*('DAILY ENTRY'!$I$7:$I$1203="Meeting booked"),0),0)),IFERROR(INDEX('DAILY ENTRY'!$E$7:$E$1203,MATCH(1,INDEX(('DAILY ENTRY'!$A$7:$A$1203=$A382)*('DAILY ENTRY'!$B$7:$B$1203=$B382)*('DAILY ENTRY'!$I$7:$I$1203="Positive reply"),0),0)),"")))</f>
        <v/>
      </c>
      <c r="N382" s="108" t="str">
        <f aca="false">IF($A382="","",IFERROR(INDEX('DAILY ENTRY'!$J$7:$J$1203,MATCH(1,INDEX(('DAILY ENTRY'!$A$7:$A$1203=$A382)*('DAILY ENTRY'!$B$7:$B$1203=$B382)*('DAILY ENTRY'!$I$7:$I$1203="Blocked"),0),0)),""))</f>
        <v/>
      </c>
      <c r="O382" s="65" t="str">
        <f aca="false">IF($A382="","",(D382&gt;='START HERE'!$B$25)+(E382&gt;='START HERE'!$B$26)+(F382&gt;='START HERE'!$B$27)+(G382&gt;='START HERE'!$B$28)+(H382&gt;='START HERE'!$B$29)+(I382&gt;='START HERE'!$B$30)+(J382&gt;='START HERE'!$B$31)+(K382&gt;='START HERE'!$B$32))</f>
        <v/>
      </c>
      <c r="P382" s="46" t="str">
        <f aca="false">IF($A382="","",IF(O382&gt;=7,"Full day",IF(O382&gt;=5,"Most targets met",IF(O382&gt;=3,"Half day","Below plan - explain in the blocker column"))))</f>
        <v/>
      </c>
    </row>
    <row r="383" customFormat="false" ht="24" hidden="false" customHeight="true" outlineLevel="0" collapsed="false">
      <c r="A383" s="36"/>
      <c r="B383" s="37"/>
      <c r="C383" s="107" t="str">
        <f aca="false">IF($A383="","",ROUND(SUMIFS('DAILY ENTRY'!$G$7:$G$1203,'DAILY ENTRY'!$A$7:$A$1203,$A383,'DAILY ENTRY'!$B$7:$B$1203,$B383)/60,1))</f>
        <v/>
      </c>
      <c r="D383" s="107" t="str">
        <f aca="false">IF($A383="","",SUMIFS('DAILY ENTRY'!$F$7:$F$1203,'DAILY ENTRY'!$A$7:$A$1203,$A383,'DAILY ENTRY'!$B$7:$B$1203,$B383,'DAILY ENTRY'!$D$7:$D$1203,"Lead researched (Sales Navigator)"))</f>
        <v/>
      </c>
      <c r="E383" s="107" t="str">
        <f aca="false">IF($A383="","",SUMIFS('DAILY ENTRY'!$F$7:$F$1203,'DAILY ENTRY'!$A$7:$A$1203,$A383,'DAILY ENTRY'!$B$7:$B$1203,$B383,'DAILY ENTRY'!$D$7:$D$1203,"Connection request sent"))</f>
        <v/>
      </c>
      <c r="F383" s="107" t="str">
        <f aca="false">IF($A383="","",SUMIFS('DAILY ENTRY'!$F$7:$F$1203,'DAILY ENTRY'!$A$7:$A$1203,$A383,'DAILY ENTRY'!$B$7:$B$1203,$B383,'DAILY ENTRY'!$D$7:$D$1203,"First message sent"))</f>
        <v/>
      </c>
      <c r="G383" s="107" t="str">
        <f aca="false">IF($A383="","",SUMIFS('DAILY ENTRY'!$F$7:$F$1203,'DAILY ENTRY'!$A$7:$A$1203,$A383,'DAILY ENTRY'!$B$7:$B$1203,$B383,'DAILY ENTRY'!$D$7:$D$1203,"Follow-up message sent"))</f>
        <v/>
      </c>
      <c r="H383" s="107" t="str">
        <f aca="false">IF($A383="","",SUMIFS('DAILY ENTRY'!$F$7:$F$1203,'DAILY ENTRY'!$A$7:$A$1203,$A383,'DAILY ENTRY'!$B$7:$B$1203,$B383,'DAILY ENTRY'!$D$7:$D$1203,"Post / content published"))</f>
        <v/>
      </c>
      <c r="I383" s="107" t="str">
        <f aca="false">IF($A383="","",SUMIFS('DAILY ENTRY'!$F$7:$F$1203,'DAILY ENTRY'!$A$7:$A$1203,$A383,'DAILY ENTRY'!$B$7:$B$1203,$B383,'DAILY ENTRY'!$D$7:$D$1203,"Community answer or comment"))</f>
        <v/>
      </c>
      <c r="J383" s="107" t="str">
        <f aca="false">IF($A383="","",SUMIFS('DAILY ENTRY'!$F$7:$F$1203,'DAILY ENTRY'!$A$7:$A$1203,$A383,'DAILY ENTRY'!$B$7:$B$1203,$B383,'DAILY ENTRY'!$D$7:$D$1203,"Partnership / PR contact"))</f>
        <v/>
      </c>
      <c r="K383" s="107" t="str">
        <f aca="false">IF($A383="","",SUMIFS('DAILY ENTRY'!$F$7:$F$1203,'DAILY ENTRY'!$A$7:$A$1203,$A383,'DAILY ENTRY'!$B$7:$B$1203,$B383,'DAILY ENTRY'!$D$7:$D$1203,"Engagement (commented on someone else)"))</f>
        <v/>
      </c>
      <c r="L383" s="107" t="str">
        <f aca="false">IF($A383="","",SUMIFS('DAILY ENTRY'!$F$7:$F$1203,'DAILY ENTRY'!$A$7:$A$1203,$A383,'DAILY ENTRY'!$B$7:$B$1203,$B383,'DAILY ENTRY'!$D$7:$D$1203,"Account created / profile completed"))</f>
        <v/>
      </c>
      <c r="M383" s="108" t="str">
        <f aca="false">IF($A383="","",IFERROR(INDEX('DAILY ENTRY'!$E$7:$E$1203,MATCH(1,INDEX(('DAILY ENTRY'!$A$7:$A$1203=$A383)*('DAILY ENTRY'!$B$7:$B$1203=$B383)*('DAILY ENTRY'!$I$7:$I$1203="Meeting booked"),0),0)),IFERROR(INDEX('DAILY ENTRY'!$E$7:$E$1203,MATCH(1,INDEX(('DAILY ENTRY'!$A$7:$A$1203=$A383)*('DAILY ENTRY'!$B$7:$B$1203=$B383)*('DAILY ENTRY'!$I$7:$I$1203="Positive reply"),0),0)),"")))</f>
        <v/>
      </c>
      <c r="N383" s="108" t="str">
        <f aca="false">IF($A383="","",IFERROR(INDEX('DAILY ENTRY'!$J$7:$J$1203,MATCH(1,INDEX(('DAILY ENTRY'!$A$7:$A$1203=$A383)*('DAILY ENTRY'!$B$7:$B$1203=$B383)*('DAILY ENTRY'!$I$7:$I$1203="Blocked"),0),0)),""))</f>
        <v/>
      </c>
      <c r="O383" s="65" t="str">
        <f aca="false">IF($A383="","",(D383&gt;='START HERE'!$B$25)+(E383&gt;='START HERE'!$B$26)+(F383&gt;='START HERE'!$B$27)+(G383&gt;='START HERE'!$B$28)+(H383&gt;='START HERE'!$B$29)+(I383&gt;='START HERE'!$B$30)+(J383&gt;='START HERE'!$B$31)+(K383&gt;='START HERE'!$B$32))</f>
        <v/>
      </c>
      <c r="P383" s="46" t="str">
        <f aca="false">IF($A383="","",IF(O383&gt;=7,"Full day",IF(O383&gt;=5,"Most targets met",IF(O383&gt;=3,"Half day","Below plan - explain in the blocker column"))))</f>
        <v/>
      </c>
    </row>
    <row r="384" customFormat="false" ht="24" hidden="false" customHeight="true" outlineLevel="0" collapsed="false">
      <c r="A384" s="36"/>
      <c r="B384" s="37"/>
      <c r="C384" s="107" t="str">
        <f aca="false">IF($A384="","",ROUND(SUMIFS('DAILY ENTRY'!$G$7:$G$1203,'DAILY ENTRY'!$A$7:$A$1203,$A384,'DAILY ENTRY'!$B$7:$B$1203,$B384)/60,1))</f>
        <v/>
      </c>
      <c r="D384" s="107" t="str">
        <f aca="false">IF($A384="","",SUMIFS('DAILY ENTRY'!$F$7:$F$1203,'DAILY ENTRY'!$A$7:$A$1203,$A384,'DAILY ENTRY'!$B$7:$B$1203,$B384,'DAILY ENTRY'!$D$7:$D$1203,"Lead researched (Sales Navigator)"))</f>
        <v/>
      </c>
      <c r="E384" s="107" t="str">
        <f aca="false">IF($A384="","",SUMIFS('DAILY ENTRY'!$F$7:$F$1203,'DAILY ENTRY'!$A$7:$A$1203,$A384,'DAILY ENTRY'!$B$7:$B$1203,$B384,'DAILY ENTRY'!$D$7:$D$1203,"Connection request sent"))</f>
        <v/>
      </c>
      <c r="F384" s="107" t="str">
        <f aca="false">IF($A384="","",SUMIFS('DAILY ENTRY'!$F$7:$F$1203,'DAILY ENTRY'!$A$7:$A$1203,$A384,'DAILY ENTRY'!$B$7:$B$1203,$B384,'DAILY ENTRY'!$D$7:$D$1203,"First message sent"))</f>
        <v/>
      </c>
      <c r="G384" s="107" t="str">
        <f aca="false">IF($A384="","",SUMIFS('DAILY ENTRY'!$F$7:$F$1203,'DAILY ENTRY'!$A$7:$A$1203,$A384,'DAILY ENTRY'!$B$7:$B$1203,$B384,'DAILY ENTRY'!$D$7:$D$1203,"Follow-up message sent"))</f>
        <v/>
      </c>
      <c r="H384" s="107" t="str">
        <f aca="false">IF($A384="","",SUMIFS('DAILY ENTRY'!$F$7:$F$1203,'DAILY ENTRY'!$A$7:$A$1203,$A384,'DAILY ENTRY'!$B$7:$B$1203,$B384,'DAILY ENTRY'!$D$7:$D$1203,"Post / content published"))</f>
        <v/>
      </c>
      <c r="I384" s="107" t="str">
        <f aca="false">IF($A384="","",SUMIFS('DAILY ENTRY'!$F$7:$F$1203,'DAILY ENTRY'!$A$7:$A$1203,$A384,'DAILY ENTRY'!$B$7:$B$1203,$B384,'DAILY ENTRY'!$D$7:$D$1203,"Community answer or comment"))</f>
        <v/>
      </c>
      <c r="J384" s="107" t="str">
        <f aca="false">IF($A384="","",SUMIFS('DAILY ENTRY'!$F$7:$F$1203,'DAILY ENTRY'!$A$7:$A$1203,$A384,'DAILY ENTRY'!$B$7:$B$1203,$B384,'DAILY ENTRY'!$D$7:$D$1203,"Partnership / PR contact"))</f>
        <v/>
      </c>
      <c r="K384" s="107" t="str">
        <f aca="false">IF($A384="","",SUMIFS('DAILY ENTRY'!$F$7:$F$1203,'DAILY ENTRY'!$A$7:$A$1203,$A384,'DAILY ENTRY'!$B$7:$B$1203,$B384,'DAILY ENTRY'!$D$7:$D$1203,"Engagement (commented on someone else)"))</f>
        <v/>
      </c>
      <c r="L384" s="107" t="str">
        <f aca="false">IF($A384="","",SUMIFS('DAILY ENTRY'!$F$7:$F$1203,'DAILY ENTRY'!$A$7:$A$1203,$A384,'DAILY ENTRY'!$B$7:$B$1203,$B384,'DAILY ENTRY'!$D$7:$D$1203,"Account created / profile completed"))</f>
        <v/>
      </c>
      <c r="M384" s="108" t="str">
        <f aca="false">IF($A384="","",IFERROR(INDEX('DAILY ENTRY'!$E$7:$E$1203,MATCH(1,INDEX(('DAILY ENTRY'!$A$7:$A$1203=$A384)*('DAILY ENTRY'!$B$7:$B$1203=$B384)*('DAILY ENTRY'!$I$7:$I$1203="Meeting booked"),0),0)),IFERROR(INDEX('DAILY ENTRY'!$E$7:$E$1203,MATCH(1,INDEX(('DAILY ENTRY'!$A$7:$A$1203=$A384)*('DAILY ENTRY'!$B$7:$B$1203=$B384)*('DAILY ENTRY'!$I$7:$I$1203="Positive reply"),0),0)),"")))</f>
        <v/>
      </c>
      <c r="N384" s="108" t="str">
        <f aca="false">IF($A384="","",IFERROR(INDEX('DAILY ENTRY'!$J$7:$J$1203,MATCH(1,INDEX(('DAILY ENTRY'!$A$7:$A$1203=$A384)*('DAILY ENTRY'!$B$7:$B$1203=$B384)*('DAILY ENTRY'!$I$7:$I$1203="Blocked"),0),0)),""))</f>
        <v/>
      </c>
      <c r="O384" s="65" t="str">
        <f aca="false">IF($A384="","",(D384&gt;='START HERE'!$B$25)+(E384&gt;='START HERE'!$B$26)+(F384&gt;='START HERE'!$B$27)+(G384&gt;='START HERE'!$B$28)+(H384&gt;='START HERE'!$B$29)+(I384&gt;='START HERE'!$B$30)+(J384&gt;='START HERE'!$B$31)+(K384&gt;='START HERE'!$B$32))</f>
        <v/>
      </c>
      <c r="P384" s="46" t="str">
        <f aca="false">IF($A384="","",IF(O384&gt;=7,"Full day",IF(O384&gt;=5,"Most targets met",IF(O384&gt;=3,"Half day","Below plan - explain in the blocker column"))))</f>
        <v/>
      </c>
    </row>
    <row r="385" customFormat="false" ht="24" hidden="false" customHeight="true" outlineLevel="0" collapsed="false">
      <c r="A385" s="36"/>
      <c r="B385" s="37"/>
      <c r="C385" s="107" t="str">
        <f aca="false">IF($A385="","",ROUND(SUMIFS('DAILY ENTRY'!$G$7:$G$1203,'DAILY ENTRY'!$A$7:$A$1203,$A385,'DAILY ENTRY'!$B$7:$B$1203,$B385)/60,1))</f>
        <v/>
      </c>
      <c r="D385" s="107" t="str">
        <f aca="false">IF($A385="","",SUMIFS('DAILY ENTRY'!$F$7:$F$1203,'DAILY ENTRY'!$A$7:$A$1203,$A385,'DAILY ENTRY'!$B$7:$B$1203,$B385,'DAILY ENTRY'!$D$7:$D$1203,"Lead researched (Sales Navigator)"))</f>
        <v/>
      </c>
      <c r="E385" s="107" t="str">
        <f aca="false">IF($A385="","",SUMIFS('DAILY ENTRY'!$F$7:$F$1203,'DAILY ENTRY'!$A$7:$A$1203,$A385,'DAILY ENTRY'!$B$7:$B$1203,$B385,'DAILY ENTRY'!$D$7:$D$1203,"Connection request sent"))</f>
        <v/>
      </c>
      <c r="F385" s="107" t="str">
        <f aca="false">IF($A385="","",SUMIFS('DAILY ENTRY'!$F$7:$F$1203,'DAILY ENTRY'!$A$7:$A$1203,$A385,'DAILY ENTRY'!$B$7:$B$1203,$B385,'DAILY ENTRY'!$D$7:$D$1203,"First message sent"))</f>
        <v/>
      </c>
      <c r="G385" s="107" t="str">
        <f aca="false">IF($A385="","",SUMIFS('DAILY ENTRY'!$F$7:$F$1203,'DAILY ENTRY'!$A$7:$A$1203,$A385,'DAILY ENTRY'!$B$7:$B$1203,$B385,'DAILY ENTRY'!$D$7:$D$1203,"Follow-up message sent"))</f>
        <v/>
      </c>
      <c r="H385" s="107" t="str">
        <f aca="false">IF($A385="","",SUMIFS('DAILY ENTRY'!$F$7:$F$1203,'DAILY ENTRY'!$A$7:$A$1203,$A385,'DAILY ENTRY'!$B$7:$B$1203,$B385,'DAILY ENTRY'!$D$7:$D$1203,"Post / content published"))</f>
        <v/>
      </c>
      <c r="I385" s="107" t="str">
        <f aca="false">IF($A385="","",SUMIFS('DAILY ENTRY'!$F$7:$F$1203,'DAILY ENTRY'!$A$7:$A$1203,$A385,'DAILY ENTRY'!$B$7:$B$1203,$B385,'DAILY ENTRY'!$D$7:$D$1203,"Community answer or comment"))</f>
        <v/>
      </c>
      <c r="J385" s="107" t="str">
        <f aca="false">IF($A385="","",SUMIFS('DAILY ENTRY'!$F$7:$F$1203,'DAILY ENTRY'!$A$7:$A$1203,$A385,'DAILY ENTRY'!$B$7:$B$1203,$B385,'DAILY ENTRY'!$D$7:$D$1203,"Partnership / PR contact"))</f>
        <v/>
      </c>
      <c r="K385" s="107" t="str">
        <f aca="false">IF($A385="","",SUMIFS('DAILY ENTRY'!$F$7:$F$1203,'DAILY ENTRY'!$A$7:$A$1203,$A385,'DAILY ENTRY'!$B$7:$B$1203,$B385,'DAILY ENTRY'!$D$7:$D$1203,"Engagement (commented on someone else)"))</f>
        <v/>
      </c>
      <c r="L385" s="107" t="str">
        <f aca="false">IF($A385="","",SUMIFS('DAILY ENTRY'!$F$7:$F$1203,'DAILY ENTRY'!$A$7:$A$1203,$A385,'DAILY ENTRY'!$B$7:$B$1203,$B385,'DAILY ENTRY'!$D$7:$D$1203,"Account created / profile completed"))</f>
        <v/>
      </c>
      <c r="M385" s="108" t="str">
        <f aca="false">IF($A385="","",IFERROR(INDEX('DAILY ENTRY'!$E$7:$E$1203,MATCH(1,INDEX(('DAILY ENTRY'!$A$7:$A$1203=$A385)*('DAILY ENTRY'!$B$7:$B$1203=$B385)*('DAILY ENTRY'!$I$7:$I$1203="Meeting booked"),0),0)),IFERROR(INDEX('DAILY ENTRY'!$E$7:$E$1203,MATCH(1,INDEX(('DAILY ENTRY'!$A$7:$A$1203=$A385)*('DAILY ENTRY'!$B$7:$B$1203=$B385)*('DAILY ENTRY'!$I$7:$I$1203="Positive reply"),0),0)),"")))</f>
        <v/>
      </c>
      <c r="N385" s="108" t="str">
        <f aca="false">IF($A385="","",IFERROR(INDEX('DAILY ENTRY'!$J$7:$J$1203,MATCH(1,INDEX(('DAILY ENTRY'!$A$7:$A$1203=$A385)*('DAILY ENTRY'!$B$7:$B$1203=$B385)*('DAILY ENTRY'!$I$7:$I$1203="Blocked"),0),0)),""))</f>
        <v/>
      </c>
      <c r="O385" s="65" t="str">
        <f aca="false">IF($A385="","",(D385&gt;='START HERE'!$B$25)+(E385&gt;='START HERE'!$B$26)+(F385&gt;='START HERE'!$B$27)+(G385&gt;='START HERE'!$B$28)+(H385&gt;='START HERE'!$B$29)+(I385&gt;='START HERE'!$B$30)+(J385&gt;='START HERE'!$B$31)+(K385&gt;='START HERE'!$B$32))</f>
        <v/>
      </c>
      <c r="P385" s="46" t="str">
        <f aca="false">IF($A385="","",IF(O385&gt;=7,"Full day",IF(O385&gt;=5,"Most targets met",IF(O385&gt;=3,"Half day","Below plan - explain in the blocker column"))))</f>
        <v/>
      </c>
    </row>
    <row r="386" customFormat="false" ht="24" hidden="false" customHeight="true" outlineLevel="0" collapsed="false">
      <c r="A386" s="36"/>
      <c r="B386" s="37"/>
      <c r="C386" s="107" t="str">
        <f aca="false">IF($A386="","",ROUND(SUMIFS('DAILY ENTRY'!$G$7:$G$1203,'DAILY ENTRY'!$A$7:$A$1203,$A386,'DAILY ENTRY'!$B$7:$B$1203,$B386)/60,1))</f>
        <v/>
      </c>
      <c r="D386" s="107" t="str">
        <f aca="false">IF($A386="","",SUMIFS('DAILY ENTRY'!$F$7:$F$1203,'DAILY ENTRY'!$A$7:$A$1203,$A386,'DAILY ENTRY'!$B$7:$B$1203,$B386,'DAILY ENTRY'!$D$7:$D$1203,"Lead researched (Sales Navigator)"))</f>
        <v/>
      </c>
      <c r="E386" s="107" t="str">
        <f aca="false">IF($A386="","",SUMIFS('DAILY ENTRY'!$F$7:$F$1203,'DAILY ENTRY'!$A$7:$A$1203,$A386,'DAILY ENTRY'!$B$7:$B$1203,$B386,'DAILY ENTRY'!$D$7:$D$1203,"Connection request sent"))</f>
        <v/>
      </c>
      <c r="F386" s="107" t="str">
        <f aca="false">IF($A386="","",SUMIFS('DAILY ENTRY'!$F$7:$F$1203,'DAILY ENTRY'!$A$7:$A$1203,$A386,'DAILY ENTRY'!$B$7:$B$1203,$B386,'DAILY ENTRY'!$D$7:$D$1203,"First message sent"))</f>
        <v/>
      </c>
      <c r="G386" s="107" t="str">
        <f aca="false">IF($A386="","",SUMIFS('DAILY ENTRY'!$F$7:$F$1203,'DAILY ENTRY'!$A$7:$A$1203,$A386,'DAILY ENTRY'!$B$7:$B$1203,$B386,'DAILY ENTRY'!$D$7:$D$1203,"Follow-up message sent"))</f>
        <v/>
      </c>
      <c r="H386" s="107" t="str">
        <f aca="false">IF($A386="","",SUMIFS('DAILY ENTRY'!$F$7:$F$1203,'DAILY ENTRY'!$A$7:$A$1203,$A386,'DAILY ENTRY'!$B$7:$B$1203,$B386,'DAILY ENTRY'!$D$7:$D$1203,"Post / content published"))</f>
        <v/>
      </c>
      <c r="I386" s="107" t="str">
        <f aca="false">IF($A386="","",SUMIFS('DAILY ENTRY'!$F$7:$F$1203,'DAILY ENTRY'!$A$7:$A$1203,$A386,'DAILY ENTRY'!$B$7:$B$1203,$B386,'DAILY ENTRY'!$D$7:$D$1203,"Community answer or comment"))</f>
        <v/>
      </c>
      <c r="J386" s="107" t="str">
        <f aca="false">IF($A386="","",SUMIFS('DAILY ENTRY'!$F$7:$F$1203,'DAILY ENTRY'!$A$7:$A$1203,$A386,'DAILY ENTRY'!$B$7:$B$1203,$B386,'DAILY ENTRY'!$D$7:$D$1203,"Partnership / PR contact"))</f>
        <v/>
      </c>
      <c r="K386" s="107" t="str">
        <f aca="false">IF($A386="","",SUMIFS('DAILY ENTRY'!$F$7:$F$1203,'DAILY ENTRY'!$A$7:$A$1203,$A386,'DAILY ENTRY'!$B$7:$B$1203,$B386,'DAILY ENTRY'!$D$7:$D$1203,"Engagement (commented on someone else)"))</f>
        <v/>
      </c>
      <c r="L386" s="107" t="str">
        <f aca="false">IF($A386="","",SUMIFS('DAILY ENTRY'!$F$7:$F$1203,'DAILY ENTRY'!$A$7:$A$1203,$A386,'DAILY ENTRY'!$B$7:$B$1203,$B386,'DAILY ENTRY'!$D$7:$D$1203,"Account created / profile completed"))</f>
        <v/>
      </c>
      <c r="M386" s="108" t="str">
        <f aca="false">IF($A386="","",IFERROR(INDEX('DAILY ENTRY'!$E$7:$E$1203,MATCH(1,INDEX(('DAILY ENTRY'!$A$7:$A$1203=$A386)*('DAILY ENTRY'!$B$7:$B$1203=$B386)*('DAILY ENTRY'!$I$7:$I$1203="Meeting booked"),0),0)),IFERROR(INDEX('DAILY ENTRY'!$E$7:$E$1203,MATCH(1,INDEX(('DAILY ENTRY'!$A$7:$A$1203=$A386)*('DAILY ENTRY'!$B$7:$B$1203=$B386)*('DAILY ENTRY'!$I$7:$I$1203="Positive reply"),0),0)),"")))</f>
        <v/>
      </c>
      <c r="N386" s="108" t="str">
        <f aca="false">IF($A386="","",IFERROR(INDEX('DAILY ENTRY'!$J$7:$J$1203,MATCH(1,INDEX(('DAILY ENTRY'!$A$7:$A$1203=$A386)*('DAILY ENTRY'!$B$7:$B$1203=$B386)*('DAILY ENTRY'!$I$7:$I$1203="Blocked"),0),0)),""))</f>
        <v/>
      </c>
      <c r="O386" s="65" t="str">
        <f aca="false">IF($A386="","",(D386&gt;='START HERE'!$B$25)+(E386&gt;='START HERE'!$B$26)+(F386&gt;='START HERE'!$B$27)+(G386&gt;='START HERE'!$B$28)+(H386&gt;='START HERE'!$B$29)+(I386&gt;='START HERE'!$B$30)+(J386&gt;='START HERE'!$B$31)+(K386&gt;='START HERE'!$B$32))</f>
        <v/>
      </c>
      <c r="P386" s="46" t="str">
        <f aca="false">IF($A386="","",IF(O386&gt;=7,"Full day",IF(O386&gt;=5,"Most targets met",IF(O386&gt;=3,"Half day","Below plan - explain in the blocker column"))))</f>
        <v/>
      </c>
    </row>
    <row r="387" customFormat="false" ht="24" hidden="false" customHeight="true" outlineLevel="0" collapsed="false">
      <c r="A387" s="36"/>
      <c r="B387" s="37"/>
      <c r="C387" s="107" t="str">
        <f aca="false">IF($A387="","",ROUND(SUMIFS('DAILY ENTRY'!$G$7:$G$1203,'DAILY ENTRY'!$A$7:$A$1203,$A387,'DAILY ENTRY'!$B$7:$B$1203,$B387)/60,1))</f>
        <v/>
      </c>
      <c r="D387" s="107" t="str">
        <f aca="false">IF($A387="","",SUMIFS('DAILY ENTRY'!$F$7:$F$1203,'DAILY ENTRY'!$A$7:$A$1203,$A387,'DAILY ENTRY'!$B$7:$B$1203,$B387,'DAILY ENTRY'!$D$7:$D$1203,"Lead researched (Sales Navigator)"))</f>
        <v/>
      </c>
      <c r="E387" s="107" t="str">
        <f aca="false">IF($A387="","",SUMIFS('DAILY ENTRY'!$F$7:$F$1203,'DAILY ENTRY'!$A$7:$A$1203,$A387,'DAILY ENTRY'!$B$7:$B$1203,$B387,'DAILY ENTRY'!$D$7:$D$1203,"Connection request sent"))</f>
        <v/>
      </c>
      <c r="F387" s="107" t="str">
        <f aca="false">IF($A387="","",SUMIFS('DAILY ENTRY'!$F$7:$F$1203,'DAILY ENTRY'!$A$7:$A$1203,$A387,'DAILY ENTRY'!$B$7:$B$1203,$B387,'DAILY ENTRY'!$D$7:$D$1203,"First message sent"))</f>
        <v/>
      </c>
      <c r="G387" s="107" t="str">
        <f aca="false">IF($A387="","",SUMIFS('DAILY ENTRY'!$F$7:$F$1203,'DAILY ENTRY'!$A$7:$A$1203,$A387,'DAILY ENTRY'!$B$7:$B$1203,$B387,'DAILY ENTRY'!$D$7:$D$1203,"Follow-up message sent"))</f>
        <v/>
      </c>
      <c r="H387" s="107" t="str">
        <f aca="false">IF($A387="","",SUMIFS('DAILY ENTRY'!$F$7:$F$1203,'DAILY ENTRY'!$A$7:$A$1203,$A387,'DAILY ENTRY'!$B$7:$B$1203,$B387,'DAILY ENTRY'!$D$7:$D$1203,"Post / content published"))</f>
        <v/>
      </c>
      <c r="I387" s="107" t="str">
        <f aca="false">IF($A387="","",SUMIFS('DAILY ENTRY'!$F$7:$F$1203,'DAILY ENTRY'!$A$7:$A$1203,$A387,'DAILY ENTRY'!$B$7:$B$1203,$B387,'DAILY ENTRY'!$D$7:$D$1203,"Community answer or comment"))</f>
        <v/>
      </c>
      <c r="J387" s="107" t="str">
        <f aca="false">IF($A387="","",SUMIFS('DAILY ENTRY'!$F$7:$F$1203,'DAILY ENTRY'!$A$7:$A$1203,$A387,'DAILY ENTRY'!$B$7:$B$1203,$B387,'DAILY ENTRY'!$D$7:$D$1203,"Partnership / PR contact"))</f>
        <v/>
      </c>
      <c r="K387" s="107" t="str">
        <f aca="false">IF($A387="","",SUMIFS('DAILY ENTRY'!$F$7:$F$1203,'DAILY ENTRY'!$A$7:$A$1203,$A387,'DAILY ENTRY'!$B$7:$B$1203,$B387,'DAILY ENTRY'!$D$7:$D$1203,"Engagement (commented on someone else)"))</f>
        <v/>
      </c>
      <c r="L387" s="107" t="str">
        <f aca="false">IF($A387="","",SUMIFS('DAILY ENTRY'!$F$7:$F$1203,'DAILY ENTRY'!$A$7:$A$1203,$A387,'DAILY ENTRY'!$B$7:$B$1203,$B387,'DAILY ENTRY'!$D$7:$D$1203,"Account created / profile completed"))</f>
        <v/>
      </c>
      <c r="M387" s="108" t="str">
        <f aca="false">IF($A387="","",IFERROR(INDEX('DAILY ENTRY'!$E$7:$E$1203,MATCH(1,INDEX(('DAILY ENTRY'!$A$7:$A$1203=$A387)*('DAILY ENTRY'!$B$7:$B$1203=$B387)*('DAILY ENTRY'!$I$7:$I$1203="Meeting booked"),0),0)),IFERROR(INDEX('DAILY ENTRY'!$E$7:$E$1203,MATCH(1,INDEX(('DAILY ENTRY'!$A$7:$A$1203=$A387)*('DAILY ENTRY'!$B$7:$B$1203=$B387)*('DAILY ENTRY'!$I$7:$I$1203="Positive reply"),0),0)),"")))</f>
        <v/>
      </c>
      <c r="N387" s="108" t="str">
        <f aca="false">IF($A387="","",IFERROR(INDEX('DAILY ENTRY'!$J$7:$J$1203,MATCH(1,INDEX(('DAILY ENTRY'!$A$7:$A$1203=$A387)*('DAILY ENTRY'!$B$7:$B$1203=$B387)*('DAILY ENTRY'!$I$7:$I$1203="Blocked"),0),0)),""))</f>
        <v/>
      </c>
      <c r="O387" s="65" t="str">
        <f aca="false">IF($A387="","",(D387&gt;='START HERE'!$B$25)+(E387&gt;='START HERE'!$B$26)+(F387&gt;='START HERE'!$B$27)+(G387&gt;='START HERE'!$B$28)+(H387&gt;='START HERE'!$B$29)+(I387&gt;='START HERE'!$B$30)+(J387&gt;='START HERE'!$B$31)+(K387&gt;='START HERE'!$B$32))</f>
        <v/>
      </c>
      <c r="P387" s="46" t="str">
        <f aca="false">IF($A387="","",IF(O387&gt;=7,"Full day",IF(O387&gt;=5,"Most targets met",IF(O387&gt;=3,"Half day","Below plan - explain in the blocker column"))))</f>
        <v/>
      </c>
    </row>
    <row r="388" customFormat="false" ht="24" hidden="false" customHeight="true" outlineLevel="0" collapsed="false">
      <c r="A388" s="36"/>
      <c r="B388" s="37"/>
      <c r="C388" s="107" t="str">
        <f aca="false">IF($A388="","",ROUND(SUMIFS('DAILY ENTRY'!$G$7:$G$1203,'DAILY ENTRY'!$A$7:$A$1203,$A388,'DAILY ENTRY'!$B$7:$B$1203,$B388)/60,1))</f>
        <v/>
      </c>
      <c r="D388" s="107" t="str">
        <f aca="false">IF($A388="","",SUMIFS('DAILY ENTRY'!$F$7:$F$1203,'DAILY ENTRY'!$A$7:$A$1203,$A388,'DAILY ENTRY'!$B$7:$B$1203,$B388,'DAILY ENTRY'!$D$7:$D$1203,"Lead researched (Sales Navigator)"))</f>
        <v/>
      </c>
      <c r="E388" s="107" t="str">
        <f aca="false">IF($A388="","",SUMIFS('DAILY ENTRY'!$F$7:$F$1203,'DAILY ENTRY'!$A$7:$A$1203,$A388,'DAILY ENTRY'!$B$7:$B$1203,$B388,'DAILY ENTRY'!$D$7:$D$1203,"Connection request sent"))</f>
        <v/>
      </c>
      <c r="F388" s="107" t="str">
        <f aca="false">IF($A388="","",SUMIFS('DAILY ENTRY'!$F$7:$F$1203,'DAILY ENTRY'!$A$7:$A$1203,$A388,'DAILY ENTRY'!$B$7:$B$1203,$B388,'DAILY ENTRY'!$D$7:$D$1203,"First message sent"))</f>
        <v/>
      </c>
      <c r="G388" s="107" t="str">
        <f aca="false">IF($A388="","",SUMIFS('DAILY ENTRY'!$F$7:$F$1203,'DAILY ENTRY'!$A$7:$A$1203,$A388,'DAILY ENTRY'!$B$7:$B$1203,$B388,'DAILY ENTRY'!$D$7:$D$1203,"Follow-up message sent"))</f>
        <v/>
      </c>
      <c r="H388" s="107" t="str">
        <f aca="false">IF($A388="","",SUMIFS('DAILY ENTRY'!$F$7:$F$1203,'DAILY ENTRY'!$A$7:$A$1203,$A388,'DAILY ENTRY'!$B$7:$B$1203,$B388,'DAILY ENTRY'!$D$7:$D$1203,"Post / content published"))</f>
        <v/>
      </c>
      <c r="I388" s="107" t="str">
        <f aca="false">IF($A388="","",SUMIFS('DAILY ENTRY'!$F$7:$F$1203,'DAILY ENTRY'!$A$7:$A$1203,$A388,'DAILY ENTRY'!$B$7:$B$1203,$B388,'DAILY ENTRY'!$D$7:$D$1203,"Community answer or comment"))</f>
        <v/>
      </c>
      <c r="J388" s="107" t="str">
        <f aca="false">IF($A388="","",SUMIFS('DAILY ENTRY'!$F$7:$F$1203,'DAILY ENTRY'!$A$7:$A$1203,$A388,'DAILY ENTRY'!$B$7:$B$1203,$B388,'DAILY ENTRY'!$D$7:$D$1203,"Partnership / PR contact"))</f>
        <v/>
      </c>
      <c r="K388" s="107" t="str">
        <f aca="false">IF($A388="","",SUMIFS('DAILY ENTRY'!$F$7:$F$1203,'DAILY ENTRY'!$A$7:$A$1203,$A388,'DAILY ENTRY'!$B$7:$B$1203,$B388,'DAILY ENTRY'!$D$7:$D$1203,"Engagement (commented on someone else)"))</f>
        <v/>
      </c>
      <c r="L388" s="107" t="str">
        <f aca="false">IF($A388="","",SUMIFS('DAILY ENTRY'!$F$7:$F$1203,'DAILY ENTRY'!$A$7:$A$1203,$A388,'DAILY ENTRY'!$B$7:$B$1203,$B388,'DAILY ENTRY'!$D$7:$D$1203,"Account created / profile completed"))</f>
        <v/>
      </c>
      <c r="M388" s="108" t="str">
        <f aca="false">IF($A388="","",IFERROR(INDEX('DAILY ENTRY'!$E$7:$E$1203,MATCH(1,INDEX(('DAILY ENTRY'!$A$7:$A$1203=$A388)*('DAILY ENTRY'!$B$7:$B$1203=$B388)*('DAILY ENTRY'!$I$7:$I$1203="Meeting booked"),0),0)),IFERROR(INDEX('DAILY ENTRY'!$E$7:$E$1203,MATCH(1,INDEX(('DAILY ENTRY'!$A$7:$A$1203=$A388)*('DAILY ENTRY'!$B$7:$B$1203=$B388)*('DAILY ENTRY'!$I$7:$I$1203="Positive reply"),0),0)),"")))</f>
        <v/>
      </c>
      <c r="N388" s="108" t="str">
        <f aca="false">IF($A388="","",IFERROR(INDEX('DAILY ENTRY'!$J$7:$J$1203,MATCH(1,INDEX(('DAILY ENTRY'!$A$7:$A$1203=$A388)*('DAILY ENTRY'!$B$7:$B$1203=$B388)*('DAILY ENTRY'!$I$7:$I$1203="Blocked"),0),0)),""))</f>
        <v/>
      </c>
      <c r="O388" s="65" t="str">
        <f aca="false">IF($A388="","",(D388&gt;='START HERE'!$B$25)+(E388&gt;='START HERE'!$B$26)+(F388&gt;='START HERE'!$B$27)+(G388&gt;='START HERE'!$B$28)+(H388&gt;='START HERE'!$B$29)+(I388&gt;='START HERE'!$B$30)+(J388&gt;='START HERE'!$B$31)+(K388&gt;='START HERE'!$B$32))</f>
        <v/>
      </c>
      <c r="P388" s="46" t="str">
        <f aca="false">IF($A388="","",IF(O388&gt;=7,"Full day",IF(O388&gt;=5,"Most targets met",IF(O388&gt;=3,"Half day","Below plan - explain in the blocker column"))))</f>
        <v/>
      </c>
    </row>
    <row r="389" customFormat="false" ht="24" hidden="false" customHeight="true" outlineLevel="0" collapsed="false">
      <c r="A389" s="36"/>
      <c r="B389" s="37"/>
      <c r="C389" s="107" t="str">
        <f aca="false">IF($A389="","",ROUND(SUMIFS('DAILY ENTRY'!$G$7:$G$1203,'DAILY ENTRY'!$A$7:$A$1203,$A389,'DAILY ENTRY'!$B$7:$B$1203,$B389)/60,1))</f>
        <v/>
      </c>
      <c r="D389" s="107" t="str">
        <f aca="false">IF($A389="","",SUMIFS('DAILY ENTRY'!$F$7:$F$1203,'DAILY ENTRY'!$A$7:$A$1203,$A389,'DAILY ENTRY'!$B$7:$B$1203,$B389,'DAILY ENTRY'!$D$7:$D$1203,"Lead researched (Sales Navigator)"))</f>
        <v/>
      </c>
      <c r="E389" s="107" t="str">
        <f aca="false">IF($A389="","",SUMIFS('DAILY ENTRY'!$F$7:$F$1203,'DAILY ENTRY'!$A$7:$A$1203,$A389,'DAILY ENTRY'!$B$7:$B$1203,$B389,'DAILY ENTRY'!$D$7:$D$1203,"Connection request sent"))</f>
        <v/>
      </c>
      <c r="F389" s="107" t="str">
        <f aca="false">IF($A389="","",SUMIFS('DAILY ENTRY'!$F$7:$F$1203,'DAILY ENTRY'!$A$7:$A$1203,$A389,'DAILY ENTRY'!$B$7:$B$1203,$B389,'DAILY ENTRY'!$D$7:$D$1203,"First message sent"))</f>
        <v/>
      </c>
      <c r="G389" s="107" t="str">
        <f aca="false">IF($A389="","",SUMIFS('DAILY ENTRY'!$F$7:$F$1203,'DAILY ENTRY'!$A$7:$A$1203,$A389,'DAILY ENTRY'!$B$7:$B$1203,$B389,'DAILY ENTRY'!$D$7:$D$1203,"Follow-up message sent"))</f>
        <v/>
      </c>
      <c r="H389" s="107" t="str">
        <f aca="false">IF($A389="","",SUMIFS('DAILY ENTRY'!$F$7:$F$1203,'DAILY ENTRY'!$A$7:$A$1203,$A389,'DAILY ENTRY'!$B$7:$B$1203,$B389,'DAILY ENTRY'!$D$7:$D$1203,"Post / content published"))</f>
        <v/>
      </c>
      <c r="I389" s="107" t="str">
        <f aca="false">IF($A389="","",SUMIFS('DAILY ENTRY'!$F$7:$F$1203,'DAILY ENTRY'!$A$7:$A$1203,$A389,'DAILY ENTRY'!$B$7:$B$1203,$B389,'DAILY ENTRY'!$D$7:$D$1203,"Community answer or comment"))</f>
        <v/>
      </c>
      <c r="J389" s="107" t="str">
        <f aca="false">IF($A389="","",SUMIFS('DAILY ENTRY'!$F$7:$F$1203,'DAILY ENTRY'!$A$7:$A$1203,$A389,'DAILY ENTRY'!$B$7:$B$1203,$B389,'DAILY ENTRY'!$D$7:$D$1203,"Partnership / PR contact"))</f>
        <v/>
      </c>
      <c r="K389" s="107" t="str">
        <f aca="false">IF($A389="","",SUMIFS('DAILY ENTRY'!$F$7:$F$1203,'DAILY ENTRY'!$A$7:$A$1203,$A389,'DAILY ENTRY'!$B$7:$B$1203,$B389,'DAILY ENTRY'!$D$7:$D$1203,"Engagement (commented on someone else)"))</f>
        <v/>
      </c>
      <c r="L389" s="107" t="str">
        <f aca="false">IF($A389="","",SUMIFS('DAILY ENTRY'!$F$7:$F$1203,'DAILY ENTRY'!$A$7:$A$1203,$A389,'DAILY ENTRY'!$B$7:$B$1203,$B389,'DAILY ENTRY'!$D$7:$D$1203,"Account created / profile completed"))</f>
        <v/>
      </c>
      <c r="M389" s="108" t="str">
        <f aca="false">IF($A389="","",IFERROR(INDEX('DAILY ENTRY'!$E$7:$E$1203,MATCH(1,INDEX(('DAILY ENTRY'!$A$7:$A$1203=$A389)*('DAILY ENTRY'!$B$7:$B$1203=$B389)*('DAILY ENTRY'!$I$7:$I$1203="Meeting booked"),0),0)),IFERROR(INDEX('DAILY ENTRY'!$E$7:$E$1203,MATCH(1,INDEX(('DAILY ENTRY'!$A$7:$A$1203=$A389)*('DAILY ENTRY'!$B$7:$B$1203=$B389)*('DAILY ENTRY'!$I$7:$I$1203="Positive reply"),0),0)),"")))</f>
        <v/>
      </c>
      <c r="N389" s="108" t="str">
        <f aca="false">IF($A389="","",IFERROR(INDEX('DAILY ENTRY'!$J$7:$J$1203,MATCH(1,INDEX(('DAILY ENTRY'!$A$7:$A$1203=$A389)*('DAILY ENTRY'!$B$7:$B$1203=$B389)*('DAILY ENTRY'!$I$7:$I$1203="Blocked"),0),0)),""))</f>
        <v/>
      </c>
      <c r="O389" s="65" t="str">
        <f aca="false">IF($A389="","",(D389&gt;='START HERE'!$B$25)+(E389&gt;='START HERE'!$B$26)+(F389&gt;='START HERE'!$B$27)+(G389&gt;='START HERE'!$B$28)+(H389&gt;='START HERE'!$B$29)+(I389&gt;='START HERE'!$B$30)+(J389&gt;='START HERE'!$B$31)+(K389&gt;='START HERE'!$B$32))</f>
        <v/>
      </c>
      <c r="P389" s="46" t="str">
        <f aca="false">IF($A389="","",IF(O389&gt;=7,"Full day",IF(O389&gt;=5,"Most targets met",IF(O389&gt;=3,"Half day","Below plan - explain in the blocker column"))))</f>
        <v/>
      </c>
    </row>
    <row r="390" customFormat="false" ht="24" hidden="false" customHeight="true" outlineLevel="0" collapsed="false">
      <c r="A390" s="36"/>
      <c r="B390" s="37"/>
      <c r="C390" s="107" t="str">
        <f aca="false">IF($A390="","",ROUND(SUMIFS('DAILY ENTRY'!$G$7:$G$1203,'DAILY ENTRY'!$A$7:$A$1203,$A390,'DAILY ENTRY'!$B$7:$B$1203,$B390)/60,1))</f>
        <v/>
      </c>
      <c r="D390" s="107" t="str">
        <f aca="false">IF($A390="","",SUMIFS('DAILY ENTRY'!$F$7:$F$1203,'DAILY ENTRY'!$A$7:$A$1203,$A390,'DAILY ENTRY'!$B$7:$B$1203,$B390,'DAILY ENTRY'!$D$7:$D$1203,"Lead researched (Sales Navigator)"))</f>
        <v/>
      </c>
      <c r="E390" s="107" t="str">
        <f aca="false">IF($A390="","",SUMIFS('DAILY ENTRY'!$F$7:$F$1203,'DAILY ENTRY'!$A$7:$A$1203,$A390,'DAILY ENTRY'!$B$7:$B$1203,$B390,'DAILY ENTRY'!$D$7:$D$1203,"Connection request sent"))</f>
        <v/>
      </c>
      <c r="F390" s="107" t="str">
        <f aca="false">IF($A390="","",SUMIFS('DAILY ENTRY'!$F$7:$F$1203,'DAILY ENTRY'!$A$7:$A$1203,$A390,'DAILY ENTRY'!$B$7:$B$1203,$B390,'DAILY ENTRY'!$D$7:$D$1203,"First message sent"))</f>
        <v/>
      </c>
      <c r="G390" s="107" t="str">
        <f aca="false">IF($A390="","",SUMIFS('DAILY ENTRY'!$F$7:$F$1203,'DAILY ENTRY'!$A$7:$A$1203,$A390,'DAILY ENTRY'!$B$7:$B$1203,$B390,'DAILY ENTRY'!$D$7:$D$1203,"Follow-up message sent"))</f>
        <v/>
      </c>
      <c r="H390" s="107" t="str">
        <f aca="false">IF($A390="","",SUMIFS('DAILY ENTRY'!$F$7:$F$1203,'DAILY ENTRY'!$A$7:$A$1203,$A390,'DAILY ENTRY'!$B$7:$B$1203,$B390,'DAILY ENTRY'!$D$7:$D$1203,"Post / content published"))</f>
        <v/>
      </c>
      <c r="I390" s="107" t="str">
        <f aca="false">IF($A390="","",SUMIFS('DAILY ENTRY'!$F$7:$F$1203,'DAILY ENTRY'!$A$7:$A$1203,$A390,'DAILY ENTRY'!$B$7:$B$1203,$B390,'DAILY ENTRY'!$D$7:$D$1203,"Community answer or comment"))</f>
        <v/>
      </c>
      <c r="J390" s="107" t="str">
        <f aca="false">IF($A390="","",SUMIFS('DAILY ENTRY'!$F$7:$F$1203,'DAILY ENTRY'!$A$7:$A$1203,$A390,'DAILY ENTRY'!$B$7:$B$1203,$B390,'DAILY ENTRY'!$D$7:$D$1203,"Partnership / PR contact"))</f>
        <v/>
      </c>
      <c r="K390" s="107" t="str">
        <f aca="false">IF($A390="","",SUMIFS('DAILY ENTRY'!$F$7:$F$1203,'DAILY ENTRY'!$A$7:$A$1203,$A390,'DAILY ENTRY'!$B$7:$B$1203,$B390,'DAILY ENTRY'!$D$7:$D$1203,"Engagement (commented on someone else)"))</f>
        <v/>
      </c>
      <c r="L390" s="107" t="str">
        <f aca="false">IF($A390="","",SUMIFS('DAILY ENTRY'!$F$7:$F$1203,'DAILY ENTRY'!$A$7:$A$1203,$A390,'DAILY ENTRY'!$B$7:$B$1203,$B390,'DAILY ENTRY'!$D$7:$D$1203,"Account created / profile completed"))</f>
        <v/>
      </c>
      <c r="M390" s="108" t="str">
        <f aca="false">IF($A390="","",IFERROR(INDEX('DAILY ENTRY'!$E$7:$E$1203,MATCH(1,INDEX(('DAILY ENTRY'!$A$7:$A$1203=$A390)*('DAILY ENTRY'!$B$7:$B$1203=$B390)*('DAILY ENTRY'!$I$7:$I$1203="Meeting booked"),0),0)),IFERROR(INDEX('DAILY ENTRY'!$E$7:$E$1203,MATCH(1,INDEX(('DAILY ENTRY'!$A$7:$A$1203=$A390)*('DAILY ENTRY'!$B$7:$B$1203=$B390)*('DAILY ENTRY'!$I$7:$I$1203="Positive reply"),0),0)),"")))</f>
        <v/>
      </c>
      <c r="N390" s="108" t="str">
        <f aca="false">IF($A390="","",IFERROR(INDEX('DAILY ENTRY'!$J$7:$J$1203,MATCH(1,INDEX(('DAILY ENTRY'!$A$7:$A$1203=$A390)*('DAILY ENTRY'!$B$7:$B$1203=$B390)*('DAILY ENTRY'!$I$7:$I$1203="Blocked"),0),0)),""))</f>
        <v/>
      </c>
      <c r="O390" s="65" t="str">
        <f aca="false">IF($A390="","",(D390&gt;='START HERE'!$B$25)+(E390&gt;='START HERE'!$B$26)+(F390&gt;='START HERE'!$B$27)+(G390&gt;='START HERE'!$B$28)+(H390&gt;='START HERE'!$B$29)+(I390&gt;='START HERE'!$B$30)+(J390&gt;='START HERE'!$B$31)+(K390&gt;='START HERE'!$B$32))</f>
        <v/>
      </c>
      <c r="P390" s="46" t="str">
        <f aca="false">IF($A390="","",IF(O390&gt;=7,"Full day",IF(O390&gt;=5,"Most targets met",IF(O390&gt;=3,"Half day","Below plan - explain in the blocker column"))))</f>
        <v/>
      </c>
    </row>
    <row r="391" customFormat="false" ht="24" hidden="false" customHeight="true" outlineLevel="0" collapsed="false">
      <c r="A391" s="36"/>
      <c r="B391" s="37"/>
      <c r="C391" s="107" t="str">
        <f aca="false">IF($A391="","",ROUND(SUMIFS('DAILY ENTRY'!$G$7:$G$1203,'DAILY ENTRY'!$A$7:$A$1203,$A391,'DAILY ENTRY'!$B$7:$B$1203,$B391)/60,1))</f>
        <v/>
      </c>
      <c r="D391" s="107" t="str">
        <f aca="false">IF($A391="","",SUMIFS('DAILY ENTRY'!$F$7:$F$1203,'DAILY ENTRY'!$A$7:$A$1203,$A391,'DAILY ENTRY'!$B$7:$B$1203,$B391,'DAILY ENTRY'!$D$7:$D$1203,"Lead researched (Sales Navigator)"))</f>
        <v/>
      </c>
      <c r="E391" s="107" t="str">
        <f aca="false">IF($A391="","",SUMIFS('DAILY ENTRY'!$F$7:$F$1203,'DAILY ENTRY'!$A$7:$A$1203,$A391,'DAILY ENTRY'!$B$7:$B$1203,$B391,'DAILY ENTRY'!$D$7:$D$1203,"Connection request sent"))</f>
        <v/>
      </c>
      <c r="F391" s="107" t="str">
        <f aca="false">IF($A391="","",SUMIFS('DAILY ENTRY'!$F$7:$F$1203,'DAILY ENTRY'!$A$7:$A$1203,$A391,'DAILY ENTRY'!$B$7:$B$1203,$B391,'DAILY ENTRY'!$D$7:$D$1203,"First message sent"))</f>
        <v/>
      </c>
      <c r="G391" s="107" t="str">
        <f aca="false">IF($A391="","",SUMIFS('DAILY ENTRY'!$F$7:$F$1203,'DAILY ENTRY'!$A$7:$A$1203,$A391,'DAILY ENTRY'!$B$7:$B$1203,$B391,'DAILY ENTRY'!$D$7:$D$1203,"Follow-up message sent"))</f>
        <v/>
      </c>
      <c r="H391" s="107" t="str">
        <f aca="false">IF($A391="","",SUMIFS('DAILY ENTRY'!$F$7:$F$1203,'DAILY ENTRY'!$A$7:$A$1203,$A391,'DAILY ENTRY'!$B$7:$B$1203,$B391,'DAILY ENTRY'!$D$7:$D$1203,"Post / content published"))</f>
        <v/>
      </c>
      <c r="I391" s="107" t="str">
        <f aca="false">IF($A391="","",SUMIFS('DAILY ENTRY'!$F$7:$F$1203,'DAILY ENTRY'!$A$7:$A$1203,$A391,'DAILY ENTRY'!$B$7:$B$1203,$B391,'DAILY ENTRY'!$D$7:$D$1203,"Community answer or comment"))</f>
        <v/>
      </c>
      <c r="J391" s="107" t="str">
        <f aca="false">IF($A391="","",SUMIFS('DAILY ENTRY'!$F$7:$F$1203,'DAILY ENTRY'!$A$7:$A$1203,$A391,'DAILY ENTRY'!$B$7:$B$1203,$B391,'DAILY ENTRY'!$D$7:$D$1203,"Partnership / PR contact"))</f>
        <v/>
      </c>
      <c r="K391" s="107" t="str">
        <f aca="false">IF($A391="","",SUMIFS('DAILY ENTRY'!$F$7:$F$1203,'DAILY ENTRY'!$A$7:$A$1203,$A391,'DAILY ENTRY'!$B$7:$B$1203,$B391,'DAILY ENTRY'!$D$7:$D$1203,"Engagement (commented on someone else)"))</f>
        <v/>
      </c>
      <c r="L391" s="107" t="str">
        <f aca="false">IF($A391="","",SUMIFS('DAILY ENTRY'!$F$7:$F$1203,'DAILY ENTRY'!$A$7:$A$1203,$A391,'DAILY ENTRY'!$B$7:$B$1203,$B391,'DAILY ENTRY'!$D$7:$D$1203,"Account created / profile completed"))</f>
        <v/>
      </c>
      <c r="M391" s="108" t="str">
        <f aca="false">IF($A391="","",IFERROR(INDEX('DAILY ENTRY'!$E$7:$E$1203,MATCH(1,INDEX(('DAILY ENTRY'!$A$7:$A$1203=$A391)*('DAILY ENTRY'!$B$7:$B$1203=$B391)*('DAILY ENTRY'!$I$7:$I$1203="Meeting booked"),0),0)),IFERROR(INDEX('DAILY ENTRY'!$E$7:$E$1203,MATCH(1,INDEX(('DAILY ENTRY'!$A$7:$A$1203=$A391)*('DAILY ENTRY'!$B$7:$B$1203=$B391)*('DAILY ENTRY'!$I$7:$I$1203="Positive reply"),0),0)),"")))</f>
        <v/>
      </c>
      <c r="N391" s="108" t="str">
        <f aca="false">IF($A391="","",IFERROR(INDEX('DAILY ENTRY'!$J$7:$J$1203,MATCH(1,INDEX(('DAILY ENTRY'!$A$7:$A$1203=$A391)*('DAILY ENTRY'!$B$7:$B$1203=$B391)*('DAILY ENTRY'!$I$7:$I$1203="Blocked"),0),0)),""))</f>
        <v/>
      </c>
      <c r="O391" s="65" t="str">
        <f aca="false">IF($A391="","",(D391&gt;='START HERE'!$B$25)+(E391&gt;='START HERE'!$B$26)+(F391&gt;='START HERE'!$B$27)+(G391&gt;='START HERE'!$B$28)+(H391&gt;='START HERE'!$B$29)+(I391&gt;='START HERE'!$B$30)+(J391&gt;='START HERE'!$B$31)+(K391&gt;='START HERE'!$B$32))</f>
        <v/>
      </c>
      <c r="P391" s="46" t="str">
        <f aca="false">IF($A391="","",IF(O391&gt;=7,"Full day",IF(O391&gt;=5,"Most targets met",IF(O391&gt;=3,"Half day","Below plan - explain in the blocker column"))))</f>
        <v/>
      </c>
    </row>
    <row r="392" customFormat="false" ht="24" hidden="false" customHeight="true" outlineLevel="0" collapsed="false">
      <c r="A392" s="36"/>
      <c r="B392" s="37"/>
      <c r="C392" s="107" t="str">
        <f aca="false">IF($A392="","",ROUND(SUMIFS('DAILY ENTRY'!$G$7:$G$1203,'DAILY ENTRY'!$A$7:$A$1203,$A392,'DAILY ENTRY'!$B$7:$B$1203,$B392)/60,1))</f>
        <v/>
      </c>
      <c r="D392" s="107" t="str">
        <f aca="false">IF($A392="","",SUMIFS('DAILY ENTRY'!$F$7:$F$1203,'DAILY ENTRY'!$A$7:$A$1203,$A392,'DAILY ENTRY'!$B$7:$B$1203,$B392,'DAILY ENTRY'!$D$7:$D$1203,"Lead researched (Sales Navigator)"))</f>
        <v/>
      </c>
      <c r="E392" s="107" t="str">
        <f aca="false">IF($A392="","",SUMIFS('DAILY ENTRY'!$F$7:$F$1203,'DAILY ENTRY'!$A$7:$A$1203,$A392,'DAILY ENTRY'!$B$7:$B$1203,$B392,'DAILY ENTRY'!$D$7:$D$1203,"Connection request sent"))</f>
        <v/>
      </c>
      <c r="F392" s="107" t="str">
        <f aca="false">IF($A392="","",SUMIFS('DAILY ENTRY'!$F$7:$F$1203,'DAILY ENTRY'!$A$7:$A$1203,$A392,'DAILY ENTRY'!$B$7:$B$1203,$B392,'DAILY ENTRY'!$D$7:$D$1203,"First message sent"))</f>
        <v/>
      </c>
      <c r="G392" s="107" t="str">
        <f aca="false">IF($A392="","",SUMIFS('DAILY ENTRY'!$F$7:$F$1203,'DAILY ENTRY'!$A$7:$A$1203,$A392,'DAILY ENTRY'!$B$7:$B$1203,$B392,'DAILY ENTRY'!$D$7:$D$1203,"Follow-up message sent"))</f>
        <v/>
      </c>
      <c r="H392" s="107" t="str">
        <f aca="false">IF($A392="","",SUMIFS('DAILY ENTRY'!$F$7:$F$1203,'DAILY ENTRY'!$A$7:$A$1203,$A392,'DAILY ENTRY'!$B$7:$B$1203,$B392,'DAILY ENTRY'!$D$7:$D$1203,"Post / content published"))</f>
        <v/>
      </c>
      <c r="I392" s="107" t="str">
        <f aca="false">IF($A392="","",SUMIFS('DAILY ENTRY'!$F$7:$F$1203,'DAILY ENTRY'!$A$7:$A$1203,$A392,'DAILY ENTRY'!$B$7:$B$1203,$B392,'DAILY ENTRY'!$D$7:$D$1203,"Community answer or comment"))</f>
        <v/>
      </c>
      <c r="J392" s="107" t="str">
        <f aca="false">IF($A392="","",SUMIFS('DAILY ENTRY'!$F$7:$F$1203,'DAILY ENTRY'!$A$7:$A$1203,$A392,'DAILY ENTRY'!$B$7:$B$1203,$B392,'DAILY ENTRY'!$D$7:$D$1203,"Partnership / PR contact"))</f>
        <v/>
      </c>
      <c r="K392" s="107" t="str">
        <f aca="false">IF($A392="","",SUMIFS('DAILY ENTRY'!$F$7:$F$1203,'DAILY ENTRY'!$A$7:$A$1203,$A392,'DAILY ENTRY'!$B$7:$B$1203,$B392,'DAILY ENTRY'!$D$7:$D$1203,"Engagement (commented on someone else)"))</f>
        <v/>
      </c>
      <c r="L392" s="107" t="str">
        <f aca="false">IF($A392="","",SUMIFS('DAILY ENTRY'!$F$7:$F$1203,'DAILY ENTRY'!$A$7:$A$1203,$A392,'DAILY ENTRY'!$B$7:$B$1203,$B392,'DAILY ENTRY'!$D$7:$D$1203,"Account created / profile completed"))</f>
        <v/>
      </c>
      <c r="M392" s="108" t="str">
        <f aca="false">IF($A392="","",IFERROR(INDEX('DAILY ENTRY'!$E$7:$E$1203,MATCH(1,INDEX(('DAILY ENTRY'!$A$7:$A$1203=$A392)*('DAILY ENTRY'!$B$7:$B$1203=$B392)*('DAILY ENTRY'!$I$7:$I$1203="Meeting booked"),0),0)),IFERROR(INDEX('DAILY ENTRY'!$E$7:$E$1203,MATCH(1,INDEX(('DAILY ENTRY'!$A$7:$A$1203=$A392)*('DAILY ENTRY'!$B$7:$B$1203=$B392)*('DAILY ENTRY'!$I$7:$I$1203="Positive reply"),0),0)),"")))</f>
        <v/>
      </c>
      <c r="N392" s="108" t="str">
        <f aca="false">IF($A392="","",IFERROR(INDEX('DAILY ENTRY'!$J$7:$J$1203,MATCH(1,INDEX(('DAILY ENTRY'!$A$7:$A$1203=$A392)*('DAILY ENTRY'!$B$7:$B$1203=$B392)*('DAILY ENTRY'!$I$7:$I$1203="Blocked"),0),0)),""))</f>
        <v/>
      </c>
      <c r="O392" s="65" t="str">
        <f aca="false">IF($A392="","",(D392&gt;='START HERE'!$B$25)+(E392&gt;='START HERE'!$B$26)+(F392&gt;='START HERE'!$B$27)+(G392&gt;='START HERE'!$B$28)+(H392&gt;='START HERE'!$B$29)+(I392&gt;='START HERE'!$B$30)+(J392&gt;='START HERE'!$B$31)+(K392&gt;='START HERE'!$B$32))</f>
        <v/>
      </c>
      <c r="P392" s="46" t="str">
        <f aca="false">IF($A392="","",IF(O392&gt;=7,"Full day",IF(O392&gt;=5,"Most targets met",IF(O392&gt;=3,"Half day","Below plan - explain in the blocker column"))))</f>
        <v/>
      </c>
    </row>
    <row r="393" customFormat="false" ht="24" hidden="false" customHeight="true" outlineLevel="0" collapsed="false">
      <c r="A393" s="36"/>
      <c r="B393" s="37"/>
      <c r="C393" s="107" t="str">
        <f aca="false">IF($A393="","",ROUND(SUMIFS('DAILY ENTRY'!$G$7:$G$1203,'DAILY ENTRY'!$A$7:$A$1203,$A393,'DAILY ENTRY'!$B$7:$B$1203,$B393)/60,1))</f>
        <v/>
      </c>
      <c r="D393" s="107" t="str">
        <f aca="false">IF($A393="","",SUMIFS('DAILY ENTRY'!$F$7:$F$1203,'DAILY ENTRY'!$A$7:$A$1203,$A393,'DAILY ENTRY'!$B$7:$B$1203,$B393,'DAILY ENTRY'!$D$7:$D$1203,"Lead researched (Sales Navigator)"))</f>
        <v/>
      </c>
      <c r="E393" s="107" t="str">
        <f aca="false">IF($A393="","",SUMIFS('DAILY ENTRY'!$F$7:$F$1203,'DAILY ENTRY'!$A$7:$A$1203,$A393,'DAILY ENTRY'!$B$7:$B$1203,$B393,'DAILY ENTRY'!$D$7:$D$1203,"Connection request sent"))</f>
        <v/>
      </c>
      <c r="F393" s="107" t="str">
        <f aca="false">IF($A393="","",SUMIFS('DAILY ENTRY'!$F$7:$F$1203,'DAILY ENTRY'!$A$7:$A$1203,$A393,'DAILY ENTRY'!$B$7:$B$1203,$B393,'DAILY ENTRY'!$D$7:$D$1203,"First message sent"))</f>
        <v/>
      </c>
      <c r="G393" s="107" t="str">
        <f aca="false">IF($A393="","",SUMIFS('DAILY ENTRY'!$F$7:$F$1203,'DAILY ENTRY'!$A$7:$A$1203,$A393,'DAILY ENTRY'!$B$7:$B$1203,$B393,'DAILY ENTRY'!$D$7:$D$1203,"Follow-up message sent"))</f>
        <v/>
      </c>
      <c r="H393" s="107" t="str">
        <f aca="false">IF($A393="","",SUMIFS('DAILY ENTRY'!$F$7:$F$1203,'DAILY ENTRY'!$A$7:$A$1203,$A393,'DAILY ENTRY'!$B$7:$B$1203,$B393,'DAILY ENTRY'!$D$7:$D$1203,"Post / content published"))</f>
        <v/>
      </c>
      <c r="I393" s="107" t="str">
        <f aca="false">IF($A393="","",SUMIFS('DAILY ENTRY'!$F$7:$F$1203,'DAILY ENTRY'!$A$7:$A$1203,$A393,'DAILY ENTRY'!$B$7:$B$1203,$B393,'DAILY ENTRY'!$D$7:$D$1203,"Community answer or comment"))</f>
        <v/>
      </c>
      <c r="J393" s="107" t="str">
        <f aca="false">IF($A393="","",SUMIFS('DAILY ENTRY'!$F$7:$F$1203,'DAILY ENTRY'!$A$7:$A$1203,$A393,'DAILY ENTRY'!$B$7:$B$1203,$B393,'DAILY ENTRY'!$D$7:$D$1203,"Partnership / PR contact"))</f>
        <v/>
      </c>
      <c r="K393" s="107" t="str">
        <f aca="false">IF($A393="","",SUMIFS('DAILY ENTRY'!$F$7:$F$1203,'DAILY ENTRY'!$A$7:$A$1203,$A393,'DAILY ENTRY'!$B$7:$B$1203,$B393,'DAILY ENTRY'!$D$7:$D$1203,"Engagement (commented on someone else)"))</f>
        <v/>
      </c>
      <c r="L393" s="107" t="str">
        <f aca="false">IF($A393="","",SUMIFS('DAILY ENTRY'!$F$7:$F$1203,'DAILY ENTRY'!$A$7:$A$1203,$A393,'DAILY ENTRY'!$B$7:$B$1203,$B393,'DAILY ENTRY'!$D$7:$D$1203,"Account created / profile completed"))</f>
        <v/>
      </c>
      <c r="M393" s="108" t="str">
        <f aca="false">IF($A393="","",IFERROR(INDEX('DAILY ENTRY'!$E$7:$E$1203,MATCH(1,INDEX(('DAILY ENTRY'!$A$7:$A$1203=$A393)*('DAILY ENTRY'!$B$7:$B$1203=$B393)*('DAILY ENTRY'!$I$7:$I$1203="Meeting booked"),0),0)),IFERROR(INDEX('DAILY ENTRY'!$E$7:$E$1203,MATCH(1,INDEX(('DAILY ENTRY'!$A$7:$A$1203=$A393)*('DAILY ENTRY'!$B$7:$B$1203=$B393)*('DAILY ENTRY'!$I$7:$I$1203="Positive reply"),0),0)),"")))</f>
        <v/>
      </c>
      <c r="N393" s="108" t="str">
        <f aca="false">IF($A393="","",IFERROR(INDEX('DAILY ENTRY'!$J$7:$J$1203,MATCH(1,INDEX(('DAILY ENTRY'!$A$7:$A$1203=$A393)*('DAILY ENTRY'!$B$7:$B$1203=$B393)*('DAILY ENTRY'!$I$7:$I$1203="Blocked"),0),0)),""))</f>
        <v/>
      </c>
      <c r="O393" s="65" t="str">
        <f aca="false">IF($A393="","",(D393&gt;='START HERE'!$B$25)+(E393&gt;='START HERE'!$B$26)+(F393&gt;='START HERE'!$B$27)+(G393&gt;='START HERE'!$B$28)+(H393&gt;='START HERE'!$B$29)+(I393&gt;='START HERE'!$B$30)+(J393&gt;='START HERE'!$B$31)+(K393&gt;='START HERE'!$B$32))</f>
        <v/>
      </c>
      <c r="P393" s="46" t="str">
        <f aca="false">IF($A393="","",IF(O393&gt;=7,"Full day",IF(O393&gt;=5,"Most targets met",IF(O393&gt;=3,"Half day","Below plan - explain in the blocker column"))))</f>
        <v/>
      </c>
    </row>
    <row r="394" customFormat="false" ht="24" hidden="false" customHeight="true" outlineLevel="0" collapsed="false">
      <c r="A394" s="36"/>
      <c r="B394" s="37"/>
      <c r="C394" s="107" t="str">
        <f aca="false">IF($A394="","",ROUND(SUMIFS('DAILY ENTRY'!$G$7:$G$1203,'DAILY ENTRY'!$A$7:$A$1203,$A394,'DAILY ENTRY'!$B$7:$B$1203,$B394)/60,1))</f>
        <v/>
      </c>
      <c r="D394" s="107" t="str">
        <f aca="false">IF($A394="","",SUMIFS('DAILY ENTRY'!$F$7:$F$1203,'DAILY ENTRY'!$A$7:$A$1203,$A394,'DAILY ENTRY'!$B$7:$B$1203,$B394,'DAILY ENTRY'!$D$7:$D$1203,"Lead researched (Sales Navigator)"))</f>
        <v/>
      </c>
      <c r="E394" s="107" t="str">
        <f aca="false">IF($A394="","",SUMIFS('DAILY ENTRY'!$F$7:$F$1203,'DAILY ENTRY'!$A$7:$A$1203,$A394,'DAILY ENTRY'!$B$7:$B$1203,$B394,'DAILY ENTRY'!$D$7:$D$1203,"Connection request sent"))</f>
        <v/>
      </c>
      <c r="F394" s="107" t="str">
        <f aca="false">IF($A394="","",SUMIFS('DAILY ENTRY'!$F$7:$F$1203,'DAILY ENTRY'!$A$7:$A$1203,$A394,'DAILY ENTRY'!$B$7:$B$1203,$B394,'DAILY ENTRY'!$D$7:$D$1203,"First message sent"))</f>
        <v/>
      </c>
      <c r="G394" s="107" t="str">
        <f aca="false">IF($A394="","",SUMIFS('DAILY ENTRY'!$F$7:$F$1203,'DAILY ENTRY'!$A$7:$A$1203,$A394,'DAILY ENTRY'!$B$7:$B$1203,$B394,'DAILY ENTRY'!$D$7:$D$1203,"Follow-up message sent"))</f>
        <v/>
      </c>
      <c r="H394" s="107" t="str">
        <f aca="false">IF($A394="","",SUMIFS('DAILY ENTRY'!$F$7:$F$1203,'DAILY ENTRY'!$A$7:$A$1203,$A394,'DAILY ENTRY'!$B$7:$B$1203,$B394,'DAILY ENTRY'!$D$7:$D$1203,"Post / content published"))</f>
        <v/>
      </c>
      <c r="I394" s="107" t="str">
        <f aca="false">IF($A394="","",SUMIFS('DAILY ENTRY'!$F$7:$F$1203,'DAILY ENTRY'!$A$7:$A$1203,$A394,'DAILY ENTRY'!$B$7:$B$1203,$B394,'DAILY ENTRY'!$D$7:$D$1203,"Community answer or comment"))</f>
        <v/>
      </c>
      <c r="J394" s="107" t="str">
        <f aca="false">IF($A394="","",SUMIFS('DAILY ENTRY'!$F$7:$F$1203,'DAILY ENTRY'!$A$7:$A$1203,$A394,'DAILY ENTRY'!$B$7:$B$1203,$B394,'DAILY ENTRY'!$D$7:$D$1203,"Partnership / PR contact"))</f>
        <v/>
      </c>
      <c r="K394" s="107" t="str">
        <f aca="false">IF($A394="","",SUMIFS('DAILY ENTRY'!$F$7:$F$1203,'DAILY ENTRY'!$A$7:$A$1203,$A394,'DAILY ENTRY'!$B$7:$B$1203,$B394,'DAILY ENTRY'!$D$7:$D$1203,"Engagement (commented on someone else)"))</f>
        <v/>
      </c>
      <c r="L394" s="107" t="str">
        <f aca="false">IF($A394="","",SUMIFS('DAILY ENTRY'!$F$7:$F$1203,'DAILY ENTRY'!$A$7:$A$1203,$A394,'DAILY ENTRY'!$B$7:$B$1203,$B394,'DAILY ENTRY'!$D$7:$D$1203,"Account created / profile completed"))</f>
        <v/>
      </c>
      <c r="M394" s="108" t="str">
        <f aca="false">IF($A394="","",IFERROR(INDEX('DAILY ENTRY'!$E$7:$E$1203,MATCH(1,INDEX(('DAILY ENTRY'!$A$7:$A$1203=$A394)*('DAILY ENTRY'!$B$7:$B$1203=$B394)*('DAILY ENTRY'!$I$7:$I$1203="Meeting booked"),0),0)),IFERROR(INDEX('DAILY ENTRY'!$E$7:$E$1203,MATCH(1,INDEX(('DAILY ENTRY'!$A$7:$A$1203=$A394)*('DAILY ENTRY'!$B$7:$B$1203=$B394)*('DAILY ENTRY'!$I$7:$I$1203="Positive reply"),0),0)),"")))</f>
        <v/>
      </c>
      <c r="N394" s="108" t="str">
        <f aca="false">IF($A394="","",IFERROR(INDEX('DAILY ENTRY'!$J$7:$J$1203,MATCH(1,INDEX(('DAILY ENTRY'!$A$7:$A$1203=$A394)*('DAILY ENTRY'!$B$7:$B$1203=$B394)*('DAILY ENTRY'!$I$7:$I$1203="Blocked"),0),0)),""))</f>
        <v/>
      </c>
      <c r="O394" s="65" t="str">
        <f aca="false">IF($A394="","",(D394&gt;='START HERE'!$B$25)+(E394&gt;='START HERE'!$B$26)+(F394&gt;='START HERE'!$B$27)+(G394&gt;='START HERE'!$B$28)+(H394&gt;='START HERE'!$B$29)+(I394&gt;='START HERE'!$B$30)+(J394&gt;='START HERE'!$B$31)+(K394&gt;='START HERE'!$B$32))</f>
        <v/>
      </c>
      <c r="P394" s="46" t="str">
        <f aca="false">IF($A394="","",IF(O394&gt;=7,"Full day",IF(O394&gt;=5,"Most targets met",IF(O394&gt;=3,"Half day","Below plan - explain in the blocker column"))))</f>
        <v/>
      </c>
    </row>
    <row r="395" customFormat="false" ht="24" hidden="false" customHeight="true" outlineLevel="0" collapsed="false">
      <c r="A395" s="36"/>
      <c r="B395" s="37"/>
      <c r="C395" s="107" t="str">
        <f aca="false">IF($A395="","",ROUND(SUMIFS('DAILY ENTRY'!$G$7:$G$1203,'DAILY ENTRY'!$A$7:$A$1203,$A395,'DAILY ENTRY'!$B$7:$B$1203,$B395)/60,1))</f>
        <v/>
      </c>
      <c r="D395" s="107" t="str">
        <f aca="false">IF($A395="","",SUMIFS('DAILY ENTRY'!$F$7:$F$1203,'DAILY ENTRY'!$A$7:$A$1203,$A395,'DAILY ENTRY'!$B$7:$B$1203,$B395,'DAILY ENTRY'!$D$7:$D$1203,"Lead researched (Sales Navigator)"))</f>
        <v/>
      </c>
      <c r="E395" s="107" t="str">
        <f aca="false">IF($A395="","",SUMIFS('DAILY ENTRY'!$F$7:$F$1203,'DAILY ENTRY'!$A$7:$A$1203,$A395,'DAILY ENTRY'!$B$7:$B$1203,$B395,'DAILY ENTRY'!$D$7:$D$1203,"Connection request sent"))</f>
        <v/>
      </c>
      <c r="F395" s="107" t="str">
        <f aca="false">IF($A395="","",SUMIFS('DAILY ENTRY'!$F$7:$F$1203,'DAILY ENTRY'!$A$7:$A$1203,$A395,'DAILY ENTRY'!$B$7:$B$1203,$B395,'DAILY ENTRY'!$D$7:$D$1203,"First message sent"))</f>
        <v/>
      </c>
      <c r="G395" s="107" t="str">
        <f aca="false">IF($A395="","",SUMIFS('DAILY ENTRY'!$F$7:$F$1203,'DAILY ENTRY'!$A$7:$A$1203,$A395,'DAILY ENTRY'!$B$7:$B$1203,$B395,'DAILY ENTRY'!$D$7:$D$1203,"Follow-up message sent"))</f>
        <v/>
      </c>
      <c r="H395" s="107" t="str">
        <f aca="false">IF($A395="","",SUMIFS('DAILY ENTRY'!$F$7:$F$1203,'DAILY ENTRY'!$A$7:$A$1203,$A395,'DAILY ENTRY'!$B$7:$B$1203,$B395,'DAILY ENTRY'!$D$7:$D$1203,"Post / content published"))</f>
        <v/>
      </c>
      <c r="I395" s="107" t="str">
        <f aca="false">IF($A395="","",SUMIFS('DAILY ENTRY'!$F$7:$F$1203,'DAILY ENTRY'!$A$7:$A$1203,$A395,'DAILY ENTRY'!$B$7:$B$1203,$B395,'DAILY ENTRY'!$D$7:$D$1203,"Community answer or comment"))</f>
        <v/>
      </c>
      <c r="J395" s="107" t="str">
        <f aca="false">IF($A395="","",SUMIFS('DAILY ENTRY'!$F$7:$F$1203,'DAILY ENTRY'!$A$7:$A$1203,$A395,'DAILY ENTRY'!$B$7:$B$1203,$B395,'DAILY ENTRY'!$D$7:$D$1203,"Partnership / PR contact"))</f>
        <v/>
      </c>
      <c r="K395" s="107" t="str">
        <f aca="false">IF($A395="","",SUMIFS('DAILY ENTRY'!$F$7:$F$1203,'DAILY ENTRY'!$A$7:$A$1203,$A395,'DAILY ENTRY'!$B$7:$B$1203,$B395,'DAILY ENTRY'!$D$7:$D$1203,"Engagement (commented on someone else)"))</f>
        <v/>
      </c>
      <c r="L395" s="107" t="str">
        <f aca="false">IF($A395="","",SUMIFS('DAILY ENTRY'!$F$7:$F$1203,'DAILY ENTRY'!$A$7:$A$1203,$A395,'DAILY ENTRY'!$B$7:$B$1203,$B395,'DAILY ENTRY'!$D$7:$D$1203,"Account created / profile completed"))</f>
        <v/>
      </c>
      <c r="M395" s="108" t="str">
        <f aca="false">IF($A395="","",IFERROR(INDEX('DAILY ENTRY'!$E$7:$E$1203,MATCH(1,INDEX(('DAILY ENTRY'!$A$7:$A$1203=$A395)*('DAILY ENTRY'!$B$7:$B$1203=$B395)*('DAILY ENTRY'!$I$7:$I$1203="Meeting booked"),0),0)),IFERROR(INDEX('DAILY ENTRY'!$E$7:$E$1203,MATCH(1,INDEX(('DAILY ENTRY'!$A$7:$A$1203=$A395)*('DAILY ENTRY'!$B$7:$B$1203=$B395)*('DAILY ENTRY'!$I$7:$I$1203="Positive reply"),0),0)),"")))</f>
        <v/>
      </c>
      <c r="N395" s="108" t="str">
        <f aca="false">IF($A395="","",IFERROR(INDEX('DAILY ENTRY'!$J$7:$J$1203,MATCH(1,INDEX(('DAILY ENTRY'!$A$7:$A$1203=$A395)*('DAILY ENTRY'!$B$7:$B$1203=$B395)*('DAILY ENTRY'!$I$7:$I$1203="Blocked"),0),0)),""))</f>
        <v/>
      </c>
      <c r="O395" s="65" t="str">
        <f aca="false">IF($A395="","",(D395&gt;='START HERE'!$B$25)+(E395&gt;='START HERE'!$B$26)+(F395&gt;='START HERE'!$B$27)+(G395&gt;='START HERE'!$B$28)+(H395&gt;='START HERE'!$B$29)+(I395&gt;='START HERE'!$B$30)+(J395&gt;='START HERE'!$B$31)+(K395&gt;='START HERE'!$B$32))</f>
        <v/>
      </c>
      <c r="P395" s="46" t="str">
        <f aca="false">IF($A395="","",IF(O395&gt;=7,"Full day",IF(O395&gt;=5,"Most targets met",IF(O395&gt;=3,"Half day","Below plan - explain in the blocker column"))))</f>
        <v/>
      </c>
    </row>
    <row r="396" customFormat="false" ht="24" hidden="false" customHeight="true" outlineLevel="0" collapsed="false">
      <c r="A396" s="36"/>
      <c r="B396" s="37"/>
      <c r="C396" s="107" t="str">
        <f aca="false">IF($A396="","",ROUND(SUMIFS('DAILY ENTRY'!$G$7:$G$1203,'DAILY ENTRY'!$A$7:$A$1203,$A396,'DAILY ENTRY'!$B$7:$B$1203,$B396)/60,1))</f>
        <v/>
      </c>
      <c r="D396" s="107" t="str">
        <f aca="false">IF($A396="","",SUMIFS('DAILY ENTRY'!$F$7:$F$1203,'DAILY ENTRY'!$A$7:$A$1203,$A396,'DAILY ENTRY'!$B$7:$B$1203,$B396,'DAILY ENTRY'!$D$7:$D$1203,"Lead researched (Sales Navigator)"))</f>
        <v/>
      </c>
      <c r="E396" s="107" t="str">
        <f aca="false">IF($A396="","",SUMIFS('DAILY ENTRY'!$F$7:$F$1203,'DAILY ENTRY'!$A$7:$A$1203,$A396,'DAILY ENTRY'!$B$7:$B$1203,$B396,'DAILY ENTRY'!$D$7:$D$1203,"Connection request sent"))</f>
        <v/>
      </c>
      <c r="F396" s="107" t="str">
        <f aca="false">IF($A396="","",SUMIFS('DAILY ENTRY'!$F$7:$F$1203,'DAILY ENTRY'!$A$7:$A$1203,$A396,'DAILY ENTRY'!$B$7:$B$1203,$B396,'DAILY ENTRY'!$D$7:$D$1203,"First message sent"))</f>
        <v/>
      </c>
      <c r="G396" s="107" t="str">
        <f aca="false">IF($A396="","",SUMIFS('DAILY ENTRY'!$F$7:$F$1203,'DAILY ENTRY'!$A$7:$A$1203,$A396,'DAILY ENTRY'!$B$7:$B$1203,$B396,'DAILY ENTRY'!$D$7:$D$1203,"Follow-up message sent"))</f>
        <v/>
      </c>
      <c r="H396" s="107" t="str">
        <f aca="false">IF($A396="","",SUMIFS('DAILY ENTRY'!$F$7:$F$1203,'DAILY ENTRY'!$A$7:$A$1203,$A396,'DAILY ENTRY'!$B$7:$B$1203,$B396,'DAILY ENTRY'!$D$7:$D$1203,"Post / content published"))</f>
        <v/>
      </c>
      <c r="I396" s="107" t="str">
        <f aca="false">IF($A396="","",SUMIFS('DAILY ENTRY'!$F$7:$F$1203,'DAILY ENTRY'!$A$7:$A$1203,$A396,'DAILY ENTRY'!$B$7:$B$1203,$B396,'DAILY ENTRY'!$D$7:$D$1203,"Community answer or comment"))</f>
        <v/>
      </c>
      <c r="J396" s="107" t="str">
        <f aca="false">IF($A396="","",SUMIFS('DAILY ENTRY'!$F$7:$F$1203,'DAILY ENTRY'!$A$7:$A$1203,$A396,'DAILY ENTRY'!$B$7:$B$1203,$B396,'DAILY ENTRY'!$D$7:$D$1203,"Partnership / PR contact"))</f>
        <v/>
      </c>
      <c r="K396" s="107" t="str">
        <f aca="false">IF($A396="","",SUMIFS('DAILY ENTRY'!$F$7:$F$1203,'DAILY ENTRY'!$A$7:$A$1203,$A396,'DAILY ENTRY'!$B$7:$B$1203,$B396,'DAILY ENTRY'!$D$7:$D$1203,"Engagement (commented on someone else)"))</f>
        <v/>
      </c>
      <c r="L396" s="107" t="str">
        <f aca="false">IF($A396="","",SUMIFS('DAILY ENTRY'!$F$7:$F$1203,'DAILY ENTRY'!$A$7:$A$1203,$A396,'DAILY ENTRY'!$B$7:$B$1203,$B396,'DAILY ENTRY'!$D$7:$D$1203,"Account created / profile completed"))</f>
        <v/>
      </c>
      <c r="M396" s="108" t="str">
        <f aca="false">IF($A396="","",IFERROR(INDEX('DAILY ENTRY'!$E$7:$E$1203,MATCH(1,INDEX(('DAILY ENTRY'!$A$7:$A$1203=$A396)*('DAILY ENTRY'!$B$7:$B$1203=$B396)*('DAILY ENTRY'!$I$7:$I$1203="Meeting booked"),0),0)),IFERROR(INDEX('DAILY ENTRY'!$E$7:$E$1203,MATCH(1,INDEX(('DAILY ENTRY'!$A$7:$A$1203=$A396)*('DAILY ENTRY'!$B$7:$B$1203=$B396)*('DAILY ENTRY'!$I$7:$I$1203="Positive reply"),0),0)),"")))</f>
        <v/>
      </c>
      <c r="N396" s="108" t="str">
        <f aca="false">IF($A396="","",IFERROR(INDEX('DAILY ENTRY'!$J$7:$J$1203,MATCH(1,INDEX(('DAILY ENTRY'!$A$7:$A$1203=$A396)*('DAILY ENTRY'!$B$7:$B$1203=$B396)*('DAILY ENTRY'!$I$7:$I$1203="Blocked"),0),0)),""))</f>
        <v/>
      </c>
      <c r="O396" s="65" t="str">
        <f aca="false">IF($A396="","",(D396&gt;='START HERE'!$B$25)+(E396&gt;='START HERE'!$B$26)+(F396&gt;='START HERE'!$B$27)+(G396&gt;='START HERE'!$B$28)+(H396&gt;='START HERE'!$B$29)+(I396&gt;='START HERE'!$B$30)+(J396&gt;='START HERE'!$B$31)+(K396&gt;='START HERE'!$B$32))</f>
        <v/>
      </c>
      <c r="P396" s="46" t="str">
        <f aca="false">IF($A396="","",IF(O396&gt;=7,"Full day",IF(O396&gt;=5,"Most targets met",IF(O396&gt;=3,"Half day","Below plan - explain in the blocker column"))))</f>
        <v/>
      </c>
    </row>
    <row r="397" customFormat="false" ht="24" hidden="false" customHeight="true" outlineLevel="0" collapsed="false">
      <c r="A397" s="36"/>
      <c r="B397" s="37"/>
      <c r="C397" s="107" t="str">
        <f aca="false">IF($A397="","",ROUND(SUMIFS('DAILY ENTRY'!$G$7:$G$1203,'DAILY ENTRY'!$A$7:$A$1203,$A397,'DAILY ENTRY'!$B$7:$B$1203,$B397)/60,1))</f>
        <v/>
      </c>
      <c r="D397" s="107" t="str">
        <f aca="false">IF($A397="","",SUMIFS('DAILY ENTRY'!$F$7:$F$1203,'DAILY ENTRY'!$A$7:$A$1203,$A397,'DAILY ENTRY'!$B$7:$B$1203,$B397,'DAILY ENTRY'!$D$7:$D$1203,"Lead researched (Sales Navigator)"))</f>
        <v/>
      </c>
      <c r="E397" s="107" t="str">
        <f aca="false">IF($A397="","",SUMIFS('DAILY ENTRY'!$F$7:$F$1203,'DAILY ENTRY'!$A$7:$A$1203,$A397,'DAILY ENTRY'!$B$7:$B$1203,$B397,'DAILY ENTRY'!$D$7:$D$1203,"Connection request sent"))</f>
        <v/>
      </c>
      <c r="F397" s="107" t="str">
        <f aca="false">IF($A397="","",SUMIFS('DAILY ENTRY'!$F$7:$F$1203,'DAILY ENTRY'!$A$7:$A$1203,$A397,'DAILY ENTRY'!$B$7:$B$1203,$B397,'DAILY ENTRY'!$D$7:$D$1203,"First message sent"))</f>
        <v/>
      </c>
      <c r="G397" s="107" t="str">
        <f aca="false">IF($A397="","",SUMIFS('DAILY ENTRY'!$F$7:$F$1203,'DAILY ENTRY'!$A$7:$A$1203,$A397,'DAILY ENTRY'!$B$7:$B$1203,$B397,'DAILY ENTRY'!$D$7:$D$1203,"Follow-up message sent"))</f>
        <v/>
      </c>
      <c r="H397" s="107" t="str">
        <f aca="false">IF($A397="","",SUMIFS('DAILY ENTRY'!$F$7:$F$1203,'DAILY ENTRY'!$A$7:$A$1203,$A397,'DAILY ENTRY'!$B$7:$B$1203,$B397,'DAILY ENTRY'!$D$7:$D$1203,"Post / content published"))</f>
        <v/>
      </c>
      <c r="I397" s="107" t="str">
        <f aca="false">IF($A397="","",SUMIFS('DAILY ENTRY'!$F$7:$F$1203,'DAILY ENTRY'!$A$7:$A$1203,$A397,'DAILY ENTRY'!$B$7:$B$1203,$B397,'DAILY ENTRY'!$D$7:$D$1203,"Community answer or comment"))</f>
        <v/>
      </c>
      <c r="J397" s="107" t="str">
        <f aca="false">IF($A397="","",SUMIFS('DAILY ENTRY'!$F$7:$F$1203,'DAILY ENTRY'!$A$7:$A$1203,$A397,'DAILY ENTRY'!$B$7:$B$1203,$B397,'DAILY ENTRY'!$D$7:$D$1203,"Partnership / PR contact"))</f>
        <v/>
      </c>
      <c r="K397" s="107" t="str">
        <f aca="false">IF($A397="","",SUMIFS('DAILY ENTRY'!$F$7:$F$1203,'DAILY ENTRY'!$A$7:$A$1203,$A397,'DAILY ENTRY'!$B$7:$B$1203,$B397,'DAILY ENTRY'!$D$7:$D$1203,"Engagement (commented on someone else)"))</f>
        <v/>
      </c>
      <c r="L397" s="107" t="str">
        <f aca="false">IF($A397="","",SUMIFS('DAILY ENTRY'!$F$7:$F$1203,'DAILY ENTRY'!$A$7:$A$1203,$A397,'DAILY ENTRY'!$B$7:$B$1203,$B397,'DAILY ENTRY'!$D$7:$D$1203,"Account created / profile completed"))</f>
        <v/>
      </c>
      <c r="M397" s="108" t="str">
        <f aca="false">IF($A397="","",IFERROR(INDEX('DAILY ENTRY'!$E$7:$E$1203,MATCH(1,INDEX(('DAILY ENTRY'!$A$7:$A$1203=$A397)*('DAILY ENTRY'!$B$7:$B$1203=$B397)*('DAILY ENTRY'!$I$7:$I$1203="Meeting booked"),0),0)),IFERROR(INDEX('DAILY ENTRY'!$E$7:$E$1203,MATCH(1,INDEX(('DAILY ENTRY'!$A$7:$A$1203=$A397)*('DAILY ENTRY'!$B$7:$B$1203=$B397)*('DAILY ENTRY'!$I$7:$I$1203="Positive reply"),0),0)),"")))</f>
        <v/>
      </c>
      <c r="N397" s="108" t="str">
        <f aca="false">IF($A397="","",IFERROR(INDEX('DAILY ENTRY'!$J$7:$J$1203,MATCH(1,INDEX(('DAILY ENTRY'!$A$7:$A$1203=$A397)*('DAILY ENTRY'!$B$7:$B$1203=$B397)*('DAILY ENTRY'!$I$7:$I$1203="Blocked"),0),0)),""))</f>
        <v/>
      </c>
      <c r="O397" s="65" t="str">
        <f aca="false">IF($A397="","",(D397&gt;='START HERE'!$B$25)+(E397&gt;='START HERE'!$B$26)+(F397&gt;='START HERE'!$B$27)+(G397&gt;='START HERE'!$B$28)+(H397&gt;='START HERE'!$B$29)+(I397&gt;='START HERE'!$B$30)+(J397&gt;='START HERE'!$B$31)+(K397&gt;='START HERE'!$B$32))</f>
        <v/>
      </c>
      <c r="P397" s="46" t="str">
        <f aca="false">IF($A397="","",IF(O397&gt;=7,"Full day",IF(O397&gt;=5,"Most targets met",IF(O397&gt;=3,"Half day","Below plan - explain in the blocker column"))))</f>
        <v/>
      </c>
    </row>
    <row r="398" customFormat="false" ht="24" hidden="false" customHeight="true" outlineLevel="0" collapsed="false">
      <c r="A398" s="36"/>
      <c r="B398" s="37"/>
      <c r="C398" s="107" t="str">
        <f aca="false">IF($A398="","",ROUND(SUMIFS('DAILY ENTRY'!$G$7:$G$1203,'DAILY ENTRY'!$A$7:$A$1203,$A398,'DAILY ENTRY'!$B$7:$B$1203,$B398)/60,1))</f>
        <v/>
      </c>
      <c r="D398" s="107" t="str">
        <f aca="false">IF($A398="","",SUMIFS('DAILY ENTRY'!$F$7:$F$1203,'DAILY ENTRY'!$A$7:$A$1203,$A398,'DAILY ENTRY'!$B$7:$B$1203,$B398,'DAILY ENTRY'!$D$7:$D$1203,"Lead researched (Sales Navigator)"))</f>
        <v/>
      </c>
      <c r="E398" s="107" t="str">
        <f aca="false">IF($A398="","",SUMIFS('DAILY ENTRY'!$F$7:$F$1203,'DAILY ENTRY'!$A$7:$A$1203,$A398,'DAILY ENTRY'!$B$7:$B$1203,$B398,'DAILY ENTRY'!$D$7:$D$1203,"Connection request sent"))</f>
        <v/>
      </c>
      <c r="F398" s="107" t="str">
        <f aca="false">IF($A398="","",SUMIFS('DAILY ENTRY'!$F$7:$F$1203,'DAILY ENTRY'!$A$7:$A$1203,$A398,'DAILY ENTRY'!$B$7:$B$1203,$B398,'DAILY ENTRY'!$D$7:$D$1203,"First message sent"))</f>
        <v/>
      </c>
      <c r="G398" s="107" t="str">
        <f aca="false">IF($A398="","",SUMIFS('DAILY ENTRY'!$F$7:$F$1203,'DAILY ENTRY'!$A$7:$A$1203,$A398,'DAILY ENTRY'!$B$7:$B$1203,$B398,'DAILY ENTRY'!$D$7:$D$1203,"Follow-up message sent"))</f>
        <v/>
      </c>
      <c r="H398" s="107" t="str">
        <f aca="false">IF($A398="","",SUMIFS('DAILY ENTRY'!$F$7:$F$1203,'DAILY ENTRY'!$A$7:$A$1203,$A398,'DAILY ENTRY'!$B$7:$B$1203,$B398,'DAILY ENTRY'!$D$7:$D$1203,"Post / content published"))</f>
        <v/>
      </c>
      <c r="I398" s="107" t="str">
        <f aca="false">IF($A398="","",SUMIFS('DAILY ENTRY'!$F$7:$F$1203,'DAILY ENTRY'!$A$7:$A$1203,$A398,'DAILY ENTRY'!$B$7:$B$1203,$B398,'DAILY ENTRY'!$D$7:$D$1203,"Community answer or comment"))</f>
        <v/>
      </c>
      <c r="J398" s="107" t="str">
        <f aca="false">IF($A398="","",SUMIFS('DAILY ENTRY'!$F$7:$F$1203,'DAILY ENTRY'!$A$7:$A$1203,$A398,'DAILY ENTRY'!$B$7:$B$1203,$B398,'DAILY ENTRY'!$D$7:$D$1203,"Partnership / PR contact"))</f>
        <v/>
      </c>
      <c r="K398" s="107" t="str">
        <f aca="false">IF($A398="","",SUMIFS('DAILY ENTRY'!$F$7:$F$1203,'DAILY ENTRY'!$A$7:$A$1203,$A398,'DAILY ENTRY'!$B$7:$B$1203,$B398,'DAILY ENTRY'!$D$7:$D$1203,"Engagement (commented on someone else)"))</f>
        <v/>
      </c>
      <c r="L398" s="107" t="str">
        <f aca="false">IF($A398="","",SUMIFS('DAILY ENTRY'!$F$7:$F$1203,'DAILY ENTRY'!$A$7:$A$1203,$A398,'DAILY ENTRY'!$B$7:$B$1203,$B398,'DAILY ENTRY'!$D$7:$D$1203,"Account created / profile completed"))</f>
        <v/>
      </c>
      <c r="M398" s="108" t="str">
        <f aca="false">IF($A398="","",IFERROR(INDEX('DAILY ENTRY'!$E$7:$E$1203,MATCH(1,INDEX(('DAILY ENTRY'!$A$7:$A$1203=$A398)*('DAILY ENTRY'!$B$7:$B$1203=$B398)*('DAILY ENTRY'!$I$7:$I$1203="Meeting booked"),0),0)),IFERROR(INDEX('DAILY ENTRY'!$E$7:$E$1203,MATCH(1,INDEX(('DAILY ENTRY'!$A$7:$A$1203=$A398)*('DAILY ENTRY'!$B$7:$B$1203=$B398)*('DAILY ENTRY'!$I$7:$I$1203="Positive reply"),0),0)),"")))</f>
        <v/>
      </c>
      <c r="N398" s="108" t="str">
        <f aca="false">IF($A398="","",IFERROR(INDEX('DAILY ENTRY'!$J$7:$J$1203,MATCH(1,INDEX(('DAILY ENTRY'!$A$7:$A$1203=$A398)*('DAILY ENTRY'!$B$7:$B$1203=$B398)*('DAILY ENTRY'!$I$7:$I$1203="Blocked"),0),0)),""))</f>
        <v/>
      </c>
      <c r="O398" s="65" t="str">
        <f aca="false">IF($A398="","",(D398&gt;='START HERE'!$B$25)+(E398&gt;='START HERE'!$B$26)+(F398&gt;='START HERE'!$B$27)+(G398&gt;='START HERE'!$B$28)+(H398&gt;='START HERE'!$B$29)+(I398&gt;='START HERE'!$B$30)+(J398&gt;='START HERE'!$B$31)+(K398&gt;='START HERE'!$B$32))</f>
        <v/>
      </c>
      <c r="P398" s="46" t="str">
        <f aca="false">IF($A398="","",IF(O398&gt;=7,"Full day",IF(O398&gt;=5,"Most targets met",IF(O398&gt;=3,"Half day","Below plan - explain in the blocker column"))))</f>
        <v/>
      </c>
    </row>
    <row r="399" customFormat="false" ht="24" hidden="false" customHeight="true" outlineLevel="0" collapsed="false">
      <c r="A399" s="36"/>
      <c r="B399" s="37"/>
      <c r="C399" s="107" t="str">
        <f aca="false">IF($A399="","",ROUND(SUMIFS('DAILY ENTRY'!$G$7:$G$1203,'DAILY ENTRY'!$A$7:$A$1203,$A399,'DAILY ENTRY'!$B$7:$B$1203,$B399)/60,1))</f>
        <v/>
      </c>
      <c r="D399" s="107" t="str">
        <f aca="false">IF($A399="","",SUMIFS('DAILY ENTRY'!$F$7:$F$1203,'DAILY ENTRY'!$A$7:$A$1203,$A399,'DAILY ENTRY'!$B$7:$B$1203,$B399,'DAILY ENTRY'!$D$7:$D$1203,"Lead researched (Sales Navigator)"))</f>
        <v/>
      </c>
      <c r="E399" s="107" t="str">
        <f aca="false">IF($A399="","",SUMIFS('DAILY ENTRY'!$F$7:$F$1203,'DAILY ENTRY'!$A$7:$A$1203,$A399,'DAILY ENTRY'!$B$7:$B$1203,$B399,'DAILY ENTRY'!$D$7:$D$1203,"Connection request sent"))</f>
        <v/>
      </c>
      <c r="F399" s="107" t="str">
        <f aca="false">IF($A399="","",SUMIFS('DAILY ENTRY'!$F$7:$F$1203,'DAILY ENTRY'!$A$7:$A$1203,$A399,'DAILY ENTRY'!$B$7:$B$1203,$B399,'DAILY ENTRY'!$D$7:$D$1203,"First message sent"))</f>
        <v/>
      </c>
      <c r="G399" s="107" t="str">
        <f aca="false">IF($A399="","",SUMIFS('DAILY ENTRY'!$F$7:$F$1203,'DAILY ENTRY'!$A$7:$A$1203,$A399,'DAILY ENTRY'!$B$7:$B$1203,$B399,'DAILY ENTRY'!$D$7:$D$1203,"Follow-up message sent"))</f>
        <v/>
      </c>
      <c r="H399" s="107" t="str">
        <f aca="false">IF($A399="","",SUMIFS('DAILY ENTRY'!$F$7:$F$1203,'DAILY ENTRY'!$A$7:$A$1203,$A399,'DAILY ENTRY'!$B$7:$B$1203,$B399,'DAILY ENTRY'!$D$7:$D$1203,"Post / content published"))</f>
        <v/>
      </c>
      <c r="I399" s="107" t="str">
        <f aca="false">IF($A399="","",SUMIFS('DAILY ENTRY'!$F$7:$F$1203,'DAILY ENTRY'!$A$7:$A$1203,$A399,'DAILY ENTRY'!$B$7:$B$1203,$B399,'DAILY ENTRY'!$D$7:$D$1203,"Community answer or comment"))</f>
        <v/>
      </c>
      <c r="J399" s="107" t="str">
        <f aca="false">IF($A399="","",SUMIFS('DAILY ENTRY'!$F$7:$F$1203,'DAILY ENTRY'!$A$7:$A$1203,$A399,'DAILY ENTRY'!$B$7:$B$1203,$B399,'DAILY ENTRY'!$D$7:$D$1203,"Partnership / PR contact"))</f>
        <v/>
      </c>
      <c r="K399" s="107" t="str">
        <f aca="false">IF($A399="","",SUMIFS('DAILY ENTRY'!$F$7:$F$1203,'DAILY ENTRY'!$A$7:$A$1203,$A399,'DAILY ENTRY'!$B$7:$B$1203,$B399,'DAILY ENTRY'!$D$7:$D$1203,"Engagement (commented on someone else)"))</f>
        <v/>
      </c>
      <c r="L399" s="107" t="str">
        <f aca="false">IF($A399="","",SUMIFS('DAILY ENTRY'!$F$7:$F$1203,'DAILY ENTRY'!$A$7:$A$1203,$A399,'DAILY ENTRY'!$B$7:$B$1203,$B399,'DAILY ENTRY'!$D$7:$D$1203,"Account created / profile completed"))</f>
        <v/>
      </c>
      <c r="M399" s="108" t="str">
        <f aca="false">IF($A399="","",IFERROR(INDEX('DAILY ENTRY'!$E$7:$E$1203,MATCH(1,INDEX(('DAILY ENTRY'!$A$7:$A$1203=$A399)*('DAILY ENTRY'!$B$7:$B$1203=$B399)*('DAILY ENTRY'!$I$7:$I$1203="Meeting booked"),0),0)),IFERROR(INDEX('DAILY ENTRY'!$E$7:$E$1203,MATCH(1,INDEX(('DAILY ENTRY'!$A$7:$A$1203=$A399)*('DAILY ENTRY'!$B$7:$B$1203=$B399)*('DAILY ENTRY'!$I$7:$I$1203="Positive reply"),0),0)),"")))</f>
        <v/>
      </c>
      <c r="N399" s="108" t="str">
        <f aca="false">IF($A399="","",IFERROR(INDEX('DAILY ENTRY'!$J$7:$J$1203,MATCH(1,INDEX(('DAILY ENTRY'!$A$7:$A$1203=$A399)*('DAILY ENTRY'!$B$7:$B$1203=$B399)*('DAILY ENTRY'!$I$7:$I$1203="Blocked"),0),0)),""))</f>
        <v/>
      </c>
      <c r="O399" s="65" t="str">
        <f aca="false">IF($A399="","",(D399&gt;='START HERE'!$B$25)+(E399&gt;='START HERE'!$B$26)+(F399&gt;='START HERE'!$B$27)+(G399&gt;='START HERE'!$B$28)+(H399&gt;='START HERE'!$B$29)+(I399&gt;='START HERE'!$B$30)+(J399&gt;='START HERE'!$B$31)+(K399&gt;='START HERE'!$B$32))</f>
        <v/>
      </c>
      <c r="P399" s="46" t="str">
        <f aca="false">IF($A399="","",IF(O399&gt;=7,"Full day",IF(O399&gt;=5,"Most targets met",IF(O399&gt;=3,"Half day","Below plan - explain in the blocker column"))))</f>
        <v/>
      </c>
    </row>
    <row r="400" customFormat="false" ht="24" hidden="false" customHeight="true" outlineLevel="0" collapsed="false">
      <c r="A400" s="36"/>
      <c r="B400" s="37"/>
      <c r="C400" s="107" t="str">
        <f aca="false">IF($A400="","",ROUND(SUMIFS('DAILY ENTRY'!$G$7:$G$1203,'DAILY ENTRY'!$A$7:$A$1203,$A400,'DAILY ENTRY'!$B$7:$B$1203,$B400)/60,1))</f>
        <v/>
      </c>
      <c r="D400" s="107" t="str">
        <f aca="false">IF($A400="","",SUMIFS('DAILY ENTRY'!$F$7:$F$1203,'DAILY ENTRY'!$A$7:$A$1203,$A400,'DAILY ENTRY'!$B$7:$B$1203,$B400,'DAILY ENTRY'!$D$7:$D$1203,"Lead researched (Sales Navigator)"))</f>
        <v/>
      </c>
      <c r="E400" s="107" t="str">
        <f aca="false">IF($A400="","",SUMIFS('DAILY ENTRY'!$F$7:$F$1203,'DAILY ENTRY'!$A$7:$A$1203,$A400,'DAILY ENTRY'!$B$7:$B$1203,$B400,'DAILY ENTRY'!$D$7:$D$1203,"Connection request sent"))</f>
        <v/>
      </c>
      <c r="F400" s="107" t="str">
        <f aca="false">IF($A400="","",SUMIFS('DAILY ENTRY'!$F$7:$F$1203,'DAILY ENTRY'!$A$7:$A$1203,$A400,'DAILY ENTRY'!$B$7:$B$1203,$B400,'DAILY ENTRY'!$D$7:$D$1203,"First message sent"))</f>
        <v/>
      </c>
      <c r="G400" s="107" t="str">
        <f aca="false">IF($A400="","",SUMIFS('DAILY ENTRY'!$F$7:$F$1203,'DAILY ENTRY'!$A$7:$A$1203,$A400,'DAILY ENTRY'!$B$7:$B$1203,$B400,'DAILY ENTRY'!$D$7:$D$1203,"Follow-up message sent"))</f>
        <v/>
      </c>
      <c r="H400" s="107" t="str">
        <f aca="false">IF($A400="","",SUMIFS('DAILY ENTRY'!$F$7:$F$1203,'DAILY ENTRY'!$A$7:$A$1203,$A400,'DAILY ENTRY'!$B$7:$B$1203,$B400,'DAILY ENTRY'!$D$7:$D$1203,"Post / content published"))</f>
        <v/>
      </c>
      <c r="I400" s="107" t="str">
        <f aca="false">IF($A400="","",SUMIFS('DAILY ENTRY'!$F$7:$F$1203,'DAILY ENTRY'!$A$7:$A$1203,$A400,'DAILY ENTRY'!$B$7:$B$1203,$B400,'DAILY ENTRY'!$D$7:$D$1203,"Community answer or comment"))</f>
        <v/>
      </c>
      <c r="J400" s="107" t="str">
        <f aca="false">IF($A400="","",SUMIFS('DAILY ENTRY'!$F$7:$F$1203,'DAILY ENTRY'!$A$7:$A$1203,$A400,'DAILY ENTRY'!$B$7:$B$1203,$B400,'DAILY ENTRY'!$D$7:$D$1203,"Partnership / PR contact"))</f>
        <v/>
      </c>
      <c r="K400" s="107" t="str">
        <f aca="false">IF($A400="","",SUMIFS('DAILY ENTRY'!$F$7:$F$1203,'DAILY ENTRY'!$A$7:$A$1203,$A400,'DAILY ENTRY'!$B$7:$B$1203,$B400,'DAILY ENTRY'!$D$7:$D$1203,"Engagement (commented on someone else)"))</f>
        <v/>
      </c>
      <c r="L400" s="107" t="str">
        <f aca="false">IF($A400="","",SUMIFS('DAILY ENTRY'!$F$7:$F$1203,'DAILY ENTRY'!$A$7:$A$1203,$A400,'DAILY ENTRY'!$B$7:$B$1203,$B400,'DAILY ENTRY'!$D$7:$D$1203,"Account created / profile completed"))</f>
        <v/>
      </c>
      <c r="M400" s="108" t="str">
        <f aca="false">IF($A400="","",IFERROR(INDEX('DAILY ENTRY'!$E$7:$E$1203,MATCH(1,INDEX(('DAILY ENTRY'!$A$7:$A$1203=$A400)*('DAILY ENTRY'!$B$7:$B$1203=$B400)*('DAILY ENTRY'!$I$7:$I$1203="Meeting booked"),0),0)),IFERROR(INDEX('DAILY ENTRY'!$E$7:$E$1203,MATCH(1,INDEX(('DAILY ENTRY'!$A$7:$A$1203=$A400)*('DAILY ENTRY'!$B$7:$B$1203=$B400)*('DAILY ENTRY'!$I$7:$I$1203="Positive reply"),0),0)),"")))</f>
        <v/>
      </c>
      <c r="N400" s="108" t="str">
        <f aca="false">IF($A400="","",IFERROR(INDEX('DAILY ENTRY'!$J$7:$J$1203,MATCH(1,INDEX(('DAILY ENTRY'!$A$7:$A$1203=$A400)*('DAILY ENTRY'!$B$7:$B$1203=$B400)*('DAILY ENTRY'!$I$7:$I$1203="Blocked"),0),0)),""))</f>
        <v/>
      </c>
      <c r="O400" s="65" t="str">
        <f aca="false">IF($A400="","",(D400&gt;='START HERE'!$B$25)+(E400&gt;='START HERE'!$B$26)+(F400&gt;='START HERE'!$B$27)+(G400&gt;='START HERE'!$B$28)+(H400&gt;='START HERE'!$B$29)+(I400&gt;='START HERE'!$B$30)+(J400&gt;='START HERE'!$B$31)+(K400&gt;='START HERE'!$B$32))</f>
        <v/>
      </c>
      <c r="P400" s="46" t="str">
        <f aca="false">IF($A400="","",IF(O400&gt;=7,"Full day",IF(O400&gt;=5,"Most targets met",IF(O400&gt;=3,"Half day","Below plan - explain in the blocker column"))))</f>
        <v/>
      </c>
    </row>
    <row r="401" customFormat="false" ht="24" hidden="false" customHeight="true" outlineLevel="0" collapsed="false">
      <c r="A401" s="36"/>
      <c r="B401" s="37"/>
      <c r="C401" s="107" t="str">
        <f aca="false">IF($A401="","",ROUND(SUMIFS('DAILY ENTRY'!$G$7:$G$1203,'DAILY ENTRY'!$A$7:$A$1203,$A401,'DAILY ENTRY'!$B$7:$B$1203,$B401)/60,1))</f>
        <v/>
      </c>
      <c r="D401" s="107" t="str">
        <f aca="false">IF($A401="","",SUMIFS('DAILY ENTRY'!$F$7:$F$1203,'DAILY ENTRY'!$A$7:$A$1203,$A401,'DAILY ENTRY'!$B$7:$B$1203,$B401,'DAILY ENTRY'!$D$7:$D$1203,"Lead researched (Sales Navigator)"))</f>
        <v/>
      </c>
      <c r="E401" s="107" t="str">
        <f aca="false">IF($A401="","",SUMIFS('DAILY ENTRY'!$F$7:$F$1203,'DAILY ENTRY'!$A$7:$A$1203,$A401,'DAILY ENTRY'!$B$7:$B$1203,$B401,'DAILY ENTRY'!$D$7:$D$1203,"Connection request sent"))</f>
        <v/>
      </c>
      <c r="F401" s="107" t="str">
        <f aca="false">IF($A401="","",SUMIFS('DAILY ENTRY'!$F$7:$F$1203,'DAILY ENTRY'!$A$7:$A$1203,$A401,'DAILY ENTRY'!$B$7:$B$1203,$B401,'DAILY ENTRY'!$D$7:$D$1203,"First message sent"))</f>
        <v/>
      </c>
      <c r="G401" s="107" t="str">
        <f aca="false">IF($A401="","",SUMIFS('DAILY ENTRY'!$F$7:$F$1203,'DAILY ENTRY'!$A$7:$A$1203,$A401,'DAILY ENTRY'!$B$7:$B$1203,$B401,'DAILY ENTRY'!$D$7:$D$1203,"Follow-up message sent"))</f>
        <v/>
      </c>
      <c r="H401" s="107" t="str">
        <f aca="false">IF($A401="","",SUMIFS('DAILY ENTRY'!$F$7:$F$1203,'DAILY ENTRY'!$A$7:$A$1203,$A401,'DAILY ENTRY'!$B$7:$B$1203,$B401,'DAILY ENTRY'!$D$7:$D$1203,"Post / content published"))</f>
        <v/>
      </c>
      <c r="I401" s="107" t="str">
        <f aca="false">IF($A401="","",SUMIFS('DAILY ENTRY'!$F$7:$F$1203,'DAILY ENTRY'!$A$7:$A$1203,$A401,'DAILY ENTRY'!$B$7:$B$1203,$B401,'DAILY ENTRY'!$D$7:$D$1203,"Community answer or comment"))</f>
        <v/>
      </c>
      <c r="J401" s="107" t="str">
        <f aca="false">IF($A401="","",SUMIFS('DAILY ENTRY'!$F$7:$F$1203,'DAILY ENTRY'!$A$7:$A$1203,$A401,'DAILY ENTRY'!$B$7:$B$1203,$B401,'DAILY ENTRY'!$D$7:$D$1203,"Partnership / PR contact"))</f>
        <v/>
      </c>
      <c r="K401" s="107" t="str">
        <f aca="false">IF($A401="","",SUMIFS('DAILY ENTRY'!$F$7:$F$1203,'DAILY ENTRY'!$A$7:$A$1203,$A401,'DAILY ENTRY'!$B$7:$B$1203,$B401,'DAILY ENTRY'!$D$7:$D$1203,"Engagement (commented on someone else)"))</f>
        <v/>
      </c>
      <c r="L401" s="107" t="str">
        <f aca="false">IF($A401="","",SUMIFS('DAILY ENTRY'!$F$7:$F$1203,'DAILY ENTRY'!$A$7:$A$1203,$A401,'DAILY ENTRY'!$B$7:$B$1203,$B401,'DAILY ENTRY'!$D$7:$D$1203,"Account created / profile completed"))</f>
        <v/>
      </c>
      <c r="M401" s="108" t="str">
        <f aca="false">IF($A401="","",IFERROR(INDEX('DAILY ENTRY'!$E$7:$E$1203,MATCH(1,INDEX(('DAILY ENTRY'!$A$7:$A$1203=$A401)*('DAILY ENTRY'!$B$7:$B$1203=$B401)*('DAILY ENTRY'!$I$7:$I$1203="Meeting booked"),0),0)),IFERROR(INDEX('DAILY ENTRY'!$E$7:$E$1203,MATCH(1,INDEX(('DAILY ENTRY'!$A$7:$A$1203=$A401)*('DAILY ENTRY'!$B$7:$B$1203=$B401)*('DAILY ENTRY'!$I$7:$I$1203="Positive reply"),0),0)),"")))</f>
        <v/>
      </c>
      <c r="N401" s="108" t="str">
        <f aca="false">IF($A401="","",IFERROR(INDEX('DAILY ENTRY'!$J$7:$J$1203,MATCH(1,INDEX(('DAILY ENTRY'!$A$7:$A$1203=$A401)*('DAILY ENTRY'!$B$7:$B$1203=$B401)*('DAILY ENTRY'!$I$7:$I$1203="Blocked"),0),0)),""))</f>
        <v/>
      </c>
      <c r="O401" s="65" t="str">
        <f aca="false">IF($A401="","",(D401&gt;='START HERE'!$B$25)+(E401&gt;='START HERE'!$B$26)+(F401&gt;='START HERE'!$B$27)+(G401&gt;='START HERE'!$B$28)+(H401&gt;='START HERE'!$B$29)+(I401&gt;='START HERE'!$B$30)+(J401&gt;='START HERE'!$B$31)+(K401&gt;='START HERE'!$B$32))</f>
        <v/>
      </c>
      <c r="P401" s="46" t="str">
        <f aca="false">IF($A401="","",IF(O401&gt;=7,"Full day",IF(O401&gt;=5,"Most targets met",IF(O401&gt;=3,"Half day","Below plan - explain in the blocker column"))))</f>
        <v/>
      </c>
    </row>
    <row r="402" customFormat="false" ht="24" hidden="false" customHeight="true" outlineLevel="0" collapsed="false">
      <c r="A402" s="36"/>
      <c r="B402" s="37"/>
      <c r="C402" s="107" t="str">
        <f aca="false">IF($A402="","",ROUND(SUMIFS('DAILY ENTRY'!$G$7:$G$1203,'DAILY ENTRY'!$A$7:$A$1203,$A402,'DAILY ENTRY'!$B$7:$B$1203,$B402)/60,1))</f>
        <v/>
      </c>
      <c r="D402" s="107" t="str">
        <f aca="false">IF($A402="","",SUMIFS('DAILY ENTRY'!$F$7:$F$1203,'DAILY ENTRY'!$A$7:$A$1203,$A402,'DAILY ENTRY'!$B$7:$B$1203,$B402,'DAILY ENTRY'!$D$7:$D$1203,"Lead researched (Sales Navigator)"))</f>
        <v/>
      </c>
      <c r="E402" s="107" t="str">
        <f aca="false">IF($A402="","",SUMIFS('DAILY ENTRY'!$F$7:$F$1203,'DAILY ENTRY'!$A$7:$A$1203,$A402,'DAILY ENTRY'!$B$7:$B$1203,$B402,'DAILY ENTRY'!$D$7:$D$1203,"Connection request sent"))</f>
        <v/>
      </c>
      <c r="F402" s="107" t="str">
        <f aca="false">IF($A402="","",SUMIFS('DAILY ENTRY'!$F$7:$F$1203,'DAILY ENTRY'!$A$7:$A$1203,$A402,'DAILY ENTRY'!$B$7:$B$1203,$B402,'DAILY ENTRY'!$D$7:$D$1203,"First message sent"))</f>
        <v/>
      </c>
      <c r="G402" s="107" t="str">
        <f aca="false">IF($A402="","",SUMIFS('DAILY ENTRY'!$F$7:$F$1203,'DAILY ENTRY'!$A$7:$A$1203,$A402,'DAILY ENTRY'!$B$7:$B$1203,$B402,'DAILY ENTRY'!$D$7:$D$1203,"Follow-up message sent"))</f>
        <v/>
      </c>
      <c r="H402" s="107" t="str">
        <f aca="false">IF($A402="","",SUMIFS('DAILY ENTRY'!$F$7:$F$1203,'DAILY ENTRY'!$A$7:$A$1203,$A402,'DAILY ENTRY'!$B$7:$B$1203,$B402,'DAILY ENTRY'!$D$7:$D$1203,"Post / content published"))</f>
        <v/>
      </c>
      <c r="I402" s="107" t="str">
        <f aca="false">IF($A402="","",SUMIFS('DAILY ENTRY'!$F$7:$F$1203,'DAILY ENTRY'!$A$7:$A$1203,$A402,'DAILY ENTRY'!$B$7:$B$1203,$B402,'DAILY ENTRY'!$D$7:$D$1203,"Community answer or comment"))</f>
        <v/>
      </c>
      <c r="J402" s="107" t="str">
        <f aca="false">IF($A402="","",SUMIFS('DAILY ENTRY'!$F$7:$F$1203,'DAILY ENTRY'!$A$7:$A$1203,$A402,'DAILY ENTRY'!$B$7:$B$1203,$B402,'DAILY ENTRY'!$D$7:$D$1203,"Partnership / PR contact"))</f>
        <v/>
      </c>
      <c r="K402" s="107" t="str">
        <f aca="false">IF($A402="","",SUMIFS('DAILY ENTRY'!$F$7:$F$1203,'DAILY ENTRY'!$A$7:$A$1203,$A402,'DAILY ENTRY'!$B$7:$B$1203,$B402,'DAILY ENTRY'!$D$7:$D$1203,"Engagement (commented on someone else)"))</f>
        <v/>
      </c>
      <c r="L402" s="107" t="str">
        <f aca="false">IF($A402="","",SUMIFS('DAILY ENTRY'!$F$7:$F$1203,'DAILY ENTRY'!$A$7:$A$1203,$A402,'DAILY ENTRY'!$B$7:$B$1203,$B402,'DAILY ENTRY'!$D$7:$D$1203,"Account created / profile completed"))</f>
        <v/>
      </c>
      <c r="M402" s="108" t="str">
        <f aca="false">IF($A402="","",IFERROR(INDEX('DAILY ENTRY'!$E$7:$E$1203,MATCH(1,INDEX(('DAILY ENTRY'!$A$7:$A$1203=$A402)*('DAILY ENTRY'!$B$7:$B$1203=$B402)*('DAILY ENTRY'!$I$7:$I$1203="Meeting booked"),0),0)),IFERROR(INDEX('DAILY ENTRY'!$E$7:$E$1203,MATCH(1,INDEX(('DAILY ENTRY'!$A$7:$A$1203=$A402)*('DAILY ENTRY'!$B$7:$B$1203=$B402)*('DAILY ENTRY'!$I$7:$I$1203="Positive reply"),0),0)),"")))</f>
        <v/>
      </c>
      <c r="N402" s="108" t="str">
        <f aca="false">IF($A402="","",IFERROR(INDEX('DAILY ENTRY'!$J$7:$J$1203,MATCH(1,INDEX(('DAILY ENTRY'!$A$7:$A$1203=$A402)*('DAILY ENTRY'!$B$7:$B$1203=$B402)*('DAILY ENTRY'!$I$7:$I$1203="Blocked"),0),0)),""))</f>
        <v/>
      </c>
      <c r="O402" s="65" t="str">
        <f aca="false">IF($A402="","",(D402&gt;='START HERE'!$B$25)+(E402&gt;='START HERE'!$B$26)+(F402&gt;='START HERE'!$B$27)+(G402&gt;='START HERE'!$B$28)+(H402&gt;='START HERE'!$B$29)+(I402&gt;='START HERE'!$B$30)+(J402&gt;='START HERE'!$B$31)+(K402&gt;='START HERE'!$B$32))</f>
        <v/>
      </c>
      <c r="P402" s="46" t="str">
        <f aca="false">IF($A402="","",IF(O402&gt;=7,"Full day",IF(O402&gt;=5,"Most targets met",IF(O402&gt;=3,"Half day","Below plan - explain in the blocker column"))))</f>
        <v/>
      </c>
    </row>
    <row r="403" customFormat="false" ht="24" hidden="false" customHeight="true" outlineLevel="0" collapsed="false">
      <c r="A403" s="36"/>
      <c r="B403" s="37"/>
      <c r="C403" s="107" t="str">
        <f aca="false">IF($A403="","",ROUND(SUMIFS('DAILY ENTRY'!$G$7:$G$1203,'DAILY ENTRY'!$A$7:$A$1203,$A403,'DAILY ENTRY'!$B$7:$B$1203,$B403)/60,1))</f>
        <v/>
      </c>
      <c r="D403" s="107" t="str">
        <f aca="false">IF($A403="","",SUMIFS('DAILY ENTRY'!$F$7:$F$1203,'DAILY ENTRY'!$A$7:$A$1203,$A403,'DAILY ENTRY'!$B$7:$B$1203,$B403,'DAILY ENTRY'!$D$7:$D$1203,"Lead researched (Sales Navigator)"))</f>
        <v/>
      </c>
      <c r="E403" s="107" t="str">
        <f aca="false">IF($A403="","",SUMIFS('DAILY ENTRY'!$F$7:$F$1203,'DAILY ENTRY'!$A$7:$A$1203,$A403,'DAILY ENTRY'!$B$7:$B$1203,$B403,'DAILY ENTRY'!$D$7:$D$1203,"Connection request sent"))</f>
        <v/>
      </c>
      <c r="F403" s="107" t="str">
        <f aca="false">IF($A403="","",SUMIFS('DAILY ENTRY'!$F$7:$F$1203,'DAILY ENTRY'!$A$7:$A$1203,$A403,'DAILY ENTRY'!$B$7:$B$1203,$B403,'DAILY ENTRY'!$D$7:$D$1203,"First message sent"))</f>
        <v/>
      </c>
      <c r="G403" s="107" t="str">
        <f aca="false">IF($A403="","",SUMIFS('DAILY ENTRY'!$F$7:$F$1203,'DAILY ENTRY'!$A$7:$A$1203,$A403,'DAILY ENTRY'!$B$7:$B$1203,$B403,'DAILY ENTRY'!$D$7:$D$1203,"Follow-up message sent"))</f>
        <v/>
      </c>
      <c r="H403" s="107" t="str">
        <f aca="false">IF($A403="","",SUMIFS('DAILY ENTRY'!$F$7:$F$1203,'DAILY ENTRY'!$A$7:$A$1203,$A403,'DAILY ENTRY'!$B$7:$B$1203,$B403,'DAILY ENTRY'!$D$7:$D$1203,"Post / content published"))</f>
        <v/>
      </c>
      <c r="I403" s="107" t="str">
        <f aca="false">IF($A403="","",SUMIFS('DAILY ENTRY'!$F$7:$F$1203,'DAILY ENTRY'!$A$7:$A$1203,$A403,'DAILY ENTRY'!$B$7:$B$1203,$B403,'DAILY ENTRY'!$D$7:$D$1203,"Community answer or comment"))</f>
        <v/>
      </c>
      <c r="J403" s="107" t="str">
        <f aca="false">IF($A403="","",SUMIFS('DAILY ENTRY'!$F$7:$F$1203,'DAILY ENTRY'!$A$7:$A$1203,$A403,'DAILY ENTRY'!$B$7:$B$1203,$B403,'DAILY ENTRY'!$D$7:$D$1203,"Partnership / PR contact"))</f>
        <v/>
      </c>
      <c r="K403" s="107" t="str">
        <f aca="false">IF($A403="","",SUMIFS('DAILY ENTRY'!$F$7:$F$1203,'DAILY ENTRY'!$A$7:$A$1203,$A403,'DAILY ENTRY'!$B$7:$B$1203,$B403,'DAILY ENTRY'!$D$7:$D$1203,"Engagement (commented on someone else)"))</f>
        <v/>
      </c>
      <c r="L403" s="107" t="str">
        <f aca="false">IF($A403="","",SUMIFS('DAILY ENTRY'!$F$7:$F$1203,'DAILY ENTRY'!$A$7:$A$1203,$A403,'DAILY ENTRY'!$B$7:$B$1203,$B403,'DAILY ENTRY'!$D$7:$D$1203,"Account created / profile completed"))</f>
        <v/>
      </c>
      <c r="M403" s="108" t="str">
        <f aca="false">IF($A403="","",IFERROR(INDEX('DAILY ENTRY'!$E$7:$E$1203,MATCH(1,INDEX(('DAILY ENTRY'!$A$7:$A$1203=$A403)*('DAILY ENTRY'!$B$7:$B$1203=$B403)*('DAILY ENTRY'!$I$7:$I$1203="Meeting booked"),0),0)),IFERROR(INDEX('DAILY ENTRY'!$E$7:$E$1203,MATCH(1,INDEX(('DAILY ENTRY'!$A$7:$A$1203=$A403)*('DAILY ENTRY'!$B$7:$B$1203=$B403)*('DAILY ENTRY'!$I$7:$I$1203="Positive reply"),0),0)),"")))</f>
        <v/>
      </c>
      <c r="N403" s="108" t="str">
        <f aca="false">IF($A403="","",IFERROR(INDEX('DAILY ENTRY'!$J$7:$J$1203,MATCH(1,INDEX(('DAILY ENTRY'!$A$7:$A$1203=$A403)*('DAILY ENTRY'!$B$7:$B$1203=$B403)*('DAILY ENTRY'!$I$7:$I$1203="Blocked"),0),0)),""))</f>
        <v/>
      </c>
      <c r="O403" s="65" t="str">
        <f aca="false">IF($A403="","",(D403&gt;='START HERE'!$B$25)+(E403&gt;='START HERE'!$B$26)+(F403&gt;='START HERE'!$B$27)+(G403&gt;='START HERE'!$B$28)+(H403&gt;='START HERE'!$B$29)+(I403&gt;='START HERE'!$B$30)+(J403&gt;='START HERE'!$B$31)+(K403&gt;='START HERE'!$B$32))</f>
        <v/>
      </c>
      <c r="P403" s="46" t="str">
        <f aca="false">IF($A403="","",IF(O403&gt;=7,"Full day",IF(O403&gt;=5,"Most targets met",IF(O403&gt;=3,"Half day","Below plan - explain in the blocker column"))))</f>
        <v/>
      </c>
    </row>
  </sheetData>
  <autoFilter ref="A3:P403"/>
  <mergeCells count="2">
    <mergeCell ref="A1:N1"/>
    <mergeCell ref="A2:N2"/>
  </mergeCells>
  <conditionalFormatting sqref="D4:D403">
    <cfRule type="expression" priority="2" aboveAverage="0" equalAverage="0" bottom="0" percent="0" rank="0" text="" dxfId="7">
      <formula>AND(D4&lt;&gt;"",D4&gt;='START HERE'!$B$25)</formula>
    </cfRule>
    <cfRule type="expression" priority="3" aboveAverage="0" equalAverage="0" bottom="0" percent="0" rank="0" text="" dxfId="6">
      <formula>AND(D4&lt;&gt;"",D4&lt;'START HERE'!$B$25)</formula>
    </cfRule>
  </conditionalFormatting>
  <conditionalFormatting sqref="E4:E403">
    <cfRule type="expression" priority="4" aboveAverage="0" equalAverage="0" bottom="0" percent="0" rank="0" text="" dxfId="7">
      <formula>AND(E4&lt;&gt;"",E4&gt;='START HERE'!$B$26)</formula>
    </cfRule>
    <cfRule type="expression" priority="5" aboveAverage="0" equalAverage="0" bottom="0" percent="0" rank="0" text="" dxfId="6">
      <formula>AND(E4&lt;&gt;"",E4&lt;'START HERE'!$B$26)</formula>
    </cfRule>
  </conditionalFormatting>
  <conditionalFormatting sqref="F4:F403">
    <cfRule type="expression" priority="6" aboveAverage="0" equalAverage="0" bottom="0" percent="0" rank="0" text="" dxfId="7">
      <formula>AND(F4&lt;&gt;"",F4&gt;='START HERE'!$B$27)</formula>
    </cfRule>
    <cfRule type="expression" priority="7" aboveAverage="0" equalAverage="0" bottom="0" percent="0" rank="0" text="" dxfId="6">
      <formula>AND(F4&lt;&gt;"",F4&lt;'START HERE'!$B$27)</formula>
    </cfRule>
  </conditionalFormatting>
  <conditionalFormatting sqref="G4:G403">
    <cfRule type="expression" priority="8" aboveAverage="0" equalAverage="0" bottom="0" percent="0" rank="0" text="" dxfId="7">
      <formula>AND(G4&lt;&gt;"",G4&gt;='START HERE'!$B$28)</formula>
    </cfRule>
    <cfRule type="expression" priority="9" aboveAverage="0" equalAverage="0" bottom="0" percent="0" rank="0" text="" dxfId="6">
      <formula>AND(G4&lt;&gt;"",G4&lt;'START HERE'!$B$28)</formula>
    </cfRule>
  </conditionalFormatting>
  <conditionalFormatting sqref="H4:H403">
    <cfRule type="expression" priority="10" aboveAverage="0" equalAverage="0" bottom="0" percent="0" rank="0" text="" dxfId="7">
      <formula>AND(H4&lt;&gt;"",H4&gt;='START HERE'!$B$29)</formula>
    </cfRule>
    <cfRule type="expression" priority="11" aboveAverage="0" equalAverage="0" bottom="0" percent="0" rank="0" text="" dxfId="6">
      <formula>AND(H4&lt;&gt;"",H4&lt;'START HERE'!$B$29)</formula>
    </cfRule>
  </conditionalFormatting>
  <conditionalFormatting sqref="I4:I403">
    <cfRule type="expression" priority="12" aboveAverage="0" equalAverage="0" bottom="0" percent="0" rank="0" text="" dxfId="7">
      <formula>AND(I4&lt;&gt;"",I4&gt;='START HERE'!$B$30)</formula>
    </cfRule>
    <cfRule type="expression" priority="13" aboveAverage="0" equalAverage="0" bottom="0" percent="0" rank="0" text="" dxfId="6">
      <formula>AND(I4&lt;&gt;"",I4&lt;'START HERE'!$B$30)</formula>
    </cfRule>
  </conditionalFormatting>
  <conditionalFormatting sqref="J4:J403">
    <cfRule type="expression" priority="14" aboveAverage="0" equalAverage="0" bottom="0" percent="0" rank="0" text="" dxfId="7">
      <formula>AND(J4&lt;&gt;"",J4&gt;='START HERE'!$B$31)</formula>
    </cfRule>
    <cfRule type="expression" priority="15" aboveAverage="0" equalAverage="0" bottom="0" percent="0" rank="0" text="" dxfId="6">
      <formula>AND(J4&lt;&gt;"",J4&lt;'START HERE'!$B$31)</formula>
    </cfRule>
  </conditionalFormatting>
  <conditionalFormatting sqref="K4:K403">
    <cfRule type="expression" priority="16" aboveAverage="0" equalAverage="0" bottom="0" percent="0" rank="0" text="" dxfId="7">
      <formula>AND(K4&lt;&gt;"",K4&gt;='START HERE'!$B$32)</formula>
    </cfRule>
    <cfRule type="expression" priority="17" aboveAverage="0" equalAverage="0" bottom="0" percent="0" rank="0" text="" dxfId="6">
      <formula>AND(K4&lt;&gt;"",K4&lt;'START HERE'!$B$32)</formula>
    </cfRule>
  </conditionalFormatting>
  <conditionalFormatting sqref="O4:O403">
    <cfRule type="cellIs" priority="18" operator="greaterThanOrEqual" aboveAverage="0" equalAverage="0" bottom="0" percent="0" rank="0" text="" dxfId="7">
      <formula>7</formula>
    </cfRule>
    <cfRule type="cellIs" priority="19" operator="between" aboveAverage="0" equalAverage="0" bottom="0" percent="0" rank="0" text="" dxfId="9">
      <formula>4</formula>
      <formula>6</formula>
    </cfRule>
    <cfRule type="cellIs" priority="20" operator="between" aboveAverage="0" equalAverage="0" bottom="0" percent="0" rank="0" text="" dxfId="6">
      <formula>0</formula>
      <formula>3</formula>
    </cfRule>
  </conditionalFormatting>
  <dataValidations count="1">
    <dataValidation allowBlank="true" error="Pick a name from the team roster on the START HERE tab." errorStyle="stop" errorTitle="Name not on the roster" operator="between" prompt="Choose the team member" showDropDown="false" showErrorMessage="false" showInputMessage="false" sqref="B4:B403" type="list">
      <formula1>'START HERE'!$B$55:$B$64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4"/>
    <col collapsed="false" customWidth="true" hidden="false" outlineLevel="0" max="4" min="3" style="1" width="46"/>
    <col collapsed="false" customWidth="true" hidden="false" outlineLevel="0" max="6" min="5" style="1" width="40"/>
    <col collapsed="false" customWidth="true" hidden="false" outlineLevel="0" max="7" min="7" style="1" width="30"/>
    <col collapsed="false" customWidth="true" hidden="false" outlineLevel="0" max="8" min="8" style="1" width="10"/>
  </cols>
  <sheetData>
    <row r="1" customFormat="false" ht="25.5" hidden="false" customHeight="true" outlineLevel="0" collapsed="false">
      <c r="A1" s="2" t="s">
        <v>1136</v>
      </c>
      <c r="B1" s="2"/>
      <c r="C1" s="2"/>
      <c r="D1" s="2"/>
      <c r="E1" s="2"/>
      <c r="F1" s="2"/>
      <c r="G1" s="2"/>
      <c r="H1" s="2"/>
    </row>
    <row r="2" customFormat="false" ht="18" hidden="false" customHeight="true" outlineLevel="0" collapsed="false">
      <c r="A2" s="3" t="s">
        <v>1137</v>
      </c>
      <c r="B2" s="3"/>
      <c r="C2" s="3"/>
      <c r="D2" s="3"/>
      <c r="E2" s="3"/>
      <c r="F2" s="3"/>
      <c r="G2" s="3"/>
      <c r="H2" s="3"/>
    </row>
    <row r="3" customFormat="false" ht="39.75" hidden="false" customHeight="true" outlineLevel="0" collapsed="false">
      <c r="A3" s="31" t="s">
        <v>1138</v>
      </c>
      <c r="B3" s="31" t="s">
        <v>1139</v>
      </c>
      <c r="C3" s="31" t="s">
        <v>1140</v>
      </c>
      <c r="D3" s="31" t="s">
        <v>1141</v>
      </c>
      <c r="E3" s="31" t="s">
        <v>1142</v>
      </c>
      <c r="F3" s="31" t="s">
        <v>1143</v>
      </c>
      <c r="G3" s="31" t="s">
        <v>1144</v>
      </c>
      <c r="H3" s="31" t="s">
        <v>1145</v>
      </c>
    </row>
    <row r="4" customFormat="false" ht="103.5" hidden="false" customHeight="true" outlineLevel="0" collapsed="false">
      <c r="A4" s="77" t="s">
        <v>1146</v>
      </c>
      <c r="B4" s="92" t="s">
        <v>1147</v>
      </c>
      <c r="C4" s="92" t="s">
        <v>1148</v>
      </c>
      <c r="D4" s="92" t="s">
        <v>1149</v>
      </c>
      <c r="E4" s="92" t="s">
        <v>1150</v>
      </c>
      <c r="F4" s="109" t="s">
        <v>1151</v>
      </c>
      <c r="G4" s="92" t="s">
        <v>1152</v>
      </c>
      <c r="H4" s="45" t="s">
        <v>1153</v>
      </c>
    </row>
    <row r="5" customFormat="false" ht="103.5" hidden="false" customHeight="true" outlineLevel="0" collapsed="false">
      <c r="A5" s="77" t="s">
        <v>1154</v>
      </c>
      <c r="B5" s="92" t="s">
        <v>1155</v>
      </c>
      <c r="C5" s="92" t="s">
        <v>1156</v>
      </c>
      <c r="D5" s="92" t="s">
        <v>1157</v>
      </c>
      <c r="E5" s="92" t="s">
        <v>1158</v>
      </c>
      <c r="F5" s="109" t="s">
        <v>1159</v>
      </c>
      <c r="G5" s="92" t="s">
        <v>1160</v>
      </c>
      <c r="H5" s="45" t="s">
        <v>1161</v>
      </c>
    </row>
    <row r="6" customFormat="false" ht="103.5" hidden="false" customHeight="true" outlineLevel="0" collapsed="false">
      <c r="A6" s="77" t="s">
        <v>134</v>
      </c>
      <c r="B6" s="92" t="s">
        <v>1162</v>
      </c>
      <c r="C6" s="92" t="s">
        <v>1163</v>
      </c>
      <c r="D6" s="92" t="s">
        <v>1164</v>
      </c>
      <c r="E6" s="92" t="s">
        <v>1165</v>
      </c>
      <c r="F6" s="109" t="s">
        <v>1166</v>
      </c>
      <c r="G6" s="92" t="s">
        <v>1167</v>
      </c>
      <c r="H6" s="45" t="s">
        <v>1161</v>
      </c>
    </row>
    <row r="7" customFormat="false" ht="103.5" hidden="false" customHeight="true" outlineLevel="0" collapsed="false">
      <c r="A7" s="77" t="s">
        <v>631</v>
      </c>
      <c r="B7" s="92" t="s">
        <v>1168</v>
      </c>
      <c r="C7" s="92" t="s">
        <v>1169</v>
      </c>
      <c r="D7" s="92" t="s">
        <v>1170</v>
      </c>
      <c r="E7" s="92" t="s">
        <v>1171</v>
      </c>
      <c r="F7" s="109" t="s">
        <v>1172</v>
      </c>
      <c r="G7" s="92" t="s">
        <v>1173</v>
      </c>
      <c r="H7" s="45" t="s">
        <v>1174</v>
      </c>
    </row>
    <row r="8" customFormat="false" ht="103.5" hidden="false" customHeight="true" outlineLevel="0" collapsed="false">
      <c r="A8" s="77" t="s">
        <v>635</v>
      </c>
      <c r="B8" s="92" t="s">
        <v>1175</v>
      </c>
      <c r="C8" s="92" t="s">
        <v>1176</v>
      </c>
      <c r="D8" s="92" t="s">
        <v>1177</v>
      </c>
      <c r="E8" s="92" t="s">
        <v>1178</v>
      </c>
      <c r="F8" s="109" t="s">
        <v>1179</v>
      </c>
      <c r="G8" s="92" t="s">
        <v>1180</v>
      </c>
      <c r="H8" s="45" t="s">
        <v>1174</v>
      </c>
    </row>
    <row r="9" customFormat="false" ht="103.5" hidden="false" customHeight="true" outlineLevel="0" collapsed="false">
      <c r="A9" s="77" t="s">
        <v>1181</v>
      </c>
      <c r="B9" s="92" t="s">
        <v>1182</v>
      </c>
      <c r="C9" s="92" t="s">
        <v>1183</v>
      </c>
      <c r="D9" s="92" t="s">
        <v>1184</v>
      </c>
      <c r="E9" s="92" t="s">
        <v>1185</v>
      </c>
      <c r="F9" s="109" t="s">
        <v>1186</v>
      </c>
      <c r="G9" s="92" t="s">
        <v>1187</v>
      </c>
      <c r="H9" s="45" t="s">
        <v>1161</v>
      </c>
    </row>
    <row r="10" customFormat="false" ht="103.5" hidden="false" customHeight="true" outlineLevel="0" collapsed="false">
      <c r="A10" s="77" t="s">
        <v>1188</v>
      </c>
      <c r="B10" s="92" t="s">
        <v>1189</v>
      </c>
      <c r="C10" s="92" t="s">
        <v>1190</v>
      </c>
      <c r="D10" s="92" t="s">
        <v>1191</v>
      </c>
      <c r="E10" s="92" t="s">
        <v>1192</v>
      </c>
      <c r="F10" s="109" t="s">
        <v>1193</v>
      </c>
      <c r="G10" s="92" t="s">
        <v>1194</v>
      </c>
      <c r="H10" s="45" t="s">
        <v>1161</v>
      </c>
    </row>
    <row r="11" customFormat="false" ht="103.5" hidden="false" customHeight="true" outlineLevel="0" collapsed="false">
      <c r="A11" s="77" t="s">
        <v>548</v>
      </c>
      <c r="B11" s="92" t="s">
        <v>1195</v>
      </c>
      <c r="C11" s="92" t="s">
        <v>1196</v>
      </c>
      <c r="D11" s="92" t="s">
        <v>1197</v>
      </c>
      <c r="E11" s="92" t="s">
        <v>1198</v>
      </c>
      <c r="F11" s="109" t="s">
        <v>1199</v>
      </c>
      <c r="G11" s="92" t="s">
        <v>1200</v>
      </c>
      <c r="H11" s="45" t="s">
        <v>1174</v>
      </c>
    </row>
    <row r="12" customFormat="false" ht="103.5" hidden="false" customHeight="true" outlineLevel="0" collapsed="false">
      <c r="A12" s="77" t="s">
        <v>556</v>
      </c>
      <c r="B12" s="92" t="s">
        <v>1201</v>
      </c>
      <c r="C12" s="92" t="s">
        <v>1202</v>
      </c>
      <c r="D12" s="92" t="s">
        <v>1203</v>
      </c>
      <c r="E12" s="92" t="s">
        <v>1204</v>
      </c>
      <c r="F12" s="109" t="s">
        <v>1205</v>
      </c>
      <c r="G12" s="92" t="s">
        <v>1206</v>
      </c>
      <c r="H12" s="45" t="s">
        <v>1174</v>
      </c>
    </row>
    <row r="13" customFormat="false" ht="103.5" hidden="false" customHeight="true" outlineLevel="0" collapsed="false">
      <c r="A13" s="77" t="s">
        <v>1207</v>
      </c>
      <c r="B13" s="92" t="s">
        <v>1208</v>
      </c>
      <c r="C13" s="92" t="s">
        <v>1209</v>
      </c>
      <c r="D13" s="92" t="s">
        <v>1210</v>
      </c>
      <c r="E13" s="92" t="s">
        <v>1211</v>
      </c>
      <c r="F13" s="109" t="s">
        <v>1212</v>
      </c>
      <c r="G13" s="92" t="s">
        <v>1213</v>
      </c>
      <c r="H13" s="45" t="s">
        <v>1161</v>
      </c>
    </row>
    <row r="14" customFormat="false" ht="103.5" hidden="false" customHeight="true" outlineLevel="0" collapsed="false">
      <c r="A14" s="77" t="s">
        <v>1214</v>
      </c>
      <c r="B14" s="92" t="s">
        <v>1215</v>
      </c>
      <c r="C14" s="92" t="s">
        <v>1216</v>
      </c>
      <c r="D14" s="92" t="s">
        <v>1217</v>
      </c>
      <c r="E14" s="92" t="s">
        <v>1218</v>
      </c>
      <c r="F14" s="109" t="s">
        <v>1219</v>
      </c>
      <c r="G14" s="92" t="s">
        <v>1220</v>
      </c>
      <c r="H14" s="45" t="s">
        <v>1221</v>
      </c>
    </row>
    <row r="15" customFormat="false" ht="103.5" hidden="false" customHeight="true" outlineLevel="0" collapsed="false">
      <c r="A15" s="77" t="s">
        <v>1222</v>
      </c>
      <c r="B15" s="92" t="s">
        <v>1223</v>
      </c>
      <c r="C15" s="92" t="s">
        <v>1224</v>
      </c>
      <c r="D15" s="92" t="s">
        <v>1225</v>
      </c>
      <c r="E15" s="92" t="s">
        <v>1226</v>
      </c>
      <c r="F15" s="109" t="s">
        <v>1227</v>
      </c>
      <c r="G15" s="92" t="s">
        <v>1228</v>
      </c>
      <c r="H15" s="45" t="s">
        <v>1229</v>
      </c>
    </row>
    <row r="16" customFormat="false" ht="103.5" hidden="false" customHeight="true" outlineLevel="0" collapsed="false">
      <c r="A16" s="77" t="s">
        <v>1230</v>
      </c>
      <c r="B16" s="92" t="s">
        <v>1231</v>
      </c>
      <c r="C16" s="92" t="s">
        <v>1232</v>
      </c>
      <c r="D16" s="92" t="s">
        <v>1233</v>
      </c>
      <c r="E16" s="92" t="s">
        <v>1234</v>
      </c>
      <c r="F16" s="109" t="s">
        <v>1235</v>
      </c>
      <c r="G16" s="92" t="s">
        <v>1236</v>
      </c>
      <c r="H16" s="45" t="s">
        <v>1174</v>
      </c>
    </row>
    <row r="17" customFormat="false" ht="103.5" hidden="false" customHeight="true" outlineLevel="0" collapsed="false">
      <c r="A17" s="77" t="s">
        <v>328</v>
      </c>
      <c r="B17" s="92" t="s">
        <v>1237</v>
      </c>
      <c r="C17" s="92" t="s">
        <v>1238</v>
      </c>
      <c r="D17" s="92" t="s">
        <v>1239</v>
      </c>
      <c r="E17" s="92" t="s">
        <v>1240</v>
      </c>
      <c r="F17" s="109" t="s">
        <v>1241</v>
      </c>
      <c r="G17" s="92" t="s">
        <v>1242</v>
      </c>
      <c r="H17" s="45" t="s">
        <v>1174</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tru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4"/>
    <col collapsed="false" customWidth="true" hidden="false" outlineLevel="0" max="3" min="3" style="1" width="26"/>
    <col collapsed="false" customWidth="true" hidden="false" outlineLevel="0" max="4" min="4" style="1" width="24"/>
    <col collapsed="false" customWidth="true" hidden="false" outlineLevel="0" max="5" min="5" style="1" width="56"/>
    <col collapsed="false" customWidth="true" hidden="false" outlineLevel="0" max="6" min="6" style="1" width="12"/>
  </cols>
  <sheetData>
    <row r="1" customFormat="false" ht="25.5" hidden="false" customHeight="true" outlineLevel="0" collapsed="false">
      <c r="A1" s="2" t="s">
        <v>1243</v>
      </c>
      <c r="B1" s="2"/>
      <c r="C1" s="2"/>
      <c r="D1" s="2"/>
      <c r="E1" s="2"/>
      <c r="F1" s="2"/>
    </row>
    <row r="2" customFormat="false" ht="18" hidden="false" customHeight="true" outlineLevel="0" collapsed="false">
      <c r="A2" s="3" t="s">
        <v>1244</v>
      </c>
      <c r="B2" s="3"/>
      <c r="C2" s="3"/>
      <c r="D2" s="3"/>
      <c r="E2" s="3"/>
      <c r="F2" s="3"/>
    </row>
    <row r="3" customFormat="false" ht="31.5" hidden="false" customHeight="true" outlineLevel="0" collapsed="false">
      <c r="A3" s="31" t="s">
        <v>222</v>
      </c>
      <c r="B3" s="31" t="s">
        <v>1245</v>
      </c>
      <c r="C3" s="31" t="s">
        <v>1246</v>
      </c>
      <c r="D3" s="31" t="s">
        <v>1247</v>
      </c>
      <c r="E3" s="31" t="s">
        <v>1248</v>
      </c>
      <c r="F3" s="31" t="s">
        <v>1249</v>
      </c>
    </row>
    <row r="4" customFormat="false" ht="61.5" hidden="false" customHeight="true" outlineLevel="0" collapsed="false">
      <c r="A4" s="77" t="s">
        <v>1250</v>
      </c>
      <c r="B4" s="109" t="s">
        <v>1251</v>
      </c>
      <c r="C4" s="92" t="s">
        <v>1252</v>
      </c>
      <c r="D4" s="110" t="s">
        <v>1253</v>
      </c>
      <c r="E4" s="67" t="s">
        <v>1254</v>
      </c>
      <c r="F4" s="45" t="s">
        <v>1255</v>
      </c>
    </row>
    <row r="5" customFormat="false" ht="61.5" hidden="false" customHeight="true" outlineLevel="0" collapsed="false">
      <c r="A5" s="77" t="s">
        <v>1256</v>
      </c>
      <c r="B5" s="109" t="s">
        <v>1257</v>
      </c>
      <c r="C5" s="92" t="s">
        <v>1258</v>
      </c>
      <c r="D5" s="110" t="s">
        <v>1259</v>
      </c>
      <c r="E5" s="67" t="s">
        <v>1260</v>
      </c>
      <c r="F5" s="45" t="s">
        <v>1255</v>
      </c>
    </row>
    <row r="6" customFormat="false" ht="61.5" hidden="false" customHeight="true" outlineLevel="0" collapsed="false">
      <c r="A6" s="77" t="s">
        <v>1261</v>
      </c>
      <c r="B6" s="109" t="s">
        <v>517</v>
      </c>
      <c r="C6" s="92" t="s">
        <v>1262</v>
      </c>
      <c r="D6" s="110" t="s">
        <v>517</v>
      </c>
      <c r="E6" s="67" t="s">
        <v>1263</v>
      </c>
      <c r="F6" s="45" t="s">
        <v>1255</v>
      </c>
    </row>
    <row r="7" customFormat="false" ht="61.5" hidden="false" customHeight="true" outlineLevel="0" collapsed="false">
      <c r="A7" s="77" t="s">
        <v>1264</v>
      </c>
      <c r="B7" s="109" t="s">
        <v>517</v>
      </c>
      <c r="C7" s="92" t="s">
        <v>1265</v>
      </c>
      <c r="D7" s="110" t="s">
        <v>1266</v>
      </c>
      <c r="E7" s="67" t="s">
        <v>1267</v>
      </c>
      <c r="F7" s="45" t="s">
        <v>1255</v>
      </c>
    </row>
    <row r="8" customFormat="false" ht="61.5" hidden="false" customHeight="true" outlineLevel="0" collapsed="false">
      <c r="A8" s="77" t="s">
        <v>1268</v>
      </c>
      <c r="B8" s="109" t="s">
        <v>517</v>
      </c>
      <c r="C8" s="92" t="s">
        <v>1269</v>
      </c>
      <c r="D8" s="110" t="s">
        <v>517</v>
      </c>
      <c r="E8" s="67" t="s">
        <v>1270</v>
      </c>
      <c r="F8" s="45" t="s">
        <v>1255</v>
      </c>
    </row>
    <row r="9" customFormat="false" ht="61.5" hidden="false" customHeight="true" outlineLevel="0" collapsed="false">
      <c r="A9" s="77" t="s">
        <v>1271</v>
      </c>
      <c r="B9" s="109" t="s">
        <v>1272</v>
      </c>
      <c r="C9" s="92" t="s">
        <v>1273</v>
      </c>
      <c r="D9" s="110" t="s">
        <v>1274</v>
      </c>
      <c r="E9" s="67" t="s">
        <v>1275</v>
      </c>
      <c r="F9" s="45" t="s">
        <v>1255</v>
      </c>
    </row>
    <row r="10" customFormat="false" ht="61.5" hidden="false" customHeight="true" outlineLevel="0" collapsed="false">
      <c r="A10" s="77" t="s">
        <v>1276</v>
      </c>
      <c r="B10" s="109" t="s">
        <v>1277</v>
      </c>
      <c r="C10" s="92" t="s">
        <v>1278</v>
      </c>
      <c r="D10" s="110" t="s">
        <v>1279</v>
      </c>
      <c r="E10" s="67" t="s">
        <v>1280</v>
      </c>
      <c r="F10" s="45" t="s">
        <v>1255</v>
      </c>
    </row>
    <row r="11" customFormat="false" ht="61.5" hidden="false" customHeight="true" outlineLevel="0" collapsed="false">
      <c r="A11" s="77" t="s">
        <v>1281</v>
      </c>
      <c r="B11" s="109" t="s">
        <v>1282</v>
      </c>
      <c r="C11" s="92" t="s">
        <v>1283</v>
      </c>
      <c r="D11" s="110" t="s">
        <v>1284</v>
      </c>
      <c r="E11" s="67" t="s">
        <v>1285</v>
      </c>
      <c r="F11" s="45" t="s">
        <v>1255</v>
      </c>
    </row>
    <row r="12" customFormat="false" ht="61.5" hidden="false" customHeight="true" outlineLevel="0" collapsed="false">
      <c r="A12" s="77" t="s">
        <v>1286</v>
      </c>
      <c r="B12" s="109" t="s">
        <v>517</v>
      </c>
      <c r="C12" s="92" t="s">
        <v>1287</v>
      </c>
      <c r="D12" s="110" t="s">
        <v>1288</v>
      </c>
      <c r="E12" s="67" t="s">
        <v>1289</v>
      </c>
      <c r="F12" s="45" t="s">
        <v>1255</v>
      </c>
    </row>
    <row r="13" customFormat="false" ht="61.5" hidden="false" customHeight="true" outlineLevel="0" collapsed="false">
      <c r="A13" s="77" t="s">
        <v>1290</v>
      </c>
      <c r="B13" s="109" t="s">
        <v>1291</v>
      </c>
      <c r="C13" s="92" t="s">
        <v>1292</v>
      </c>
      <c r="D13" s="110" t="s">
        <v>1293</v>
      </c>
      <c r="E13" s="67" t="s">
        <v>1294</v>
      </c>
      <c r="F13" s="45" t="s">
        <v>1255</v>
      </c>
    </row>
    <row r="14" customFormat="false" ht="61.5" hidden="false" customHeight="true" outlineLevel="0" collapsed="false">
      <c r="A14" s="77" t="s">
        <v>1295</v>
      </c>
      <c r="B14" s="109" t="s">
        <v>517</v>
      </c>
      <c r="C14" s="92" t="s">
        <v>1296</v>
      </c>
      <c r="D14" s="110" t="s">
        <v>517</v>
      </c>
      <c r="E14" s="67" t="s">
        <v>1297</v>
      </c>
      <c r="F14" s="45" t="s">
        <v>1255</v>
      </c>
    </row>
    <row r="15" customFormat="false" ht="61.5" hidden="false" customHeight="true" outlineLevel="0" collapsed="false">
      <c r="A15" s="77" t="s">
        <v>1298</v>
      </c>
      <c r="B15" s="109" t="s">
        <v>517</v>
      </c>
      <c r="C15" s="92" t="s">
        <v>517</v>
      </c>
      <c r="D15" s="110" t="s">
        <v>1299</v>
      </c>
      <c r="E15" s="67" t="s">
        <v>1300</v>
      </c>
      <c r="F15" s="45" t="s">
        <v>1255</v>
      </c>
    </row>
    <row r="16" customFormat="false" ht="61.5" hidden="false" customHeight="true" outlineLevel="0" collapsed="false">
      <c r="A16" s="77" t="s">
        <v>1301</v>
      </c>
      <c r="B16" s="109" t="s">
        <v>517</v>
      </c>
      <c r="C16" s="92" t="s">
        <v>1302</v>
      </c>
      <c r="D16" s="110" t="s">
        <v>517</v>
      </c>
      <c r="E16" s="67" t="s">
        <v>1303</v>
      </c>
      <c r="F16" s="45" t="s">
        <v>1255</v>
      </c>
    </row>
    <row r="18" customFormat="false" ht="39.75" hidden="false" customHeight="true" outlineLevel="0" collapsed="false">
      <c r="A18" s="60" t="s">
        <v>1304</v>
      </c>
      <c r="B18" s="60"/>
      <c r="C18" s="60"/>
      <c r="D18" s="60"/>
      <c r="E18" s="60"/>
      <c r="F18" s="60"/>
    </row>
  </sheetData>
  <mergeCells count="3">
    <mergeCell ref="A1:F1"/>
    <mergeCell ref="A2:F2"/>
    <mergeCell ref="A18:F1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V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1" width="16"/>
    <col collapsed="false" customWidth="true" hidden="false" outlineLevel="0" max="5" min="5" style="1" width="18"/>
    <col collapsed="false" customWidth="true" hidden="false" outlineLevel="0" max="6" min="6" style="1" width="21"/>
    <col collapsed="false" customWidth="true" hidden="false" outlineLevel="0" max="7" min="7" style="1" width="27"/>
    <col collapsed="false" customWidth="true" hidden="false" outlineLevel="0" max="8" min="8" style="1" width="22"/>
    <col collapsed="false" customWidth="true" hidden="false" outlineLevel="0" max="9" min="9" style="1" width="16"/>
    <col collapsed="false" customWidth="true" hidden="false" outlineLevel="0" max="10" min="10" style="1" width="27"/>
    <col collapsed="false" customWidth="true" hidden="false" outlineLevel="0" max="11" min="11" style="1" width="26"/>
    <col collapsed="false" customWidth="true" hidden="false" outlineLevel="0" max="12" min="12" style="1" width="19"/>
    <col collapsed="false" customWidth="true" hidden="false" outlineLevel="0" max="13" min="13" style="1" width="20"/>
    <col collapsed="false" customWidth="true" hidden="false" outlineLevel="0" max="14" min="14" style="1" width="16"/>
    <col collapsed="false" customWidth="true" hidden="false" outlineLevel="0" max="15" min="15" style="1" width="30"/>
    <col collapsed="false" customWidth="true" hidden="false" outlineLevel="0" max="16" min="16" style="1" width="38"/>
    <col collapsed="false" customWidth="true" hidden="false" outlineLevel="0" max="17" min="17" style="1" width="20"/>
    <col collapsed="false" customWidth="true" hidden="false" outlineLevel="0" max="18" min="18" style="1" width="22"/>
    <col collapsed="false" customWidth="true" hidden="false" outlineLevel="0" max="19" min="19" style="1" width="34"/>
    <col collapsed="false" customWidth="true" hidden="false" outlineLevel="0" max="20" min="20" style="1" width="14"/>
    <col collapsed="false" customWidth="true" hidden="false" outlineLevel="0" max="21" min="21" style="1" width="24"/>
    <col collapsed="false" customWidth="true" hidden="false" outlineLevel="0" max="22" min="22" style="1" width="26"/>
  </cols>
  <sheetData>
    <row r="1" customFormat="false" ht="25.5" hidden="false" customHeight="true" outlineLevel="0" collapsed="false">
      <c r="A1" s="2" t="s">
        <v>1305</v>
      </c>
      <c r="B1" s="2"/>
      <c r="C1" s="2"/>
      <c r="D1" s="2"/>
      <c r="E1" s="2"/>
      <c r="F1" s="2"/>
      <c r="G1" s="2"/>
      <c r="H1" s="2"/>
      <c r="I1" s="2"/>
      <c r="J1" s="2"/>
      <c r="K1" s="2"/>
      <c r="L1" s="2"/>
      <c r="M1" s="2"/>
      <c r="N1" s="2"/>
      <c r="O1" s="2"/>
    </row>
    <row r="3" customFormat="false" ht="27.75" hidden="false" customHeight="true" outlineLevel="0" collapsed="false">
      <c r="A3" s="31" t="s">
        <v>202</v>
      </c>
      <c r="B3" s="31" t="s">
        <v>476</v>
      </c>
      <c r="C3" s="31" t="s">
        <v>1306</v>
      </c>
      <c r="D3" s="31" t="s">
        <v>477</v>
      </c>
      <c r="E3" s="31" t="s">
        <v>318</v>
      </c>
      <c r="F3" s="31" t="s">
        <v>157</v>
      </c>
      <c r="G3" s="31" t="s">
        <v>1307</v>
      </c>
      <c r="H3" s="31" t="s">
        <v>1308</v>
      </c>
      <c r="I3" s="31" t="s">
        <v>1309</v>
      </c>
      <c r="J3" s="31" t="s">
        <v>115</v>
      </c>
      <c r="K3" s="31" t="s">
        <v>1310</v>
      </c>
      <c r="L3" s="31" t="s">
        <v>1311</v>
      </c>
      <c r="M3" s="31" t="s">
        <v>1312</v>
      </c>
      <c r="N3" s="31" t="s">
        <v>1313</v>
      </c>
      <c r="O3" s="31" t="s">
        <v>1025</v>
      </c>
      <c r="P3" s="31" t="s">
        <v>1314</v>
      </c>
      <c r="Q3" s="31" t="s">
        <v>121</v>
      </c>
      <c r="R3" s="31" t="s">
        <v>1315</v>
      </c>
      <c r="S3" s="31" t="s">
        <v>1316</v>
      </c>
      <c r="T3" s="31" t="s">
        <v>1317</v>
      </c>
      <c r="U3" s="31" t="s">
        <v>1318</v>
      </c>
      <c r="V3" s="31" t="s">
        <v>1319</v>
      </c>
    </row>
    <row r="4" customFormat="false" ht="15" hidden="false" customHeight="false" outlineLevel="0" collapsed="false">
      <c r="A4" s="13" t="s">
        <v>221</v>
      </c>
      <c r="B4" s="13" t="s">
        <v>487</v>
      </c>
      <c r="C4" s="13" t="s">
        <v>177</v>
      </c>
      <c r="D4" s="13" t="s">
        <v>500</v>
      </c>
      <c r="E4" s="13" t="s">
        <v>129</v>
      </c>
      <c r="F4" s="13" t="s">
        <v>1050</v>
      </c>
      <c r="G4" s="13" t="s">
        <v>174</v>
      </c>
      <c r="H4" s="13" t="s">
        <v>1320</v>
      </c>
      <c r="I4" s="13" t="s">
        <v>863</v>
      </c>
      <c r="J4" s="13" t="s">
        <v>484</v>
      </c>
      <c r="K4" s="13" t="s">
        <v>694</v>
      </c>
      <c r="L4" s="13" t="s">
        <v>1321</v>
      </c>
      <c r="M4" s="13" t="s">
        <v>1322</v>
      </c>
      <c r="N4" s="13" t="s">
        <v>1323</v>
      </c>
      <c r="O4" s="13" t="s">
        <v>72</v>
      </c>
      <c r="P4" s="13" t="s">
        <v>124</v>
      </c>
      <c r="Q4" s="13" t="s">
        <v>127</v>
      </c>
      <c r="R4" s="13" t="s">
        <v>457</v>
      </c>
      <c r="S4" s="13" t="s">
        <v>335</v>
      </c>
      <c r="T4" s="13" t="s">
        <v>1324</v>
      </c>
      <c r="U4" s="13" t="s">
        <v>204</v>
      </c>
      <c r="V4" s="13" t="s">
        <v>863</v>
      </c>
    </row>
    <row r="5" customFormat="false" ht="15" hidden="false" customHeight="false" outlineLevel="0" collapsed="false">
      <c r="A5" s="13" t="s">
        <v>215</v>
      </c>
      <c r="B5" s="13" t="s">
        <v>212</v>
      </c>
      <c r="C5" s="13" t="s">
        <v>747</v>
      </c>
      <c r="D5" s="13" t="s">
        <v>521</v>
      </c>
      <c r="E5" s="13" t="s">
        <v>322</v>
      </c>
      <c r="F5" s="13" t="s">
        <v>1325</v>
      </c>
      <c r="G5" s="13" t="s">
        <v>1326</v>
      </c>
      <c r="H5" s="13" t="s">
        <v>1327</v>
      </c>
      <c r="I5" s="13" t="s">
        <v>1328</v>
      </c>
      <c r="J5" s="13" t="s">
        <v>491</v>
      </c>
      <c r="K5" s="13" t="s">
        <v>698</v>
      </c>
      <c r="L5" s="13" t="s">
        <v>1329</v>
      </c>
      <c r="M5" s="13" t="s">
        <v>178</v>
      </c>
      <c r="N5" s="13" t="s">
        <v>1330</v>
      </c>
      <c r="O5" s="13" t="s">
        <v>1331</v>
      </c>
      <c r="P5" s="13" t="s">
        <v>130</v>
      </c>
      <c r="Q5" s="13" t="s">
        <v>233</v>
      </c>
      <c r="R5" s="13" t="str">
        <f aca="false">'START HERE'!$B$55</f>
        <v>Employee 1</v>
      </c>
      <c r="S5" s="13" t="s">
        <v>337</v>
      </c>
      <c r="T5" s="13" t="s">
        <v>642</v>
      </c>
      <c r="U5" s="13" t="s">
        <v>698</v>
      </c>
      <c r="V5" s="13" t="s">
        <v>1075</v>
      </c>
    </row>
    <row r="6" customFormat="false" ht="15" hidden="false" customHeight="false" outlineLevel="0" collapsed="false">
      <c r="A6" s="13" t="s">
        <v>229</v>
      </c>
      <c r="B6" s="13" t="s">
        <v>134</v>
      </c>
      <c r="C6" s="13" t="s">
        <v>1332</v>
      </c>
      <c r="D6" s="13" t="s">
        <v>563</v>
      </c>
      <c r="E6" s="13" t="s">
        <v>323</v>
      </c>
      <c r="F6" s="13" t="s">
        <v>180</v>
      </c>
      <c r="G6" s="13" t="s">
        <v>1333</v>
      </c>
      <c r="H6" s="13" t="s">
        <v>1026</v>
      </c>
      <c r="I6" s="13" t="s">
        <v>1334</v>
      </c>
      <c r="J6" s="13" t="s">
        <v>123</v>
      </c>
      <c r="K6" s="13" t="s">
        <v>702</v>
      </c>
      <c r="L6" s="13" t="s">
        <v>1335</v>
      </c>
      <c r="M6" s="13" t="s">
        <v>1336</v>
      </c>
      <c r="N6" s="13" t="s">
        <v>1337</v>
      </c>
      <c r="O6" s="13" t="s">
        <v>1338</v>
      </c>
      <c r="P6" s="13" t="s">
        <v>1339</v>
      </c>
      <c r="Q6" s="13" t="s">
        <v>1340</v>
      </c>
      <c r="R6" s="13" t="n">
        <f aca="false">'START HERE'!$B$56</f>
        <v>0</v>
      </c>
      <c r="S6" s="13" t="s">
        <v>339</v>
      </c>
      <c r="T6" s="13" t="s">
        <v>210</v>
      </c>
      <c r="U6" s="13" t="s">
        <v>694</v>
      </c>
      <c r="V6" s="13" t="s">
        <v>1341</v>
      </c>
    </row>
    <row r="7" customFormat="false" ht="15" hidden="false" customHeight="false" outlineLevel="0" collapsed="false">
      <c r="A7" s="13" t="s">
        <v>232</v>
      </c>
      <c r="B7" s="13" t="s">
        <v>572</v>
      </c>
      <c r="D7" s="13" t="s">
        <v>530</v>
      </c>
      <c r="E7" s="13" t="s">
        <v>324</v>
      </c>
      <c r="F7" s="13" t="s">
        <v>1342</v>
      </c>
      <c r="G7" s="13" t="s">
        <v>1343</v>
      </c>
      <c r="H7" s="13" t="s">
        <v>1344</v>
      </c>
      <c r="I7" s="13" t="s">
        <v>1345</v>
      </c>
      <c r="J7" s="13" t="s">
        <v>527</v>
      </c>
      <c r="K7" s="13" t="s">
        <v>1346</v>
      </c>
      <c r="L7" s="13" t="s">
        <v>1347</v>
      </c>
      <c r="M7" s="13" t="s">
        <v>1348</v>
      </c>
      <c r="P7" s="13" t="s">
        <v>1349</v>
      </c>
      <c r="Q7" s="13" t="s">
        <v>232</v>
      </c>
      <c r="R7" s="13" t="n">
        <f aca="false">'START HERE'!$B$57</f>
        <v>0</v>
      </c>
      <c r="S7" s="13" t="s">
        <v>211</v>
      </c>
      <c r="T7" s="13" t="s">
        <v>1350</v>
      </c>
      <c r="U7" s="13" t="s">
        <v>1351</v>
      </c>
      <c r="V7" s="13" t="s">
        <v>1352</v>
      </c>
    </row>
    <row r="8" customFormat="false" ht="15" hidden="false" customHeight="false" outlineLevel="0" collapsed="false">
      <c r="A8" s="13" t="s">
        <v>230</v>
      </c>
      <c r="D8" s="13" t="s">
        <v>584</v>
      </c>
      <c r="E8" s="13" t="s">
        <v>325</v>
      </c>
      <c r="F8" s="13" t="s">
        <v>1353</v>
      </c>
      <c r="G8" s="13" t="s">
        <v>1354</v>
      </c>
      <c r="H8" s="13" t="s">
        <v>1355</v>
      </c>
      <c r="I8" s="13" t="s">
        <v>1356</v>
      </c>
      <c r="J8" s="13" t="s">
        <v>532</v>
      </c>
      <c r="K8" s="13" t="s">
        <v>706</v>
      </c>
      <c r="L8" s="13" t="s">
        <v>1357</v>
      </c>
      <c r="M8" s="13" t="s">
        <v>1358</v>
      </c>
      <c r="P8" s="13" t="s">
        <v>135</v>
      </c>
      <c r="Q8" s="13" t="s">
        <v>1359</v>
      </c>
      <c r="R8" s="13" t="n">
        <f aca="false">'START HERE'!$B$58</f>
        <v>0</v>
      </c>
      <c r="S8" s="13" t="s">
        <v>342</v>
      </c>
      <c r="T8" s="13" t="s">
        <v>209</v>
      </c>
      <c r="U8" s="13" t="s">
        <v>710</v>
      </c>
      <c r="V8" s="13" t="s">
        <v>1360</v>
      </c>
    </row>
    <row r="9" customFormat="false" ht="15" hidden="false" customHeight="false" outlineLevel="0" collapsed="false">
      <c r="A9" s="13" t="s">
        <v>237</v>
      </c>
      <c r="D9" s="13" t="s">
        <v>663</v>
      </c>
      <c r="E9" s="13" t="s">
        <v>326</v>
      </c>
      <c r="F9" s="13" t="s">
        <v>1361</v>
      </c>
      <c r="G9" s="13" t="s">
        <v>1362</v>
      </c>
      <c r="H9" s="13" t="s">
        <v>1363</v>
      </c>
      <c r="I9" s="13" t="s">
        <v>1364</v>
      </c>
      <c r="J9" s="13" t="s">
        <v>536</v>
      </c>
      <c r="K9" s="13" t="s">
        <v>710</v>
      </c>
      <c r="L9" s="13" t="s">
        <v>1365</v>
      </c>
      <c r="M9" s="13" t="s">
        <v>1366</v>
      </c>
      <c r="P9" s="13" t="s">
        <v>1367</v>
      </c>
      <c r="Q9" s="13" t="s">
        <v>1368</v>
      </c>
      <c r="R9" s="13" t="n">
        <f aca="false">'START HERE'!$B$59</f>
        <v>0</v>
      </c>
      <c r="S9" s="13" t="s">
        <v>344</v>
      </c>
      <c r="U9" s="13" t="s">
        <v>706</v>
      </c>
      <c r="V9" s="13" t="s">
        <v>1369</v>
      </c>
    </row>
    <row r="10" customFormat="false" ht="15" hidden="false" customHeight="false" outlineLevel="0" collapsed="false">
      <c r="D10" s="13" t="s">
        <v>488</v>
      </c>
      <c r="E10" s="13" t="s">
        <v>327</v>
      </c>
      <c r="F10" s="13" t="s">
        <v>1370</v>
      </c>
      <c r="G10" s="13" t="s">
        <v>1371</v>
      </c>
      <c r="H10" s="13" t="s">
        <v>1372</v>
      </c>
      <c r="I10" s="13" t="s">
        <v>1373</v>
      </c>
      <c r="J10" s="13" t="s">
        <v>540</v>
      </c>
      <c r="K10" s="13" t="s">
        <v>714</v>
      </c>
      <c r="L10" s="13" t="s">
        <v>1047</v>
      </c>
      <c r="M10" s="13" t="s">
        <v>1374</v>
      </c>
      <c r="P10" s="13" t="s">
        <v>1375</v>
      </c>
      <c r="Q10" s="13" t="s">
        <v>1376</v>
      </c>
      <c r="R10" s="13" t="n">
        <f aca="false">'START HERE'!$B$60</f>
        <v>0</v>
      </c>
      <c r="S10" s="13" t="s">
        <v>346</v>
      </c>
      <c r="U10" s="13" t="s">
        <v>714</v>
      </c>
    </row>
    <row r="11" customFormat="false" ht="15" hidden="false" customHeight="false" outlineLevel="0" collapsed="false">
      <c r="E11" s="13" t="s">
        <v>328</v>
      </c>
      <c r="F11" s="13" t="s">
        <v>1377</v>
      </c>
      <c r="G11" s="13" t="s">
        <v>1378</v>
      </c>
      <c r="H11" s="13" t="s">
        <v>1379</v>
      </c>
      <c r="J11" s="13" t="s">
        <v>544</v>
      </c>
      <c r="K11" s="13" t="s">
        <v>718</v>
      </c>
      <c r="L11" s="13" t="s">
        <v>1380</v>
      </c>
      <c r="M11" s="13" t="s">
        <v>1381</v>
      </c>
      <c r="P11" s="13" t="s">
        <v>1382</v>
      </c>
      <c r="Q11" s="13" t="s">
        <v>1377</v>
      </c>
      <c r="R11" s="13" t="n">
        <f aca="false">'START HERE'!$B$61</f>
        <v>0</v>
      </c>
      <c r="S11" s="13" t="s">
        <v>347</v>
      </c>
      <c r="U11" s="13" t="s">
        <v>1383</v>
      </c>
    </row>
    <row r="12" customFormat="false" ht="15" hidden="false" customHeight="false" outlineLevel="0" collapsed="false">
      <c r="F12" s="13" t="s">
        <v>1384</v>
      </c>
      <c r="G12" s="13" t="s">
        <v>1385</v>
      </c>
      <c r="H12" s="13" t="s">
        <v>1386</v>
      </c>
      <c r="J12" s="13" t="s">
        <v>548</v>
      </c>
      <c r="K12" s="13" t="s">
        <v>1387</v>
      </c>
      <c r="L12" s="13" t="s">
        <v>1388</v>
      </c>
      <c r="M12" s="13" t="s">
        <v>1389</v>
      </c>
      <c r="P12" s="13" t="s">
        <v>1390</v>
      </c>
      <c r="R12" s="13" t="n">
        <f aca="false">'START HERE'!$B$62</f>
        <v>0</v>
      </c>
    </row>
    <row r="13" customFormat="false" ht="15" hidden="false" customHeight="false" outlineLevel="0" collapsed="false">
      <c r="F13" s="13" t="s">
        <v>1391</v>
      </c>
      <c r="G13" s="13" t="s">
        <v>1392</v>
      </c>
      <c r="H13" s="13" t="s">
        <v>1393</v>
      </c>
      <c r="J13" s="13" t="s">
        <v>553</v>
      </c>
      <c r="K13" s="13" t="s">
        <v>1394</v>
      </c>
      <c r="L13" s="13" t="s">
        <v>1395</v>
      </c>
      <c r="M13" s="13" t="s">
        <v>1396</v>
      </c>
      <c r="P13" s="13" t="s">
        <v>1397</v>
      </c>
      <c r="R13" s="13" t="n">
        <f aca="false">'START HERE'!$B$63</f>
        <v>0</v>
      </c>
    </row>
    <row r="14" customFormat="false" ht="15" hidden="false" customHeight="false" outlineLevel="0" collapsed="false">
      <c r="G14" s="13" t="s">
        <v>1398</v>
      </c>
      <c r="H14" s="13" t="s">
        <v>1399</v>
      </c>
      <c r="J14" s="13" t="s">
        <v>556</v>
      </c>
      <c r="K14" s="13" t="s">
        <v>1400</v>
      </c>
      <c r="L14" s="13" t="s">
        <v>1401</v>
      </c>
      <c r="M14" s="13" t="s">
        <v>1402</v>
      </c>
      <c r="P14" s="13" t="s">
        <v>1403</v>
      </c>
      <c r="R14" s="13" t="n">
        <f aca="false">'START HERE'!$B$64</f>
        <v>0</v>
      </c>
    </row>
    <row r="15" customFormat="false" ht="15" hidden="false" customHeight="false" outlineLevel="0" collapsed="false">
      <c r="G15" s="13" t="s">
        <v>1404</v>
      </c>
      <c r="H15" s="13" t="s">
        <v>1405</v>
      </c>
      <c r="J15" s="13" t="s">
        <v>560</v>
      </c>
      <c r="L15" s="13" t="s">
        <v>1406</v>
      </c>
      <c r="M15" s="13" t="s">
        <v>1407</v>
      </c>
    </row>
    <row r="16" customFormat="false" ht="15" hidden="false" customHeight="false" outlineLevel="0" collapsed="false">
      <c r="G16" s="13" t="s">
        <v>1408</v>
      </c>
      <c r="H16" s="13" t="s">
        <v>1409</v>
      </c>
      <c r="J16" s="13" t="s">
        <v>565</v>
      </c>
      <c r="L16" s="13" t="s">
        <v>1410</v>
      </c>
      <c r="M16" s="13" t="s">
        <v>1411</v>
      </c>
    </row>
    <row r="17" customFormat="false" ht="15" hidden="false" customHeight="false" outlineLevel="0" collapsed="false">
      <c r="H17" s="13" t="s">
        <v>1412</v>
      </c>
      <c r="J17" s="13" t="s">
        <v>569</v>
      </c>
      <c r="M17" s="13" t="s">
        <v>1413</v>
      </c>
    </row>
    <row r="18" customFormat="false" ht="15" hidden="false" customHeight="false" outlineLevel="0" collapsed="false">
      <c r="J18" s="13" t="s">
        <v>134</v>
      </c>
      <c r="M18" s="13" t="s">
        <v>1414</v>
      </c>
    </row>
    <row r="19" customFormat="false" ht="15" hidden="false" customHeight="false" outlineLevel="0" collapsed="false">
      <c r="J19" s="13" t="s">
        <v>589</v>
      </c>
      <c r="M19" s="13" t="s">
        <v>1048</v>
      </c>
    </row>
    <row r="20" customFormat="false" ht="15" hidden="false" customHeight="false" outlineLevel="0" collapsed="false">
      <c r="J20" s="13" t="s">
        <v>593</v>
      </c>
    </row>
    <row r="21" customFormat="false" ht="15" hidden="false" customHeight="false" outlineLevel="0" collapsed="false">
      <c r="J21" s="13" t="s">
        <v>581</v>
      </c>
    </row>
    <row r="22" customFormat="false" ht="15" hidden="false" customHeight="false" outlineLevel="0" collapsed="false">
      <c r="J22" s="13" t="s">
        <v>631</v>
      </c>
    </row>
    <row r="23" customFormat="false" ht="15" hidden="false" customHeight="false" outlineLevel="0" collapsed="false">
      <c r="J23" s="13" t="s">
        <v>605</v>
      </c>
    </row>
    <row r="24" customFormat="false" ht="15" hidden="false" customHeight="false" outlineLevel="0" collapsed="false">
      <c r="J24" s="13" t="s">
        <v>635</v>
      </c>
    </row>
    <row r="25" customFormat="false" ht="15" hidden="false" customHeight="false" outlineLevel="0" collapsed="false">
      <c r="J25" s="13" t="s">
        <v>601</v>
      </c>
    </row>
    <row r="26" customFormat="false" ht="15" hidden="false" customHeight="false" outlineLevel="0" collapsed="false">
      <c r="J26" s="13" t="s">
        <v>609</v>
      </c>
    </row>
    <row r="27" customFormat="false" ht="15" hidden="false" customHeight="false" outlineLevel="0" collapsed="false">
      <c r="J27" s="13" t="s">
        <v>613</v>
      </c>
    </row>
    <row r="28" customFormat="false" ht="15" hidden="false" customHeight="false" outlineLevel="0" collapsed="false">
      <c r="J28" s="13" t="s">
        <v>617</v>
      </c>
    </row>
    <row r="29" customFormat="false" ht="15" hidden="false" customHeight="false" outlineLevel="0" collapsed="false">
      <c r="J29" s="13" t="s">
        <v>621</v>
      </c>
    </row>
    <row r="30" customFormat="false" ht="15" hidden="false" customHeight="false" outlineLevel="0" collapsed="false">
      <c r="J30" s="13" t="s">
        <v>625</v>
      </c>
    </row>
    <row r="31" customFormat="false" ht="15" hidden="false" customHeight="false" outlineLevel="0" collapsed="false">
      <c r="J31" s="13" t="s">
        <v>639</v>
      </c>
    </row>
    <row r="32" customFormat="false" ht="15" hidden="false" customHeight="false" outlineLevel="0" collapsed="false">
      <c r="J32" s="13" t="s">
        <v>644</v>
      </c>
    </row>
    <row r="33" customFormat="false" ht="15" hidden="false" customHeight="false" outlineLevel="0" collapsed="false">
      <c r="J33" s="13" t="s">
        <v>574</v>
      </c>
    </row>
    <row r="34" customFormat="false" ht="15" hidden="false" customHeight="false" outlineLevel="0" collapsed="false">
      <c r="J34" s="13" t="s">
        <v>578</v>
      </c>
    </row>
    <row r="35" customFormat="false" ht="15" hidden="false" customHeight="false" outlineLevel="0" collapsed="false">
      <c r="J35" s="13" t="s">
        <v>648</v>
      </c>
    </row>
    <row r="36" customFormat="false" ht="15" hidden="false" customHeight="false" outlineLevel="0" collapsed="false">
      <c r="J36" s="13" t="s">
        <v>652</v>
      </c>
    </row>
    <row r="37" customFormat="false" ht="15" hidden="false" customHeight="false" outlineLevel="0" collapsed="false">
      <c r="J37" s="13" t="s">
        <v>656</v>
      </c>
    </row>
    <row r="38" customFormat="false" ht="15" hidden="false" customHeight="false" outlineLevel="0" collapsed="false">
      <c r="J38" s="13" t="s">
        <v>660</v>
      </c>
    </row>
    <row r="39" customFormat="false" ht="15" hidden="false" customHeight="false" outlineLevel="0" collapsed="false">
      <c r="J39" s="13" t="s">
        <v>665</v>
      </c>
    </row>
    <row r="40" customFormat="false" ht="15" hidden="false" customHeight="false" outlineLevel="0" collapsed="false">
      <c r="J40" s="13" t="s">
        <v>669</v>
      </c>
    </row>
    <row r="41" customFormat="false" ht="15" hidden="false" customHeight="false" outlineLevel="0" collapsed="false">
      <c r="J41" s="13" t="s">
        <v>671</v>
      </c>
    </row>
    <row r="42" customFormat="false" ht="15" hidden="false" customHeight="false" outlineLevel="0" collapsed="false">
      <c r="J42" s="13" t="s">
        <v>674</v>
      </c>
    </row>
    <row r="43" customFormat="false" ht="15" hidden="false" customHeight="false" outlineLevel="0" collapsed="false">
      <c r="J43" s="13" t="s">
        <v>678</v>
      </c>
    </row>
    <row r="44" customFormat="false" ht="15" hidden="false" customHeight="false" outlineLevel="0" collapsed="false">
      <c r="J44" s="13" t="s">
        <v>682</v>
      </c>
    </row>
    <row r="45" customFormat="false" ht="15" hidden="false" customHeight="false" outlineLevel="0" collapsed="false">
      <c r="J45" s="13" t="s">
        <v>686</v>
      </c>
    </row>
    <row r="46" customFormat="false" ht="15" hidden="false" customHeight="false" outlineLevel="0" collapsed="false">
      <c r="J46" s="13" t="s">
        <v>690</v>
      </c>
    </row>
    <row r="47" customFormat="false" ht="15" hidden="false" customHeight="false" outlineLevel="0" collapsed="false">
      <c r="J47" s="13" t="s">
        <v>1415</v>
      </c>
    </row>
    <row r="48" customFormat="false" ht="15" hidden="false" customHeight="false" outlineLevel="0" collapsed="false">
      <c r="J48" s="13" t="s">
        <v>722</v>
      </c>
    </row>
    <row r="49" customFormat="false" ht="15" hidden="false" customHeight="false" outlineLevel="0" collapsed="false">
      <c r="J49" s="13" t="s">
        <v>726</v>
      </c>
    </row>
    <row r="50" customFormat="false" ht="15" hidden="false" customHeight="false" outlineLevel="0" collapsed="false">
      <c r="J50" s="13" t="s">
        <v>730</v>
      </c>
    </row>
    <row r="51" customFormat="false" ht="15" hidden="false" customHeight="false" outlineLevel="0" collapsed="false">
      <c r="J51" s="13" t="s">
        <v>597</v>
      </c>
    </row>
    <row r="52" customFormat="false" ht="15" hidden="false" customHeight="false" outlineLevel="0" collapsed="false">
      <c r="J52" s="13" t="s">
        <v>1416</v>
      </c>
    </row>
  </sheetData>
  <mergeCells count="1">
    <mergeCell ref="A1:O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2026-08-17T20:35:27Z</dcterms:created>
  <dc:creator>openpyxl</dc:creator>
  <dc:description/>
  <dc:language>en-US</dc:language>
  <cp:lastModifiedBy/>
  <dcterms:modified xsi:type="dcterms:W3CDTF">2026-08-17T20:37:50Z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